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Projects\SRFN\Firmware\TFSSource\Tip\MTU\IAR\"/>
    </mc:Choice>
  </mc:AlternateContent>
  <xr:revisionPtr revIDLastSave="0" documentId="13_ncr:1_{C8538DD9-A9A1-4B5A-A04B-3A120E680951}" xr6:coauthVersionLast="45" xr6:coauthVersionMax="45" xr10:uidLastSave="{00000000-0000-0000-0000-000000000000}"/>
  <bookViews>
    <workbookView xWindow="-19320" yWindow="570" windowWidth="19440" windowHeight="15600" tabRatio="917" firstSheet="1" activeTab="3" xr2:uid="{00000000-000D-0000-FFFF-FFFF00000000}"/>
  </bookViews>
  <sheets>
    <sheet name="Overall" sheetId="2" r:id="rId1"/>
    <sheet name="MemoryMap" sheetId="5" r:id="rId2"/>
    <sheet name="App Grouping" sheetId="17" r:id="rId3"/>
    <sheet name="GlobalPlcmnt" sheetId="13" r:id="rId4"/>
    <sheet name="LinkerScript" sheetId="30" r:id="rId5"/>
    <sheet name="worksheet for .mapdata" sheetId="1" r:id="rId6"/>
    <sheet name=".map data" sheetId="22" r:id="rId7"/>
    <sheet name="Linker Gen" sheetId="21" r:id="rId8"/>
    <sheet name="Lib Code" sheetId="14" r:id="rId9"/>
    <sheet name="App Code" sheetId="8" r:id="rId10"/>
    <sheet name="Lib Const" sheetId="25" r:id="rId11"/>
    <sheet name="App Const" sheetId="9" r:id="rId12"/>
    <sheet name="Lib DInit" sheetId="26" r:id="rId13"/>
    <sheet name="Lib Init" sheetId="27" r:id="rId14"/>
    <sheet name="App DInit" sheetId="20" r:id="rId15"/>
    <sheet name="App Init" sheetId="23" r:id="rId16"/>
    <sheet name="Lib BSS" sheetId="28" r:id="rId17"/>
    <sheet name="App BSS" sheetId="24" r:id="rId18"/>
    <sheet name="CommandLine" sheetId="29" r:id="rId19"/>
    <sheet name="Procedure" sheetId="10" r:id="rId20"/>
  </sheets>
  <functionGroups builtInGroupCount="19"/>
  <definedNames>
    <definedName name="End_of_swap_ROM_Space_1">MemoryMap!$C$38</definedName>
    <definedName name="End_of_usable_ROM_Space_2">MemoryMap!$C$42</definedName>
    <definedName name="Start_of_Security_NV_Space">MemoryMap!$C$35</definedName>
    <definedName name="Start_of_usable_ROM_Space_2">MemoryMap!$C$41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1" i="5" l="1"/>
  <c r="F3470" i="1" l="1"/>
  <c r="F3468" i="1"/>
  <c r="F3464" i="1"/>
  <c r="F3461" i="1"/>
  <c r="F3458" i="1"/>
  <c r="F3455" i="1"/>
  <c r="F3432" i="1"/>
  <c r="F3456" i="1" s="1"/>
  <c r="F3429" i="1"/>
  <c r="F3425" i="1"/>
  <c r="F3422" i="1"/>
  <c r="F3418" i="1"/>
  <c r="F3393" i="1"/>
  <c r="F3323" i="1"/>
  <c r="F3279" i="1"/>
  <c r="F3240" i="1"/>
  <c r="F3210" i="1"/>
  <c r="F3184" i="1"/>
  <c r="F3055" i="1"/>
  <c r="F3051" i="1"/>
  <c r="F3048" i="1"/>
  <c r="F3037" i="1"/>
  <c r="F3031" i="1"/>
  <c r="F538" i="1"/>
  <c r="F535" i="1"/>
  <c r="F532" i="1"/>
  <c r="F529" i="1"/>
  <c r="F526" i="1"/>
  <c r="F523" i="1"/>
  <c r="F514" i="1"/>
  <c r="F511" i="1"/>
  <c r="F469" i="1"/>
  <c r="F466" i="1"/>
  <c r="F458" i="1"/>
  <c r="F448" i="1"/>
  <c r="F3" i="1"/>
  <c r="F3471" i="1"/>
  <c r="F3465" i="1"/>
  <c r="F3462" i="1"/>
  <c r="F3459" i="1"/>
  <c r="F3430" i="1"/>
  <c r="F3426" i="1"/>
  <c r="F3423" i="1"/>
  <c r="F3419" i="1"/>
  <c r="F3394" i="1"/>
  <c r="F3324" i="1"/>
  <c r="F3280" i="1"/>
  <c r="F3241" i="1"/>
  <c r="F3211" i="1"/>
  <c r="F3185" i="1"/>
  <c r="F3056" i="1"/>
  <c r="F3052" i="1"/>
  <c r="F3049" i="1"/>
  <c r="F3038" i="1"/>
  <c r="F3032" i="1"/>
  <c r="F536" i="1"/>
  <c r="F533" i="1"/>
  <c r="F530" i="1"/>
  <c r="F527" i="1"/>
  <c r="F524" i="1"/>
  <c r="F515" i="1"/>
  <c r="F512" i="1"/>
  <c r="F470" i="1"/>
  <c r="F467" i="1"/>
  <c r="F459" i="1"/>
  <c r="F449" i="1"/>
  <c r="F4" i="1"/>
  <c r="F3472" i="1" l="1"/>
  <c r="G157" i="22"/>
  <c r="H157" i="22"/>
  <c r="E188" i="24" l="1"/>
  <c r="B188" i="24"/>
  <c r="C188" i="24" s="1"/>
  <c r="E188" i="23"/>
  <c r="B188" i="23"/>
  <c r="J188" i="23" s="1"/>
  <c r="E188" i="20"/>
  <c r="B188" i="20"/>
  <c r="C188" i="20" s="1"/>
  <c r="E188" i="9"/>
  <c r="B188" i="9"/>
  <c r="C188" i="9" s="1"/>
  <c r="E188" i="8"/>
  <c r="B188" i="8"/>
  <c r="C188" i="8" s="1"/>
  <c r="AW650" i="22"/>
  <c r="AX650" i="22" s="1"/>
  <c r="AV650" i="22"/>
  <c r="AL120" i="22"/>
  <c r="AM120" i="22" s="1"/>
  <c r="AK120" i="22"/>
  <c r="AB93" i="22"/>
  <c r="AC93" i="22" s="1"/>
  <c r="AA93" i="22"/>
  <c r="R2853" i="22"/>
  <c r="S2853" i="22" s="1"/>
  <c r="Q2853" i="22"/>
  <c r="H172" i="22"/>
  <c r="I172" i="22" s="1"/>
  <c r="G172" i="22"/>
  <c r="B141" i="17"/>
  <c r="J188" i="24" l="1"/>
  <c r="C188" i="23"/>
  <c r="J188" i="20"/>
  <c r="J188" i="9"/>
  <c r="J188" i="8"/>
  <c r="E163" i="24" l="1"/>
  <c r="B163" i="24"/>
  <c r="C163" i="24" s="1"/>
  <c r="E163" i="23"/>
  <c r="B163" i="23"/>
  <c r="C163" i="23" s="1"/>
  <c r="E163" i="20"/>
  <c r="B163" i="20"/>
  <c r="C163" i="20" s="1"/>
  <c r="E163" i="9"/>
  <c r="B163" i="9"/>
  <c r="C163" i="9" s="1"/>
  <c r="E163" i="8"/>
  <c r="B163" i="8"/>
  <c r="C163" i="8" s="1"/>
  <c r="AW649" i="22"/>
  <c r="AX649" i="22" s="1"/>
  <c r="AV649" i="22"/>
  <c r="AL119" i="22"/>
  <c r="AM119" i="22" s="1"/>
  <c r="AK119" i="22"/>
  <c r="AB92" i="22"/>
  <c r="AC92" i="22" s="1"/>
  <c r="AA92" i="22"/>
  <c r="R2852" i="22"/>
  <c r="S2852" i="22" s="1"/>
  <c r="Q2852" i="22"/>
  <c r="H171" i="22"/>
  <c r="I171" i="22" s="1"/>
  <c r="G171" i="22"/>
  <c r="J163" i="24" l="1"/>
  <c r="J163" i="23"/>
  <c r="J163" i="20"/>
  <c r="J163" i="9"/>
  <c r="J163" i="8"/>
  <c r="E162" i="24" l="1"/>
  <c r="B162" i="24"/>
  <c r="E162" i="23"/>
  <c r="B162" i="23"/>
  <c r="E162" i="20"/>
  <c r="B162" i="20"/>
  <c r="E162" i="9"/>
  <c r="B162" i="9"/>
  <c r="E162" i="8"/>
  <c r="B162" i="8"/>
  <c r="AW648" i="22"/>
  <c r="AX648" i="22" s="1"/>
  <c r="AV648" i="22"/>
  <c r="AL118" i="22"/>
  <c r="AM118" i="22" s="1"/>
  <c r="AK118" i="22"/>
  <c r="AB91" i="22"/>
  <c r="AC91" i="22" s="1"/>
  <c r="AA91" i="22"/>
  <c r="R2851" i="22"/>
  <c r="S2851" i="22" s="1"/>
  <c r="Q2851" i="22"/>
  <c r="H170" i="22"/>
  <c r="I170" i="22" s="1"/>
  <c r="G170" i="22"/>
  <c r="C162" i="24" l="1"/>
  <c r="C162" i="23"/>
  <c r="C162" i="20"/>
  <c r="C162" i="9"/>
  <c r="C162" i="8"/>
  <c r="J162" i="24"/>
  <c r="J162" i="23"/>
  <c r="J162" i="20"/>
  <c r="J162" i="9"/>
  <c r="J162" i="8"/>
  <c r="E161" i="24" l="1"/>
  <c r="B161" i="24"/>
  <c r="E161" i="23"/>
  <c r="B161" i="23"/>
  <c r="E161" i="20"/>
  <c r="B161" i="20"/>
  <c r="E161" i="9"/>
  <c r="B161" i="9"/>
  <c r="E161" i="8"/>
  <c r="B161" i="8"/>
  <c r="AW647" i="22"/>
  <c r="AX647" i="22" s="1"/>
  <c r="AV647" i="22"/>
  <c r="AL117" i="22"/>
  <c r="AM117" i="22" s="1"/>
  <c r="AK117" i="22"/>
  <c r="AB90" i="22"/>
  <c r="AC90" i="22" s="1"/>
  <c r="AA90" i="22"/>
  <c r="R2850" i="22"/>
  <c r="Q2850" i="22"/>
  <c r="H169" i="22"/>
  <c r="I169" i="22" s="1"/>
  <c r="G169" i="22"/>
  <c r="S2850" i="22" l="1"/>
  <c r="C161" i="24"/>
  <c r="C161" i="23"/>
  <c r="C161" i="8"/>
  <c r="J161" i="24"/>
  <c r="J161" i="23"/>
  <c r="C161" i="20"/>
  <c r="J161" i="20"/>
  <c r="C161" i="9"/>
  <c r="J161" i="9"/>
  <c r="J161" i="8"/>
  <c r="E160" i="24" l="1"/>
  <c r="B160" i="24"/>
  <c r="E160" i="23"/>
  <c r="B160" i="23"/>
  <c r="E160" i="20"/>
  <c r="B160" i="20"/>
  <c r="E160" i="9"/>
  <c r="B160" i="9"/>
  <c r="E160" i="8"/>
  <c r="B160" i="8"/>
  <c r="AW646" i="22"/>
  <c r="AX646" i="22" s="1"/>
  <c r="AV646" i="22"/>
  <c r="AL116" i="22"/>
  <c r="AM116" i="22" s="1"/>
  <c r="AK116" i="22"/>
  <c r="AB89" i="22"/>
  <c r="AC89" i="22" s="1"/>
  <c r="AA89" i="22"/>
  <c r="R2849" i="22"/>
  <c r="S2849" i="22" s="1"/>
  <c r="Q2849" i="22"/>
  <c r="H168" i="22"/>
  <c r="I168" i="22" s="1"/>
  <c r="G168" i="22"/>
  <c r="C160" i="24" l="1"/>
  <c r="C160" i="20"/>
  <c r="C160" i="9"/>
  <c r="C160" i="8"/>
  <c r="J160" i="24"/>
  <c r="C160" i="23"/>
  <c r="J160" i="23"/>
  <c r="J160" i="20"/>
  <c r="J160" i="9"/>
  <c r="J160" i="8"/>
  <c r="J100" i="24" l="1"/>
  <c r="E100" i="24"/>
  <c r="C100" i="24"/>
  <c r="J100" i="23"/>
  <c r="E100" i="23"/>
  <c r="C100" i="23"/>
  <c r="E100" i="20"/>
  <c r="B100" i="20"/>
  <c r="C100" i="20" s="1"/>
  <c r="J100" i="9"/>
  <c r="E100" i="9"/>
  <c r="C100" i="9"/>
  <c r="E100" i="8"/>
  <c r="B100" i="8"/>
  <c r="C100" i="8" s="1"/>
  <c r="AW645" i="22"/>
  <c r="AX645" i="22" s="1"/>
  <c r="AV645" i="22"/>
  <c r="AL115" i="22"/>
  <c r="AM115" i="22" s="1"/>
  <c r="AK115" i="22"/>
  <c r="AB88" i="22"/>
  <c r="AC88" i="22" s="1"/>
  <c r="AA88" i="22"/>
  <c r="R2848" i="22"/>
  <c r="S2848" i="22" s="1"/>
  <c r="Q2848" i="22"/>
  <c r="H167" i="22"/>
  <c r="I167" i="22" s="1"/>
  <c r="G167" i="22"/>
  <c r="J100" i="20" l="1"/>
  <c r="J100" i="8"/>
  <c r="H419" i="22" l="1"/>
  <c r="G419" i="22"/>
  <c r="I419" i="22" l="1"/>
  <c r="H420" i="22"/>
  <c r="I420" i="22" s="1"/>
  <c r="G420" i="22"/>
  <c r="AW32" i="22" l="1"/>
  <c r="AW33" i="22"/>
  <c r="AW34" i="22"/>
  <c r="AW35" i="22"/>
  <c r="AW36" i="22"/>
  <c r="AW37" i="22"/>
  <c r="AW38" i="22"/>
  <c r="AW39" i="22"/>
  <c r="AW40" i="22"/>
  <c r="AW41" i="22"/>
  <c r="AW42" i="22"/>
  <c r="AW43" i="22"/>
  <c r="AW44" i="22"/>
  <c r="AW45" i="22"/>
  <c r="AW46" i="22"/>
  <c r="AW47" i="22"/>
  <c r="AW48" i="22"/>
  <c r="AW49" i="22"/>
  <c r="AW50" i="22"/>
  <c r="AW51" i="22"/>
  <c r="AW52" i="22"/>
  <c r="AW53" i="22"/>
  <c r="AW54" i="22"/>
  <c r="AW55" i="22"/>
  <c r="AW56" i="22"/>
  <c r="AW57" i="22"/>
  <c r="AW58" i="22"/>
  <c r="AW59" i="22"/>
  <c r="AW60" i="22"/>
  <c r="AW61" i="22"/>
  <c r="AW62" i="22"/>
  <c r="AW63" i="22"/>
  <c r="AW64" i="22"/>
  <c r="AW65" i="22"/>
  <c r="AW66" i="22"/>
  <c r="AW67" i="22"/>
  <c r="AW68" i="22"/>
  <c r="AW69" i="22"/>
  <c r="AW70" i="22"/>
  <c r="AW71" i="22"/>
  <c r="AW72" i="22"/>
  <c r="AW73" i="22"/>
  <c r="AW74" i="22"/>
  <c r="AW75" i="22"/>
  <c r="AW76" i="22"/>
  <c r="AW77" i="22"/>
  <c r="AW78" i="22"/>
  <c r="AW79" i="22"/>
  <c r="AW80" i="22"/>
  <c r="AW81" i="22"/>
  <c r="AW82" i="22"/>
  <c r="AW83" i="22"/>
  <c r="AW84" i="22"/>
  <c r="AW85"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W360" i="22"/>
  <c r="AW361" i="22"/>
  <c r="AW362" i="22"/>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2"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AW423" i="22"/>
  <c r="AW424" i="22"/>
  <c r="AW425" i="22"/>
  <c r="AW426" i="22"/>
  <c r="AW427" i="22"/>
  <c r="AW428" i="22"/>
  <c r="AW429" i="22"/>
  <c r="AW430" i="22"/>
  <c r="AW431" i="22"/>
  <c r="AW432" i="22"/>
  <c r="AW433" i="22"/>
  <c r="AW434" i="22"/>
  <c r="AW435" i="22"/>
  <c r="AW436" i="22"/>
  <c r="AW437" i="22"/>
  <c r="AW438" i="22"/>
  <c r="AW439" i="22"/>
  <c r="AW440" i="22"/>
  <c r="AW441" i="22"/>
  <c r="AW442" i="22"/>
  <c r="AW443" i="22"/>
  <c r="AW444" i="22"/>
  <c r="AW445" i="22"/>
  <c r="AW446" i="22"/>
  <c r="AW447" i="22"/>
  <c r="AW448" i="22"/>
  <c r="AW449" i="22"/>
  <c r="AW450" i="22"/>
  <c r="AW451" i="22"/>
  <c r="AW452" i="22"/>
  <c r="AW453" i="22"/>
  <c r="AW454" i="22"/>
  <c r="AW455" i="22"/>
  <c r="AW456" i="22"/>
  <c r="AW457" i="22"/>
  <c r="AW458" i="22"/>
  <c r="AW459" i="22"/>
  <c r="AW460" i="22"/>
  <c r="AW461" i="22"/>
  <c r="AW462" i="22"/>
  <c r="AW463" i="22"/>
  <c r="AW464" i="22"/>
  <c r="AW465" i="22"/>
  <c r="AW466" i="22"/>
  <c r="AW467" i="22"/>
  <c r="AW468" i="22"/>
  <c r="AW469" i="22"/>
  <c r="AW470" i="22"/>
  <c r="AW471" i="22"/>
  <c r="AW472" i="22"/>
  <c r="AW473" i="22"/>
  <c r="AW474" i="22"/>
  <c r="AW475" i="22"/>
  <c r="AW476" i="22"/>
  <c r="AW477" i="22"/>
  <c r="AW478" i="22"/>
  <c r="AW479" i="22"/>
  <c r="AW480" i="22"/>
  <c r="AW481" i="22"/>
  <c r="AW482" i="22"/>
  <c r="AW483" i="22"/>
  <c r="AW484" i="22"/>
  <c r="AW485" i="22"/>
  <c r="AW486" i="22"/>
  <c r="AW487" i="22"/>
  <c r="AW488" i="22"/>
  <c r="AW489" i="22"/>
  <c r="AW490" i="22"/>
  <c r="AW491" i="22"/>
  <c r="AW492" i="22"/>
  <c r="AW493" i="22"/>
  <c r="AW494" i="22"/>
  <c r="AW495" i="22"/>
  <c r="AW496" i="22"/>
  <c r="AW497" i="22"/>
  <c r="AW498" i="22"/>
  <c r="AW499" i="22"/>
  <c r="AW500" i="22"/>
  <c r="AW501" i="22"/>
  <c r="AW502" i="22"/>
  <c r="AW503" i="22"/>
  <c r="AW504" i="22"/>
  <c r="AW505" i="22"/>
  <c r="AW506" i="22"/>
  <c r="AW507" i="22"/>
  <c r="AW508" i="22"/>
  <c r="AW509" i="22"/>
  <c r="AW510" i="22"/>
  <c r="AW511" i="22"/>
  <c r="AW512" i="22"/>
  <c r="AW513" i="22"/>
  <c r="AW514" i="22"/>
  <c r="AW515" i="22"/>
  <c r="AW516" i="22"/>
  <c r="AW517" i="22"/>
  <c r="AW518" i="22"/>
  <c r="AW519" i="22"/>
  <c r="AW520" i="22"/>
  <c r="AW521" i="22"/>
  <c r="AW522" i="22"/>
  <c r="AW523" i="22"/>
  <c r="AW524" i="22"/>
  <c r="AW525" i="22"/>
  <c r="AW526" i="22"/>
  <c r="AW527" i="22"/>
  <c r="AW528" i="22"/>
  <c r="AW529" i="22"/>
  <c r="AW530" i="22"/>
  <c r="AW531" i="22"/>
  <c r="AW532" i="22"/>
  <c r="AW533" i="22"/>
  <c r="AW534" i="22"/>
  <c r="AW535" i="22"/>
  <c r="AW536" i="22"/>
  <c r="AW537" i="22"/>
  <c r="AW538" i="22"/>
  <c r="AW539" i="22"/>
  <c r="AW540" i="22"/>
  <c r="AW541" i="22"/>
  <c r="AW542" i="22"/>
  <c r="AW543" i="22"/>
  <c r="AW544" i="22"/>
  <c r="AW545" i="22"/>
  <c r="AW546" i="22"/>
  <c r="AW547" i="22"/>
  <c r="AW548" i="22"/>
  <c r="AW549" i="22"/>
  <c r="AW550" i="22"/>
  <c r="AW551" i="22"/>
  <c r="AW552" i="22"/>
  <c r="AW553" i="22"/>
  <c r="AW554" i="22"/>
  <c r="AW555" i="22"/>
  <c r="AW556" i="22"/>
  <c r="AW557" i="22"/>
  <c r="AW558" i="22"/>
  <c r="AW559" i="22"/>
  <c r="AW560" i="22"/>
  <c r="AW561" i="22"/>
  <c r="AW562" i="22"/>
  <c r="AW563" i="22"/>
  <c r="AW564" i="22"/>
  <c r="AW565" i="22"/>
  <c r="AW566" i="22"/>
  <c r="AW567" i="22"/>
  <c r="AW568" i="22"/>
  <c r="AW569" i="22"/>
  <c r="AW570" i="22"/>
  <c r="AW571" i="22"/>
  <c r="AW572" i="22"/>
  <c r="AW573" i="22"/>
  <c r="AW574" i="22"/>
  <c r="AW575" i="22"/>
  <c r="AW576" i="22"/>
  <c r="AW577" i="22"/>
  <c r="AW578" i="22"/>
  <c r="AW579" i="22"/>
  <c r="AW580" i="22"/>
  <c r="AW581" i="22"/>
  <c r="AW582" i="22"/>
  <c r="AW583" i="22"/>
  <c r="AW584" i="22"/>
  <c r="AW585" i="22"/>
  <c r="AW586" i="22"/>
  <c r="AW587" i="22"/>
  <c r="AW588" i="22"/>
  <c r="AW589" i="22"/>
  <c r="AW590" i="22"/>
  <c r="AW591" i="22"/>
  <c r="AW592" i="22"/>
  <c r="AW593" i="22"/>
  <c r="AW594" i="22"/>
  <c r="AW595" i="22"/>
  <c r="AW596" i="22"/>
  <c r="AW597" i="22"/>
  <c r="AW598" i="22"/>
  <c r="AW599" i="22"/>
  <c r="AW600" i="22"/>
  <c r="AW601" i="22"/>
  <c r="AW602" i="22"/>
  <c r="AW603" i="22"/>
  <c r="AW604" i="22"/>
  <c r="AW605" i="22"/>
  <c r="AW606" i="22"/>
  <c r="AW607" i="22"/>
  <c r="AW608" i="22"/>
  <c r="AW609" i="22"/>
  <c r="AW610" i="22"/>
  <c r="AW611" i="22"/>
  <c r="AW612" i="22"/>
  <c r="AW613" i="22"/>
  <c r="AW614" i="22"/>
  <c r="AW615" i="22"/>
  <c r="AW616" i="22"/>
  <c r="AW617" i="22"/>
  <c r="AW618" i="22"/>
  <c r="AW619" i="22"/>
  <c r="AW620" i="22"/>
  <c r="AW621" i="22"/>
  <c r="AW622" i="22"/>
  <c r="AW623" i="22"/>
  <c r="AW624" i="22"/>
  <c r="AW625" i="22"/>
  <c r="AW626" i="22"/>
  <c r="AW627" i="22"/>
  <c r="AW628" i="22"/>
  <c r="AW629" i="22"/>
  <c r="AW630" i="22"/>
  <c r="AW631" i="22"/>
  <c r="AW632" i="22"/>
  <c r="AW633" i="22"/>
  <c r="AW634" i="22"/>
  <c r="AW635" i="22"/>
  <c r="AW636" i="22"/>
  <c r="AW637" i="22"/>
  <c r="AW638" i="22"/>
  <c r="AW639" i="22"/>
  <c r="AW640" i="22"/>
  <c r="AX640" i="22" s="1"/>
  <c r="AW641" i="22"/>
  <c r="AW642" i="22"/>
  <c r="AW643" i="22"/>
  <c r="AW644" i="22"/>
  <c r="AW651" i="22"/>
  <c r="H312" i="22"/>
  <c r="H313" i="22"/>
  <c r="H314" i="22"/>
  <c r="H315" i="22"/>
  <c r="H316" i="22"/>
  <c r="H317" i="22"/>
  <c r="H318" i="22"/>
  <c r="H319" i="22"/>
  <c r="H320" i="22"/>
  <c r="H321" i="22"/>
  <c r="H322" i="22"/>
  <c r="H323" i="22"/>
  <c r="H324" i="22"/>
  <c r="H325" i="22"/>
  <c r="H326" i="22"/>
  <c r="H327" i="22"/>
  <c r="H328" i="22"/>
  <c r="H329" i="22"/>
  <c r="H330" i="22"/>
  <c r="H331" i="22"/>
  <c r="H332" i="22"/>
  <c r="H333" i="22"/>
  <c r="H334" i="22"/>
  <c r="H335" i="22"/>
  <c r="H336" i="22"/>
  <c r="H337" i="22"/>
  <c r="H338" i="22"/>
  <c r="H339" i="22"/>
  <c r="H340" i="22"/>
  <c r="H341" i="22"/>
  <c r="H342" i="22"/>
  <c r="H343" i="22"/>
  <c r="H344" i="22"/>
  <c r="H345" i="22"/>
  <c r="H346" i="22"/>
  <c r="H347" i="22"/>
  <c r="H348" i="22"/>
  <c r="H349" i="22"/>
  <c r="H350" i="22"/>
  <c r="H351" i="22"/>
  <c r="H352" i="22"/>
  <c r="H353" i="22"/>
  <c r="H354" i="22"/>
  <c r="H355" i="22"/>
  <c r="H356" i="22"/>
  <c r="H357" i="22"/>
  <c r="H358" i="22"/>
  <c r="H359" i="22"/>
  <c r="H360" i="22"/>
  <c r="H361" i="22"/>
  <c r="H362" i="22"/>
  <c r="H363" i="22"/>
  <c r="H364" i="22"/>
  <c r="H365" i="22"/>
  <c r="H366" i="22"/>
  <c r="H367" i="22"/>
  <c r="H368" i="22"/>
  <c r="H369" i="22"/>
  <c r="H370" i="22"/>
  <c r="H371" i="22"/>
  <c r="H372" i="22"/>
  <c r="H373" i="22"/>
  <c r="H374" i="22"/>
  <c r="H375" i="22"/>
  <c r="H376" i="22"/>
  <c r="H377" i="22"/>
  <c r="H378" i="22"/>
  <c r="H379" i="22"/>
  <c r="H265" i="22"/>
  <c r="H266" i="22"/>
  <c r="H267" i="22"/>
  <c r="H268" i="22"/>
  <c r="H269" i="22"/>
  <c r="H270" i="22"/>
  <c r="H271" i="22"/>
  <c r="H272" i="22"/>
  <c r="H273" i="22"/>
  <c r="H274" i="22"/>
  <c r="H275" i="22"/>
  <c r="H276" i="22"/>
  <c r="H277" i="22"/>
  <c r="H278" i="22"/>
  <c r="H279" i="22"/>
  <c r="H280" i="22"/>
  <c r="H281" i="22"/>
  <c r="H282" i="22"/>
  <c r="H283" i="22"/>
  <c r="H284" i="22"/>
  <c r="H285" i="22"/>
  <c r="H286" i="22"/>
  <c r="H287" i="22"/>
  <c r="H288" i="22"/>
  <c r="H289" i="22"/>
  <c r="H290" i="22"/>
  <c r="H291" i="22"/>
  <c r="H292" i="22"/>
  <c r="H293" i="22"/>
  <c r="H294" i="22"/>
  <c r="H295" i="22"/>
  <c r="H296" i="22"/>
  <c r="H297" i="22"/>
  <c r="H298" i="22"/>
  <c r="H299" i="22"/>
  <c r="H300" i="22"/>
  <c r="H301" i="22"/>
  <c r="H302" i="22"/>
  <c r="H303" i="22"/>
  <c r="H304" i="22"/>
  <c r="H305" i="22"/>
  <c r="H306" i="22"/>
  <c r="H32" i="22"/>
  <c r="H33" i="22"/>
  <c r="H34" i="22"/>
  <c r="H35" i="22"/>
  <c r="H36" i="22"/>
  <c r="H37" i="22"/>
  <c r="H38" i="22"/>
  <c r="H39" i="22"/>
  <c r="H40" i="22"/>
  <c r="H41" i="22"/>
  <c r="H42" i="22"/>
  <c r="H43" i="22"/>
  <c r="H44" i="22"/>
  <c r="H45" i="22"/>
  <c r="H46" i="22"/>
  <c r="H47" i="22"/>
  <c r="H48" i="22"/>
  <c r="H49" i="22"/>
  <c r="H50" i="22"/>
  <c r="H51" i="22"/>
  <c r="H52" i="22"/>
  <c r="H53" i="22"/>
  <c r="H54" i="22"/>
  <c r="H55" i="22"/>
  <c r="H56" i="22"/>
  <c r="H57" i="22"/>
  <c r="H58" i="22"/>
  <c r="H59" i="22"/>
  <c r="H60" i="22"/>
  <c r="H61" i="22"/>
  <c r="H62" i="22"/>
  <c r="H63" i="22"/>
  <c r="H64" i="22"/>
  <c r="H65" i="22"/>
  <c r="H66" i="22"/>
  <c r="H67" i="22"/>
  <c r="H68" i="22"/>
  <c r="H69" i="22"/>
  <c r="H70" i="22"/>
  <c r="H71" i="22"/>
  <c r="H72" i="22"/>
  <c r="H73" i="22"/>
  <c r="H74" i="22"/>
  <c r="H75" i="22"/>
  <c r="H76" i="22"/>
  <c r="H77" i="22"/>
  <c r="H78" i="22"/>
  <c r="H79" i="22"/>
  <c r="H80" i="22"/>
  <c r="H81" i="22"/>
  <c r="H82" i="22"/>
  <c r="H83" i="22"/>
  <c r="H84" i="22"/>
  <c r="H85" i="22"/>
  <c r="H86" i="22"/>
  <c r="H87" i="22"/>
  <c r="H88" i="22"/>
  <c r="H89" i="22"/>
  <c r="H90" i="22"/>
  <c r="H91" i="22"/>
  <c r="H92" i="22"/>
  <c r="H93" i="22"/>
  <c r="H94" i="22"/>
  <c r="H95" i="22"/>
  <c r="H96" i="22"/>
  <c r="H97" i="22"/>
  <c r="H98" i="22"/>
  <c r="H99" i="22"/>
  <c r="H100" i="22"/>
  <c r="H101" i="22"/>
  <c r="H102" i="22"/>
  <c r="H103" i="22"/>
  <c r="H104" i="22"/>
  <c r="H105" i="22"/>
  <c r="H106" i="22"/>
  <c r="H107" i="22"/>
  <c r="H108" i="22"/>
  <c r="H109" i="22"/>
  <c r="H110" i="22"/>
  <c r="H111" i="22"/>
  <c r="H112" i="22"/>
  <c r="H113" i="22"/>
  <c r="H114" i="22"/>
  <c r="H115" i="22"/>
  <c r="H116" i="22"/>
  <c r="H117" i="22"/>
  <c r="H118" i="22"/>
  <c r="H119" i="22"/>
  <c r="H120" i="22"/>
  <c r="H121" i="22"/>
  <c r="H122" i="22"/>
  <c r="H123" i="22"/>
  <c r="H124" i="22"/>
  <c r="H125" i="22"/>
  <c r="H126" i="22"/>
  <c r="H127" i="22"/>
  <c r="H128" i="22"/>
  <c r="H129" i="22"/>
  <c r="H130" i="22"/>
  <c r="H131" i="22"/>
  <c r="H132" i="22"/>
  <c r="H133" i="22"/>
  <c r="H134" i="22"/>
  <c r="H135" i="22"/>
  <c r="H136" i="22"/>
  <c r="H137" i="22"/>
  <c r="H138" i="22"/>
  <c r="H139" i="22"/>
  <c r="H140" i="22"/>
  <c r="H141" i="22"/>
  <c r="H142" i="22"/>
  <c r="H143" i="22"/>
  <c r="H144" i="22"/>
  <c r="H145" i="22"/>
  <c r="H146" i="22"/>
  <c r="H147" i="22"/>
  <c r="H148" i="22"/>
  <c r="H149" i="22"/>
  <c r="H150" i="22"/>
  <c r="H151" i="22"/>
  <c r="H152" i="22"/>
  <c r="H153" i="22"/>
  <c r="H154" i="22"/>
  <c r="H155" i="22"/>
  <c r="H156" i="22"/>
  <c r="H158" i="22"/>
  <c r="H159" i="22"/>
  <c r="H160" i="22"/>
  <c r="H161" i="22"/>
  <c r="H162" i="22"/>
  <c r="H163" i="22"/>
  <c r="H164" i="22"/>
  <c r="H165" i="22"/>
  <c r="H166" i="22"/>
  <c r="H173" i="22"/>
  <c r="R32" i="22"/>
  <c r="R33" i="22"/>
  <c r="R34" i="22"/>
  <c r="R35" i="22"/>
  <c r="R36" i="22"/>
  <c r="R37" i="22"/>
  <c r="R38" i="22"/>
  <c r="R39" i="22"/>
  <c r="R40" i="22"/>
  <c r="R41" i="22"/>
  <c r="R42" i="22"/>
  <c r="R43" i="22"/>
  <c r="R44" i="22"/>
  <c r="R45" i="22"/>
  <c r="R46" i="22"/>
  <c r="R47" i="22"/>
  <c r="R48" i="22"/>
  <c r="R49" i="22"/>
  <c r="R50" i="22"/>
  <c r="R51" i="22"/>
  <c r="R52" i="22"/>
  <c r="R53" i="22"/>
  <c r="R54" i="22"/>
  <c r="R55" i="22"/>
  <c r="R56" i="22"/>
  <c r="R57" i="22"/>
  <c r="R58" i="22"/>
  <c r="R59" i="22"/>
  <c r="R60" i="22"/>
  <c r="R61" i="22"/>
  <c r="R62" i="22"/>
  <c r="R63" i="22"/>
  <c r="R64" i="22"/>
  <c r="R65" i="22"/>
  <c r="R66" i="22"/>
  <c r="R67" i="22"/>
  <c r="R68" i="22"/>
  <c r="R69" i="22"/>
  <c r="R70" i="22"/>
  <c r="R71" i="22"/>
  <c r="R72" i="22"/>
  <c r="R73" i="22"/>
  <c r="R74" i="22"/>
  <c r="R75" i="22"/>
  <c r="R76" i="22"/>
  <c r="R77" i="22"/>
  <c r="R78" i="22"/>
  <c r="R79" i="22"/>
  <c r="R80" i="22"/>
  <c r="R81" i="22"/>
  <c r="R82" i="22"/>
  <c r="R83" i="22"/>
  <c r="R84" i="22"/>
  <c r="R85" i="22"/>
  <c r="R86" i="22"/>
  <c r="R87" i="22"/>
  <c r="R88" i="22"/>
  <c r="R89" i="22"/>
  <c r="R90" i="22"/>
  <c r="R91" i="22"/>
  <c r="R92" i="22"/>
  <c r="R93" i="22"/>
  <c r="R94" i="22"/>
  <c r="R95" i="22"/>
  <c r="R96" i="22"/>
  <c r="R97" i="22"/>
  <c r="R98" i="22"/>
  <c r="R99" i="22"/>
  <c r="R100" i="22"/>
  <c r="R101" i="22"/>
  <c r="R102" i="22"/>
  <c r="R103" i="22"/>
  <c r="R104" i="22"/>
  <c r="R105" i="22"/>
  <c r="R106" i="22"/>
  <c r="R107" i="22"/>
  <c r="R108" i="22"/>
  <c r="R109" i="22"/>
  <c r="R110" i="22"/>
  <c r="R111" i="22"/>
  <c r="R112" i="22"/>
  <c r="R113" i="22"/>
  <c r="R114" i="22"/>
  <c r="R115" i="22"/>
  <c r="R116" i="22"/>
  <c r="R117" i="22"/>
  <c r="R118" i="22"/>
  <c r="R119" i="22"/>
  <c r="R120" i="22"/>
  <c r="R121" i="22"/>
  <c r="R122" i="22"/>
  <c r="R123" i="22"/>
  <c r="R124" i="22"/>
  <c r="R125" i="22"/>
  <c r="R126" i="22"/>
  <c r="R127" i="22"/>
  <c r="R128" i="22"/>
  <c r="R129" i="22"/>
  <c r="R130" i="22"/>
  <c r="R131" i="22"/>
  <c r="R132" i="22"/>
  <c r="R133" i="22"/>
  <c r="R134" i="22"/>
  <c r="R135" i="22"/>
  <c r="R136" i="22"/>
  <c r="R137" i="22"/>
  <c r="R138" i="22"/>
  <c r="R139" i="22"/>
  <c r="R140" i="22"/>
  <c r="R141" i="22"/>
  <c r="R142" i="22"/>
  <c r="R143" i="22"/>
  <c r="R144" i="22"/>
  <c r="R145" i="22"/>
  <c r="R146" i="22"/>
  <c r="R147" i="22"/>
  <c r="R148" i="22"/>
  <c r="R149" i="22"/>
  <c r="R150" i="22"/>
  <c r="R151" i="22"/>
  <c r="R152" i="22"/>
  <c r="R153" i="22"/>
  <c r="R154" i="22"/>
  <c r="R155" i="22"/>
  <c r="R156" i="22"/>
  <c r="R157" i="22"/>
  <c r="R158" i="22"/>
  <c r="R159" i="22"/>
  <c r="R160" i="22"/>
  <c r="R161" i="22"/>
  <c r="R162" i="22"/>
  <c r="R163" i="22"/>
  <c r="R164" i="22"/>
  <c r="R165" i="22"/>
  <c r="R166" i="22"/>
  <c r="R167" i="22"/>
  <c r="R168" i="22"/>
  <c r="R169" i="22"/>
  <c r="R170" i="22"/>
  <c r="R171" i="22"/>
  <c r="R172" i="22"/>
  <c r="R173" i="22"/>
  <c r="R174" i="22"/>
  <c r="R175" i="22"/>
  <c r="R176" i="22"/>
  <c r="R177" i="22"/>
  <c r="R178" i="22"/>
  <c r="R179" i="22"/>
  <c r="R180" i="22"/>
  <c r="R181" i="22"/>
  <c r="R182" i="22"/>
  <c r="R183" i="22"/>
  <c r="R184" i="22"/>
  <c r="R185" i="22"/>
  <c r="R186" i="22"/>
  <c r="R187" i="22"/>
  <c r="R188" i="22"/>
  <c r="R189" i="22"/>
  <c r="R190" i="22"/>
  <c r="R191" i="22"/>
  <c r="R192" i="22"/>
  <c r="R193" i="22"/>
  <c r="R194" i="22"/>
  <c r="R195" i="22"/>
  <c r="R196" i="22"/>
  <c r="R197" i="22"/>
  <c r="R198" i="22"/>
  <c r="R199" i="22"/>
  <c r="R200" i="22"/>
  <c r="R201" i="22"/>
  <c r="R202" i="22"/>
  <c r="R203" i="22"/>
  <c r="R204" i="22"/>
  <c r="R205" i="22"/>
  <c r="R206" i="22"/>
  <c r="R207" i="22"/>
  <c r="R208" i="22"/>
  <c r="R209" i="22"/>
  <c r="R210" i="22"/>
  <c r="R211" i="22"/>
  <c r="R212" i="22"/>
  <c r="R213" i="22"/>
  <c r="R214" i="22"/>
  <c r="R215" i="22"/>
  <c r="R216" i="22"/>
  <c r="R217" i="22"/>
  <c r="R218" i="22"/>
  <c r="R219" i="22"/>
  <c r="R220" i="22"/>
  <c r="R221" i="22"/>
  <c r="R222" i="22"/>
  <c r="R223" i="22"/>
  <c r="R224" i="22"/>
  <c r="R225" i="22"/>
  <c r="R226" i="22"/>
  <c r="R227" i="22"/>
  <c r="R228" i="22"/>
  <c r="R229" i="22"/>
  <c r="R230" i="22"/>
  <c r="R231" i="22"/>
  <c r="R232" i="22"/>
  <c r="R233" i="22"/>
  <c r="R234" i="22"/>
  <c r="R235" i="22"/>
  <c r="R236" i="22"/>
  <c r="R237" i="22"/>
  <c r="R238" i="22"/>
  <c r="R239" i="22"/>
  <c r="R240" i="22"/>
  <c r="R241" i="22"/>
  <c r="R242" i="22"/>
  <c r="R243" i="22"/>
  <c r="R244" i="22"/>
  <c r="R245" i="22"/>
  <c r="R246" i="22"/>
  <c r="R247" i="22"/>
  <c r="R248" i="22"/>
  <c r="R249" i="22"/>
  <c r="R250" i="22"/>
  <c r="R251" i="22"/>
  <c r="R252" i="22"/>
  <c r="R253" i="22"/>
  <c r="R254" i="22"/>
  <c r="R255" i="22"/>
  <c r="R256" i="22"/>
  <c r="R257" i="22"/>
  <c r="R258" i="22"/>
  <c r="R259" i="22"/>
  <c r="R260" i="22"/>
  <c r="R261" i="22"/>
  <c r="R262" i="22"/>
  <c r="R263" i="22"/>
  <c r="R264" i="22"/>
  <c r="R265" i="22"/>
  <c r="R266" i="22"/>
  <c r="R267" i="22"/>
  <c r="R268" i="22"/>
  <c r="R269" i="22"/>
  <c r="R270" i="22"/>
  <c r="R271" i="22"/>
  <c r="R272" i="22"/>
  <c r="R273" i="22"/>
  <c r="R274" i="22"/>
  <c r="R275" i="22"/>
  <c r="R276" i="22"/>
  <c r="R277" i="22"/>
  <c r="R278" i="22"/>
  <c r="R279" i="22"/>
  <c r="R280" i="22"/>
  <c r="R281" i="22"/>
  <c r="R282" i="22"/>
  <c r="R283" i="22"/>
  <c r="R284" i="22"/>
  <c r="R285" i="22"/>
  <c r="R286" i="22"/>
  <c r="R287" i="22"/>
  <c r="R288" i="22"/>
  <c r="R289" i="22"/>
  <c r="R290" i="22"/>
  <c r="R291" i="22"/>
  <c r="R292" i="22"/>
  <c r="R293" i="22"/>
  <c r="R294" i="22"/>
  <c r="R295" i="22"/>
  <c r="R296" i="22"/>
  <c r="R297" i="22"/>
  <c r="R298" i="22"/>
  <c r="R299" i="22"/>
  <c r="R300" i="22"/>
  <c r="R301" i="22"/>
  <c r="R302" i="22"/>
  <c r="R303" i="22"/>
  <c r="R304" i="22"/>
  <c r="R305" i="22"/>
  <c r="R306" i="22"/>
  <c r="R307" i="22"/>
  <c r="R308" i="22"/>
  <c r="R309" i="22"/>
  <c r="R310" i="22"/>
  <c r="R311" i="22"/>
  <c r="R312" i="22"/>
  <c r="R313" i="22"/>
  <c r="R314" i="22"/>
  <c r="R315" i="22"/>
  <c r="R316" i="22"/>
  <c r="R317" i="22"/>
  <c r="R318" i="22"/>
  <c r="R319" i="22"/>
  <c r="R320" i="22"/>
  <c r="R321" i="22"/>
  <c r="R322" i="22"/>
  <c r="R323" i="22"/>
  <c r="R324" i="22"/>
  <c r="R325" i="22"/>
  <c r="R326" i="22"/>
  <c r="R327" i="22"/>
  <c r="R328" i="22"/>
  <c r="R329" i="22"/>
  <c r="R330" i="22"/>
  <c r="R331" i="22"/>
  <c r="R332" i="22"/>
  <c r="R333" i="22"/>
  <c r="R334" i="22"/>
  <c r="R335" i="22"/>
  <c r="R336" i="22"/>
  <c r="R337" i="22"/>
  <c r="R338" i="22"/>
  <c r="R339" i="22"/>
  <c r="R340" i="22"/>
  <c r="R341" i="22"/>
  <c r="R342" i="22"/>
  <c r="R343" i="22"/>
  <c r="R344" i="22"/>
  <c r="R345" i="22"/>
  <c r="R346" i="22"/>
  <c r="R347" i="22"/>
  <c r="R348" i="22"/>
  <c r="R349" i="22"/>
  <c r="R350" i="22"/>
  <c r="R351" i="22"/>
  <c r="R352" i="22"/>
  <c r="R353" i="22"/>
  <c r="R354" i="22"/>
  <c r="R355" i="22"/>
  <c r="R356" i="22"/>
  <c r="R357" i="22"/>
  <c r="R358" i="22"/>
  <c r="R359" i="22"/>
  <c r="R360" i="22"/>
  <c r="R361" i="22"/>
  <c r="R362" i="22"/>
  <c r="R363" i="22"/>
  <c r="R364" i="22"/>
  <c r="R365" i="22"/>
  <c r="R366" i="22"/>
  <c r="R367" i="22"/>
  <c r="R368" i="22"/>
  <c r="R369" i="22"/>
  <c r="R370" i="22"/>
  <c r="R371" i="22"/>
  <c r="R372" i="22"/>
  <c r="R373" i="22"/>
  <c r="R374" i="22"/>
  <c r="R375" i="22"/>
  <c r="R376" i="22"/>
  <c r="R377" i="22"/>
  <c r="R378" i="22"/>
  <c r="R379" i="22"/>
  <c r="R380" i="22"/>
  <c r="R381" i="22"/>
  <c r="R382" i="22"/>
  <c r="R383" i="22"/>
  <c r="R384" i="22"/>
  <c r="R385" i="22"/>
  <c r="R386" i="22"/>
  <c r="R387" i="22"/>
  <c r="R388" i="22"/>
  <c r="R389" i="22"/>
  <c r="R390" i="22"/>
  <c r="R391" i="22"/>
  <c r="R392" i="22"/>
  <c r="R393" i="22"/>
  <c r="R394" i="22"/>
  <c r="R395" i="22"/>
  <c r="R396" i="22"/>
  <c r="R397" i="22"/>
  <c r="R398" i="22"/>
  <c r="R399" i="22"/>
  <c r="R400" i="22"/>
  <c r="R401" i="22"/>
  <c r="R402" i="22"/>
  <c r="R403" i="22"/>
  <c r="R404" i="22"/>
  <c r="R405" i="22"/>
  <c r="R406" i="22"/>
  <c r="R407" i="22"/>
  <c r="R408" i="22"/>
  <c r="R409" i="22"/>
  <c r="R410" i="22"/>
  <c r="R411" i="22"/>
  <c r="R412" i="22"/>
  <c r="R413" i="22"/>
  <c r="R414" i="22"/>
  <c r="R415" i="22"/>
  <c r="R416" i="22"/>
  <c r="R417" i="22"/>
  <c r="R418" i="22"/>
  <c r="R419" i="22"/>
  <c r="R420" i="22"/>
  <c r="R421" i="22"/>
  <c r="R422" i="22"/>
  <c r="R423" i="22"/>
  <c r="R424" i="22"/>
  <c r="R425" i="22"/>
  <c r="R426" i="22"/>
  <c r="R427" i="22"/>
  <c r="R428" i="22"/>
  <c r="R429" i="22"/>
  <c r="R430" i="22"/>
  <c r="R431" i="22"/>
  <c r="R432" i="22"/>
  <c r="R433" i="22"/>
  <c r="R434" i="22"/>
  <c r="R435" i="22"/>
  <c r="R436" i="22"/>
  <c r="R437" i="22"/>
  <c r="R438" i="22"/>
  <c r="R439" i="22"/>
  <c r="R440" i="22"/>
  <c r="R441" i="22"/>
  <c r="R442" i="22"/>
  <c r="R443" i="22"/>
  <c r="R444" i="22"/>
  <c r="R445" i="22"/>
  <c r="R446" i="22"/>
  <c r="R447" i="22"/>
  <c r="R448" i="22"/>
  <c r="R449" i="22"/>
  <c r="R450" i="22"/>
  <c r="R451" i="22"/>
  <c r="R452" i="22"/>
  <c r="R453" i="22"/>
  <c r="R454" i="22"/>
  <c r="R455" i="22"/>
  <c r="R456" i="22"/>
  <c r="R457" i="22"/>
  <c r="R458" i="22"/>
  <c r="R459" i="22"/>
  <c r="R460" i="22"/>
  <c r="R461" i="22"/>
  <c r="R462" i="22"/>
  <c r="R463" i="22"/>
  <c r="R464" i="22"/>
  <c r="R465" i="22"/>
  <c r="R466" i="22"/>
  <c r="R467" i="22"/>
  <c r="R468" i="22"/>
  <c r="R469" i="22"/>
  <c r="R470" i="22"/>
  <c r="R471" i="22"/>
  <c r="R472" i="22"/>
  <c r="R473" i="22"/>
  <c r="R474" i="22"/>
  <c r="R475" i="22"/>
  <c r="R476" i="22"/>
  <c r="R477" i="22"/>
  <c r="R478" i="22"/>
  <c r="R479" i="22"/>
  <c r="R480" i="22"/>
  <c r="R481" i="22"/>
  <c r="R482" i="22"/>
  <c r="R483" i="22"/>
  <c r="R484" i="22"/>
  <c r="R485" i="22"/>
  <c r="R486" i="22"/>
  <c r="R487" i="22"/>
  <c r="R488" i="22"/>
  <c r="R489" i="22"/>
  <c r="R490" i="22"/>
  <c r="R491" i="22"/>
  <c r="R492" i="22"/>
  <c r="R493" i="22"/>
  <c r="R494" i="22"/>
  <c r="R495" i="22"/>
  <c r="R496" i="22"/>
  <c r="R497" i="22"/>
  <c r="R498" i="22"/>
  <c r="R499" i="22"/>
  <c r="R500" i="22"/>
  <c r="R501" i="22"/>
  <c r="R502" i="22"/>
  <c r="R503" i="22"/>
  <c r="R504" i="22"/>
  <c r="R505" i="22"/>
  <c r="R506" i="22"/>
  <c r="R507" i="22"/>
  <c r="R508" i="22"/>
  <c r="R509" i="22"/>
  <c r="R510" i="22"/>
  <c r="R511" i="22"/>
  <c r="R512" i="22"/>
  <c r="R513" i="22"/>
  <c r="R514" i="22"/>
  <c r="R515" i="22"/>
  <c r="R516" i="22"/>
  <c r="R517" i="22"/>
  <c r="R518" i="22"/>
  <c r="R519" i="22"/>
  <c r="R520" i="22"/>
  <c r="R521" i="22"/>
  <c r="R522" i="22"/>
  <c r="R523" i="22"/>
  <c r="R524" i="22"/>
  <c r="R525" i="22"/>
  <c r="R526" i="22"/>
  <c r="R527" i="22"/>
  <c r="R528" i="22"/>
  <c r="R529" i="22"/>
  <c r="R530" i="22"/>
  <c r="R531" i="22"/>
  <c r="R532" i="22"/>
  <c r="R533" i="22"/>
  <c r="R534" i="22"/>
  <c r="R535" i="22"/>
  <c r="R536" i="22"/>
  <c r="R537" i="22"/>
  <c r="R538" i="22"/>
  <c r="R539" i="22"/>
  <c r="R540" i="22"/>
  <c r="R541" i="22"/>
  <c r="R542" i="22"/>
  <c r="R543" i="22"/>
  <c r="R544" i="22"/>
  <c r="R545" i="22"/>
  <c r="R546" i="22"/>
  <c r="R547" i="22"/>
  <c r="R548" i="22"/>
  <c r="R549" i="22"/>
  <c r="R550" i="22"/>
  <c r="R551" i="22"/>
  <c r="R552" i="22"/>
  <c r="R553" i="22"/>
  <c r="R554" i="22"/>
  <c r="R555" i="22"/>
  <c r="R556" i="22"/>
  <c r="R557" i="22"/>
  <c r="R558" i="22"/>
  <c r="R559" i="22"/>
  <c r="R560" i="22"/>
  <c r="R561" i="22"/>
  <c r="R562" i="22"/>
  <c r="R563" i="22"/>
  <c r="R564" i="22"/>
  <c r="R565" i="22"/>
  <c r="R566" i="22"/>
  <c r="R567" i="22"/>
  <c r="R568" i="22"/>
  <c r="R569" i="22"/>
  <c r="R570" i="22"/>
  <c r="R571" i="22"/>
  <c r="R572" i="22"/>
  <c r="R573" i="22"/>
  <c r="R574" i="22"/>
  <c r="R575" i="22"/>
  <c r="R576" i="22"/>
  <c r="R577" i="22"/>
  <c r="R578" i="22"/>
  <c r="R579" i="22"/>
  <c r="R580" i="22"/>
  <c r="R581" i="22"/>
  <c r="R582" i="22"/>
  <c r="R583" i="22"/>
  <c r="R584" i="22"/>
  <c r="R585" i="22"/>
  <c r="R586" i="22"/>
  <c r="R587" i="22"/>
  <c r="R588" i="22"/>
  <c r="R589" i="22"/>
  <c r="R590" i="22"/>
  <c r="R591" i="22"/>
  <c r="R592" i="22"/>
  <c r="R593" i="22"/>
  <c r="R594" i="22"/>
  <c r="R595" i="22"/>
  <c r="R596" i="22"/>
  <c r="R597" i="22"/>
  <c r="R598" i="22"/>
  <c r="R599" i="22"/>
  <c r="R600" i="22"/>
  <c r="R601" i="22"/>
  <c r="R602" i="22"/>
  <c r="R603" i="22"/>
  <c r="R604" i="22"/>
  <c r="R605" i="22"/>
  <c r="R606" i="22"/>
  <c r="R607" i="22"/>
  <c r="R608" i="22"/>
  <c r="R609" i="22"/>
  <c r="R610" i="22"/>
  <c r="R611" i="22"/>
  <c r="R612" i="22"/>
  <c r="R613" i="22"/>
  <c r="R614" i="22"/>
  <c r="R615" i="22"/>
  <c r="R616" i="22"/>
  <c r="R617" i="22"/>
  <c r="R618" i="22"/>
  <c r="R619" i="22"/>
  <c r="R620" i="22"/>
  <c r="R621" i="22"/>
  <c r="R622" i="22"/>
  <c r="R623" i="22"/>
  <c r="R624" i="22"/>
  <c r="R625" i="22"/>
  <c r="R626" i="22"/>
  <c r="R627" i="22"/>
  <c r="R628" i="22"/>
  <c r="R629" i="22"/>
  <c r="R630" i="22"/>
  <c r="R631" i="22"/>
  <c r="R632" i="22"/>
  <c r="R633" i="22"/>
  <c r="R634" i="22"/>
  <c r="R635" i="22"/>
  <c r="R636" i="22"/>
  <c r="R637" i="22"/>
  <c r="R638" i="22"/>
  <c r="R639" i="22"/>
  <c r="R640" i="22"/>
  <c r="R641" i="22"/>
  <c r="R642" i="22"/>
  <c r="R643" i="22"/>
  <c r="R644" i="22"/>
  <c r="R645" i="22"/>
  <c r="R646" i="22"/>
  <c r="R647" i="22"/>
  <c r="R648" i="22"/>
  <c r="R649" i="22"/>
  <c r="R650" i="22"/>
  <c r="R651" i="22"/>
  <c r="R652" i="22"/>
  <c r="R653" i="22"/>
  <c r="R654" i="22"/>
  <c r="R655" i="22"/>
  <c r="R656" i="22"/>
  <c r="R657" i="22"/>
  <c r="R658" i="22"/>
  <c r="R659" i="22"/>
  <c r="R660" i="22"/>
  <c r="R661" i="22"/>
  <c r="R662" i="22"/>
  <c r="R663" i="22"/>
  <c r="R664" i="22"/>
  <c r="R665" i="22"/>
  <c r="R666" i="22"/>
  <c r="R667" i="22"/>
  <c r="R668" i="22"/>
  <c r="R669" i="22"/>
  <c r="R670" i="22"/>
  <c r="R671" i="22"/>
  <c r="R672" i="22"/>
  <c r="R673" i="22"/>
  <c r="R674" i="22"/>
  <c r="R675" i="22"/>
  <c r="R676" i="22"/>
  <c r="R677" i="22"/>
  <c r="R678" i="22"/>
  <c r="R679" i="22"/>
  <c r="R680" i="22"/>
  <c r="R681" i="22"/>
  <c r="R682" i="22"/>
  <c r="R683" i="22"/>
  <c r="R684" i="22"/>
  <c r="R685" i="22"/>
  <c r="R686" i="22"/>
  <c r="R687" i="22"/>
  <c r="R688" i="22"/>
  <c r="R689" i="22"/>
  <c r="R690" i="22"/>
  <c r="R691" i="22"/>
  <c r="R692" i="22"/>
  <c r="R693" i="22"/>
  <c r="R694" i="22"/>
  <c r="R695" i="22"/>
  <c r="R696" i="22"/>
  <c r="R697" i="22"/>
  <c r="R698" i="22"/>
  <c r="R699" i="22"/>
  <c r="R700" i="22"/>
  <c r="R701" i="22"/>
  <c r="R702" i="22"/>
  <c r="R703" i="22"/>
  <c r="R704" i="22"/>
  <c r="R705" i="22"/>
  <c r="R706" i="22"/>
  <c r="R707" i="22"/>
  <c r="R708" i="22"/>
  <c r="R709" i="22"/>
  <c r="R710" i="22"/>
  <c r="R711" i="22"/>
  <c r="R712" i="22"/>
  <c r="R713" i="22"/>
  <c r="R714" i="22"/>
  <c r="R715" i="22"/>
  <c r="R716" i="22"/>
  <c r="R717" i="22"/>
  <c r="R718" i="22"/>
  <c r="R719" i="22"/>
  <c r="R720" i="22"/>
  <c r="R721" i="22"/>
  <c r="R722" i="22"/>
  <c r="R723" i="22"/>
  <c r="R724" i="22"/>
  <c r="R725" i="22"/>
  <c r="R726" i="22"/>
  <c r="R727" i="22"/>
  <c r="R728" i="22"/>
  <c r="R729" i="22"/>
  <c r="R730" i="22"/>
  <c r="R731" i="22"/>
  <c r="R732" i="22"/>
  <c r="R733" i="22"/>
  <c r="R734" i="22"/>
  <c r="R735" i="22"/>
  <c r="R736" i="22"/>
  <c r="R737" i="22"/>
  <c r="R738" i="22"/>
  <c r="R739" i="22"/>
  <c r="R740" i="22"/>
  <c r="R741" i="22"/>
  <c r="R742" i="22"/>
  <c r="R743" i="22"/>
  <c r="R744" i="22"/>
  <c r="R745" i="22"/>
  <c r="R746" i="22"/>
  <c r="R747" i="22"/>
  <c r="R748" i="22"/>
  <c r="R749" i="22"/>
  <c r="R750" i="22"/>
  <c r="R751" i="22"/>
  <c r="R752" i="22"/>
  <c r="R753" i="22"/>
  <c r="R754" i="22"/>
  <c r="R755" i="22"/>
  <c r="R756" i="22"/>
  <c r="R757" i="22"/>
  <c r="R758" i="22"/>
  <c r="R759" i="22"/>
  <c r="R760" i="22"/>
  <c r="R761" i="22"/>
  <c r="R762" i="22"/>
  <c r="R763" i="22"/>
  <c r="R764" i="22"/>
  <c r="R765" i="22"/>
  <c r="R766" i="22"/>
  <c r="R767" i="22"/>
  <c r="R768" i="22"/>
  <c r="R769" i="22"/>
  <c r="R770" i="22"/>
  <c r="R771" i="22"/>
  <c r="R772" i="22"/>
  <c r="R773" i="22"/>
  <c r="R774" i="22"/>
  <c r="R775" i="22"/>
  <c r="R776" i="22"/>
  <c r="R777" i="22"/>
  <c r="R778" i="22"/>
  <c r="R779" i="22"/>
  <c r="R780" i="22"/>
  <c r="R781" i="22"/>
  <c r="R782" i="22"/>
  <c r="R783" i="22"/>
  <c r="R784" i="22"/>
  <c r="R785" i="22"/>
  <c r="R786" i="22"/>
  <c r="R787" i="22"/>
  <c r="R788" i="22"/>
  <c r="R789" i="22"/>
  <c r="R790" i="22"/>
  <c r="R791" i="22"/>
  <c r="R792" i="22"/>
  <c r="R793" i="22"/>
  <c r="R794" i="22"/>
  <c r="R795" i="22"/>
  <c r="R796" i="22"/>
  <c r="R797" i="22"/>
  <c r="R798" i="22"/>
  <c r="R799" i="22"/>
  <c r="R800" i="22"/>
  <c r="R801" i="22"/>
  <c r="R802" i="22"/>
  <c r="R803" i="22"/>
  <c r="R804" i="22"/>
  <c r="R805" i="22"/>
  <c r="R806" i="22"/>
  <c r="R807" i="22"/>
  <c r="R808" i="22"/>
  <c r="R809" i="22"/>
  <c r="R810" i="22"/>
  <c r="R811" i="22"/>
  <c r="R812" i="22"/>
  <c r="R813" i="22"/>
  <c r="R814" i="22"/>
  <c r="R815" i="22"/>
  <c r="R816" i="22"/>
  <c r="R817" i="22"/>
  <c r="R818" i="22"/>
  <c r="R819" i="22"/>
  <c r="R820" i="22"/>
  <c r="R821" i="22"/>
  <c r="R822" i="22"/>
  <c r="R823" i="22"/>
  <c r="R824" i="22"/>
  <c r="R825" i="22"/>
  <c r="R826" i="22"/>
  <c r="R827" i="22"/>
  <c r="R828" i="22"/>
  <c r="R829" i="22"/>
  <c r="R830" i="22"/>
  <c r="R831" i="22"/>
  <c r="R832" i="22"/>
  <c r="R833" i="22"/>
  <c r="R834" i="22"/>
  <c r="R835" i="22"/>
  <c r="R836" i="22"/>
  <c r="R837" i="22"/>
  <c r="R838" i="22"/>
  <c r="R839" i="22"/>
  <c r="R840" i="22"/>
  <c r="R841" i="22"/>
  <c r="R842" i="22"/>
  <c r="R843" i="22"/>
  <c r="R844" i="22"/>
  <c r="R845" i="22"/>
  <c r="R846" i="22"/>
  <c r="R847" i="22"/>
  <c r="R848" i="22"/>
  <c r="R849" i="22"/>
  <c r="R850" i="22"/>
  <c r="R851" i="22"/>
  <c r="R852" i="22"/>
  <c r="R853" i="22"/>
  <c r="R854" i="22"/>
  <c r="R855" i="22"/>
  <c r="R856" i="22"/>
  <c r="R857" i="22"/>
  <c r="R858" i="22"/>
  <c r="R859" i="22"/>
  <c r="R860" i="22"/>
  <c r="R861" i="22"/>
  <c r="R862" i="22"/>
  <c r="R863" i="22"/>
  <c r="R864" i="22"/>
  <c r="R865" i="22"/>
  <c r="R866" i="22"/>
  <c r="R867" i="22"/>
  <c r="R868" i="22"/>
  <c r="R869" i="22"/>
  <c r="R870" i="22"/>
  <c r="R871" i="22"/>
  <c r="R872" i="22"/>
  <c r="R873" i="22"/>
  <c r="R874" i="22"/>
  <c r="R875" i="22"/>
  <c r="R876" i="22"/>
  <c r="R877" i="22"/>
  <c r="R878" i="22"/>
  <c r="R879" i="22"/>
  <c r="R880" i="22"/>
  <c r="R881" i="22"/>
  <c r="R882" i="22"/>
  <c r="R883" i="22"/>
  <c r="R884" i="22"/>
  <c r="R885" i="22"/>
  <c r="R886" i="22"/>
  <c r="R887" i="22"/>
  <c r="R888" i="22"/>
  <c r="R889" i="22"/>
  <c r="R890" i="22"/>
  <c r="R891" i="22"/>
  <c r="R892" i="22"/>
  <c r="R893" i="22"/>
  <c r="R894" i="22"/>
  <c r="R895" i="22"/>
  <c r="R896" i="22"/>
  <c r="R897" i="22"/>
  <c r="R898" i="22"/>
  <c r="R899" i="22"/>
  <c r="R900" i="22"/>
  <c r="R901" i="22"/>
  <c r="R902" i="22"/>
  <c r="R903" i="22"/>
  <c r="R904" i="22"/>
  <c r="R905" i="22"/>
  <c r="R906" i="22"/>
  <c r="R907" i="22"/>
  <c r="R908" i="22"/>
  <c r="R909" i="22"/>
  <c r="R910" i="22"/>
  <c r="R911" i="22"/>
  <c r="R912" i="22"/>
  <c r="R913" i="22"/>
  <c r="R914" i="22"/>
  <c r="R915" i="22"/>
  <c r="R916" i="22"/>
  <c r="R917" i="22"/>
  <c r="R918" i="22"/>
  <c r="R919" i="22"/>
  <c r="R920" i="22"/>
  <c r="R921" i="22"/>
  <c r="R922" i="22"/>
  <c r="R923" i="22"/>
  <c r="R924" i="22"/>
  <c r="R925" i="22"/>
  <c r="R926" i="22"/>
  <c r="R927" i="22"/>
  <c r="R928" i="22"/>
  <c r="R929" i="22"/>
  <c r="R930" i="22"/>
  <c r="R931" i="22"/>
  <c r="R932" i="22"/>
  <c r="R933" i="22"/>
  <c r="R934" i="22"/>
  <c r="R935" i="22"/>
  <c r="R936" i="22"/>
  <c r="R937" i="22"/>
  <c r="R938" i="22"/>
  <c r="R939" i="22"/>
  <c r="R940" i="22"/>
  <c r="R941" i="22"/>
  <c r="R942" i="22"/>
  <c r="R943" i="22"/>
  <c r="R944" i="22"/>
  <c r="R945" i="22"/>
  <c r="R946" i="22"/>
  <c r="R947" i="22"/>
  <c r="R948" i="22"/>
  <c r="R949" i="22"/>
  <c r="R950" i="22"/>
  <c r="R951" i="22"/>
  <c r="R952" i="22"/>
  <c r="R953" i="22"/>
  <c r="R954" i="22"/>
  <c r="R955" i="22"/>
  <c r="R956" i="22"/>
  <c r="R957" i="22"/>
  <c r="R958" i="22"/>
  <c r="R959" i="22"/>
  <c r="R960" i="22"/>
  <c r="R961" i="22"/>
  <c r="R962" i="22"/>
  <c r="R963" i="22"/>
  <c r="R964" i="22"/>
  <c r="R965" i="22"/>
  <c r="R966" i="22"/>
  <c r="R967" i="22"/>
  <c r="R968" i="22"/>
  <c r="R969" i="22"/>
  <c r="R970" i="22"/>
  <c r="R971" i="22"/>
  <c r="R972" i="22"/>
  <c r="R973" i="22"/>
  <c r="R974" i="22"/>
  <c r="R975" i="22"/>
  <c r="R976" i="22"/>
  <c r="R977" i="22"/>
  <c r="R978" i="22"/>
  <c r="R979" i="22"/>
  <c r="R980" i="22"/>
  <c r="R981" i="22"/>
  <c r="R982" i="22"/>
  <c r="R983" i="22"/>
  <c r="R984" i="22"/>
  <c r="R985" i="22"/>
  <c r="R986" i="22"/>
  <c r="R987" i="22"/>
  <c r="R988" i="22"/>
  <c r="R989" i="22"/>
  <c r="R990" i="22"/>
  <c r="R991" i="22"/>
  <c r="R992" i="22"/>
  <c r="R993" i="22"/>
  <c r="R994" i="22"/>
  <c r="R995" i="22"/>
  <c r="R996" i="22"/>
  <c r="R997" i="22"/>
  <c r="R998" i="22"/>
  <c r="R999" i="22"/>
  <c r="R1000" i="22"/>
  <c r="R1001" i="22"/>
  <c r="R1002" i="22"/>
  <c r="R1003" i="22"/>
  <c r="R1004" i="22"/>
  <c r="R1005" i="22"/>
  <c r="R1006" i="22"/>
  <c r="R1007" i="22"/>
  <c r="R1008" i="22"/>
  <c r="R1009" i="22"/>
  <c r="R1010" i="22"/>
  <c r="R1011" i="22"/>
  <c r="R1012" i="22"/>
  <c r="R1013" i="22"/>
  <c r="R1014" i="22"/>
  <c r="R1015" i="22"/>
  <c r="R1016" i="22"/>
  <c r="R1017" i="22"/>
  <c r="R1018" i="22"/>
  <c r="R1019" i="22"/>
  <c r="R1020" i="22"/>
  <c r="R1021" i="22"/>
  <c r="R1022" i="22"/>
  <c r="R1023" i="22"/>
  <c r="R1024" i="22"/>
  <c r="R1025" i="22"/>
  <c r="R1026" i="22"/>
  <c r="R1027" i="22"/>
  <c r="R1028" i="22"/>
  <c r="R1029" i="22"/>
  <c r="R1030" i="22"/>
  <c r="R1031" i="22"/>
  <c r="R1032" i="22"/>
  <c r="R1033" i="22"/>
  <c r="R1034" i="22"/>
  <c r="R1035" i="22"/>
  <c r="R1036" i="22"/>
  <c r="R1037" i="22"/>
  <c r="R1038" i="22"/>
  <c r="R1039" i="22"/>
  <c r="R1040" i="22"/>
  <c r="R1041" i="22"/>
  <c r="R1042" i="22"/>
  <c r="R1043" i="22"/>
  <c r="R1044" i="22"/>
  <c r="R1045" i="22"/>
  <c r="R1046" i="22"/>
  <c r="R1047" i="22"/>
  <c r="R1048" i="22"/>
  <c r="R1049" i="22"/>
  <c r="R1050" i="22"/>
  <c r="R1051" i="22"/>
  <c r="R1052" i="22"/>
  <c r="R1053" i="22"/>
  <c r="R1054" i="22"/>
  <c r="R1055" i="22"/>
  <c r="R1056" i="22"/>
  <c r="R1057" i="22"/>
  <c r="R1058" i="22"/>
  <c r="R1059" i="22"/>
  <c r="R1060" i="22"/>
  <c r="R1061" i="22"/>
  <c r="R1062" i="22"/>
  <c r="R1063" i="22"/>
  <c r="R1064" i="22"/>
  <c r="R1065" i="22"/>
  <c r="R1066" i="22"/>
  <c r="R1067" i="22"/>
  <c r="R1068" i="22"/>
  <c r="R1069" i="22"/>
  <c r="R1070" i="22"/>
  <c r="R1071" i="22"/>
  <c r="R1072" i="22"/>
  <c r="R1073" i="22"/>
  <c r="R1074" i="22"/>
  <c r="R1075" i="22"/>
  <c r="R1076" i="22"/>
  <c r="R1077" i="22"/>
  <c r="R1078" i="22"/>
  <c r="R1079" i="22"/>
  <c r="R1080" i="22"/>
  <c r="R1081" i="22"/>
  <c r="R1082" i="22"/>
  <c r="R1083" i="22"/>
  <c r="R1084" i="22"/>
  <c r="R1085" i="22"/>
  <c r="R1086" i="22"/>
  <c r="R1087" i="22"/>
  <c r="R1088" i="22"/>
  <c r="R1089" i="22"/>
  <c r="R1090" i="22"/>
  <c r="R1091" i="22"/>
  <c r="R1092" i="22"/>
  <c r="R1093" i="22"/>
  <c r="R1094" i="22"/>
  <c r="R1095" i="22"/>
  <c r="R1096" i="22"/>
  <c r="R1097" i="22"/>
  <c r="R1098" i="22"/>
  <c r="R1099" i="22"/>
  <c r="R1100" i="22"/>
  <c r="R1101" i="22"/>
  <c r="R1102" i="22"/>
  <c r="R1103" i="22"/>
  <c r="R1104" i="22"/>
  <c r="R1105" i="22"/>
  <c r="R1106" i="22"/>
  <c r="R1107" i="22"/>
  <c r="R1108" i="22"/>
  <c r="R1109" i="22"/>
  <c r="R1110" i="22"/>
  <c r="R1111" i="22"/>
  <c r="R1112" i="22"/>
  <c r="R1113" i="22"/>
  <c r="R1114" i="22"/>
  <c r="R1115" i="22"/>
  <c r="R1116" i="22"/>
  <c r="R1117" i="22"/>
  <c r="R1118" i="22"/>
  <c r="R1119" i="22"/>
  <c r="R1120" i="22"/>
  <c r="R1121" i="22"/>
  <c r="R1122" i="22"/>
  <c r="R1123" i="22"/>
  <c r="R1124" i="22"/>
  <c r="R1125" i="22"/>
  <c r="R1126" i="22"/>
  <c r="R1127" i="22"/>
  <c r="R1128" i="22"/>
  <c r="R1129" i="22"/>
  <c r="R1130" i="22"/>
  <c r="R1131" i="22"/>
  <c r="R1132" i="22"/>
  <c r="R1133" i="22"/>
  <c r="R1134" i="22"/>
  <c r="R1135" i="22"/>
  <c r="R1136" i="22"/>
  <c r="R1137" i="22"/>
  <c r="R1138" i="22"/>
  <c r="R1139" i="22"/>
  <c r="R1140" i="22"/>
  <c r="R1141" i="22"/>
  <c r="R1142" i="22"/>
  <c r="R1143" i="22"/>
  <c r="R1144" i="22"/>
  <c r="R1145" i="22"/>
  <c r="R1146" i="22"/>
  <c r="R1147" i="22"/>
  <c r="R1148" i="22"/>
  <c r="R1149" i="22"/>
  <c r="R1150" i="22"/>
  <c r="R1151" i="22"/>
  <c r="R1152" i="22"/>
  <c r="R1153" i="22"/>
  <c r="R1154" i="22"/>
  <c r="R1155" i="22"/>
  <c r="R1156" i="22"/>
  <c r="R1157" i="22"/>
  <c r="R1158" i="22"/>
  <c r="R1159" i="22"/>
  <c r="R1160" i="22"/>
  <c r="R1161" i="22"/>
  <c r="R1162" i="22"/>
  <c r="R1163" i="22"/>
  <c r="R1164" i="22"/>
  <c r="R1165" i="22"/>
  <c r="R1166" i="22"/>
  <c r="R1167" i="22"/>
  <c r="R1168" i="22"/>
  <c r="R1169" i="22"/>
  <c r="R1170" i="22"/>
  <c r="R1171" i="22"/>
  <c r="R1172" i="22"/>
  <c r="R1173" i="22"/>
  <c r="R1174" i="22"/>
  <c r="R1175" i="22"/>
  <c r="R1176" i="22"/>
  <c r="R1177" i="22"/>
  <c r="R1178" i="22"/>
  <c r="R1179" i="22"/>
  <c r="R1180" i="22"/>
  <c r="R1181" i="22"/>
  <c r="R1182" i="22"/>
  <c r="R1183" i="22"/>
  <c r="R1184" i="22"/>
  <c r="R1185" i="22"/>
  <c r="R1186" i="22"/>
  <c r="R1187" i="22"/>
  <c r="R1188" i="22"/>
  <c r="R1189" i="22"/>
  <c r="R1190" i="22"/>
  <c r="R1191" i="22"/>
  <c r="R1192" i="22"/>
  <c r="R1193" i="22"/>
  <c r="R1194" i="22"/>
  <c r="R1195" i="22"/>
  <c r="R1196" i="22"/>
  <c r="R1197" i="22"/>
  <c r="R1198" i="22"/>
  <c r="R1199" i="22"/>
  <c r="R1200" i="22"/>
  <c r="R1201" i="22"/>
  <c r="R1202" i="22"/>
  <c r="R1203" i="22"/>
  <c r="R1204" i="22"/>
  <c r="R1205" i="22"/>
  <c r="R1206" i="22"/>
  <c r="R1207" i="22"/>
  <c r="R1208" i="22"/>
  <c r="R1209" i="22"/>
  <c r="R1210" i="22"/>
  <c r="R1211" i="22"/>
  <c r="R1212" i="22"/>
  <c r="R1213" i="22"/>
  <c r="R1214" i="22"/>
  <c r="R1215" i="22"/>
  <c r="R1216" i="22"/>
  <c r="R1217" i="22"/>
  <c r="R1218" i="22"/>
  <c r="R1219" i="22"/>
  <c r="R1220" i="22"/>
  <c r="R1221" i="22"/>
  <c r="R1222" i="22"/>
  <c r="R1223" i="22"/>
  <c r="R1224" i="22"/>
  <c r="R1225" i="22"/>
  <c r="R1226" i="22"/>
  <c r="R1227" i="22"/>
  <c r="R1228" i="22"/>
  <c r="R1229" i="22"/>
  <c r="R1230" i="22"/>
  <c r="R1231" i="22"/>
  <c r="R1232" i="22"/>
  <c r="R1233" i="22"/>
  <c r="R1234" i="22"/>
  <c r="R1235" i="22"/>
  <c r="R1236" i="22"/>
  <c r="R1237" i="22"/>
  <c r="R1238" i="22"/>
  <c r="R1239" i="22"/>
  <c r="R1240" i="22"/>
  <c r="R1241" i="22"/>
  <c r="R1242" i="22"/>
  <c r="R1243" i="22"/>
  <c r="R1244" i="22"/>
  <c r="R1245" i="22"/>
  <c r="R1246" i="22"/>
  <c r="R1247" i="22"/>
  <c r="R1248" i="22"/>
  <c r="R1249" i="22"/>
  <c r="R1250" i="22"/>
  <c r="R1251" i="22"/>
  <c r="R1252" i="22"/>
  <c r="R1253" i="22"/>
  <c r="R1254" i="22"/>
  <c r="R1255" i="22"/>
  <c r="R1256" i="22"/>
  <c r="R1257" i="22"/>
  <c r="R1258" i="22"/>
  <c r="R1259" i="22"/>
  <c r="R1260" i="22"/>
  <c r="R1261" i="22"/>
  <c r="R1262" i="22"/>
  <c r="R1263" i="22"/>
  <c r="R1264" i="22"/>
  <c r="R1265" i="22"/>
  <c r="R1266" i="22"/>
  <c r="R1267" i="22"/>
  <c r="R1268" i="22"/>
  <c r="R1269" i="22"/>
  <c r="R1270" i="22"/>
  <c r="R1271" i="22"/>
  <c r="R1272" i="22"/>
  <c r="R1273" i="22"/>
  <c r="R1274" i="22"/>
  <c r="R1275" i="22"/>
  <c r="R1276" i="22"/>
  <c r="R1277" i="22"/>
  <c r="R1278" i="22"/>
  <c r="R1279" i="22"/>
  <c r="R1280" i="22"/>
  <c r="R1281" i="22"/>
  <c r="R1282" i="22"/>
  <c r="R1283" i="22"/>
  <c r="R1284" i="22"/>
  <c r="R1285" i="22"/>
  <c r="R1286" i="22"/>
  <c r="R1287" i="22"/>
  <c r="R1288" i="22"/>
  <c r="R1289" i="22"/>
  <c r="R1290" i="22"/>
  <c r="R1291" i="22"/>
  <c r="R1292" i="22"/>
  <c r="R1293" i="22"/>
  <c r="R1294" i="22"/>
  <c r="R1295" i="22"/>
  <c r="R1296" i="22"/>
  <c r="R1297" i="22"/>
  <c r="R1298" i="22"/>
  <c r="R1299" i="22"/>
  <c r="R1300" i="22"/>
  <c r="R1301" i="22"/>
  <c r="R1302" i="22"/>
  <c r="R1303" i="22"/>
  <c r="R1304" i="22"/>
  <c r="R1305" i="22"/>
  <c r="R1306" i="22"/>
  <c r="R1307" i="22"/>
  <c r="R1308" i="22"/>
  <c r="R1309" i="22"/>
  <c r="R1310" i="22"/>
  <c r="R1311" i="22"/>
  <c r="R1312" i="22"/>
  <c r="R1313" i="22"/>
  <c r="R1314" i="22"/>
  <c r="R1315" i="22"/>
  <c r="R1316" i="22"/>
  <c r="R1317" i="22"/>
  <c r="R1318" i="22"/>
  <c r="R1319" i="22"/>
  <c r="R1320" i="22"/>
  <c r="R1321" i="22"/>
  <c r="R1322" i="22"/>
  <c r="R1323" i="22"/>
  <c r="R1324" i="22"/>
  <c r="R1325" i="22"/>
  <c r="R1326" i="22"/>
  <c r="R1327" i="22"/>
  <c r="R1328" i="22"/>
  <c r="R1329" i="22"/>
  <c r="R1330" i="22"/>
  <c r="R1331" i="22"/>
  <c r="R1332" i="22"/>
  <c r="R1333" i="22"/>
  <c r="R1334" i="22"/>
  <c r="R1335" i="22"/>
  <c r="R1336" i="22"/>
  <c r="R1337" i="22"/>
  <c r="R1338" i="22"/>
  <c r="R1339" i="22"/>
  <c r="R1340" i="22"/>
  <c r="R1341" i="22"/>
  <c r="R1342" i="22"/>
  <c r="R1343" i="22"/>
  <c r="R1344" i="22"/>
  <c r="R1345" i="22"/>
  <c r="R1346" i="22"/>
  <c r="R1347" i="22"/>
  <c r="R1348" i="22"/>
  <c r="R1349" i="22"/>
  <c r="R1350" i="22"/>
  <c r="R1351" i="22"/>
  <c r="R1352" i="22"/>
  <c r="R1353" i="22"/>
  <c r="R1354" i="22"/>
  <c r="R1355" i="22"/>
  <c r="R1356" i="22"/>
  <c r="R1357" i="22"/>
  <c r="R1358" i="22"/>
  <c r="R1359" i="22"/>
  <c r="R1360" i="22"/>
  <c r="R1361" i="22"/>
  <c r="R1362" i="22"/>
  <c r="R1363" i="22"/>
  <c r="R1364" i="22"/>
  <c r="R1365" i="22"/>
  <c r="R1366" i="22"/>
  <c r="R1367" i="22"/>
  <c r="R1368" i="22"/>
  <c r="R1369" i="22"/>
  <c r="R1370" i="22"/>
  <c r="R1371" i="22"/>
  <c r="R1372" i="22"/>
  <c r="R1373" i="22"/>
  <c r="R1374" i="22"/>
  <c r="R1375" i="22"/>
  <c r="R1376" i="22"/>
  <c r="R1377" i="22"/>
  <c r="R1378" i="22"/>
  <c r="R1379" i="22"/>
  <c r="R1380" i="22"/>
  <c r="R1381" i="22"/>
  <c r="R1382" i="22"/>
  <c r="R1383" i="22"/>
  <c r="R1384" i="22"/>
  <c r="R1385" i="22"/>
  <c r="R1386" i="22"/>
  <c r="R1387" i="22"/>
  <c r="R1388" i="22"/>
  <c r="R1389" i="22"/>
  <c r="R1390" i="22"/>
  <c r="R1391" i="22"/>
  <c r="R1392" i="22"/>
  <c r="R1393" i="22"/>
  <c r="R1394" i="22"/>
  <c r="R1395" i="22"/>
  <c r="R1396" i="22"/>
  <c r="R1397" i="22"/>
  <c r="R1398" i="22"/>
  <c r="R1399" i="22"/>
  <c r="R1400" i="22"/>
  <c r="R1401" i="22"/>
  <c r="R1402" i="22"/>
  <c r="R1403" i="22"/>
  <c r="R1404" i="22"/>
  <c r="R1405" i="22"/>
  <c r="R1406" i="22"/>
  <c r="R1407" i="22"/>
  <c r="R1408" i="22"/>
  <c r="R1409" i="22"/>
  <c r="R1410" i="22"/>
  <c r="R1411" i="22"/>
  <c r="R1412" i="22"/>
  <c r="R1413" i="22"/>
  <c r="R1414" i="22"/>
  <c r="R1415" i="22"/>
  <c r="R1416" i="22"/>
  <c r="R1417" i="22"/>
  <c r="R1418" i="22"/>
  <c r="R1419" i="22"/>
  <c r="R1420" i="22"/>
  <c r="R1421" i="22"/>
  <c r="R1422" i="22"/>
  <c r="R1423" i="22"/>
  <c r="R1424" i="22"/>
  <c r="R1425" i="22"/>
  <c r="R1426" i="22"/>
  <c r="R1427" i="22"/>
  <c r="R1428" i="22"/>
  <c r="R1429" i="22"/>
  <c r="R1430" i="22"/>
  <c r="R1431" i="22"/>
  <c r="R1432" i="22"/>
  <c r="R1433" i="22"/>
  <c r="R1434" i="22"/>
  <c r="R1435" i="22"/>
  <c r="R1436" i="22"/>
  <c r="R1437" i="22"/>
  <c r="R1438" i="22"/>
  <c r="R1439" i="22"/>
  <c r="R1440" i="22"/>
  <c r="R1441" i="22"/>
  <c r="R1442" i="22"/>
  <c r="R1443" i="22"/>
  <c r="R1444" i="22"/>
  <c r="R1445" i="22"/>
  <c r="R1446" i="22"/>
  <c r="R1447" i="22"/>
  <c r="R1448" i="22"/>
  <c r="R1449" i="22"/>
  <c r="R1450" i="22"/>
  <c r="R1451" i="22"/>
  <c r="R1452" i="22"/>
  <c r="R1453" i="22"/>
  <c r="R1454" i="22"/>
  <c r="R1455" i="22"/>
  <c r="R1456" i="22"/>
  <c r="R1457" i="22"/>
  <c r="R1458" i="22"/>
  <c r="R1459" i="22"/>
  <c r="R1460" i="22"/>
  <c r="R1461" i="22"/>
  <c r="R1462" i="22"/>
  <c r="R1463" i="22"/>
  <c r="R1464" i="22"/>
  <c r="R1465" i="22"/>
  <c r="R1466" i="22"/>
  <c r="R1467" i="22"/>
  <c r="R1468" i="22"/>
  <c r="R1469" i="22"/>
  <c r="R1470" i="22"/>
  <c r="R1471" i="22"/>
  <c r="R1472" i="22"/>
  <c r="R1473" i="22"/>
  <c r="R1474" i="22"/>
  <c r="R1475" i="22"/>
  <c r="R1476" i="22"/>
  <c r="R1477" i="22"/>
  <c r="R1478" i="22"/>
  <c r="R1479" i="22"/>
  <c r="R1480" i="22"/>
  <c r="R1481" i="22"/>
  <c r="R1482" i="22"/>
  <c r="R1483" i="22"/>
  <c r="R1484" i="22"/>
  <c r="R1485" i="22"/>
  <c r="R1486" i="22"/>
  <c r="R1487" i="22"/>
  <c r="R1488" i="22"/>
  <c r="R1489" i="22"/>
  <c r="R1490" i="22"/>
  <c r="R1491" i="22"/>
  <c r="R1492" i="22"/>
  <c r="R1493" i="22"/>
  <c r="R1494" i="22"/>
  <c r="R1495" i="22"/>
  <c r="R1496" i="22"/>
  <c r="R1497" i="22"/>
  <c r="R1498" i="22"/>
  <c r="R1499" i="22"/>
  <c r="R1500" i="22"/>
  <c r="R1501" i="22"/>
  <c r="R1502" i="22"/>
  <c r="R1503" i="22"/>
  <c r="R1504" i="22"/>
  <c r="R1505" i="22"/>
  <c r="R1506" i="22"/>
  <c r="R1507" i="22"/>
  <c r="R1508" i="22"/>
  <c r="R1509" i="22"/>
  <c r="R1510" i="22"/>
  <c r="R1511" i="22"/>
  <c r="R1512" i="22"/>
  <c r="R1513" i="22"/>
  <c r="R1514" i="22"/>
  <c r="R1515" i="22"/>
  <c r="R1516" i="22"/>
  <c r="R1517" i="22"/>
  <c r="R1518" i="22"/>
  <c r="R1519" i="22"/>
  <c r="R1520" i="22"/>
  <c r="R1521" i="22"/>
  <c r="R1522" i="22"/>
  <c r="R1523" i="22"/>
  <c r="R1524" i="22"/>
  <c r="R1525" i="22"/>
  <c r="R1526" i="22"/>
  <c r="R1527" i="22"/>
  <c r="R1528" i="22"/>
  <c r="R1529" i="22"/>
  <c r="R1530" i="22"/>
  <c r="R1531" i="22"/>
  <c r="R1532" i="22"/>
  <c r="R1533" i="22"/>
  <c r="R1534" i="22"/>
  <c r="R1535" i="22"/>
  <c r="R1536" i="22"/>
  <c r="R1537" i="22"/>
  <c r="R1538" i="22"/>
  <c r="R1539" i="22"/>
  <c r="R1540" i="22"/>
  <c r="R1541" i="22"/>
  <c r="R1542" i="22"/>
  <c r="R1543" i="22"/>
  <c r="R1544" i="22"/>
  <c r="R1545" i="22"/>
  <c r="R1546" i="22"/>
  <c r="R1547" i="22"/>
  <c r="R1548" i="22"/>
  <c r="R1549" i="22"/>
  <c r="R1550" i="22"/>
  <c r="R1551" i="22"/>
  <c r="R1552" i="22"/>
  <c r="R1553" i="22"/>
  <c r="R1554" i="22"/>
  <c r="R1555" i="22"/>
  <c r="R1556" i="22"/>
  <c r="R1557" i="22"/>
  <c r="R1558" i="22"/>
  <c r="R1559" i="22"/>
  <c r="R1560" i="22"/>
  <c r="R1561" i="22"/>
  <c r="R1562" i="22"/>
  <c r="R1563" i="22"/>
  <c r="R1564" i="22"/>
  <c r="R1565" i="22"/>
  <c r="R1566" i="22"/>
  <c r="R1567" i="22"/>
  <c r="R1568" i="22"/>
  <c r="R1569" i="22"/>
  <c r="R1570" i="22"/>
  <c r="R1571" i="22"/>
  <c r="R1572" i="22"/>
  <c r="R1573" i="22"/>
  <c r="R1574" i="22"/>
  <c r="R1575" i="22"/>
  <c r="R1576" i="22"/>
  <c r="R1577" i="22"/>
  <c r="R1578" i="22"/>
  <c r="R1579" i="22"/>
  <c r="R1580" i="22"/>
  <c r="R1581" i="22"/>
  <c r="R1582" i="22"/>
  <c r="R1583" i="22"/>
  <c r="R1584" i="22"/>
  <c r="R1585" i="22"/>
  <c r="R1586" i="22"/>
  <c r="R1587" i="22"/>
  <c r="R1588" i="22"/>
  <c r="R1589" i="22"/>
  <c r="R1590" i="22"/>
  <c r="R1591" i="22"/>
  <c r="R1592" i="22"/>
  <c r="R1593" i="22"/>
  <c r="R1594" i="22"/>
  <c r="R1595" i="22"/>
  <c r="R1596" i="22"/>
  <c r="R1597" i="22"/>
  <c r="R1598" i="22"/>
  <c r="R1599" i="22"/>
  <c r="R1600" i="22"/>
  <c r="R1601" i="22"/>
  <c r="R1602" i="22"/>
  <c r="R1603" i="22"/>
  <c r="R1604" i="22"/>
  <c r="R1605" i="22"/>
  <c r="R1606" i="22"/>
  <c r="R1607" i="22"/>
  <c r="R1608" i="22"/>
  <c r="R1609" i="22"/>
  <c r="R1610" i="22"/>
  <c r="R1611" i="22"/>
  <c r="R1612" i="22"/>
  <c r="R1613" i="22"/>
  <c r="R1614" i="22"/>
  <c r="R1615" i="22"/>
  <c r="R1616" i="22"/>
  <c r="R1617" i="22"/>
  <c r="R1618" i="22"/>
  <c r="R1619" i="22"/>
  <c r="R1620" i="22"/>
  <c r="R1621" i="22"/>
  <c r="R1622" i="22"/>
  <c r="R1623" i="22"/>
  <c r="R1624" i="22"/>
  <c r="R1625" i="22"/>
  <c r="R1626" i="22"/>
  <c r="R1627" i="22"/>
  <c r="R1628" i="22"/>
  <c r="R1629" i="22"/>
  <c r="R1630" i="22"/>
  <c r="R1631" i="22"/>
  <c r="R1632" i="22"/>
  <c r="R1633" i="22"/>
  <c r="R1634" i="22"/>
  <c r="R1635" i="22"/>
  <c r="R1636" i="22"/>
  <c r="R1637" i="22"/>
  <c r="R1638" i="22"/>
  <c r="R1639" i="22"/>
  <c r="R1640" i="22"/>
  <c r="R1641" i="22"/>
  <c r="R1642" i="22"/>
  <c r="R1643" i="22"/>
  <c r="R1644" i="22"/>
  <c r="R1645" i="22"/>
  <c r="R1646" i="22"/>
  <c r="R1647" i="22"/>
  <c r="R1648" i="22"/>
  <c r="R1649" i="22"/>
  <c r="R1650" i="22"/>
  <c r="R1651" i="22"/>
  <c r="R1652" i="22"/>
  <c r="R1653" i="22"/>
  <c r="R1654" i="22"/>
  <c r="R1655" i="22"/>
  <c r="R1656" i="22"/>
  <c r="R1657" i="22"/>
  <c r="R1658" i="22"/>
  <c r="R1659" i="22"/>
  <c r="R1660" i="22"/>
  <c r="R1661" i="22"/>
  <c r="R1662" i="22"/>
  <c r="R1663" i="22"/>
  <c r="R1664" i="22"/>
  <c r="R1665" i="22"/>
  <c r="R1666" i="22"/>
  <c r="R1667" i="22"/>
  <c r="R1668" i="22"/>
  <c r="R1669" i="22"/>
  <c r="R1670" i="22"/>
  <c r="R1671" i="22"/>
  <c r="R1672" i="22"/>
  <c r="R1673" i="22"/>
  <c r="R1674" i="22"/>
  <c r="R1675" i="22"/>
  <c r="R1676" i="22"/>
  <c r="R1677" i="22"/>
  <c r="R1678" i="22"/>
  <c r="R1679" i="22"/>
  <c r="R1680" i="22"/>
  <c r="R1681" i="22"/>
  <c r="R1682" i="22"/>
  <c r="R1683" i="22"/>
  <c r="R1684" i="22"/>
  <c r="R1685" i="22"/>
  <c r="R1686" i="22"/>
  <c r="R1687" i="22"/>
  <c r="R1688" i="22"/>
  <c r="R1689" i="22"/>
  <c r="R1690" i="22"/>
  <c r="R1691" i="22"/>
  <c r="R1692" i="22"/>
  <c r="R1693" i="22"/>
  <c r="R1694" i="22"/>
  <c r="R1695" i="22"/>
  <c r="R1696" i="22"/>
  <c r="R1697" i="22"/>
  <c r="R1698" i="22"/>
  <c r="R1699" i="22"/>
  <c r="R1700" i="22"/>
  <c r="R1701" i="22"/>
  <c r="R1702" i="22"/>
  <c r="R1703" i="22"/>
  <c r="R1704" i="22"/>
  <c r="R1705" i="22"/>
  <c r="R1706" i="22"/>
  <c r="R1707" i="22"/>
  <c r="R1708" i="22"/>
  <c r="R1709" i="22"/>
  <c r="R1710" i="22"/>
  <c r="R1711" i="22"/>
  <c r="R1712" i="22"/>
  <c r="R1713" i="22"/>
  <c r="R1714" i="22"/>
  <c r="R1715" i="22"/>
  <c r="R1716" i="22"/>
  <c r="R1717" i="22"/>
  <c r="R1718" i="22"/>
  <c r="R1719" i="22"/>
  <c r="R1720" i="22"/>
  <c r="R1721" i="22"/>
  <c r="R1722" i="22"/>
  <c r="R1723" i="22"/>
  <c r="R1724" i="22"/>
  <c r="R1725" i="22"/>
  <c r="R1726" i="22"/>
  <c r="R1727" i="22"/>
  <c r="R1728" i="22"/>
  <c r="R1729" i="22"/>
  <c r="R1730" i="22"/>
  <c r="R1731" i="22"/>
  <c r="R1732" i="22"/>
  <c r="R1733" i="22"/>
  <c r="R1734" i="22"/>
  <c r="R1735" i="22"/>
  <c r="R1736" i="22"/>
  <c r="R1737" i="22"/>
  <c r="R1738" i="22"/>
  <c r="R1739" i="22"/>
  <c r="R1740" i="22"/>
  <c r="R1741" i="22"/>
  <c r="R1742" i="22"/>
  <c r="R1743" i="22"/>
  <c r="R1744" i="22"/>
  <c r="R1745" i="22"/>
  <c r="R1746" i="22"/>
  <c r="R1747" i="22"/>
  <c r="R1748" i="22"/>
  <c r="R1749" i="22"/>
  <c r="R1750" i="22"/>
  <c r="R1751" i="22"/>
  <c r="R1752" i="22"/>
  <c r="R1753" i="22"/>
  <c r="R1754" i="22"/>
  <c r="R1755" i="22"/>
  <c r="R1756" i="22"/>
  <c r="R1757" i="22"/>
  <c r="R1758" i="22"/>
  <c r="R1759" i="22"/>
  <c r="R1760" i="22"/>
  <c r="R1761" i="22"/>
  <c r="R1762" i="22"/>
  <c r="R1763" i="22"/>
  <c r="R1764" i="22"/>
  <c r="R1765" i="22"/>
  <c r="R1766" i="22"/>
  <c r="R1767" i="22"/>
  <c r="R1768" i="22"/>
  <c r="R1769" i="22"/>
  <c r="R1770" i="22"/>
  <c r="R1771" i="22"/>
  <c r="R1772" i="22"/>
  <c r="R1773" i="22"/>
  <c r="R1774" i="22"/>
  <c r="R1775" i="22"/>
  <c r="R1776" i="22"/>
  <c r="R1777" i="22"/>
  <c r="R1778" i="22"/>
  <c r="R1779" i="22"/>
  <c r="R1780" i="22"/>
  <c r="R1781" i="22"/>
  <c r="R1782" i="22"/>
  <c r="R1783" i="22"/>
  <c r="R1784" i="22"/>
  <c r="R1785" i="22"/>
  <c r="R1786" i="22"/>
  <c r="R1787" i="22"/>
  <c r="R1788" i="22"/>
  <c r="R1789" i="22"/>
  <c r="R1790" i="22"/>
  <c r="R1791" i="22"/>
  <c r="R1792" i="22"/>
  <c r="R1793" i="22"/>
  <c r="R1794" i="22"/>
  <c r="R1795" i="22"/>
  <c r="R1796" i="22"/>
  <c r="R1797" i="22"/>
  <c r="R1798" i="22"/>
  <c r="R1799" i="22"/>
  <c r="R1800" i="22"/>
  <c r="R1801" i="22"/>
  <c r="R1802" i="22"/>
  <c r="R1803" i="22"/>
  <c r="R1804" i="22"/>
  <c r="R1805" i="22"/>
  <c r="R1806" i="22"/>
  <c r="R1807" i="22"/>
  <c r="R1808" i="22"/>
  <c r="R1809" i="22"/>
  <c r="R1810" i="22"/>
  <c r="R1811" i="22"/>
  <c r="R1812" i="22"/>
  <c r="R1813" i="22"/>
  <c r="R1814" i="22"/>
  <c r="R1815" i="22"/>
  <c r="R1816" i="22"/>
  <c r="R1817" i="22"/>
  <c r="R1818" i="22"/>
  <c r="R1819" i="22"/>
  <c r="R1820" i="22"/>
  <c r="R1821" i="22"/>
  <c r="R1822" i="22"/>
  <c r="R1823" i="22"/>
  <c r="R1824" i="22"/>
  <c r="R1825" i="22"/>
  <c r="R1826" i="22"/>
  <c r="R1827" i="22"/>
  <c r="R1828" i="22"/>
  <c r="R1829" i="22"/>
  <c r="R1830" i="22"/>
  <c r="R1831" i="22"/>
  <c r="R1832" i="22"/>
  <c r="R1833" i="22"/>
  <c r="R1834" i="22"/>
  <c r="R1835" i="22"/>
  <c r="R1836" i="22"/>
  <c r="R1837" i="22"/>
  <c r="R1838" i="22"/>
  <c r="R1839" i="22"/>
  <c r="R1840" i="22"/>
  <c r="R1841" i="22"/>
  <c r="R1842" i="22"/>
  <c r="R1843" i="22"/>
  <c r="R1844" i="22"/>
  <c r="R1845" i="22"/>
  <c r="R1846" i="22"/>
  <c r="R1847" i="22"/>
  <c r="R1848" i="22"/>
  <c r="R1849" i="22"/>
  <c r="R1850" i="22"/>
  <c r="R1851" i="22"/>
  <c r="R1852" i="22"/>
  <c r="R1853" i="22"/>
  <c r="R1854" i="22"/>
  <c r="R1855" i="22"/>
  <c r="R1856" i="22"/>
  <c r="R1857" i="22"/>
  <c r="R1858" i="22"/>
  <c r="R1859" i="22"/>
  <c r="R1860" i="22"/>
  <c r="R1861" i="22"/>
  <c r="R1862" i="22"/>
  <c r="R1863" i="22"/>
  <c r="R1864" i="22"/>
  <c r="R1865" i="22"/>
  <c r="R1866" i="22"/>
  <c r="R1867" i="22"/>
  <c r="R1868" i="22"/>
  <c r="R1869" i="22"/>
  <c r="R1870" i="22"/>
  <c r="R1871" i="22"/>
  <c r="R1872" i="22"/>
  <c r="R1873" i="22"/>
  <c r="R1874" i="22"/>
  <c r="R1875" i="22"/>
  <c r="R1876" i="22"/>
  <c r="R1877" i="22"/>
  <c r="R1878" i="22"/>
  <c r="R1879" i="22"/>
  <c r="R1880" i="22"/>
  <c r="R1881" i="22"/>
  <c r="R1882" i="22"/>
  <c r="R1883" i="22"/>
  <c r="R1884" i="22"/>
  <c r="R1885" i="22"/>
  <c r="R1886" i="22"/>
  <c r="R1887" i="22"/>
  <c r="R1888" i="22"/>
  <c r="R1889" i="22"/>
  <c r="R1890" i="22"/>
  <c r="R1891" i="22"/>
  <c r="R1892" i="22"/>
  <c r="R1893" i="22"/>
  <c r="R1894" i="22"/>
  <c r="R1895" i="22"/>
  <c r="R1896" i="22"/>
  <c r="R1897" i="22"/>
  <c r="R1898" i="22"/>
  <c r="R1899" i="22"/>
  <c r="R1900" i="22"/>
  <c r="R1901" i="22"/>
  <c r="R1902" i="22"/>
  <c r="R1903" i="22"/>
  <c r="R1904" i="22"/>
  <c r="R1905" i="22"/>
  <c r="R1906" i="22"/>
  <c r="R1907" i="22"/>
  <c r="R1908" i="22"/>
  <c r="R1909" i="22"/>
  <c r="R1910" i="22"/>
  <c r="R1911" i="22"/>
  <c r="R1912" i="22"/>
  <c r="R1913" i="22"/>
  <c r="R1914" i="22"/>
  <c r="R1915" i="22"/>
  <c r="R1916" i="22"/>
  <c r="R1917" i="22"/>
  <c r="R1918" i="22"/>
  <c r="R1919" i="22"/>
  <c r="R1920" i="22"/>
  <c r="R1921" i="22"/>
  <c r="R1922" i="22"/>
  <c r="R1923" i="22"/>
  <c r="R1924" i="22"/>
  <c r="R1925" i="22"/>
  <c r="R1926" i="22"/>
  <c r="R1927" i="22"/>
  <c r="R1928" i="22"/>
  <c r="R1929" i="22"/>
  <c r="R1930" i="22"/>
  <c r="R1931" i="22"/>
  <c r="R1932" i="22"/>
  <c r="R1933" i="22"/>
  <c r="R1934" i="22"/>
  <c r="R1935" i="22"/>
  <c r="R1936" i="22"/>
  <c r="R1937" i="22"/>
  <c r="R1938" i="22"/>
  <c r="R1939" i="22"/>
  <c r="R1940" i="22"/>
  <c r="R1941" i="22"/>
  <c r="R1942" i="22"/>
  <c r="R1943" i="22"/>
  <c r="R1944" i="22"/>
  <c r="R1945" i="22"/>
  <c r="R1946" i="22"/>
  <c r="R1947" i="22"/>
  <c r="R1948" i="22"/>
  <c r="R1949" i="22"/>
  <c r="R1950" i="22"/>
  <c r="R1951" i="22"/>
  <c r="R1952" i="22"/>
  <c r="R1953" i="22"/>
  <c r="R1954" i="22"/>
  <c r="R1955" i="22"/>
  <c r="R1956" i="22"/>
  <c r="R1957" i="22"/>
  <c r="R1958" i="22"/>
  <c r="R1959" i="22"/>
  <c r="R1960" i="22"/>
  <c r="R1961" i="22"/>
  <c r="R1962" i="22"/>
  <c r="R1963" i="22"/>
  <c r="R1964" i="22"/>
  <c r="R1965" i="22"/>
  <c r="R1966" i="22"/>
  <c r="R1967" i="22"/>
  <c r="R1968" i="22"/>
  <c r="R1969" i="22"/>
  <c r="R1970" i="22"/>
  <c r="R1971" i="22"/>
  <c r="R1972" i="22"/>
  <c r="R1973" i="22"/>
  <c r="R1974" i="22"/>
  <c r="R1975" i="22"/>
  <c r="R1976" i="22"/>
  <c r="R1977" i="22"/>
  <c r="R1978" i="22"/>
  <c r="R1979" i="22"/>
  <c r="R1980" i="22"/>
  <c r="R1981" i="22"/>
  <c r="R1982" i="22"/>
  <c r="R1983" i="22"/>
  <c r="R1984" i="22"/>
  <c r="R1985" i="22"/>
  <c r="R1986" i="22"/>
  <c r="R1987" i="22"/>
  <c r="R1988" i="22"/>
  <c r="R1989" i="22"/>
  <c r="R1990" i="22"/>
  <c r="R1991" i="22"/>
  <c r="R1992" i="22"/>
  <c r="R1993" i="22"/>
  <c r="R1994" i="22"/>
  <c r="R1995" i="22"/>
  <c r="R1996" i="22"/>
  <c r="R1997" i="22"/>
  <c r="R1998" i="22"/>
  <c r="R1999" i="22"/>
  <c r="R2000" i="22"/>
  <c r="R2001" i="22"/>
  <c r="R2002" i="22"/>
  <c r="R2003" i="22"/>
  <c r="R2004" i="22"/>
  <c r="R2005" i="22"/>
  <c r="R2006" i="22"/>
  <c r="R2007" i="22"/>
  <c r="R2008" i="22"/>
  <c r="R2009" i="22"/>
  <c r="R2010" i="22"/>
  <c r="R2011" i="22"/>
  <c r="R2012" i="22"/>
  <c r="R2013" i="22"/>
  <c r="R2014" i="22"/>
  <c r="R2015" i="22"/>
  <c r="R2016" i="22"/>
  <c r="R2017" i="22"/>
  <c r="R2018" i="22"/>
  <c r="R2019" i="22"/>
  <c r="R2020" i="22"/>
  <c r="R2021" i="22"/>
  <c r="R2022" i="22"/>
  <c r="R2023" i="22"/>
  <c r="R2024" i="22"/>
  <c r="R2025" i="22"/>
  <c r="R2026" i="22"/>
  <c r="R2027" i="22"/>
  <c r="R2028" i="22"/>
  <c r="R2029" i="22"/>
  <c r="R2030" i="22"/>
  <c r="R2031" i="22"/>
  <c r="R2032" i="22"/>
  <c r="R2033" i="22"/>
  <c r="R2034" i="22"/>
  <c r="R2035" i="22"/>
  <c r="R2036" i="22"/>
  <c r="R2037" i="22"/>
  <c r="R2038" i="22"/>
  <c r="R2039" i="22"/>
  <c r="R2040" i="22"/>
  <c r="R2041" i="22"/>
  <c r="R2042" i="22"/>
  <c r="R2043" i="22"/>
  <c r="R2044" i="22"/>
  <c r="R2045" i="22"/>
  <c r="R2046" i="22"/>
  <c r="R2047" i="22"/>
  <c r="R2048" i="22"/>
  <c r="R2049" i="22"/>
  <c r="R2050" i="22"/>
  <c r="R2051" i="22"/>
  <c r="R2052" i="22"/>
  <c r="R2053" i="22"/>
  <c r="R2054" i="22"/>
  <c r="R2055" i="22"/>
  <c r="R2056" i="22"/>
  <c r="R2057" i="22"/>
  <c r="R2058" i="22"/>
  <c r="R2059" i="22"/>
  <c r="R2060" i="22"/>
  <c r="R2061" i="22"/>
  <c r="R2062" i="22"/>
  <c r="R2063" i="22"/>
  <c r="R2064" i="22"/>
  <c r="R2065" i="22"/>
  <c r="R2066" i="22"/>
  <c r="R2067" i="22"/>
  <c r="R2068" i="22"/>
  <c r="R2069" i="22"/>
  <c r="R2070" i="22"/>
  <c r="R2071" i="22"/>
  <c r="R2072" i="22"/>
  <c r="R2073" i="22"/>
  <c r="R2074" i="22"/>
  <c r="R2075" i="22"/>
  <c r="R2076" i="22"/>
  <c r="R2077" i="22"/>
  <c r="R2078" i="22"/>
  <c r="R2079" i="22"/>
  <c r="R2080" i="22"/>
  <c r="R2081" i="22"/>
  <c r="R2082" i="22"/>
  <c r="R2083" i="22"/>
  <c r="R2084" i="22"/>
  <c r="R2085" i="22"/>
  <c r="R2086" i="22"/>
  <c r="R2087" i="22"/>
  <c r="R2088" i="22"/>
  <c r="R2089" i="22"/>
  <c r="R2090" i="22"/>
  <c r="R2091" i="22"/>
  <c r="R2092" i="22"/>
  <c r="R2093" i="22"/>
  <c r="R2094" i="22"/>
  <c r="R2095" i="22"/>
  <c r="R2096" i="22"/>
  <c r="R2097" i="22"/>
  <c r="R2098" i="22"/>
  <c r="R2099" i="22"/>
  <c r="R2100" i="22"/>
  <c r="R2101" i="22"/>
  <c r="R2102" i="22"/>
  <c r="R2103" i="22"/>
  <c r="R2104" i="22"/>
  <c r="R2105" i="22"/>
  <c r="R2106" i="22"/>
  <c r="R2107" i="22"/>
  <c r="R2108" i="22"/>
  <c r="R2109" i="22"/>
  <c r="R2110" i="22"/>
  <c r="R2111" i="22"/>
  <c r="R2112" i="22"/>
  <c r="R2113" i="22"/>
  <c r="R2114" i="22"/>
  <c r="R2115" i="22"/>
  <c r="R2116" i="22"/>
  <c r="R2117" i="22"/>
  <c r="R2118" i="22"/>
  <c r="R2119" i="22"/>
  <c r="R2120" i="22"/>
  <c r="R2121" i="22"/>
  <c r="R2122" i="22"/>
  <c r="R2123" i="22"/>
  <c r="R2124" i="22"/>
  <c r="R2125" i="22"/>
  <c r="R2126" i="22"/>
  <c r="R2127" i="22"/>
  <c r="R2128" i="22"/>
  <c r="R2129" i="22"/>
  <c r="R2130" i="22"/>
  <c r="R2131" i="22"/>
  <c r="R2132" i="22"/>
  <c r="R2133" i="22"/>
  <c r="R2134" i="22"/>
  <c r="R2135" i="22"/>
  <c r="R2136" i="22"/>
  <c r="R2137" i="22"/>
  <c r="R2138" i="22"/>
  <c r="R2139" i="22"/>
  <c r="R2140" i="22"/>
  <c r="R2141" i="22"/>
  <c r="R2142" i="22"/>
  <c r="R2143" i="22"/>
  <c r="R2144" i="22"/>
  <c r="R2145" i="22"/>
  <c r="R2146" i="22"/>
  <c r="R2147" i="22"/>
  <c r="R2148" i="22"/>
  <c r="R2149" i="22"/>
  <c r="R2150" i="22"/>
  <c r="R2151" i="22"/>
  <c r="R2152" i="22"/>
  <c r="R2153" i="22"/>
  <c r="R2154" i="22"/>
  <c r="R2155" i="22"/>
  <c r="R2156" i="22"/>
  <c r="R2157" i="22"/>
  <c r="R2158" i="22"/>
  <c r="R2159" i="22"/>
  <c r="R2160" i="22"/>
  <c r="R2161" i="22"/>
  <c r="R2162" i="22"/>
  <c r="R2163" i="22"/>
  <c r="R2164" i="22"/>
  <c r="R2165" i="22"/>
  <c r="R2166" i="22"/>
  <c r="R2167" i="22"/>
  <c r="R2168" i="22"/>
  <c r="R2169" i="22"/>
  <c r="R2170" i="22"/>
  <c r="R2171" i="22"/>
  <c r="R2172" i="22"/>
  <c r="R2173" i="22"/>
  <c r="R2174" i="22"/>
  <c r="R2175" i="22"/>
  <c r="R2176" i="22"/>
  <c r="R2177" i="22"/>
  <c r="R2178" i="22"/>
  <c r="R2179" i="22"/>
  <c r="R2180" i="22"/>
  <c r="R2181" i="22"/>
  <c r="R2182" i="22"/>
  <c r="R2183" i="22"/>
  <c r="R2184" i="22"/>
  <c r="R2185" i="22"/>
  <c r="R2186" i="22"/>
  <c r="R2187" i="22"/>
  <c r="R2188" i="22"/>
  <c r="R2189" i="22"/>
  <c r="R2190" i="22"/>
  <c r="R2191" i="22"/>
  <c r="R2192" i="22"/>
  <c r="R2193" i="22"/>
  <c r="R2194" i="22"/>
  <c r="R2195" i="22"/>
  <c r="R2196" i="22"/>
  <c r="R2197" i="22"/>
  <c r="R2198" i="22"/>
  <c r="R2199" i="22"/>
  <c r="R2200" i="22"/>
  <c r="R2201" i="22"/>
  <c r="R2202" i="22"/>
  <c r="R2203" i="22"/>
  <c r="R2204" i="22"/>
  <c r="R2205" i="22"/>
  <c r="R2206" i="22"/>
  <c r="R2207" i="22"/>
  <c r="R2208" i="22"/>
  <c r="R2209" i="22"/>
  <c r="R2210" i="22"/>
  <c r="R2211" i="22"/>
  <c r="R2212" i="22"/>
  <c r="R2213" i="22"/>
  <c r="R2214" i="22"/>
  <c r="R2215" i="22"/>
  <c r="R2216" i="22"/>
  <c r="R2217" i="22"/>
  <c r="R2218" i="22"/>
  <c r="R2219" i="22"/>
  <c r="R2220" i="22"/>
  <c r="R2221" i="22"/>
  <c r="R2222" i="22"/>
  <c r="R2223" i="22"/>
  <c r="R2224" i="22"/>
  <c r="R2225" i="22"/>
  <c r="R2226" i="22"/>
  <c r="R2227" i="22"/>
  <c r="R2228" i="22"/>
  <c r="R2229" i="22"/>
  <c r="R2230" i="22"/>
  <c r="R2231" i="22"/>
  <c r="R2232" i="22"/>
  <c r="R2233" i="22"/>
  <c r="R2234" i="22"/>
  <c r="R2235" i="22"/>
  <c r="R2236" i="22"/>
  <c r="R2237" i="22"/>
  <c r="R2238" i="22"/>
  <c r="R2239" i="22"/>
  <c r="R2240" i="22"/>
  <c r="R2241" i="22"/>
  <c r="R2242" i="22"/>
  <c r="R2243" i="22"/>
  <c r="R2244" i="22"/>
  <c r="R2245" i="22"/>
  <c r="R2246" i="22"/>
  <c r="R2247" i="22"/>
  <c r="R2248" i="22"/>
  <c r="R2249" i="22"/>
  <c r="R2250" i="22"/>
  <c r="R2251" i="22"/>
  <c r="R2252" i="22"/>
  <c r="R2253" i="22"/>
  <c r="R2254" i="22"/>
  <c r="R2255" i="22"/>
  <c r="R2256" i="22"/>
  <c r="R2257" i="22"/>
  <c r="R2258" i="22"/>
  <c r="R2259" i="22"/>
  <c r="R2260" i="22"/>
  <c r="R2261" i="22"/>
  <c r="R2262" i="22"/>
  <c r="R2263" i="22"/>
  <c r="R2264" i="22"/>
  <c r="R2265" i="22"/>
  <c r="R2266" i="22"/>
  <c r="R2267" i="22"/>
  <c r="R2268" i="22"/>
  <c r="R2269" i="22"/>
  <c r="R2270" i="22"/>
  <c r="R2271" i="22"/>
  <c r="R2272" i="22"/>
  <c r="R2273" i="22"/>
  <c r="R2274" i="22"/>
  <c r="R2275" i="22"/>
  <c r="R2276" i="22"/>
  <c r="R2277" i="22"/>
  <c r="R2278" i="22"/>
  <c r="R2279" i="22"/>
  <c r="R2280" i="22"/>
  <c r="R2281" i="22"/>
  <c r="R2282" i="22"/>
  <c r="R2283" i="22"/>
  <c r="R2284" i="22"/>
  <c r="R2285" i="22"/>
  <c r="R2286" i="22"/>
  <c r="R2287" i="22"/>
  <c r="R2288" i="22"/>
  <c r="R2289" i="22"/>
  <c r="R2290" i="22"/>
  <c r="R2291" i="22"/>
  <c r="R2292" i="22"/>
  <c r="R2293" i="22"/>
  <c r="R2294" i="22"/>
  <c r="R2295" i="22"/>
  <c r="R2296" i="22"/>
  <c r="R2297" i="22"/>
  <c r="R2298" i="22"/>
  <c r="R2299" i="22"/>
  <c r="R2300" i="22"/>
  <c r="R2301" i="22"/>
  <c r="R2302" i="22"/>
  <c r="R2303" i="22"/>
  <c r="R2304" i="22"/>
  <c r="R2305" i="22"/>
  <c r="R2306" i="22"/>
  <c r="R2307" i="22"/>
  <c r="R2308" i="22"/>
  <c r="R2309" i="22"/>
  <c r="R2310" i="22"/>
  <c r="R2311" i="22"/>
  <c r="R2312" i="22"/>
  <c r="R2313" i="22"/>
  <c r="R2314" i="22"/>
  <c r="R2315" i="22"/>
  <c r="R2316" i="22"/>
  <c r="R2317" i="22"/>
  <c r="R2318" i="22"/>
  <c r="R2319" i="22"/>
  <c r="R2320" i="22"/>
  <c r="R2321" i="22"/>
  <c r="R2322" i="22"/>
  <c r="R2323" i="22"/>
  <c r="R2324" i="22"/>
  <c r="R2325" i="22"/>
  <c r="R2326" i="22"/>
  <c r="R2327" i="22"/>
  <c r="R2328" i="22"/>
  <c r="R2329" i="22"/>
  <c r="R2330" i="22"/>
  <c r="R2331" i="22"/>
  <c r="R2332" i="22"/>
  <c r="R2333" i="22"/>
  <c r="R2334" i="22"/>
  <c r="R2335" i="22"/>
  <c r="R2336" i="22"/>
  <c r="R2337" i="22"/>
  <c r="R2338" i="22"/>
  <c r="R2339" i="22"/>
  <c r="R2340" i="22"/>
  <c r="R2341" i="22"/>
  <c r="R2342" i="22"/>
  <c r="R2343" i="22"/>
  <c r="R2344" i="22"/>
  <c r="R2345" i="22"/>
  <c r="R2346" i="22"/>
  <c r="R2347" i="22"/>
  <c r="R2348" i="22"/>
  <c r="R2349" i="22"/>
  <c r="R2350" i="22"/>
  <c r="R2351" i="22"/>
  <c r="R2352" i="22"/>
  <c r="R2353" i="22"/>
  <c r="R2354" i="22"/>
  <c r="R2355" i="22"/>
  <c r="R2356" i="22"/>
  <c r="R2357" i="22"/>
  <c r="R2358" i="22"/>
  <c r="R2359" i="22"/>
  <c r="R2360" i="22"/>
  <c r="R2361" i="22"/>
  <c r="R2362" i="22"/>
  <c r="R2363" i="22"/>
  <c r="R2364" i="22"/>
  <c r="R2365" i="22"/>
  <c r="R2366" i="22"/>
  <c r="R2367" i="22"/>
  <c r="R2368" i="22"/>
  <c r="R2369" i="22"/>
  <c r="R2370" i="22"/>
  <c r="R2371" i="22"/>
  <c r="R2372" i="22"/>
  <c r="R2373" i="22"/>
  <c r="R2374" i="22"/>
  <c r="R2375" i="22"/>
  <c r="R2376" i="22"/>
  <c r="R2377" i="22"/>
  <c r="R2378" i="22"/>
  <c r="R2379" i="22"/>
  <c r="R2380" i="22"/>
  <c r="R2381" i="22"/>
  <c r="R2382" i="22"/>
  <c r="R2383" i="22"/>
  <c r="R2384" i="22"/>
  <c r="R2385" i="22"/>
  <c r="R2386" i="22"/>
  <c r="R2387" i="22"/>
  <c r="R2388" i="22"/>
  <c r="R2389" i="22"/>
  <c r="R2390" i="22"/>
  <c r="R2391" i="22"/>
  <c r="R2392" i="22"/>
  <c r="R2393" i="22"/>
  <c r="R2394" i="22"/>
  <c r="R2395" i="22"/>
  <c r="R2396" i="22"/>
  <c r="R2397" i="22"/>
  <c r="R2398" i="22"/>
  <c r="R2399" i="22"/>
  <c r="R2400" i="22"/>
  <c r="R2401" i="22"/>
  <c r="R2402" i="22"/>
  <c r="R2403" i="22"/>
  <c r="R2404" i="22"/>
  <c r="R2405" i="22"/>
  <c r="R2406" i="22"/>
  <c r="R2407" i="22"/>
  <c r="R2408" i="22"/>
  <c r="R2409" i="22"/>
  <c r="R2410" i="22"/>
  <c r="R2411" i="22"/>
  <c r="R2412" i="22"/>
  <c r="R2413" i="22"/>
  <c r="R2414" i="22"/>
  <c r="R2415" i="22"/>
  <c r="R2416" i="22"/>
  <c r="R2417" i="22"/>
  <c r="R2418" i="22"/>
  <c r="R2419" i="22"/>
  <c r="R2420" i="22"/>
  <c r="R2421" i="22"/>
  <c r="R2422" i="22"/>
  <c r="R2423" i="22"/>
  <c r="R2424" i="22"/>
  <c r="R2425" i="22"/>
  <c r="R2426" i="22"/>
  <c r="R2427" i="22"/>
  <c r="R2428" i="22"/>
  <c r="R2429" i="22"/>
  <c r="R2430" i="22"/>
  <c r="R2431" i="22"/>
  <c r="R2432" i="22"/>
  <c r="R2433" i="22"/>
  <c r="R2434" i="22"/>
  <c r="R2435" i="22"/>
  <c r="R2436" i="22"/>
  <c r="R2437" i="22"/>
  <c r="R2438" i="22"/>
  <c r="R2439" i="22"/>
  <c r="R2440" i="22"/>
  <c r="R2441" i="22"/>
  <c r="R2442" i="22"/>
  <c r="R2443" i="22"/>
  <c r="R2444" i="22"/>
  <c r="R2445" i="22"/>
  <c r="R2446" i="22"/>
  <c r="R2447" i="22"/>
  <c r="R2448" i="22"/>
  <c r="R2449" i="22"/>
  <c r="R2450" i="22"/>
  <c r="R2451" i="22"/>
  <c r="R2452" i="22"/>
  <c r="R2453" i="22"/>
  <c r="R2454" i="22"/>
  <c r="R2455" i="22"/>
  <c r="R2456" i="22"/>
  <c r="R2457" i="22"/>
  <c r="R2458" i="22"/>
  <c r="R2459" i="22"/>
  <c r="R2460" i="22"/>
  <c r="R2461" i="22"/>
  <c r="R2462" i="22"/>
  <c r="R2463" i="22"/>
  <c r="R2464" i="22"/>
  <c r="R2465" i="22"/>
  <c r="R2466" i="22"/>
  <c r="R2467" i="22"/>
  <c r="R2468" i="22"/>
  <c r="R2469" i="22"/>
  <c r="R2470" i="22"/>
  <c r="R2471" i="22"/>
  <c r="R2472" i="22"/>
  <c r="R2473" i="22"/>
  <c r="R2474" i="22"/>
  <c r="R2475" i="22"/>
  <c r="R2476" i="22"/>
  <c r="R2477" i="22"/>
  <c r="R2478" i="22"/>
  <c r="R2479" i="22"/>
  <c r="R2480" i="22"/>
  <c r="R2481" i="22"/>
  <c r="R2482" i="22"/>
  <c r="R2483" i="22"/>
  <c r="R2484" i="22"/>
  <c r="R2485" i="22"/>
  <c r="R2486" i="22"/>
  <c r="R2487" i="22"/>
  <c r="R2488" i="22"/>
  <c r="R2489" i="22"/>
  <c r="R2490" i="22"/>
  <c r="R2491" i="22"/>
  <c r="R2492" i="22"/>
  <c r="R2493" i="22"/>
  <c r="R2494" i="22"/>
  <c r="R2495" i="22"/>
  <c r="R2496" i="22"/>
  <c r="R2497" i="22"/>
  <c r="R2498" i="22"/>
  <c r="R2499" i="22"/>
  <c r="R2500" i="22"/>
  <c r="R2501" i="22"/>
  <c r="R2502" i="22"/>
  <c r="R2503" i="22"/>
  <c r="R2504" i="22"/>
  <c r="R2505" i="22"/>
  <c r="R2506" i="22"/>
  <c r="R2507" i="22"/>
  <c r="R2508" i="22"/>
  <c r="R2509" i="22"/>
  <c r="R2510" i="22"/>
  <c r="R2511" i="22"/>
  <c r="R2512" i="22"/>
  <c r="R2513" i="22"/>
  <c r="R2514" i="22"/>
  <c r="R2515" i="22"/>
  <c r="R2516" i="22"/>
  <c r="R2517" i="22"/>
  <c r="R2518" i="22"/>
  <c r="R2519" i="22"/>
  <c r="R2520" i="22"/>
  <c r="R2521" i="22"/>
  <c r="R2522" i="22"/>
  <c r="R2523" i="22"/>
  <c r="R2524" i="22"/>
  <c r="R2525" i="22"/>
  <c r="R2526" i="22"/>
  <c r="R2527" i="22"/>
  <c r="R2528" i="22"/>
  <c r="R2529" i="22"/>
  <c r="R2530" i="22"/>
  <c r="R2531" i="22"/>
  <c r="R2532" i="22"/>
  <c r="R2533" i="22"/>
  <c r="R2534" i="22"/>
  <c r="R2535" i="22"/>
  <c r="R2536" i="22"/>
  <c r="R2537" i="22"/>
  <c r="R2538" i="22"/>
  <c r="R2539" i="22"/>
  <c r="R2540" i="22"/>
  <c r="R2541" i="22"/>
  <c r="R2542" i="22"/>
  <c r="R2543" i="22"/>
  <c r="R2544" i="22"/>
  <c r="R2545" i="22"/>
  <c r="R2546" i="22"/>
  <c r="R2547" i="22"/>
  <c r="R2548" i="22"/>
  <c r="R2549" i="22"/>
  <c r="R2550" i="22"/>
  <c r="R2551" i="22"/>
  <c r="R2552" i="22"/>
  <c r="R2553" i="22"/>
  <c r="R2554" i="22"/>
  <c r="R2555" i="22"/>
  <c r="R2556" i="22"/>
  <c r="R2557" i="22"/>
  <c r="R2558" i="22"/>
  <c r="R2559" i="22"/>
  <c r="R2560" i="22"/>
  <c r="R2561" i="22"/>
  <c r="R2562" i="22"/>
  <c r="R2563" i="22"/>
  <c r="R2564" i="22"/>
  <c r="R2565" i="22"/>
  <c r="R2566" i="22"/>
  <c r="R2567" i="22"/>
  <c r="R2568" i="22"/>
  <c r="R2569" i="22"/>
  <c r="R2570" i="22"/>
  <c r="R2571" i="22"/>
  <c r="R2572" i="22"/>
  <c r="R2573" i="22"/>
  <c r="R2574" i="22"/>
  <c r="R2575" i="22"/>
  <c r="R2576" i="22"/>
  <c r="R2577" i="22"/>
  <c r="R2578" i="22"/>
  <c r="R2579" i="22"/>
  <c r="R2580" i="22"/>
  <c r="R2581" i="22"/>
  <c r="R2582" i="22"/>
  <c r="R2583" i="22"/>
  <c r="R2584" i="22"/>
  <c r="R2585" i="22"/>
  <c r="R2586" i="22"/>
  <c r="R2587" i="22"/>
  <c r="R2588" i="22"/>
  <c r="R2589" i="22"/>
  <c r="R2590" i="22"/>
  <c r="R2591" i="22"/>
  <c r="R2592" i="22"/>
  <c r="R2593" i="22"/>
  <c r="R2594" i="22"/>
  <c r="R2595" i="22"/>
  <c r="R2596" i="22"/>
  <c r="R2597" i="22"/>
  <c r="R2598" i="22"/>
  <c r="R2599" i="22"/>
  <c r="R2600" i="22"/>
  <c r="R2601" i="22"/>
  <c r="R2602" i="22"/>
  <c r="R2603" i="22"/>
  <c r="R2604" i="22"/>
  <c r="R2605" i="22"/>
  <c r="R2606" i="22"/>
  <c r="R2607" i="22"/>
  <c r="R2608" i="22"/>
  <c r="R2609" i="22"/>
  <c r="R2610" i="22"/>
  <c r="R2611" i="22"/>
  <c r="R2612" i="22"/>
  <c r="R2613" i="22"/>
  <c r="R2614" i="22"/>
  <c r="R2615" i="22"/>
  <c r="R2616" i="22"/>
  <c r="R2617" i="22"/>
  <c r="R2618" i="22"/>
  <c r="R2619" i="22"/>
  <c r="R2620" i="22"/>
  <c r="R2621" i="22"/>
  <c r="R2622" i="22"/>
  <c r="R2623" i="22"/>
  <c r="R2624" i="22"/>
  <c r="R2625" i="22"/>
  <c r="R2626" i="22"/>
  <c r="R2627" i="22"/>
  <c r="R2628" i="22"/>
  <c r="R2629" i="22"/>
  <c r="R2630" i="22"/>
  <c r="R2631" i="22"/>
  <c r="R2632" i="22"/>
  <c r="R2633" i="22"/>
  <c r="R2634" i="22"/>
  <c r="R2635" i="22"/>
  <c r="R2636" i="22"/>
  <c r="R2637" i="22"/>
  <c r="R2638" i="22"/>
  <c r="R2639" i="22"/>
  <c r="R2640" i="22"/>
  <c r="R2641" i="22"/>
  <c r="R2642" i="22"/>
  <c r="R2643" i="22"/>
  <c r="R2644" i="22"/>
  <c r="R2645" i="22"/>
  <c r="R2646" i="22"/>
  <c r="R2647" i="22"/>
  <c r="R2648" i="22"/>
  <c r="R2649" i="22"/>
  <c r="R2650" i="22"/>
  <c r="R2651" i="22"/>
  <c r="R2652" i="22"/>
  <c r="R2653" i="22"/>
  <c r="R2654" i="22"/>
  <c r="R2655" i="22"/>
  <c r="R2656" i="22"/>
  <c r="R2657" i="22"/>
  <c r="R2658" i="22"/>
  <c r="R2659" i="22"/>
  <c r="R2660" i="22"/>
  <c r="R2661" i="22"/>
  <c r="R2662" i="22"/>
  <c r="R2663" i="22"/>
  <c r="R2664" i="22"/>
  <c r="R2665" i="22"/>
  <c r="R2666" i="22"/>
  <c r="R2667" i="22"/>
  <c r="R2668" i="22"/>
  <c r="R2669" i="22"/>
  <c r="R2670" i="22"/>
  <c r="R2671" i="22"/>
  <c r="R2672" i="22"/>
  <c r="R2673" i="22"/>
  <c r="R2674" i="22"/>
  <c r="R2675" i="22"/>
  <c r="R2676" i="22"/>
  <c r="R2677" i="22"/>
  <c r="R2678" i="22"/>
  <c r="R2679" i="22"/>
  <c r="R2680" i="22"/>
  <c r="R2681" i="22"/>
  <c r="R2682" i="22"/>
  <c r="R2683" i="22"/>
  <c r="R2684" i="22"/>
  <c r="R2685" i="22"/>
  <c r="R2686" i="22"/>
  <c r="R2687" i="22"/>
  <c r="R2688" i="22"/>
  <c r="R2689" i="22"/>
  <c r="R2690" i="22"/>
  <c r="R2691" i="22"/>
  <c r="R2692" i="22"/>
  <c r="R2693" i="22"/>
  <c r="R2694" i="22"/>
  <c r="R2695" i="22"/>
  <c r="R2696" i="22"/>
  <c r="R2697" i="22"/>
  <c r="R2698" i="22"/>
  <c r="R2699" i="22"/>
  <c r="R2700" i="22"/>
  <c r="R2701" i="22"/>
  <c r="R2702" i="22"/>
  <c r="R2703" i="22"/>
  <c r="R2704" i="22"/>
  <c r="R2705" i="22"/>
  <c r="R2706" i="22"/>
  <c r="R2707" i="22"/>
  <c r="R2708" i="22"/>
  <c r="R2709" i="22"/>
  <c r="R2710" i="22"/>
  <c r="R2711" i="22"/>
  <c r="R2712" i="22"/>
  <c r="R2713" i="22"/>
  <c r="R2714" i="22"/>
  <c r="R2715" i="22"/>
  <c r="R2716" i="22"/>
  <c r="R2717" i="22"/>
  <c r="R2718" i="22"/>
  <c r="R2719" i="22"/>
  <c r="R2720" i="22"/>
  <c r="R2721" i="22"/>
  <c r="R2722" i="22"/>
  <c r="R2723" i="22"/>
  <c r="R2724" i="22"/>
  <c r="R2725" i="22"/>
  <c r="R2726" i="22"/>
  <c r="R2727" i="22"/>
  <c r="R2728" i="22"/>
  <c r="R2729" i="22"/>
  <c r="R2730" i="22"/>
  <c r="R2731" i="22"/>
  <c r="R2732" i="22"/>
  <c r="R2733" i="22"/>
  <c r="R2734" i="22"/>
  <c r="R2735" i="22"/>
  <c r="R2736" i="22"/>
  <c r="R2737" i="22"/>
  <c r="R2738" i="22"/>
  <c r="R2739" i="22"/>
  <c r="R2740" i="22"/>
  <c r="R2741" i="22"/>
  <c r="R2742" i="22"/>
  <c r="R2743" i="22"/>
  <c r="R2744" i="22"/>
  <c r="R2745" i="22"/>
  <c r="R2746" i="22"/>
  <c r="R2747" i="22"/>
  <c r="R2748" i="22"/>
  <c r="R2749" i="22"/>
  <c r="R2750" i="22"/>
  <c r="R2751" i="22"/>
  <c r="R2752" i="22"/>
  <c r="R2753" i="22"/>
  <c r="R2754" i="22"/>
  <c r="R2755" i="22"/>
  <c r="R2756" i="22"/>
  <c r="R2757" i="22"/>
  <c r="R2758" i="22"/>
  <c r="R2759" i="22"/>
  <c r="R2760" i="22"/>
  <c r="R2761" i="22"/>
  <c r="R2762" i="22"/>
  <c r="R2763" i="22"/>
  <c r="R2764" i="22"/>
  <c r="R2765" i="22"/>
  <c r="R2766" i="22"/>
  <c r="R2767" i="22"/>
  <c r="R2768" i="22"/>
  <c r="R2769" i="22"/>
  <c r="R2770" i="22"/>
  <c r="R2771" i="22"/>
  <c r="R2772" i="22"/>
  <c r="R2773" i="22"/>
  <c r="R2774" i="22"/>
  <c r="R2775" i="22"/>
  <c r="R2776" i="22"/>
  <c r="R2777" i="22"/>
  <c r="R2778" i="22"/>
  <c r="R2779" i="22"/>
  <c r="R2780" i="22"/>
  <c r="R2781" i="22"/>
  <c r="R2782" i="22"/>
  <c r="R2783" i="22"/>
  <c r="R2784" i="22"/>
  <c r="R2785" i="22"/>
  <c r="R2786" i="22"/>
  <c r="R2787" i="22"/>
  <c r="R2788" i="22"/>
  <c r="R2789" i="22"/>
  <c r="R2790" i="22"/>
  <c r="R2791" i="22"/>
  <c r="R2792" i="22"/>
  <c r="R2793" i="22"/>
  <c r="R2794" i="22"/>
  <c r="R2795" i="22"/>
  <c r="R2796" i="22"/>
  <c r="R2797" i="22"/>
  <c r="R2798" i="22"/>
  <c r="R2799" i="22"/>
  <c r="R2800" i="22"/>
  <c r="R2801" i="22"/>
  <c r="R2802" i="22"/>
  <c r="R2803" i="22"/>
  <c r="R2804" i="22"/>
  <c r="R2805" i="22"/>
  <c r="R2806" i="22"/>
  <c r="R2807" i="22"/>
  <c r="R2808" i="22"/>
  <c r="R2809" i="22"/>
  <c r="R2810" i="22"/>
  <c r="R2811" i="22"/>
  <c r="R2812" i="22"/>
  <c r="R2813" i="22"/>
  <c r="R2814" i="22"/>
  <c r="R2815" i="22"/>
  <c r="R2816" i="22"/>
  <c r="R2817" i="22"/>
  <c r="R2818" i="22"/>
  <c r="R2819" i="22"/>
  <c r="R2820" i="22"/>
  <c r="R2821" i="22"/>
  <c r="R2822" i="22"/>
  <c r="R2823" i="22"/>
  <c r="R2824" i="22"/>
  <c r="R2825" i="22"/>
  <c r="R2826" i="22"/>
  <c r="R2827" i="22"/>
  <c r="R2828" i="22"/>
  <c r="R2829" i="22"/>
  <c r="R2830" i="22"/>
  <c r="R2831" i="22"/>
  <c r="R2832" i="22"/>
  <c r="R2833" i="22"/>
  <c r="R2834" i="22"/>
  <c r="R2835" i="22"/>
  <c r="R2836" i="22"/>
  <c r="R2837" i="22"/>
  <c r="R2838" i="22"/>
  <c r="R2839" i="22"/>
  <c r="R2840" i="22"/>
  <c r="R2841" i="22"/>
  <c r="R2842" i="22"/>
  <c r="R2843" i="22"/>
  <c r="R2844" i="22"/>
  <c r="R2845" i="22"/>
  <c r="R2846" i="22"/>
  <c r="R2847" i="22"/>
  <c r="R2854" i="22"/>
  <c r="R2855" i="22"/>
  <c r="B4" i="17" l="1"/>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22" i="17"/>
  <c r="B123" i="17"/>
  <c r="B124" i="17"/>
  <c r="B125" i="17"/>
  <c r="B126" i="17"/>
  <c r="B127" i="17"/>
  <c r="B128" i="17"/>
  <c r="B129" i="17"/>
  <c r="B130" i="17"/>
  <c r="B131" i="17"/>
  <c r="B132" i="17"/>
  <c r="B133" i="17"/>
  <c r="B134" i="17"/>
  <c r="B135" i="17"/>
  <c r="B136" i="17"/>
  <c r="B137" i="17"/>
  <c r="B138" i="17"/>
  <c r="B139" i="17"/>
  <c r="B140"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AK101" i="22" l="1"/>
  <c r="AL101" i="22"/>
  <c r="AM101" i="22" s="1"/>
  <c r="AK102" i="22"/>
  <c r="AL102" i="22"/>
  <c r="AM102" i="22" s="1"/>
  <c r="AK103" i="22"/>
  <c r="AL103" i="22"/>
  <c r="AM103" i="22" s="1"/>
  <c r="AK104" i="22"/>
  <c r="AL104" i="22"/>
  <c r="AM104" i="22" s="1"/>
  <c r="AK105" i="22"/>
  <c r="AL105" i="22"/>
  <c r="AM105" i="22" s="1"/>
  <c r="AK106" i="22"/>
  <c r="AL106" i="22"/>
  <c r="AM106" i="22" s="1"/>
  <c r="AK107" i="22"/>
  <c r="AL107" i="22"/>
  <c r="AM107" i="22" s="1"/>
  <c r="AK108" i="22"/>
  <c r="AL108" i="22"/>
  <c r="AM108" i="22" s="1"/>
  <c r="AK109" i="22"/>
  <c r="AL109" i="22"/>
  <c r="AM109" i="22" s="1"/>
  <c r="AK110" i="22"/>
  <c r="AL110" i="22"/>
  <c r="AM110" i="22" s="1"/>
  <c r="AK111" i="22"/>
  <c r="AL111" i="22"/>
  <c r="AM111" i="22" s="1"/>
  <c r="AK112" i="22"/>
  <c r="AL112" i="22"/>
  <c r="AM112" i="22" s="1"/>
  <c r="AK113" i="22"/>
  <c r="AL113" i="22"/>
  <c r="AM113" i="22" s="1"/>
  <c r="AK114" i="22"/>
  <c r="AL114" i="22"/>
  <c r="AM114" i="22" s="1"/>
  <c r="AK121" i="22"/>
  <c r="AL121" i="22"/>
  <c r="AM121" i="22" s="1"/>
  <c r="AA76" i="22"/>
  <c r="AB76" i="22"/>
  <c r="AC76" i="22" s="1"/>
  <c r="AA77" i="22"/>
  <c r="AB77" i="22"/>
  <c r="AC77" i="22" s="1"/>
  <c r="AA78" i="22"/>
  <c r="AB78" i="22"/>
  <c r="AC78" i="22" s="1"/>
  <c r="AA79" i="22"/>
  <c r="AB79" i="22"/>
  <c r="AC79" i="22" s="1"/>
  <c r="AA80" i="22"/>
  <c r="AB80" i="22"/>
  <c r="AC80" i="22" s="1"/>
  <c r="AA81" i="22"/>
  <c r="AB81" i="22"/>
  <c r="AC81" i="22" s="1"/>
  <c r="AA82" i="22"/>
  <c r="AB82" i="22"/>
  <c r="AC82" i="22" s="1"/>
  <c r="AA83" i="22"/>
  <c r="AB83" i="22"/>
  <c r="AC83" i="22" s="1"/>
  <c r="AA84" i="22"/>
  <c r="AB84" i="22"/>
  <c r="AC84" i="22" s="1"/>
  <c r="AA85" i="22"/>
  <c r="AB85" i="22"/>
  <c r="AC85" i="22" s="1"/>
  <c r="AA86" i="22"/>
  <c r="AB86" i="22"/>
  <c r="AC86" i="22" s="1"/>
  <c r="AA87" i="22"/>
  <c r="AB87" i="22"/>
  <c r="AC87" i="22" s="1"/>
  <c r="AA94" i="22"/>
  <c r="AB94" i="22"/>
  <c r="AC94" i="22" s="1"/>
  <c r="J202" i="24"/>
  <c r="E202" i="24"/>
  <c r="C202" i="24"/>
  <c r="J201" i="24"/>
  <c r="E201" i="24"/>
  <c r="C201" i="24"/>
  <c r="J200" i="24"/>
  <c r="E200" i="24"/>
  <c r="C200" i="24"/>
  <c r="J199" i="24"/>
  <c r="E199" i="24"/>
  <c r="C199" i="24"/>
  <c r="J198" i="24"/>
  <c r="E198" i="24"/>
  <c r="C198" i="24"/>
  <c r="J197" i="24"/>
  <c r="E197" i="24"/>
  <c r="C197" i="24"/>
  <c r="J196" i="24"/>
  <c r="E196" i="24"/>
  <c r="C196" i="24"/>
  <c r="E195" i="24"/>
  <c r="B195" i="24"/>
  <c r="E194" i="24"/>
  <c r="B194" i="24"/>
  <c r="J202" i="23"/>
  <c r="E202" i="23"/>
  <c r="C202" i="23"/>
  <c r="J201" i="23"/>
  <c r="E201" i="23"/>
  <c r="C201" i="23"/>
  <c r="J200" i="23"/>
  <c r="E200" i="23"/>
  <c r="C200" i="23"/>
  <c r="J199" i="23"/>
  <c r="E199" i="23"/>
  <c r="C199" i="23"/>
  <c r="E198" i="23"/>
  <c r="C198" i="23"/>
  <c r="J197" i="23"/>
  <c r="E197" i="23"/>
  <c r="C197" i="23"/>
  <c r="J196" i="23"/>
  <c r="E196" i="23"/>
  <c r="C196" i="23"/>
  <c r="E195" i="23"/>
  <c r="B195" i="23"/>
  <c r="J195" i="23" s="1"/>
  <c r="E194" i="23"/>
  <c r="B194" i="23"/>
  <c r="B203" i="23" s="1"/>
  <c r="J202" i="20"/>
  <c r="E202" i="20"/>
  <c r="C202" i="20"/>
  <c r="J201" i="20"/>
  <c r="E201" i="20"/>
  <c r="C201" i="20"/>
  <c r="J200" i="20"/>
  <c r="E200" i="20"/>
  <c r="C200" i="20"/>
  <c r="J199" i="20"/>
  <c r="E199" i="20"/>
  <c r="C199" i="20"/>
  <c r="E198" i="20"/>
  <c r="C198" i="20"/>
  <c r="J197" i="20"/>
  <c r="E197" i="20"/>
  <c r="C197" i="20"/>
  <c r="J196" i="20"/>
  <c r="E196" i="20"/>
  <c r="C196" i="20"/>
  <c r="E195" i="20"/>
  <c r="B195" i="20"/>
  <c r="C195" i="20" s="1"/>
  <c r="E194" i="20"/>
  <c r="B194" i="20"/>
  <c r="C194" i="20" s="1"/>
  <c r="J202" i="9"/>
  <c r="E202" i="9"/>
  <c r="C202" i="9"/>
  <c r="J201" i="9"/>
  <c r="E201" i="9"/>
  <c r="C201" i="9"/>
  <c r="J200" i="9"/>
  <c r="E200" i="9"/>
  <c r="C200" i="9"/>
  <c r="J199" i="9"/>
  <c r="E199" i="9"/>
  <c r="C199" i="9"/>
  <c r="E198" i="9"/>
  <c r="C198" i="9"/>
  <c r="J197" i="9"/>
  <c r="E197" i="9"/>
  <c r="C197" i="9"/>
  <c r="J196" i="9"/>
  <c r="E196" i="9"/>
  <c r="C196" i="9"/>
  <c r="E195" i="9"/>
  <c r="B195" i="9"/>
  <c r="C195" i="9" s="1"/>
  <c r="E194" i="9"/>
  <c r="B194" i="9"/>
  <c r="B203" i="9" s="1"/>
  <c r="J202" i="8"/>
  <c r="E202" i="8"/>
  <c r="C202" i="8"/>
  <c r="J201" i="8"/>
  <c r="E201" i="8"/>
  <c r="C201" i="8"/>
  <c r="J200" i="8"/>
  <c r="E200" i="8"/>
  <c r="C200" i="8"/>
  <c r="J199" i="8"/>
  <c r="E199" i="8"/>
  <c r="C199" i="8"/>
  <c r="J198" i="8"/>
  <c r="E198" i="8"/>
  <c r="C198" i="8"/>
  <c r="J197" i="8"/>
  <c r="E197" i="8"/>
  <c r="C197" i="8"/>
  <c r="J196" i="8"/>
  <c r="E196" i="8"/>
  <c r="C196" i="8"/>
  <c r="E195" i="8"/>
  <c r="B195" i="8"/>
  <c r="C195" i="8" s="1"/>
  <c r="E194" i="8"/>
  <c r="B194" i="8"/>
  <c r="B203" i="8" s="1"/>
  <c r="C194" i="23" l="1"/>
  <c r="C194" i="9"/>
  <c r="C195" i="23"/>
  <c r="C194" i="24"/>
  <c r="C195" i="24"/>
  <c r="B203" i="24"/>
  <c r="J195" i="24"/>
  <c r="J195" i="20"/>
  <c r="B203" i="20"/>
  <c r="J195" i="9"/>
  <c r="J195" i="8"/>
  <c r="C194" i="8"/>
  <c r="C203" i="24" l="1"/>
  <c r="G32" i="22" l="1"/>
  <c r="I32" i="22" s="1"/>
  <c r="B68" i="24" l="1"/>
  <c r="J68" i="24" s="1"/>
  <c r="B69" i="24"/>
  <c r="C69" i="24" s="1"/>
  <c r="B70" i="24"/>
  <c r="C70" i="24" s="1"/>
  <c r="B71" i="24"/>
  <c r="C71" i="24" s="1"/>
  <c r="B72" i="24"/>
  <c r="C72" i="24" s="1"/>
  <c r="B73" i="24"/>
  <c r="C73" i="24" s="1"/>
  <c r="B68" i="23"/>
  <c r="C68" i="23" s="1"/>
  <c r="B69" i="23"/>
  <c r="C69" i="23" s="1"/>
  <c r="B70" i="23"/>
  <c r="C70" i="23" s="1"/>
  <c r="B71" i="23"/>
  <c r="C71" i="23" s="1"/>
  <c r="B72" i="23"/>
  <c r="C72" i="23" s="1"/>
  <c r="B69" i="20"/>
  <c r="C69" i="20" s="1"/>
  <c r="B70" i="20"/>
  <c r="C70" i="20" s="1"/>
  <c r="B71" i="20"/>
  <c r="C71" i="20" s="1"/>
  <c r="B72" i="20"/>
  <c r="C72" i="20" s="1"/>
  <c r="B69" i="9"/>
  <c r="C69" i="9" s="1"/>
  <c r="B70" i="9"/>
  <c r="C70" i="9" s="1"/>
  <c r="B71" i="9"/>
  <c r="C71" i="9" s="1"/>
  <c r="B72" i="9"/>
  <c r="C72" i="9" s="1"/>
  <c r="B69" i="8"/>
  <c r="C69" i="8" s="1"/>
  <c r="B70" i="8"/>
  <c r="C70" i="8" s="1"/>
  <c r="B71" i="8"/>
  <c r="C71" i="8" s="1"/>
  <c r="C68" i="24" l="1"/>
  <c r="J70" i="24"/>
  <c r="J73" i="24"/>
  <c r="J69" i="24"/>
  <c r="J72" i="24"/>
  <c r="J71" i="24"/>
  <c r="J71" i="23"/>
  <c r="J70" i="23"/>
  <c r="J69" i="23"/>
  <c r="J72" i="23"/>
  <c r="J68" i="23"/>
  <c r="J72" i="20"/>
  <c r="J71" i="20"/>
  <c r="J70" i="20"/>
  <c r="J69" i="20"/>
  <c r="J70" i="9"/>
  <c r="J71" i="9"/>
  <c r="J69" i="9"/>
  <c r="J72" i="9"/>
  <c r="J71" i="8"/>
  <c r="J70" i="8"/>
  <c r="J69" i="8"/>
  <c r="E69" i="24"/>
  <c r="E70" i="24"/>
  <c r="E71" i="24"/>
  <c r="E72" i="24"/>
  <c r="E69" i="23"/>
  <c r="E70" i="23"/>
  <c r="E71" i="23"/>
  <c r="E72" i="23"/>
  <c r="B73" i="23"/>
  <c r="E69" i="20"/>
  <c r="E70" i="20"/>
  <c r="E71" i="20"/>
  <c r="E68" i="9"/>
  <c r="E69" i="9"/>
  <c r="E70" i="9"/>
  <c r="E71" i="9"/>
  <c r="E68" i="8"/>
  <c r="E69" i="8"/>
  <c r="E70" i="8"/>
  <c r="E71" i="8"/>
  <c r="C73" i="23" l="1"/>
  <c r="J73" i="23"/>
  <c r="AV596" i="22" l="1"/>
  <c r="AV597" i="22"/>
  <c r="AX597" i="22"/>
  <c r="AV598" i="22"/>
  <c r="AX598" i="22"/>
  <c r="AV599" i="22"/>
  <c r="AX599" i="22"/>
  <c r="AV600" i="22"/>
  <c r="AX600" i="22"/>
  <c r="AV601" i="22"/>
  <c r="AX601" i="22"/>
  <c r="AV602" i="22"/>
  <c r="AX602" i="22"/>
  <c r="AV603" i="22"/>
  <c r="AX603" i="22"/>
  <c r="AV604" i="22"/>
  <c r="AX604" i="22"/>
  <c r="AV605" i="22"/>
  <c r="AX605" i="22"/>
  <c r="AV606" i="22"/>
  <c r="AX606" i="22"/>
  <c r="AV607" i="22"/>
  <c r="AX607" i="22"/>
  <c r="AV608" i="22"/>
  <c r="AX608" i="22"/>
  <c r="AV609" i="22"/>
  <c r="AV610" i="22"/>
  <c r="AX610" i="22"/>
  <c r="AV611" i="22"/>
  <c r="AX611" i="22"/>
  <c r="AV612" i="22"/>
  <c r="AX612" i="22"/>
  <c r="AV613" i="22"/>
  <c r="AX613" i="22"/>
  <c r="AV614" i="22"/>
  <c r="AX614" i="22"/>
  <c r="AV615" i="22"/>
  <c r="AV616" i="22"/>
  <c r="AV617" i="22"/>
  <c r="AX617" i="22"/>
  <c r="AV618" i="22"/>
  <c r="AV619" i="22"/>
  <c r="AX619" i="22"/>
  <c r="AV620" i="22"/>
  <c r="AX620" i="22"/>
  <c r="AV621" i="22"/>
  <c r="Q2798" i="22"/>
  <c r="S2798" i="22"/>
  <c r="Q2799" i="22"/>
  <c r="S2799" i="22"/>
  <c r="Q2800" i="22"/>
  <c r="S2800" i="22"/>
  <c r="Q2801" i="22"/>
  <c r="Q2802" i="22"/>
  <c r="S2802" i="22"/>
  <c r="Q2803" i="22"/>
  <c r="S2803" i="22"/>
  <c r="Q2804" i="22"/>
  <c r="S2804" i="22"/>
  <c r="Q2805" i="22"/>
  <c r="S2805" i="22"/>
  <c r="Q2806" i="22"/>
  <c r="S2806" i="22"/>
  <c r="Q2807" i="22"/>
  <c r="S2807" i="22"/>
  <c r="Q2808" i="22"/>
  <c r="S2808" i="22"/>
  <c r="Q2809" i="22"/>
  <c r="S2809" i="22"/>
  <c r="Q2810" i="22"/>
  <c r="S2810" i="22"/>
  <c r="Q2811" i="22"/>
  <c r="S2811" i="22"/>
  <c r="Q2812" i="22"/>
  <c r="S2812" i="22"/>
  <c r="Q2813" i="22"/>
  <c r="S2813" i="22"/>
  <c r="Q2814" i="22"/>
  <c r="Q2815" i="22"/>
  <c r="S2815" i="22"/>
  <c r="Q2816" i="22"/>
  <c r="S2816" i="22"/>
  <c r="Q2817" i="22"/>
  <c r="S2817" i="22"/>
  <c r="Q2818" i="22"/>
  <c r="S2818" i="22"/>
  <c r="Q2819" i="22"/>
  <c r="Q2820" i="22"/>
  <c r="S2820" i="22"/>
  <c r="Q2821" i="22"/>
  <c r="S2821" i="22"/>
  <c r="Q2822" i="22"/>
  <c r="S2822" i="22"/>
  <c r="Q2823" i="22"/>
  <c r="S2823" i="22"/>
  <c r="Q2824" i="22"/>
  <c r="S2824" i="22"/>
  <c r="J121" i="20"/>
  <c r="J98" i="9"/>
  <c r="J99" i="9"/>
  <c r="AX609" i="22" l="1"/>
  <c r="S2814" i="22"/>
  <c r="AX616" i="22"/>
  <c r="AX596" i="22"/>
  <c r="S2819" i="22"/>
  <c r="S2801" i="22"/>
  <c r="AX618" i="22"/>
  <c r="AX615" i="22"/>
  <c r="E210" i="24"/>
  <c r="E211" i="24"/>
  <c r="E212" i="24"/>
  <c r="E213" i="24"/>
  <c r="E214" i="24"/>
  <c r="E215" i="24"/>
  <c r="E216" i="24"/>
  <c r="E217" i="24"/>
  <c r="E218" i="24"/>
  <c r="E219" i="24"/>
  <c r="E220" i="24"/>
  <c r="E221" i="24"/>
  <c r="E222" i="24"/>
  <c r="E223" i="24"/>
  <c r="E224" i="24"/>
  <c r="E225" i="24"/>
  <c r="E171" i="24"/>
  <c r="E172" i="24"/>
  <c r="E173" i="24"/>
  <c r="E174" i="24"/>
  <c r="E175" i="24"/>
  <c r="E176" i="24"/>
  <c r="E177" i="24"/>
  <c r="E178" i="24"/>
  <c r="E179" i="24"/>
  <c r="E180" i="24"/>
  <c r="E181" i="24"/>
  <c r="E182" i="24"/>
  <c r="E183" i="24"/>
  <c r="E184" i="24"/>
  <c r="E185" i="24"/>
  <c r="E186" i="24"/>
  <c r="E187"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19" i="24"/>
  <c r="E120" i="24"/>
  <c r="E121" i="24"/>
  <c r="E122" i="24"/>
  <c r="E123" i="24"/>
  <c r="E124" i="24"/>
  <c r="E125" i="24"/>
  <c r="E126" i="24"/>
  <c r="E127" i="24"/>
  <c r="E108" i="24"/>
  <c r="E109" i="24"/>
  <c r="E110" i="24"/>
  <c r="E111" i="24"/>
  <c r="E94" i="24"/>
  <c r="E95" i="24"/>
  <c r="E96" i="24"/>
  <c r="E97" i="24"/>
  <c r="E98" i="24"/>
  <c r="E99" i="24"/>
  <c r="E83" i="24"/>
  <c r="E84" i="24"/>
  <c r="E85" i="24"/>
  <c r="E86"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73" i="24"/>
  <c r="E74" i="24"/>
  <c r="E75" i="24"/>
  <c r="E32" i="24"/>
  <c r="E33" i="24"/>
  <c r="E34" i="24"/>
  <c r="E35" i="24"/>
  <c r="E36" i="24"/>
  <c r="E23" i="24"/>
  <c r="E24" i="24"/>
  <c r="E7" i="24"/>
  <c r="E8" i="24"/>
  <c r="E9" i="24"/>
  <c r="E10" i="24"/>
  <c r="E11" i="24"/>
  <c r="E12" i="24"/>
  <c r="E13" i="24"/>
  <c r="E14" i="24"/>
  <c r="E15" i="24"/>
  <c r="B52" i="24"/>
  <c r="B53" i="24"/>
  <c r="B54" i="24"/>
  <c r="B55" i="24"/>
  <c r="C55" i="24" s="1"/>
  <c r="B56" i="24"/>
  <c r="B57" i="24"/>
  <c r="B58" i="24"/>
  <c r="C58" i="24" s="1"/>
  <c r="B59" i="24"/>
  <c r="B60" i="24"/>
  <c r="B61" i="24"/>
  <c r="B62" i="24"/>
  <c r="B63" i="24"/>
  <c r="C63" i="24" s="1"/>
  <c r="B64" i="24"/>
  <c r="B65" i="24"/>
  <c r="B66" i="24"/>
  <c r="C66" i="24" s="1"/>
  <c r="B67" i="24"/>
  <c r="B74" i="24"/>
  <c r="C74" i="24" s="1"/>
  <c r="B75" i="24"/>
  <c r="E209" i="23"/>
  <c r="E210" i="23"/>
  <c r="E211" i="23"/>
  <c r="E212" i="23"/>
  <c r="E213" i="23"/>
  <c r="E214" i="23"/>
  <c r="E215" i="23"/>
  <c r="E216" i="23"/>
  <c r="E217" i="23"/>
  <c r="E218" i="23"/>
  <c r="E219" i="23"/>
  <c r="E220" i="23"/>
  <c r="E221" i="23"/>
  <c r="E222" i="23"/>
  <c r="E223" i="23"/>
  <c r="E224" i="23"/>
  <c r="E225" i="23"/>
  <c r="E171" i="23"/>
  <c r="E172" i="23"/>
  <c r="E173" i="23"/>
  <c r="E174" i="23"/>
  <c r="E175" i="23"/>
  <c r="E176" i="23"/>
  <c r="E177" i="23"/>
  <c r="E178" i="23"/>
  <c r="E179" i="23"/>
  <c r="E180" i="23"/>
  <c r="E181" i="23"/>
  <c r="E182" i="23"/>
  <c r="E183" i="23"/>
  <c r="E184" i="23"/>
  <c r="E185" i="23"/>
  <c r="E186" i="23"/>
  <c r="E187" i="23"/>
  <c r="E135" i="23"/>
  <c r="E136" i="23"/>
  <c r="E137" i="23"/>
  <c r="E138" i="23"/>
  <c r="E139" i="23"/>
  <c r="E140" i="23"/>
  <c r="E141" i="23"/>
  <c r="E142" i="23"/>
  <c r="E143" i="23"/>
  <c r="E144" i="23"/>
  <c r="E145" i="23"/>
  <c r="E146" i="23"/>
  <c r="E147" i="23"/>
  <c r="E148" i="23"/>
  <c r="E149" i="23"/>
  <c r="E150" i="23"/>
  <c r="E151" i="23"/>
  <c r="E152" i="23"/>
  <c r="E153" i="23"/>
  <c r="E154" i="23"/>
  <c r="E155" i="23"/>
  <c r="E156" i="23"/>
  <c r="E157" i="23"/>
  <c r="E158" i="23"/>
  <c r="E159" i="23"/>
  <c r="E119" i="23"/>
  <c r="E120" i="23"/>
  <c r="E121" i="23"/>
  <c r="E122" i="23"/>
  <c r="E123" i="23"/>
  <c r="E124" i="23"/>
  <c r="E125" i="23"/>
  <c r="E126" i="23"/>
  <c r="E127" i="23"/>
  <c r="E108" i="23"/>
  <c r="E109" i="23"/>
  <c r="E110" i="23"/>
  <c r="E111" i="23"/>
  <c r="E94" i="23"/>
  <c r="E95" i="23"/>
  <c r="E96" i="23"/>
  <c r="E97" i="23"/>
  <c r="E98" i="23"/>
  <c r="E99" i="23"/>
  <c r="E83" i="23"/>
  <c r="E84" i="23"/>
  <c r="E85" i="23"/>
  <c r="E86" i="23"/>
  <c r="E44" i="23"/>
  <c r="E45" i="23"/>
  <c r="E46" i="23"/>
  <c r="E47" i="23"/>
  <c r="E48" i="23"/>
  <c r="E49" i="23"/>
  <c r="E50" i="23"/>
  <c r="E51" i="23"/>
  <c r="E52" i="23"/>
  <c r="E53" i="23"/>
  <c r="E54" i="23"/>
  <c r="E55" i="23"/>
  <c r="E56" i="23"/>
  <c r="E57" i="23"/>
  <c r="E58" i="23"/>
  <c r="E59" i="23"/>
  <c r="E60" i="23"/>
  <c r="E61" i="23"/>
  <c r="E62" i="23"/>
  <c r="E63" i="23"/>
  <c r="E64" i="23"/>
  <c r="E65" i="23"/>
  <c r="E66" i="23"/>
  <c r="E67" i="23"/>
  <c r="E68" i="23"/>
  <c r="E73" i="23"/>
  <c r="E74" i="23"/>
  <c r="E75" i="23"/>
  <c r="E76" i="23"/>
  <c r="E32" i="23"/>
  <c r="E33" i="23"/>
  <c r="E34" i="23"/>
  <c r="E35" i="23"/>
  <c r="E36" i="23"/>
  <c r="E23" i="23"/>
  <c r="E24" i="23"/>
  <c r="E7" i="23"/>
  <c r="E8" i="23"/>
  <c r="E9" i="23"/>
  <c r="E10" i="23"/>
  <c r="E11" i="23"/>
  <c r="E12" i="23"/>
  <c r="E13" i="23"/>
  <c r="E14" i="23"/>
  <c r="E15" i="23"/>
  <c r="E210" i="20"/>
  <c r="E211" i="20"/>
  <c r="E212" i="20"/>
  <c r="E213" i="20"/>
  <c r="E214" i="20"/>
  <c r="E215" i="20"/>
  <c r="E216" i="20"/>
  <c r="E217" i="20"/>
  <c r="E218" i="20"/>
  <c r="E219" i="20"/>
  <c r="E220" i="20"/>
  <c r="E221" i="20"/>
  <c r="E222" i="20"/>
  <c r="E223" i="20"/>
  <c r="E224" i="20"/>
  <c r="E225" i="20"/>
  <c r="E171" i="20"/>
  <c r="E172" i="20"/>
  <c r="E173" i="20"/>
  <c r="E174" i="20"/>
  <c r="E175" i="20"/>
  <c r="E176" i="20"/>
  <c r="E177" i="20"/>
  <c r="E178" i="20"/>
  <c r="E179" i="20"/>
  <c r="E180" i="20"/>
  <c r="E181" i="20"/>
  <c r="E182" i="20"/>
  <c r="E183" i="20"/>
  <c r="E184" i="20"/>
  <c r="E185" i="20"/>
  <c r="E186" i="20"/>
  <c r="E187"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19" i="20"/>
  <c r="E120" i="20"/>
  <c r="E121" i="20"/>
  <c r="E122" i="20"/>
  <c r="E123" i="20"/>
  <c r="E124" i="20"/>
  <c r="E125" i="20"/>
  <c r="E126" i="20"/>
  <c r="E127" i="20"/>
  <c r="E108" i="20"/>
  <c r="E109" i="20"/>
  <c r="E110" i="20"/>
  <c r="E111" i="20"/>
  <c r="E94" i="20"/>
  <c r="E95" i="20"/>
  <c r="E96" i="20"/>
  <c r="E97" i="20"/>
  <c r="E98" i="20"/>
  <c r="E99" i="20"/>
  <c r="E83" i="20"/>
  <c r="E84" i="20"/>
  <c r="E85" i="20"/>
  <c r="E86"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72" i="20"/>
  <c r="E73" i="20"/>
  <c r="E74" i="20"/>
  <c r="E75" i="20"/>
  <c r="E32" i="20"/>
  <c r="E33" i="20"/>
  <c r="E34" i="20"/>
  <c r="E35" i="20"/>
  <c r="E36" i="20"/>
  <c r="E23" i="20"/>
  <c r="E24" i="20"/>
  <c r="E7" i="20"/>
  <c r="E8" i="20"/>
  <c r="E9" i="20"/>
  <c r="E10" i="20"/>
  <c r="E11" i="20"/>
  <c r="E12" i="20"/>
  <c r="E13" i="20"/>
  <c r="E14" i="20"/>
  <c r="E15" i="20"/>
  <c r="G269" i="22"/>
  <c r="G268" i="22"/>
  <c r="G267" i="22"/>
  <c r="G266" i="22"/>
  <c r="G265" i="22"/>
  <c r="S40" i="22"/>
  <c r="Q40" i="22"/>
  <c r="S39" i="22"/>
  <c r="Q39" i="22"/>
  <c r="S38" i="22"/>
  <c r="Q38" i="22"/>
  <c r="S37" i="22"/>
  <c r="Q37" i="22"/>
  <c r="S36" i="22"/>
  <c r="Q36" i="22"/>
  <c r="S35" i="22"/>
  <c r="Q35" i="22"/>
  <c r="S34" i="22"/>
  <c r="Q34" i="22"/>
  <c r="Q33" i="22"/>
  <c r="Q32" i="22"/>
  <c r="AX52" i="22"/>
  <c r="AV52" i="22"/>
  <c r="AV51" i="22"/>
  <c r="AX50" i="22"/>
  <c r="AV50" i="22"/>
  <c r="AX49" i="22"/>
  <c r="AV49" i="22"/>
  <c r="AX48" i="22"/>
  <c r="AV48" i="22"/>
  <c r="AX47" i="22"/>
  <c r="AV47" i="22"/>
  <c r="AX46" i="22"/>
  <c r="AV46" i="22"/>
  <c r="AX45" i="22"/>
  <c r="AV45" i="22"/>
  <c r="AV44" i="22"/>
  <c r="AX43" i="22"/>
  <c r="AV43" i="22"/>
  <c r="AX42" i="22"/>
  <c r="AV42" i="22"/>
  <c r="AV41" i="22"/>
  <c r="AX40" i="22"/>
  <c r="AV40" i="22"/>
  <c r="AX39" i="22"/>
  <c r="AV39" i="22"/>
  <c r="AX38" i="22"/>
  <c r="AV38" i="22"/>
  <c r="AX37" i="22"/>
  <c r="AV37" i="22"/>
  <c r="AX36" i="22"/>
  <c r="AV36" i="22"/>
  <c r="AX35" i="22"/>
  <c r="AV35" i="22"/>
  <c r="AV34" i="22"/>
  <c r="AV33" i="22"/>
  <c r="AX32" i="22"/>
  <c r="AV32" i="22"/>
  <c r="AX44" i="22" l="1"/>
  <c r="AX34" i="22"/>
  <c r="I269" i="22"/>
  <c r="J67" i="24"/>
  <c r="I267" i="22"/>
  <c r="I266" i="22"/>
  <c r="I268" i="22"/>
  <c r="I265" i="22"/>
  <c r="AX33" i="22"/>
  <c r="AX41" i="22"/>
  <c r="C62" i="24"/>
  <c r="C57" i="24"/>
  <c r="C67" i="24"/>
  <c r="C61" i="24"/>
  <c r="C60" i="24"/>
  <c r="C54" i="24"/>
  <c r="C56" i="24"/>
  <c r="C53" i="24"/>
  <c r="C65" i="24"/>
  <c r="C52" i="24"/>
  <c r="C64" i="24"/>
  <c r="C75" i="24"/>
  <c r="C59" i="24"/>
  <c r="J53" i="24"/>
  <c r="J54" i="24"/>
  <c r="J55" i="24"/>
  <c r="J56" i="24"/>
  <c r="J57" i="24"/>
  <c r="J58" i="24"/>
  <c r="J59" i="24"/>
  <c r="J60" i="24"/>
  <c r="J61" i="24"/>
  <c r="J62" i="24"/>
  <c r="J63" i="24"/>
  <c r="J64" i="24"/>
  <c r="J65" i="24"/>
  <c r="J66" i="24"/>
  <c r="E93" i="20" l="1"/>
  <c r="E210" i="9"/>
  <c r="E211" i="9"/>
  <c r="E212" i="9"/>
  <c r="E213" i="9"/>
  <c r="E214" i="9"/>
  <c r="E215" i="9"/>
  <c r="E216" i="9"/>
  <c r="E217" i="9"/>
  <c r="E218" i="9"/>
  <c r="E219" i="9"/>
  <c r="E220" i="9"/>
  <c r="E221" i="9"/>
  <c r="E222" i="9"/>
  <c r="E223" i="9"/>
  <c r="E224" i="9"/>
  <c r="E225" i="9"/>
  <c r="E170" i="9"/>
  <c r="E171" i="9"/>
  <c r="E172" i="9"/>
  <c r="E173" i="9"/>
  <c r="E174" i="9"/>
  <c r="E175" i="9"/>
  <c r="E176" i="9"/>
  <c r="E177" i="9"/>
  <c r="E178" i="9"/>
  <c r="E179" i="9"/>
  <c r="E180" i="9"/>
  <c r="E181" i="9"/>
  <c r="E182" i="9"/>
  <c r="E183" i="9"/>
  <c r="E184" i="9"/>
  <c r="E185" i="9"/>
  <c r="E186" i="9"/>
  <c r="E187"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19" i="9"/>
  <c r="E120" i="9"/>
  <c r="E121" i="9"/>
  <c r="E122" i="9"/>
  <c r="E123" i="9"/>
  <c r="E124" i="9"/>
  <c r="E125" i="9"/>
  <c r="E126" i="9"/>
  <c r="E127" i="9"/>
  <c r="E107" i="9"/>
  <c r="E108" i="9"/>
  <c r="E109" i="9"/>
  <c r="E110" i="9"/>
  <c r="E111" i="9"/>
  <c r="E94" i="9"/>
  <c r="E95" i="9"/>
  <c r="E96" i="9"/>
  <c r="E97" i="9"/>
  <c r="E98" i="9"/>
  <c r="E99" i="9"/>
  <c r="E83" i="9"/>
  <c r="E84" i="9"/>
  <c r="E85" i="9"/>
  <c r="E86" i="9"/>
  <c r="E44" i="9"/>
  <c r="E45" i="9"/>
  <c r="E46" i="9"/>
  <c r="E47" i="9"/>
  <c r="E48" i="9"/>
  <c r="E49" i="9"/>
  <c r="E50" i="9"/>
  <c r="E51" i="9"/>
  <c r="E52" i="9"/>
  <c r="E53" i="9"/>
  <c r="E54" i="9"/>
  <c r="E55" i="9"/>
  <c r="E56" i="9"/>
  <c r="E57" i="9"/>
  <c r="E58" i="9"/>
  <c r="E59" i="9"/>
  <c r="E60" i="9"/>
  <c r="E61" i="9"/>
  <c r="E62" i="9"/>
  <c r="E63" i="9"/>
  <c r="E64" i="9"/>
  <c r="E65" i="9"/>
  <c r="E66" i="9"/>
  <c r="E67" i="9"/>
  <c r="E72" i="9"/>
  <c r="E73" i="9"/>
  <c r="E74" i="9"/>
  <c r="E75" i="9"/>
  <c r="E32" i="9"/>
  <c r="E33" i="9"/>
  <c r="E34" i="9"/>
  <c r="E35" i="9"/>
  <c r="E36" i="9"/>
  <c r="E23" i="9"/>
  <c r="E24" i="9"/>
  <c r="E7" i="9"/>
  <c r="E8" i="9"/>
  <c r="E9" i="9"/>
  <c r="E10" i="9"/>
  <c r="E11" i="9"/>
  <c r="E12" i="9"/>
  <c r="E13" i="9"/>
  <c r="E14" i="9"/>
  <c r="E15" i="9"/>
  <c r="E6" i="9"/>
  <c r="E210" i="8"/>
  <c r="E211" i="8"/>
  <c r="E212" i="8"/>
  <c r="E213" i="8"/>
  <c r="E214" i="8"/>
  <c r="E215" i="8"/>
  <c r="E216" i="8"/>
  <c r="E217" i="8"/>
  <c r="E218" i="8"/>
  <c r="E219" i="8"/>
  <c r="E220" i="8"/>
  <c r="E221" i="8"/>
  <c r="E222" i="8"/>
  <c r="E223" i="8"/>
  <c r="E224" i="8"/>
  <c r="E225" i="8"/>
  <c r="E171" i="8"/>
  <c r="E172" i="8"/>
  <c r="E173" i="8"/>
  <c r="E174" i="8"/>
  <c r="E175" i="8"/>
  <c r="E176" i="8"/>
  <c r="E177" i="8"/>
  <c r="E178" i="8"/>
  <c r="E179" i="8"/>
  <c r="E180" i="8"/>
  <c r="E181" i="8"/>
  <c r="E182" i="8"/>
  <c r="E183" i="8"/>
  <c r="E184" i="8"/>
  <c r="E185" i="8"/>
  <c r="E186" i="8"/>
  <c r="E187"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19" i="8"/>
  <c r="E120" i="8"/>
  <c r="E121" i="8"/>
  <c r="E122" i="8"/>
  <c r="E123" i="8"/>
  <c r="E124" i="8"/>
  <c r="E125" i="8"/>
  <c r="E126" i="8"/>
  <c r="E127" i="8"/>
  <c r="E108" i="8"/>
  <c r="E109" i="8"/>
  <c r="E110" i="8"/>
  <c r="E111" i="8"/>
  <c r="E94" i="8"/>
  <c r="E95" i="8"/>
  <c r="E96" i="8"/>
  <c r="E97" i="8"/>
  <c r="E98" i="8"/>
  <c r="E99" i="8"/>
  <c r="E83" i="8"/>
  <c r="E84" i="8"/>
  <c r="E85" i="8"/>
  <c r="E86" i="8"/>
  <c r="E44" i="8"/>
  <c r="E45" i="8"/>
  <c r="E46" i="8"/>
  <c r="E47" i="8"/>
  <c r="E48" i="8"/>
  <c r="E49" i="8"/>
  <c r="E50" i="8"/>
  <c r="E51" i="8"/>
  <c r="E52" i="8"/>
  <c r="E53" i="8"/>
  <c r="E54" i="8"/>
  <c r="E55" i="8"/>
  <c r="E56" i="8"/>
  <c r="E57" i="8"/>
  <c r="E58" i="8"/>
  <c r="E59" i="8"/>
  <c r="E60" i="8"/>
  <c r="E61" i="8"/>
  <c r="E62" i="8"/>
  <c r="E63" i="8"/>
  <c r="E64" i="8"/>
  <c r="E65" i="8"/>
  <c r="E66" i="8"/>
  <c r="E67" i="8"/>
  <c r="E72" i="8"/>
  <c r="E73" i="8"/>
  <c r="E74" i="8"/>
  <c r="E75" i="8"/>
  <c r="E32" i="8"/>
  <c r="E33" i="8"/>
  <c r="E34" i="8"/>
  <c r="E35" i="8"/>
  <c r="E36" i="8"/>
  <c r="E23" i="8"/>
  <c r="E24" i="8"/>
  <c r="E7" i="8"/>
  <c r="E8" i="8"/>
  <c r="E9" i="8"/>
  <c r="E10" i="8"/>
  <c r="E11" i="8"/>
  <c r="E12" i="8"/>
  <c r="E13" i="8"/>
  <c r="E14" i="8"/>
  <c r="E15" i="8"/>
  <c r="B44" i="23" l="1"/>
  <c r="C44" i="23" s="1"/>
  <c r="B45" i="23"/>
  <c r="C45" i="23" s="1"/>
  <c r="B46" i="23"/>
  <c r="C46" i="23" s="1"/>
  <c r="B47" i="23"/>
  <c r="B48" i="23"/>
  <c r="C48" i="23" s="1"/>
  <c r="B49" i="23"/>
  <c r="C49" i="23" s="1"/>
  <c r="B50" i="23"/>
  <c r="C50" i="23" s="1"/>
  <c r="B51" i="23"/>
  <c r="C51" i="23" s="1"/>
  <c r="B52" i="23"/>
  <c r="C52" i="23" s="1"/>
  <c r="B53" i="23"/>
  <c r="C53" i="23" s="1"/>
  <c r="B54" i="23"/>
  <c r="C54" i="23" s="1"/>
  <c r="B55" i="23"/>
  <c r="C55" i="23" s="1"/>
  <c r="B56" i="23"/>
  <c r="C56" i="23" s="1"/>
  <c r="B57" i="23"/>
  <c r="C57" i="23" s="1"/>
  <c r="B58" i="23"/>
  <c r="C58" i="23" s="1"/>
  <c r="B59" i="23"/>
  <c r="C59" i="23" s="1"/>
  <c r="B60" i="23"/>
  <c r="C60" i="23" s="1"/>
  <c r="B61" i="23"/>
  <c r="C61" i="23" s="1"/>
  <c r="B62" i="23"/>
  <c r="C62" i="23" s="1"/>
  <c r="B63" i="23"/>
  <c r="C63" i="23" s="1"/>
  <c r="B64" i="23"/>
  <c r="C64" i="23" s="1"/>
  <c r="B65" i="23"/>
  <c r="C65" i="23" s="1"/>
  <c r="B66" i="23"/>
  <c r="C66" i="23" s="1"/>
  <c r="B67" i="23"/>
  <c r="C67" i="23" s="1"/>
  <c r="B74" i="23"/>
  <c r="C74" i="23" s="1"/>
  <c r="B75" i="23"/>
  <c r="C75" i="23" s="1"/>
  <c r="B44" i="20"/>
  <c r="B45" i="20"/>
  <c r="B46" i="20"/>
  <c r="B47" i="20"/>
  <c r="C47" i="20" s="1"/>
  <c r="B48" i="20"/>
  <c r="B49" i="20"/>
  <c r="B50" i="20"/>
  <c r="B51" i="20"/>
  <c r="C51" i="20" s="1"/>
  <c r="B52" i="20"/>
  <c r="B53" i="20"/>
  <c r="B54" i="20"/>
  <c r="B55" i="20"/>
  <c r="C55" i="20" s="1"/>
  <c r="B56" i="20"/>
  <c r="B57" i="20"/>
  <c r="B58" i="20"/>
  <c r="B59" i="20"/>
  <c r="C59" i="20" s="1"/>
  <c r="B60" i="20"/>
  <c r="B61" i="20"/>
  <c r="B62" i="20"/>
  <c r="B63" i="20"/>
  <c r="C63" i="20" s="1"/>
  <c r="B64" i="20"/>
  <c r="B65" i="20"/>
  <c r="B66" i="20"/>
  <c r="B67" i="20"/>
  <c r="C67" i="20" s="1"/>
  <c r="B68" i="20"/>
  <c r="B73" i="20"/>
  <c r="B74" i="20"/>
  <c r="B75" i="20"/>
  <c r="B44" i="9"/>
  <c r="B45" i="9"/>
  <c r="B46" i="9"/>
  <c r="B47" i="9"/>
  <c r="C47" i="9" s="1"/>
  <c r="B48" i="9"/>
  <c r="B49" i="9"/>
  <c r="B50" i="9"/>
  <c r="B51" i="9"/>
  <c r="B52" i="9"/>
  <c r="B53" i="9"/>
  <c r="B54" i="9"/>
  <c r="B55" i="9"/>
  <c r="B56" i="9"/>
  <c r="B57" i="9"/>
  <c r="B58" i="9"/>
  <c r="B59" i="9"/>
  <c r="B60" i="9"/>
  <c r="B61" i="9"/>
  <c r="B62" i="9"/>
  <c r="C62" i="9" s="1"/>
  <c r="B63" i="9"/>
  <c r="C63" i="9" s="1"/>
  <c r="B64" i="9"/>
  <c r="B65" i="9"/>
  <c r="B66" i="9"/>
  <c r="B67" i="9"/>
  <c r="C67" i="9" s="1"/>
  <c r="B68" i="9"/>
  <c r="B73" i="9"/>
  <c r="B74" i="9"/>
  <c r="B75" i="9"/>
  <c r="B66" i="8"/>
  <c r="B65" i="8"/>
  <c r="J65" i="8" s="1"/>
  <c r="B64" i="8"/>
  <c r="B63" i="8"/>
  <c r="B68" i="8"/>
  <c r="B67" i="8"/>
  <c r="B72" i="8"/>
  <c r="B73" i="8"/>
  <c r="B74" i="8"/>
  <c r="B75" i="8"/>
  <c r="J75" i="8" s="1"/>
  <c r="B53" i="8"/>
  <c r="J53" i="8" s="1"/>
  <c r="B54" i="8"/>
  <c r="J54" i="8" s="1"/>
  <c r="B55" i="8"/>
  <c r="B56" i="8"/>
  <c r="B57" i="8"/>
  <c r="J57" i="8" s="1"/>
  <c r="B58" i="8"/>
  <c r="J58" i="8" s="1"/>
  <c r="B59" i="8"/>
  <c r="J59" i="8" s="1"/>
  <c r="B60" i="8"/>
  <c r="J60" i="8" s="1"/>
  <c r="B61" i="8"/>
  <c r="J61" i="8" s="1"/>
  <c r="B62" i="8"/>
  <c r="J62" i="8" s="1"/>
  <c r="B52" i="8"/>
  <c r="B81" i="8"/>
  <c r="C81" i="8" s="1"/>
  <c r="E81" i="8"/>
  <c r="B82" i="8"/>
  <c r="C82" i="8" s="1"/>
  <c r="E82" i="8"/>
  <c r="B83" i="8"/>
  <c r="C83" i="8" s="1"/>
  <c r="B84" i="8"/>
  <c r="C84" i="8" s="1"/>
  <c r="B85" i="8"/>
  <c r="C85" i="8" s="1"/>
  <c r="B86" i="8"/>
  <c r="C86" i="8" s="1"/>
  <c r="B92" i="8"/>
  <c r="E92" i="8"/>
  <c r="B93" i="8"/>
  <c r="C93" i="8" s="1"/>
  <c r="E93" i="8"/>
  <c r="B44" i="8"/>
  <c r="J44" i="8" s="1"/>
  <c r="B45" i="8"/>
  <c r="J45" i="8" s="1"/>
  <c r="B46" i="8"/>
  <c r="B47" i="8"/>
  <c r="B48" i="8"/>
  <c r="J48" i="8" s="1"/>
  <c r="B49" i="8"/>
  <c r="J49" i="8" s="1"/>
  <c r="B50" i="8"/>
  <c r="J50" i="8" s="1"/>
  <c r="B51" i="8"/>
  <c r="J73" i="20" l="1"/>
  <c r="J73" i="9"/>
  <c r="J68" i="9"/>
  <c r="C74" i="9"/>
  <c r="J74" i="9"/>
  <c r="J74" i="8"/>
  <c r="J73" i="8"/>
  <c r="J72" i="8"/>
  <c r="J68" i="8"/>
  <c r="J75" i="9"/>
  <c r="C55" i="9"/>
  <c r="J55" i="9"/>
  <c r="J62" i="9"/>
  <c r="J54" i="9"/>
  <c r="J47" i="9"/>
  <c r="J67" i="9"/>
  <c r="C66" i="9"/>
  <c r="J66" i="9"/>
  <c r="J60" i="9"/>
  <c r="J52" i="9"/>
  <c r="J45" i="9"/>
  <c r="J59" i="9"/>
  <c r="C51" i="9"/>
  <c r="J51" i="9"/>
  <c r="J44" i="9"/>
  <c r="J61" i="9"/>
  <c r="J64" i="9"/>
  <c r="C58" i="9"/>
  <c r="J58" i="9"/>
  <c r="C50" i="9"/>
  <c r="J50" i="9"/>
  <c r="J53" i="9"/>
  <c r="J65" i="9"/>
  <c r="J57" i="9"/>
  <c r="J49" i="9"/>
  <c r="C46" i="9"/>
  <c r="J46" i="9"/>
  <c r="J63" i="9"/>
  <c r="J56" i="9"/>
  <c r="J48" i="9"/>
  <c r="J75" i="20"/>
  <c r="C68" i="20"/>
  <c r="J68" i="20"/>
  <c r="C62" i="20"/>
  <c r="J62" i="20"/>
  <c r="C49" i="20"/>
  <c r="J49" i="20"/>
  <c r="J55" i="20"/>
  <c r="C73" i="20"/>
  <c r="C54" i="20"/>
  <c r="J54" i="20"/>
  <c r="C48" i="20"/>
  <c r="J48" i="20"/>
  <c r="J67" i="20"/>
  <c r="C60" i="20"/>
  <c r="J60" i="20"/>
  <c r="C66" i="20"/>
  <c r="J66" i="20"/>
  <c r="C53" i="20"/>
  <c r="J53" i="20"/>
  <c r="J47" i="20"/>
  <c r="C65" i="20"/>
  <c r="J65" i="20"/>
  <c r="J59" i="20"/>
  <c r="C52" i="20"/>
  <c r="J52" i="20"/>
  <c r="C46" i="20"/>
  <c r="J46" i="20"/>
  <c r="C61" i="20"/>
  <c r="J61" i="20"/>
  <c r="C64" i="20"/>
  <c r="J64" i="20"/>
  <c r="C45" i="20"/>
  <c r="J45" i="20"/>
  <c r="C57" i="20"/>
  <c r="J57" i="20"/>
  <c r="J51" i="20"/>
  <c r="C44" i="20"/>
  <c r="J44" i="20"/>
  <c r="C74" i="20"/>
  <c r="J74" i="20"/>
  <c r="C58" i="20"/>
  <c r="J58" i="20"/>
  <c r="C75" i="20"/>
  <c r="J63" i="20"/>
  <c r="C56" i="20"/>
  <c r="J56" i="20"/>
  <c r="C50" i="20"/>
  <c r="J50" i="20"/>
  <c r="C56" i="8"/>
  <c r="C48" i="8"/>
  <c r="C55" i="8"/>
  <c r="J52" i="8"/>
  <c r="C46" i="8"/>
  <c r="C62" i="8"/>
  <c r="J51" i="8"/>
  <c r="C45" i="8"/>
  <c r="C61" i="8"/>
  <c r="C53" i="8"/>
  <c r="J67" i="8"/>
  <c r="C54" i="8"/>
  <c r="C44" i="8"/>
  <c r="C60" i="8"/>
  <c r="C75" i="8"/>
  <c r="J66" i="8"/>
  <c r="C59" i="8"/>
  <c r="C58" i="8"/>
  <c r="C73" i="8"/>
  <c r="J47" i="8"/>
  <c r="J64" i="8"/>
  <c r="J56" i="8"/>
  <c r="C74" i="8"/>
  <c r="C50" i="8"/>
  <c r="C49" i="8"/>
  <c r="C57" i="8"/>
  <c r="C72" i="8"/>
  <c r="J46" i="8"/>
  <c r="J63" i="8"/>
  <c r="J55" i="8"/>
  <c r="C48" i="9"/>
  <c r="C68" i="9"/>
  <c r="C52" i="9"/>
  <c r="C53" i="9"/>
  <c r="C73" i="9"/>
  <c r="C56" i="9"/>
  <c r="C64" i="9"/>
  <c r="C57" i="9"/>
  <c r="C61" i="9"/>
  <c r="C45" i="9"/>
  <c r="C60" i="9"/>
  <c r="C44" i="9"/>
  <c r="C75" i="9"/>
  <c r="C65" i="9"/>
  <c r="C59" i="9"/>
  <c r="C54" i="9"/>
  <c r="C49" i="9"/>
  <c r="C47" i="23"/>
  <c r="J53" i="23"/>
  <c r="J54" i="23"/>
  <c r="J55" i="23"/>
  <c r="J56" i="23"/>
  <c r="J57" i="23"/>
  <c r="J58" i="23"/>
  <c r="J59" i="23"/>
  <c r="J60" i="23"/>
  <c r="J61" i="23"/>
  <c r="J62" i="23"/>
  <c r="J63" i="23"/>
  <c r="J64" i="23"/>
  <c r="J65" i="23"/>
  <c r="J66" i="23"/>
  <c r="J67" i="23"/>
  <c r="C63" i="8"/>
  <c r="C64" i="8"/>
  <c r="C65" i="8"/>
  <c r="C66" i="8"/>
  <c r="C67" i="8"/>
  <c r="C68" i="8"/>
  <c r="C52" i="8"/>
  <c r="J82" i="8"/>
  <c r="J85" i="8"/>
  <c r="J84" i="8"/>
  <c r="J93" i="8"/>
  <c r="J83" i="8"/>
  <c r="B87" i="8"/>
  <c r="C92" i="8"/>
  <c r="C51" i="8"/>
  <c r="C47" i="8"/>
  <c r="S52" i="22"/>
  <c r="Q52" i="22"/>
  <c r="S51" i="22"/>
  <c r="Q51" i="22"/>
  <c r="S50" i="22"/>
  <c r="Q50" i="22"/>
  <c r="S49" i="22"/>
  <c r="Q49" i="22"/>
  <c r="S48" i="22"/>
  <c r="Q48" i="22"/>
  <c r="Q47" i="22"/>
  <c r="Q46" i="22"/>
  <c r="S45" i="22"/>
  <c r="Q45" i="22"/>
  <c r="S44" i="22"/>
  <c r="Q44" i="22"/>
  <c r="S43" i="22"/>
  <c r="Q43" i="22"/>
  <c r="S42" i="22"/>
  <c r="Q42" i="22"/>
  <c r="Q41" i="22"/>
  <c r="S33" i="22" l="1"/>
  <c r="G312" i="22"/>
  <c r="R2896" i="22"/>
  <c r="Q2896" i="22"/>
  <c r="Q64" i="22"/>
  <c r="Q63" i="22"/>
  <c r="S62" i="22"/>
  <c r="Q62" i="22"/>
  <c r="S61" i="22"/>
  <c r="Q61" i="22"/>
  <c r="S60" i="22"/>
  <c r="Q60" i="22"/>
  <c r="Q59" i="22"/>
  <c r="Q58" i="22"/>
  <c r="S57" i="22"/>
  <c r="Q57" i="22"/>
  <c r="Q56" i="22"/>
  <c r="S55" i="22"/>
  <c r="Q55" i="22"/>
  <c r="S54" i="22"/>
  <c r="Q54" i="22"/>
  <c r="Q53" i="22"/>
  <c r="S58" i="22" l="1"/>
  <c r="S46" i="22"/>
  <c r="S59" i="22"/>
  <c r="S47" i="22"/>
  <c r="S32" i="22"/>
  <c r="S2896" i="22"/>
  <c r="S41" i="22"/>
  <c r="I312" i="22"/>
  <c r="S68" i="22"/>
  <c r="Q68" i="22"/>
  <c r="S67" i="22"/>
  <c r="Q67" i="22"/>
  <c r="S66" i="22"/>
  <c r="Q66" i="22"/>
  <c r="Q65" i="22"/>
  <c r="AV54" i="22"/>
  <c r="AV53" i="22"/>
  <c r="S56" i="22" l="1"/>
  <c r="S71" i="22"/>
  <c r="Q71" i="22"/>
  <c r="S70" i="22"/>
  <c r="Q70" i="22"/>
  <c r="Q69" i="22"/>
  <c r="AV55" i="22"/>
  <c r="G271" i="22" l="1"/>
  <c r="G270" i="22"/>
  <c r="Q93" i="22"/>
  <c r="Q92" i="22"/>
  <c r="S91" i="22"/>
  <c r="Q91" i="22"/>
  <c r="Q90" i="22"/>
  <c r="Q89" i="22"/>
  <c r="S88" i="22"/>
  <c r="Q88" i="22"/>
  <c r="Q87" i="22"/>
  <c r="S86" i="22"/>
  <c r="Q86" i="22"/>
  <c r="S85" i="22"/>
  <c r="Q85" i="22"/>
  <c r="S84" i="22"/>
  <c r="Q84" i="22"/>
  <c r="S83" i="22"/>
  <c r="Q83" i="22"/>
  <c r="Q82" i="22"/>
  <c r="Q81" i="22"/>
  <c r="Q80" i="22"/>
  <c r="S79" i="22"/>
  <c r="Q79" i="22"/>
  <c r="Q78" i="22"/>
  <c r="Q77" i="22"/>
  <c r="S76" i="22"/>
  <c r="Q76" i="22"/>
  <c r="S75" i="22"/>
  <c r="Q75" i="22"/>
  <c r="S74" i="22"/>
  <c r="Q74" i="22"/>
  <c r="S73" i="22"/>
  <c r="Q73" i="22"/>
  <c r="Q72" i="22"/>
  <c r="AV57" i="22"/>
  <c r="AV56" i="22"/>
  <c r="S82" i="22" l="1"/>
  <c r="S81" i="22"/>
  <c r="S78" i="22"/>
  <c r="S77" i="22"/>
  <c r="S65" i="22"/>
  <c r="I271" i="22"/>
  <c r="S69" i="22"/>
  <c r="I270" i="22"/>
  <c r="S107" i="22"/>
  <c r="Q107" i="22"/>
  <c r="Q106" i="22"/>
  <c r="S105" i="22"/>
  <c r="Q105" i="22"/>
  <c r="S104" i="22"/>
  <c r="Q104" i="22"/>
  <c r="S103" i="22"/>
  <c r="Q103" i="22"/>
  <c r="Q102" i="22"/>
  <c r="Q101" i="22"/>
  <c r="Q100" i="22"/>
  <c r="Q99" i="22"/>
  <c r="Q98" i="22"/>
  <c r="S97" i="22"/>
  <c r="Q97" i="22"/>
  <c r="Q96" i="22"/>
  <c r="Q95" i="22"/>
  <c r="Q94" i="22"/>
  <c r="S72" i="22" s="1"/>
  <c r="AV59" i="22"/>
  <c r="AV58" i="22"/>
  <c r="AX53" i="22" s="1"/>
  <c r="S95" i="22" l="1"/>
  <c r="S80" i="22"/>
  <c r="S92" i="22"/>
  <c r="S100" i="22"/>
  <c r="S98" i="22"/>
  <c r="S90" i="22"/>
  <c r="S89" i="22"/>
  <c r="S93" i="22"/>
  <c r="AV61" i="22"/>
  <c r="AV60" i="22"/>
  <c r="AX55" i="22" s="1"/>
  <c r="AV63" i="22" l="1"/>
  <c r="AV62" i="22"/>
  <c r="Q108" i="22" l="1"/>
  <c r="Q127" i="22" l="1"/>
  <c r="S126" i="22"/>
  <c r="Q126" i="22"/>
  <c r="Q125" i="22"/>
  <c r="Q124" i="22"/>
  <c r="S123" i="22"/>
  <c r="Q123" i="22"/>
  <c r="Q122" i="22"/>
  <c r="Q121" i="22"/>
  <c r="Q120" i="22"/>
  <c r="S119" i="22"/>
  <c r="Q119" i="22"/>
  <c r="Q118" i="22"/>
  <c r="S117" i="22"/>
  <c r="Q117" i="22"/>
  <c r="S116" i="22"/>
  <c r="Q116" i="22"/>
  <c r="S115" i="22"/>
  <c r="Q115" i="22"/>
  <c r="Q114" i="22"/>
  <c r="S113" i="22"/>
  <c r="Q113" i="22"/>
  <c r="S112" i="22"/>
  <c r="Q112" i="22"/>
  <c r="S111" i="22"/>
  <c r="Q111" i="22"/>
  <c r="S110" i="22"/>
  <c r="Q110" i="22"/>
  <c r="Q109" i="22"/>
  <c r="AV64" i="22"/>
  <c r="AX58" i="22" s="1"/>
  <c r="S114" i="22" l="1"/>
  <c r="S122" i="22"/>
  <c r="S106" i="22"/>
  <c r="S121" i="22"/>
  <c r="S125" i="22"/>
  <c r="S129" i="22"/>
  <c r="Q129" i="22"/>
  <c r="Q128" i="22"/>
  <c r="S118" i="22" l="1"/>
  <c r="Q133" i="22"/>
  <c r="Q132" i="22"/>
  <c r="Q131" i="22"/>
  <c r="Q130" i="22"/>
  <c r="AV65" i="22"/>
  <c r="S140" i="22" l="1"/>
  <c r="Q140" i="22"/>
  <c r="S139" i="22"/>
  <c r="Q139" i="22"/>
  <c r="S138" i="22"/>
  <c r="Q138" i="22"/>
  <c r="S137" i="22"/>
  <c r="Q137" i="22"/>
  <c r="S136" i="22"/>
  <c r="Q136" i="22"/>
  <c r="S135" i="22"/>
  <c r="Q135" i="22"/>
  <c r="Q134" i="22"/>
  <c r="AV67" i="22"/>
  <c r="AV66" i="22"/>
  <c r="Q141" i="22" l="1"/>
  <c r="AX70" i="22"/>
  <c r="AV70" i="22"/>
  <c r="AV69" i="22"/>
  <c r="AV68" i="22"/>
  <c r="S151" i="22" l="1"/>
  <c r="Q151" i="22"/>
  <c r="S150" i="22"/>
  <c r="Q150" i="22"/>
  <c r="Q149" i="22"/>
  <c r="S148" i="22"/>
  <c r="Q148" i="22"/>
  <c r="S147" i="22"/>
  <c r="Q147" i="22"/>
  <c r="S146" i="22"/>
  <c r="Q146" i="22"/>
  <c r="Q145" i="22"/>
  <c r="Q144" i="22"/>
  <c r="Q143" i="22"/>
  <c r="Q142" i="22"/>
  <c r="S133" i="22" l="1"/>
  <c r="S167" i="22"/>
  <c r="Q167" i="22"/>
  <c r="S166" i="22"/>
  <c r="Q166" i="22"/>
  <c r="Q165" i="22"/>
  <c r="Q164" i="22"/>
  <c r="Q163" i="22"/>
  <c r="Q162" i="22"/>
  <c r="Q161" i="22"/>
  <c r="Q160" i="22"/>
  <c r="Q159" i="22"/>
  <c r="Q158" i="22"/>
  <c r="Q157" i="22"/>
  <c r="Q156" i="22"/>
  <c r="Q155" i="22"/>
  <c r="Q154" i="22"/>
  <c r="S153" i="22"/>
  <c r="Q153" i="22"/>
  <c r="Q152" i="22"/>
  <c r="S143" i="22" s="1"/>
  <c r="S156" i="22" l="1"/>
  <c r="S145" i="22"/>
  <c r="S158" i="22"/>
  <c r="S144" i="22"/>
  <c r="S155" i="22"/>
  <c r="S159" i="22"/>
  <c r="S154" i="22"/>
  <c r="S157" i="22"/>
  <c r="B154" i="24"/>
  <c r="C154" i="24" s="1"/>
  <c r="B155" i="24"/>
  <c r="J155" i="24" s="1"/>
  <c r="B156" i="24"/>
  <c r="C156" i="24" s="1"/>
  <c r="B157" i="24"/>
  <c r="C157" i="24" s="1"/>
  <c r="B158" i="24"/>
  <c r="C158" i="24" s="1"/>
  <c r="B159" i="24"/>
  <c r="B154" i="23"/>
  <c r="C154" i="23" s="1"/>
  <c r="B155" i="23"/>
  <c r="C155" i="23" s="1"/>
  <c r="B156" i="23"/>
  <c r="C156" i="23" s="1"/>
  <c r="B157" i="23"/>
  <c r="C157" i="23" s="1"/>
  <c r="B158" i="23"/>
  <c r="C158" i="23" s="1"/>
  <c r="B159" i="23"/>
  <c r="B154" i="20"/>
  <c r="B155" i="20"/>
  <c r="B156" i="20"/>
  <c r="B157" i="20"/>
  <c r="B158" i="20"/>
  <c r="B159" i="20"/>
  <c r="B154" i="9"/>
  <c r="B155" i="9"/>
  <c r="B156" i="9"/>
  <c r="B157" i="9"/>
  <c r="B158" i="9"/>
  <c r="B159" i="9"/>
  <c r="B154" i="8"/>
  <c r="J154" i="8" s="1"/>
  <c r="B155" i="8"/>
  <c r="C155" i="8" s="1"/>
  <c r="B156" i="8"/>
  <c r="C156" i="8" s="1"/>
  <c r="B157" i="8"/>
  <c r="C157" i="8" s="1"/>
  <c r="B158" i="8"/>
  <c r="C158" i="8" s="1"/>
  <c r="B159" i="8"/>
  <c r="C159" i="24" l="1"/>
  <c r="C159" i="23"/>
  <c r="C159" i="8"/>
  <c r="C158" i="9"/>
  <c r="J158" i="9"/>
  <c r="J157" i="9"/>
  <c r="C154" i="9"/>
  <c r="J154" i="9"/>
  <c r="J159" i="9"/>
  <c r="J155" i="9"/>
  <c r="C156" i="9"/>
  <c r="J156" i="9"/>
  <c r="C157" i="20"/>
  <c r="J157" i="20"/>
  <c r="C154" i="20"/>
  <c r="J154" i="20"/>
  <c r="C159" i="20"/>
  <c r="J159" i="20"/>
  <c r="C156" i="20"/>
  <c r="J156" i="20"/>
  <c r="C155" i="20"/>
  <c r="J155" i="20"/>
  <c r="C158" i="20"/>
  <c r="J158" i="20"/>
  <c r="J156" i="24"/>
  <c r="C154" i="8"/>
  <c r="J156" i="23"/>
  <c r="C159" i="9"/>
  <c r="C155" i="24"/>
  <c r="J156" i="8"/>
  <c r="J158" i="24"/>
  <c r="J154" i="24"/>
  <c r="J157" i="24"/>
  <c r="J159" i="24"/>
  <c r="J155" i="23"/>
  <c r="J158" i="23"/>
  <c r="J157" i="23"/>
  <c r="J154" i="23"/>
  <c r="J159" i="23"/>
  <c r="C157" i="9"/>
  <c r="C155" i="9"/>
  <c r="J159" i="8"/>
  <c r="J158" i="8"/>
  <c r="J155" i="8"/>
  <c r="J157" i="8"/>
  <c r="S171" i="22"/>
  <c r="Q171" i="22"/>
  <c r="S170" i="22"/>
  <c r="Q170" i="22"/>
  <c r="Q169" i="22"/>
  <c r="Q168" i="22"/>
  <c r="Q183" i="22" l="1"/>
  <c r="Q182" i="22"/>
  <c r="S181" i="22"/>
  <c r="Q181" i="22"/>
  <c r="Q180" i="22"/>
  <c r="Q179" i="22"/>
  <c r="S178" i="22"/>
  <c r="Q178" i="22"/>
  <c r="S177" i="22"/>
  <c r="Q177" i="22"/>
  <c r="Q176" i="22"/>
  <c r="Q175" i="22"/>
  <c r="Q174" i="22"/>
  <c r="S173" i="22"/>
  <c r="Q173" i="22"/>
  <c r="Q172" i="22"/>
  <c r="S174" i="22" l="1"/>
  <c r="S163" i="22"/>
  <c r="S179" i="22"/>
  <c r="S164" i="22"/>
  <c r="S165" i="22"/>
  <c r="Q185" i="22"/>
  <c r="Q184" i="22"/>
  <c r="AV72" i="22"/>
  <c r="AV71" i="22"/>
  <c r="S175" i="22" l="1"/>
  <c r="S183" i="22"/>
  <c r="AV73" i="22"/>
  <c r="S208" i="22" l="1"/>
  <c r="Q208" i="22"/>
  <c r="Q207" i="22"/>
  <c r="Q206" i="22"/>
  <c r="S205" i="22"/>
  <c r="Q205" i="22"/>
  <c r="S204" i="22"/>
  <c r="Q204" i="22"/>
  <c r="Q203" i="22"/>
  <c r="Q202" i="22"/>
  <c r="S201" i="22"/>
  <c r="Q201" i="22"/>
  <c r="S200" i="22"/>
  <c r="Q200" i="22"/>
  <c r="S199" i="22"/>
  <c r="Q199" i="22"/>
  <c r="S198" i="22"/>
  <c r="Q198" i="22"/>
  <c r="S197" i="22"/>
  <c r="Q197" i="22"/>
  <c r="S196" i="22"/>
  <c r="Q196" i="22"/>
  <c r="S195" i="22"/>
  <c r="Q195" i="22"/>
  <c r="S194" i="22"/>
  <c r="Q194" i="22"/>
  <c r="Q193" i="22"/>
  <c r="Q192" i="22"/>
  <c r="S191" i="22"/>
  <c r="Q191" i="22"/>
  <c r="Q190" i="22"/>
  <c r="S189" i="22"/>
  <c r="Q189" i="22"/>
  <c r="S188" i="22"/>
  <c r="Q188" i="22"/>
  <c r="S187" i="22"/>
  <c r="Q187" i="22"/>
  <c r="Q186" i="22"/>
  <c r="XFD580" i="22"/>
  <c r="XFD581" i="22" s="1"/>
  <c r="XFD583" i="22" s="1"/>
  <c r="XFD586" i="22" s="1"/>
  <c r="XFD588" i="22" s="1"/>
  <c r="XFD589" i="22" s="1"/>
  <c r="XFD590" i="22" s="1"/>
  <c r="XFD592" i="22" s="1"/>
  <c r="XFD594" i="22" s="1"/>
  <c r="XFD596" i="22" s="1"/>
  <c r="XFD598" i="22" s="1"/>
  <c r="XFD599" i="22" s="1"/>
  <c r="XFD601" i="22" s="1"/>
  <c r="XFD622" i="22" s="1"/>
  <c r="AV75" i="22"/>
  <c r="AV74" i="22"/>
  <c r="AX64" i="22" s="1"/>
  <c r="S176" i="22" l="1"/>
  <c r="S190" i="22"/>
  <c r="S2831" i="22"/>
  <c r="Q2831" i="22"/>
  <c r="Q2830" i="22"/>
  <c r="Q2829" i="22"/>
  <c r="S2828" i="22"/>
  <c r="Q2828" i="22"/>
  <c r="Q2827" i="22"/>
  <c r="Q2826" i="22"/>
  <c r="Q2825" i="22"/>
  <c r="Q2797" i="22"/>
  <c r="Q2796" i="22"/>
  <c r="Q2795" i="22"/>
  <c r="S2794" i="22"/>
  <c r="Q2794" i="22"/>
  <c r="Q2793" i="22"/>
  <c r="S2792" i="22"/>
  <c r="Q2792" i="22"/>
  <c r="S2791" i="22"/>
  <c r="Q2791" i="22"/>
  <c r="Q2790" i="22"/>
  <c r="AV642" i="22"/>
  <c r="AV641" i="22"/>
  <c r="S2796" i="22" l="1"/>
  <c r="S2793" i="22"/>
  <c r="S2795" i="22"/>
  <c r="AX641" i="22"/>
  <c r="S2797" i="22"/>
  <c r="S2790" i="22"/>
  <c r="AX644" i="22"/>
  <c r="AV644" i="22"/>
  <c r="S2847" i="22"/>
  <c r="Q2847" i="22"/>
  <c r="I166" i="22"/>
  <c r="G166" i="22"/>
  <c r="J75" i="24" l="1"/>
  <c r="S2772" i="22" l="1"/>
  <c r="Q2772" i="22"/>
  <c r="S2771" i="22"/>
  <c r="Q2771" i="22"/>
  <c r="S2770" i="22"/>
  <c r="Q2770" i="22"/>
  <c r="S2769" i="22"/>
  <c r="Q2769" i="22"/>
  <c r="S2768" i="22"/>
  <c r="Q2768" i="22"/>
  <c r="S2767" i="22"/>
  <c r="Q2767" i="22"/>
  <c r="S2766" i="22"/>
  <c r="Q2766" i="22"/>
  <c r="S2765" i="22"/>
  <c r="Q2765" i="22"/>
  <c r="S2764" i="22"/>
  <c r="Q2764" i="22"/>
  <c r="S2763" i="22"/>
  <c r="Q2763" i="22"/>
  <c r="S2762" i="22"/>
  <c r="Q2762" i="22"/>
  <c r="S2761" i="22"/>
  <c r="Q2761" i="22"/>
  <c r="S2760" i="22"/>
  <c r="Q2760" i="22"/>
  <c r="S2759" i="22"/>
  <c r="Q2759" i="22"/>
  <c r="S2758" i="22"/>
  <c r="Q2758" i="22"/>
  <c r="S2757" i="22"/>
  <c r="Q2757" i="22"/>
  <c r="S2756" i="22"/>
  <c r="Q2756" i="22"/>
  <c r="S2755" i="22"/>
  <c r="Q2755" i="22"/>
  <c r="S2754" i="22"/>
  <c r="Q2754" i="22"/>
  <c r="S2753" i="22"/>
  <c r="Q2753" i="22"/>
  <c r="S2752" i="22"/>
  <c r="Q2752" i="22"/>
  <c r="S2751" i="22"/>
  <c r="Q2751" i="22"/>
  <c r="S2750" i="22"/>
  <c r="Q2750" i="22"/>
  <c r="Q2749" i="22"/>
  <c r="Q2748" i="22"/>
  <c r="S2747" i="22"/>
  <c r="Q2747" i="22"/>
  <c r="S2746" i="22"/>
  <c r="Q2746" i="22"/>
  <c r="S2745" i="22"/>
  <c r="Q2745" i="22"/>
  <c r="S2744" i="22"/>
  <c r="Q2744" i="22"/>
  <c r="S2743" i="22"/>
  <c r="Q2743" i="22"/>
  <c r="Q2742" i="22"/>
  <c r="S2741" i="22"/>
  <c r="Q2741" i="22"/>
  <c r="S2748" i="22" l="1"/>
  <c r="J98" i="24"/>
  <c r="J99" i="24"/>
  <c r="J98" i="23"/>
  <c r="J99" i="23"/>
  <c r="B93" i="20"/>
  <c r="B94" i="20"/>
  <c r="B95" i="20"/>
  <c r="B96" i="20"/>
  <c r="B97" i="20"/>
  <c r="B98" i="20"/>
  <c r="B99" i="20"/>
  <c r="J99" i="20" l="1"/>
  <c r="J98" i="20"/>
  <c r="J95" i="20"/>
  <c r="J94" i="20"/>
  <c r="J93" i="20"/>
  <c r="J97" i="20"/>
  <c r="J96" i="20"/>
  <c r="B99" i="8"/>
  <c r="S2698" i="22"/>
  <c r="Q2698" i="22"/>
  <c r="Q2697" i="22"/>
  <c r="Q2696" i="22"/>
  <c r="S2695" i="22"/>
  <c r="Q2695" i="22"/>
  <c r="S2694" i="22"/>
  <c r="Q2694" i="22"/>
  <c r="S2693" i="22"/>
  <c r="Q2693" i="22"/>
  <c r="S2692" i="22"/>
  <c r="Q2692" i="22"/>
  <c r="S2691" i="22"/>
  <c r="Q2691" i="22"/>
  <c r="Q2690" i="22"/>
  <c r="Q2689" i="22"/>
  <c r="S2688" i="22"/>
  <c r="Q2688" i="22"/>
  <c r="Q2687" i="22"/>
  <c r="Q2686" i="22"/>
  <c r="S2685" i="22"/>
  <c r="Q2685" i="22"/>
  <c r="S2684" i="22"/>
  <c r="Q2684" i="22"/>
  <c r="S2683" i="22"/>
  <c r="Q2683" i="22"/>
  <c r="Q2682" i="22"/>
  <c r="S2681" i="22"/>
  <c r="Q2681" i="22"/>
  <c r="Q2680" i="22"/>
  <c r="Q2679" i="22"/>
  <c r="S2678" i="22"/>
  <c r="Q2678" i="22"/>
  <c r="Q2677" i="22"/>
  <c r="S2676" i="22"/>
  <c r="Q2676" i="22"/>
  <c r="S2675" i="22"/>
  <c r="Q2675" i="22"/>
  <c r="Q2674" i="22"/>
  <c r="Q2673" i="22"/>
  <c r="S2672" i="22"/>
  <c r="Q2672" i="22"/>
  <c r="S2671" i="22"/>
  <c r="Q2671" i="22"/>
  <c r="Q2670" i="22"/>
  <c r="S2669" i="22"/>
  <c r="Q2669" i="22"/>
  <c r="S2668" i="22"/>
  <c r="Q2668" i="22"/>
  <c r="S2667" i="22"/>
  <c r="Q2667" i="22"/>
  <c r="S2666" i="22"/>
  <c r="Q2666" i="22"/>
  <c r="S2665" i="22"/>
  <c r="Q2665" i="22"/>
  <c r="S2664" i="22"/>
  <c r="Q2664" i="22"/>
  <c r="S2663" i="22"/>
  <c r="Q2663" i="22"/>
  <c r="S2662" i="22"/>
  <c r="Q2662" i="22"/>
  <c r="S2661" i="22"/>
  <c r="Q2661" i="22"/>
  <c r="S2660" i="22"/>
  <c r="Q2660" i="22"/>
  <c r="Q2659" i="22"/>
  <c r="S2658" i="22"/>
  <c r="Q2658" i="22"/>
  <c r="S2657" i="22"/>
  <c r="Q2657" i="22"/>
  <c r="Q2656" i="22"/>
  <c r="Q2655" i="22"/>
  <c r="S2654" i="22"/>
  <c r="Q2654" i="22"/>
  <c r="S2653" i="22"/>
  <c r="Q2653" i="22"/>
  <c r="Q2652" i="22"/>
  <c r="Q2651" i="22"/>
  <c r="S2650" i="22"/>
  <c r="Q2650" i="22"/>
  <c r="S2649" i="22"/>
  <c r="Q2649" i="22"/>
  <c r="Q2648" i="22"/>
  <c r="S2647" i="22"/>
  <c r="Q2647" i="22"/>
  <c r="S2646" i="22"/>
  <c r="Q2646" i="22"/>
  <c r="S2645" i="22"/>
  <c r="Q2645" i="22"/>
  <c r="S2644" i="22"/>
  <c r="Q2644" i="22"/>
  <c r="S2643" i="22"/>
  <c r="Q2643" i="22"/>
  <c r="S2642" i="22"/>
  <c r="Q2642" i="22"/>
  <c r="S2641" i="22"/>
  <c r="Q2641" i="22"/>
  <c r="S2640" i="22"/>
  <c r="Q2640" i="22"/>
  <c r="Q2639" i="22"/>
  <c r="S2638" i="22"/>
  <c r="Q2638" i="22"/>
  <c r="S2637" i="22"/>
  <c r="Q2637" i="22"/>
  <c r="Q2636" i="22"/>
  <c r="S2635" i="22"/>
  <c r="Q2635" i="22"/>
  <c r="S2634" i="22"/>
  <c r="Q2634" i="22"/>
  <c r="S2633" i="22"/>
  <c r="Q2633" i="22"/>
  <c r="S2632" i="22"/>
  <c r="Q2632" i="22"/>
  <c r="S2631" i="22"/>
  <c r="Q2631" i="22"/>
  <c r="S2630" i="22"/>
  <c r="Q2630" i="22"/>
  <c r="S2629" i="22"/>
  <c r="Q2629" i="22"/>
  <c r="S2628" i="22"/>
  <c r="Q2628" i="22"/>
  <c r="S2627" i="22"/>
  <c r="Q2627" i="22"/>
  <c r="S2626" i="22"/>
  <c r="Q2626" i="22"/>
  <c r="S2625" i="22"/>
  <c r="Q2625" i="22"/>
  <c r="AX629" i="22"/>
  <c r="AV629" i="22"/>
  <c r="AX628" i="22"/>
  <c r="AV628" i="22"/>
  <c r="AX627" i="22"/>
  <c r="AV627" i="22"/>
  <c r="AX626" i="22"/>
  <c r="AV626" i="22"/>
  <c r="AX625" i="22"/>
  <c r="AV625" i="22"/>
  <c r="AX624" i="22"/>
  <c r="AV624" i="22"/>
  <c r="AX623" i="22"/>
  <c r="AV623" i="22"/>
  <c r="AX622" i="22"/>
  <c r="AV622" i="22"/>
  <c r="AV595" i="22"/>
  <c r="AX594" i="22"/>
  <c r="AV594" i="22"/>
  <c r="AV593" i="22"/>
  <c r="S2696" i="22" l="1"/>
  <c r="S2639" i="22"/>
  <c r="S2636" i="22"/>
  <c r="S2648" i="22"/>
  <c r="S2656" i="22"/>
  <c r="S2679" i="22"/>
  <c r="AX593" i="22"/>
  <c r="S2686" i="22"/>
  <c r="S2687" i="22"/>
  <c r="S2674" i="22"/>
  <c r="S2670" i="22"/>
  <c r="C99" i="8"/>
  <c r="J99" i="8"/>
  <c r="B187" i="24"/>
  <c r="B187" i="23"/>
  <c r="B187" i="20"/>
  <c r="B187" i="9"/>
  <c r="B187" i="8"/>
  <c r="AV643" i="22"/>
  <c r="Q2846" i="22"/>
  <c r="I165" i="22"/>
  <c r="G165" i="22"/>
  <c r="J187" i="9" l="1"/>
  <c r="J187" i="20"/>
  <c r="C187" i="24"/>
  <c r="J187" i="24"/>
  <c r="J187" i="23"/>
  <c r="C187" i="23"/>
  <c r="C187" i="20"/>
  <c r="C187" i="9"/>
  <c r="C187" i="8"/>
  <c r="J187" i="8"/>
  <c r="AV640" i="22" l="1"/>
  <c r="S2845" i="22"/>
  <c r="Q2845" i="22"/>
  <c r="I164" i="22"/>
  <c r="G164" i="22"/>
  <c r="J74" i="24" l="1"/>
  <c r="J75" i="23"/>
  <c r="AX639" i="22" l="1"/>
  <c r="AV639" i="22"/>
  <c r="S2844" i="22"/>
  <c r="Q2844" i="22"/>
  <c r="I163" i="22"/>
  <c r="G163" i="22"/>
  <c r="J74" i="23" l="1"/>
  <c r="AX638" i="22" l="1"/>
  <c r="AV638" i="22"/>
  <c r="Q2843" i="22"/>
  <c r="I162" i="22"/>
  <c r="G162" i="22"/>
  <c r="L29" i="22" l="1"/>
  <c r="S210" i="22" l="1"/>
  <c r="S211" i="22"/>
  <c r="S212" i="22"/>
  <c r="S214" i="22"/>
  <c r="S215" i="22"/>
  <c r="S216" i="22"/>
  <c r="S222" i="22"/>
  <c r="S224" i="22"/>
  <c r="S225" i="22"/>
  <c r="S226" i="22"/>
  <c r="S227" i="22"/>
  <c r="S228" i="22"/>
  <c r="S230" i="22"/>
  <c r="S234" i="22"/>
  <c r="S236" i="22"/>
  <c r="S238" i="22"/>
  <c r="S239" i="22"/>
  <c r="S240" i="22"/>
  <c r="S241" i="22"/>
  <c r="S242" i="22"/>
  <c r="S244" i="22"/>
  <c r="S245" i="22"/>
  <c r="S246" i="22"/>
  <c r="S247" i="22"/>
  <c r="S248" i="22"/>
  <c r="S249" i="22"/>
  <c r="S250" i="22"/>
  <c r="S251" i="22"/>
  <c r="S252" i="22"/>
  <c r="S253" i="22"/>
  <c r="S255" i="22"/>
  <c r="S256" i="22"/>
  <c r="S257" i="22"/>
  <c r="S259" i="22"/>
  <c r="S261" i="22"/>
  <c r="S262" i="22"/>
  <c r="S263" i="22"/>
  <c r="S264" i="22"/>
  <c r="S265" i="22"/>
  <c r="S266" i="22"/>
  <c r="S267" i="22"/>
  <c r="S268" i="22"/>
  <c r="S269" i="22"/>
  <c r="S270" i="22"/>
  <c r="S271" i="22"/>
  <c r="S272" i="22"/>
  <c r="S273" i="22"/>
  <c r="S274" i="22"/>
  <c r="S275" i="22"/>
  <c r="S276" i="22"/>
  <c r="S277" i="22"/>
  <c r="S278" i="22"/>
  <c r="S279" i="22"/>
  <c r="S280" i="22"/>
  <c r="S281" i="22"/>
  <c r="S282" i="22"/>
  <c r="S283" i="22"/>
  <c r="S284" i="22"/>
  <c r="S285" i="22"/>
  <c r="S286" i="22"/>
  <c r="S287" i="22"/>
  <c r="S288" i="22"/>
  <c r="S289" i="22"/>
  <c r="S290" i="22"/>
  <c r="S291" i="22"/>
  <c r="S292" i="22"/>
  <c r="S293" i="22"/>
  <c r="S294" i="22"/>
  <c r="S295" i="22"/>
  <c r="S296" i="22"/>
  <c r="S297" i="22"/>
  <c r="S298" i="22"/>
  <c r="S299" i="22"/>
  <c r="S300" i="22"/>
  <c r="S301" i="22"/>
  <c r="S302" i="22"/>
  <c r="S303" i="22"/>
  <c r="S304" i="22"/>
  <c r="S305" i="22"/>
  <c r="S306" i="22"/>
  <c r="S307" i="22"/>
  <c r="S308" i="22"/>
  <c r="S309" i="22"/>
  <c r="S310" i="22"/>
  <c r="S311" i="22"/>
  <c r="S312" i="22"/>
  <c r="S313" i="22"/>
  <c r="S314" i="22"/>
  <c r="S315" i="22"/>
  <c r="S316" i="22"/>
  <c r="S317" i="22"/>
  <c r="S318" i="22"/>
  <c r="S319" i="22"/>
  <c r="S320" i="22"/>
  <c r="S321" i="22"/>
  <c r="S322" i="22"/>
  <c r="S323" i="22"/>
  <c r="S324" i="22"/>
  <c r="S325" i="22"/>
  <c r="S326" i="22"/>
  <c r="S327" i="22"/>
  <c r="S328" i="22"/>
  <c r="S329" i="22"/>
  <c r="S330" i="22"/>
  <c r="S331" i="22"/>
  <c r="S332" i="22"/>
  <c r="S333" i="22"/>
  <c r="S334" i="22"/>
  <c r="S335" i="22"/>
  <c r="S336" i="22"/>
  <c r="S337" i="22"/>
  <c r="S338" i="22"/>
  <c r="S339" i="22"/>
  <c r="S340" i="22"/>
  <c r="S341" i="22"/>
  <c r="S342" i="22"/>
  <c r="S343" i="22"/>
  <c r="S344" i="22"/>
  <c r="S345" i="22"/>
  <c r="S346" i="22"/>
  <c r="S347" i="22"/>
  <c r="S348" i="22"/>
  <c r="S349" i="22"/>
  <c r="S350" i="22"/>
  <c r="S351" i="22"/>
  <c r="S352" i="22"/>
  <c r="S353" i="22"/>
  <c r="S354" i="22"/>
  <c r="S355" i="22"/>
  <c r="S356" i="22"/>
  <c r="S357" i="22"/>
  <c r="S358" i="22"/>
  <c r="S359" i="22"/>
  <c r="S360" i="22"/>
  <c r="S361" i="22"/>
  <c r="S362" i="22"/>
  <c r="S363" i="22"/>
  <c r="S364" i="22"/>
  <c r="S365" i="22"/>
  <c r="S366" i="22"/>
  <c r="S367" i="22"/>
  <c r="S368" i="22"/>
  <c r="S369" i="22"/>
  <c r="S370" i="22"/>
  <c r="S371" i="22"/>
  <c r="S372" i="22"/>
  <c r="S373" i="22"/>
  <c r="S374" i="22"/>
  <c r="S375" i="22"/>
  <c r="S376" i="22"/>
  <c r="S377" i="22"/>
  <c r="S378" i="22"/>
  <c r="S379" i="22"/>
  <c r="S380" i="22"/>
  <c r="S381" i="22"/>
  <c r="S382" i="22"/>
  <c r="S383" i="22"/>
  <c r="S384" i="22"/>
  <c r="S385" i="22"/>
  <c r="S386" i="22"/>
  <c r="S387" i="22"/>
  <c r="S388" i="22"/>
  <c r="S389" i="22"/>
  <c r="S390" i="22"/>
  <c r="S391" i="22"/>
  <c r="S392" i="22"/>
  <c r="S393" i="22"/>
  <c r="S394" i="22"/>
  <c r="S395" i="22"/>
  <c r="S396" i="22"/>
  <c r="S397" i="22"/>
  <c r="S398" i="22"/>
  <c r="S399" i="22"/>
  <c r="S400" i="22"/>
  <c r="S401" i="22"/>
  <c r="S402" i="22"/>
  <c r="S403" i="22"/>
  <c r="S404" i="22"/>
  <c r="S405" i="22"/>
  <c r="S406" i="22"/>
  <c r="S407" i="22"/>
  <c r="S408" i="22"/>
  <c r="S409" i="22"/>
  <c r="S410" i="22"/>
  <c r="S411" i="22"/>
  <c r="S412" i="22"/>
  <c r="S413" i="22"/>
  <c r="S414" i="22"/>
  <c r="S415" i="22"/>
  <c r="S416" i="22"/>
  <c r="S417" i="22"/>
  <c r="S418" i="22"/>
  <c r="S419" i="22"/>
  <c r="S420" i="22"/>
  <c r="S421" i="22"/>
  <c r="S422" i="22"/>
  <c r="S423" i="22"/>
  <c r="S424" i="22"/>
  <c r="S425" i="22"/>
  <c r="S426" i="22"/>
  <c r="S427" i="22"/>
  <c r="S428" i="22"/>
  <c r="S429" i="22"/>
  <c r="S430" i="22"/>
  <c r="S431" i="22"/>
  <c r="S432" i="22"/>
  <c r="S433" i="22"/>
  <c r="S434" i="22"/>
  <c r="S435" i="22"/>
  <c r="S436" i="22"/>
  <c r="S437" i="22"/>
  <c r="S438" i="22"/>
  <c r="S439" i="22"/>
  <c r="S440" i="22"/>
  <c r="S441" i="22"/>
  <c r="S442" i="22"/>
  <c r="S443" i="22"/>
  <c r="S444" i="22"/>
  <c r="S445" i="22"/>
  <c r="S446" i="22"/>
  <c r="S447" i="22"/>
  <c r="S448" i="22"/>
  <c r="S449" i="22"/>
  <c r="S450" i="22"/>
  <c r="S451" i="22"/>
  <c r="S452" i="22"/>
  <c r="S453" i="22"/>
  <c r="S454" i="22"/>
  <c r="S455" i="22"/>
  <c r="S456" i="22"/>
  <c r="S457" i="22"/>
  <c r="S458" i="22"/>
  <c r="S459" i="22"/>
  <c r="S460" i="22"/>
  <c r="S461" i="22"/>
  <c r="S462" i="22"/>
  <c r="S463" i="22"/>
  <c r="S464" i="22"/>
  <c r="S465" i="22"/>
  <c r="S466" i="22"/>
  <c r="S467" i="22"/>
  <c r="S468" i="22"/>
  <c r="S469" i="22"/>
  <c r="S470" i="22"/>
  <c r="S471" i="22"/>
  <c r="S472" i="22"/>
  <c r="S473" i="22"/>
  <c r="S474" i="22"/>
  <c r="S475" i="22"/>
  <c r="S476" i="22"/>
  <c r="S477" i="22"/>
  <c r="S478" i="22"/>
  <c r="S479" i="22"/>
  <c r="S480" i="22"/>
  <c r="S481" i="22"/>
  <c r="S482" i="22"/>
  <c r="S483" i="22"/>
  <c r="S484" i="22"/>
  <c r="S485" i="22"/>
  <c r="S486" i="22"/>
  <c r="S487" i="22"/>
  <c r="S488" i="22"/>
  <c r="S489" i="22"/>
  <c r="S490" i="22"/>
  <c r="S491" i="22"/>
  <c r="S492" i="22"/>
  <c r="S493" i="22"/>
  <c r="S494" i="22"/>
  <c r="S495" i="22"/>
  <c r="S496" i="22"/>
  <c r="S497" i="22"/>
  <c r="S498" i="22"/>
  <c r="S499" i="22"/>
  <c r="S500" i="22"/>
  <c r="S501" i="22"/>
  <c r="S502" i="22"/>
  <c r="S503" i="22"/>
  <c r="S504" i="22"/>
  <c r="S505" i="22"/>
  <c r="S506" i="22"/>
  <c r="S507" i="22"/>
  <c r="S508" i="22"/>
  <c r="S509" i="22"/>
  <c r="S510" i="22"/>
  <c r="S511" i="22"/>
  <c r="S512" i="22"/>
  <c r="S513" i="22"/>
  <c r="S514" i="22"/>
  <c r="S515" i="22"/>
  <c r="S516" i="22"/>
  <c r="S517" i="22"/>
  <c r="S518" i="22"/>
  <c r="S519" i="22"/>
  <c r="S520" i="22"/>
  <c r="S521" i="22"/>
  <c r="S522" i="22"/>
  <c r="S523" i="22"/>
  <c r="S524" i="22"/>
  <c r="S525" i="22"/>
  <c r="S526" i="22"/>
  <c r="S527" i="22"/>
  <c r="S528" i="22"/>
  <c r="S529" i="22"/>
  <c r="S530" i="22"/>
  <c r="S531" i="22"/>
  <c r="S532" i="22"/>
  <c r="S533" i="22"/>
  <c r="S534" i="22"/>
  <c r="S535" i="22"/>
  <c r="S536" i="22"/>
  <c r="S537" i="22"/>
  <c r="S538" i="22"/>
  <c r="S539" i="22"/>
  <c r="S540" i="22"/>
  <c r="S541" i="22"/>
  <c r="S542" i="22"/>
  <c r="S543" i="22"/>
  <c r="S544" i="22"/>
  <c r="S545" i="22"/>
  <c r="S546" i="22"/>
  <c r="S547" i="22"/>
  <c r="S548" i="22"/>
  <c r="S549" i="22"/>
  <c r="S550" i="22"/>
  <c r="S551" i="22"/>
  <c r="S552" i="22"/>
  <c r="S553" i="22"/>
  <c r="S554" i="22"/>
  <c r="S555" i="22"/>
  <c r="S556" i="22"/>
  <c r="S557" i="22"/>
  <c r="S558" i="22"/>
  <c r="S559" i="22"/>
  <c r="S560" i="22"/>
  <c r="S561" i="22"/>
  <c r="S562" i="22"/>
  <c r="S563" i="22"/>
  <c r="S564" i="22"/>
  <c r="S565" i="22"/>
  <c r="S566" i="22"/>
  <c r="S567" i="22"/>
  <c r="S568" i="22"/>
  <c r="S569" i="22"/>
  <c r="S570" i="22"/>
  <c r="S571" i="22"/>
  <c r="S572" i="22"/>
  <c r="S573" i="22"/>
  <c r="S574" i="22"/>
  <c r="S575" i="22"/>
  <c r="S576" i="22"/>
  <c r="S577" i="22"/>
  <c r="S578" i="22"/>
  <c r="S579" i="22"/>
  <c r="S580" i="22"/>
  <c r="S581" i="22"/>
  <c r="S582" i="22"/>
  <c r="S583" i="22"/>
  <c r="S584" i="22"/>
  <c r="S585" i="22"/>
  <c r="S586" i="22"/>
  <c r="S587" i="22"/>
  <c r="S588" i="22"/>
  <c r="S589" i="22"/>
  <c r="S590" i="22"/>
  <c r="S591" i="22"/>
  <c r="S592" i="22"/>
  <c r="S593" i="22"/>
  <c r="S594" i="22"/>
  <c r="S595" i="22"/>
  <c r="S596" i="22"/>
  <c r="S597" i="22"/>
  <c r="S598" i="22"/>
  <c r="S599" i="22"/>
  <c r="S600" i="22"/>
  <c r="S601" i="22"/>
  <c r="S602" i="22"/>
  <c r="S603" i="22"/>
  <c r="S604" i="22"/>
  <c r="S605" i="22"/>
  <c r="S606" i="22"/>
  <c r="S607" i="22"/>
  <c r="S608" i="22"/>
  <c r="S609" i="22"/>
  <c r="S610" i="22"/>
  <c r="S611" i="22"/>
  <c r="S612" i="22"/>
  <c r="S613" i="22"/>
  <c r="S614" i="22"/>
  <c r="S615" i="22"/>
  <c r="S616" i="22"/>
  <c r="S617" i="22"/>
  <c r="S618" i="22"/>
  <c r="S619" i="22"/>
  <c r="S620" i="22"/>
  <c r="S621" i="22"/>
  <c r="S622" i="22"/>
  <c r="S623" i="22"/>
  <c r="S624" i="22"/>
  <c r="S625" i="22"/>
  <c r="S626" i="22"/>
  <c r="S627" i="22"/>
  <c r="S628" i="22"/>
  <c r="S629" i="22"/>
  <c r="S630" i="22"/>
  <c r="S631" i="22"/>
  <c r="S632" i="22"/>
  <c r="S633" i="22"/>
  <c r="S634" i="22"/>
  <c r="S635" i="22"/>
  <c r="S636" i="22"/>
  <c r="S637" i="22"/>
  <c r="S638" i="22"/>
  <c r="S639" i="22"/>
  <c r="S640" i="22"/>
  <c r="S641" i="22"/>
  <c r="S642" i="22"/>
  <c r="S643" i="22"/>
  <c r="S644" i="22"/>
  <c r="S645" i="22"/>
  <c r="S646" i="22"/>
  <c r="S647" i="22"/>
  <c r="S648" i="22"/>
  <c r="S649" i="22"/>
  <c r="S650" i="22"/>
  <c r="S651" i="22"/>
  <c r="S652" i="22"/>
  <c r="S653" i="22"/>
  <c r="S654" i="22"/>
  <c r="S655" i="22"/>
  <c r="S656" i="22"/>
  <c r="S657" i="22"/>
  <c r="S658" i="22"/>
  <c r="S659" i="22"/>
  <c r="S660" i="22"/>
  <c r="S661" i="22"/>
  <c r="S662" i="22"/>
  <c r="S663" i="22"/>
  <c r="S664" i="22"/>
  <c r="S665" i="22"/>
  <c r="S666" i="22"/>
  <c r="S667" i="22"/>
  <c r="S668" i="22"/>
  <c r="S669" i="22"/>
  <c r="S670" i="22"/>
  <c r="S671" i="22"/>
  <c r="S672" i="22"/>
  <c r="S673" i="22"/>
  <c r="S674" i="22"/>
  <c r="S675" i="22"/>
  <c r="S676" i="22"/>
  <c r="S677" i="22"/>
  <c r="S678" i="22"/>
  <c r="S679" i="22"/>
  <c r="S680" i="22"/>
  <c r="S682" i="22"/>
  <c r="S687" i="22"/>
  <c r="S688" i="22"/>
  <c r="S689" i="22"/>
  <c r="S691" i="22"/>
  <c r="S695" i="22"/>
  <c r="S697" i="22"/>
  <c r="S698" i="22"/>
  <c r="S699" i="22"/>
  <c r="S700" i="22"/>
  <c r="S701" i="22"/>
  <c r="S702" i="22"/>
  <c r="S703" i="22"/>
  <c r="S704" i="22"/>
  <c r="S705" i="22"/>
  <c r="S706" i="22"/>
  <c r="S707" i="22"/>
  <c r="S708" i="22"/>
  <c r="S709" i="22"/>
  <c r="S710" i="22"/>
  <c r="S712" i="22"/>
  <c r="S713" i="22"/>
  <c r="S714" i="22"/>
  <c r="S715" i="22"/>
  <c r="S716" i="22"/>
  <c r="S717" i="22"/>
  <c r="S718" i="22"/>
  <c r="S719" i="22"/>
  <c r="S721" i="22"/>
  <c r="S722" i="22"/>
  <c r="S723" i="22"/>
  <c r="S724" i="22"/>
  <c r="S725" i="22"/>
  <c r="S726" i="22"/>
  <c r="S727" i="22"/>
  <c r="S728" i="22"/>
  <c r="S730" i="22"/>
  <c r="S731" i="22"/>
  <c r="S734" i="22"/>
  <c r="S735" i="22"/>
  <c r="S736" i="22"/>
  <c r="S737" i="22"/>
  <c r="S738" i="22"/>
  <c r="S739" i="22"/>
  <c r="S740" i="22"/>
  <c r="S743" i="22"/>
  <c r="S747" i="22"/>
  <c r="S750" i="22"/>
  <c r="S752" i="22"/>
  <c r="S754" i="22"/>
  <c r="S755" i="22"/>
  <c r="S756" i="22"/>
  <c r="S758" i="22"/>
  <c r="S759" i="22"/>
  <c r="S761" i="22"/>
  <c r="S762" i="22"/>
  <c r="S763" i="22"/>
  <c r="S764" i="22"/>
  <c r="S766" i="22"/>
  <c r="S767" i="22"/>
  <c r="S768" i="22"/>
  <c r="S770" i="22"/>
  <c r="S771" i="22"/>
  <c r="S773" i="22"/>
  <c r="S774" i="22"/>
  <c r="S775" i="22"/>
  <c r="S776" i="22"/>
  <c r="S777" i="22"/>
  <c r="S781" i="22"/>
  <c r="S783" i="22"/>
  <c r="S784" i="22"/>
  <c r="S785" i="22"/>
  <c r="S786" i="22"/>
  <c r="S787" i="22"/>
  <c r="S792" i="22"/>
  <c r="S794" i="22"/>
  <c r="S795" i="22"/>
  <c r="S796" i="22"/>
  <c r="S798" i="22"/>
  <c r="S804" i="22"/>
  <c r="S805" i="22"/>
  <c r="S806" i="22"/>
  <c r="S808" i="22"/>
  <c r="S810" i="22"/>
  <c r="S812" i="22"/>
  <c r="S813" i="22"/>
  <c r="S815" i="22"/>
  <c r="S816" i="22"/>
  <c r="S817" i="22"/>
  <c r="S818" i="22"/>
  <c r="S821" i="22"/>
  <c r="S822" i="22"/>
  <c r="S824" i="22"/>
  <c r="S826" i="22"/>
  <c r="S833" i="22"/>
  <c r="S836" i="22"/>
  <c r="S839" i="22"/>
  <c r="S841" i="22"/>
  <c r="S842" i="22"/>
  <c r="S845" i="22"/>
  <c r="S846" i="22"/>
  <c r="S851" i="22"/>
  <c r="S852" i="22"/>
  <c r="S854" i="22"/>
  <c r="S855" i="22"/>
  <c r="S860" i="22"/>
  <c r="S861" i="22"/>
  <c r="S863" i="22"/>
  <c r="S870" i="22"/>
  <c r="S871" i="22"/>
  <c r="S872" i="22"/>
  <c r="S873" i="22"/>
  <c r="S874" i="22"/>
  <c r="S876" i="22"/>
  <c r="S877" i="22"/>
  <c r="S879" i="22"/>
  <c r="S880" i="22"/>
  <c r="S882" i="22"/>
  <c r="S883" i="22"/>
  <c r="S885" i="22"/>
  <c r="S886" i="22"/>
  <c r="S888" i="22"/>
  <c r="S889" i="22"/>
  <c r="S890" i="22"/>
  <c r="S891" i="22"/>
  <c r="S893" i="22"/>
  <c r="S894" i="22"/>
  <c r="S896" i="22"/>
  <c r="S897" i="22"/>
  <c r="S898" i="22"/>
  <c r="S899" i="22"/>
  <c r="S900" i="22"/>
  <c r="S901" i="22"/>
  <c r="S902" i="22"/>
  <c r="S903" i="22"/>
  <c r="S905" i="22"/>
  <c r="S906" i="22"/>
  <c r="S908" i="22"/>
  <c r="S909" i="22"/>
  <c r="S910" i="22"/>
  <c r="S911" i="22"/>
  <c r="S913" i="22"/>
  <c r="S914" i="22"/>
  <c r="S918" i="22"/>
  <c r="S924" i="22"/>
  <c r="S946" i="22"/>
  <c r="S956" i="22"/>
  <c r="S958" i="22"/>
  <c r="S959" i="22"/>
  <c r="S961" i="22"/>
  <c r="S962" i="22"/>
  <c r="S965" i="22"/>
  <c r="S967" i="22"/>
  <c r="S970" i="22"/>
  <c r="S1009" i="22"/>
  <c r="S1025" i="22"/>
  <c r="S1028" i="22"/>
  <c r="S1029" i="22"/>
  <c r="S1032" i="22"/>
  <c r="S1038" i="22"/>
  <c r="S1039" i="22"/>
  <c r="S1040" i="22"/>
  <c r="S1049" i="22"/>
  <c r="S1051" i="22"/>
  <c r="S1065" i="22"/>
  <c r="S1071" i="22"/>
  <c r="S1074" i="22"/>
  <c r="S1076" i="22"/>
  <c r="S1078" i="22"/>
  <c r="S1079" i="22"/>
  <c r="S1083" i="22"/>
  <c r="S1085" i="22"/>
  <c r="S1142" i="22"/>
  <c r="S1144" i="22"/>
  <c r="S1151" i="22"/>
  <c r="S1158" i="22"/>
  <c r="S1161" i="22"/>
  <c r="S1162" i="22"/>
  <c r="S1176" i="22"/>
  <c r="S1179" i="22"/>
  <c r="S1181" i="22"/>
  <c r="S1213" i="22"/>
  <c r="S1220" i="22"/>
  <c r="S1221" i="22"/>
  <c r="S1222" i="22"/>
  <c r="S1223" i="22"/>
  <c r="S1224" i="22"/>
  <c r="S1225" i="22"/>
  <c r="S1226" i="22"/>
  <c r="S1227" i="22"/>
  <c r="S1228" i="22"/>
  <c r="S1229" i="22"/>
  <c r="S1230" i="22"/>
  <c r="S1232" i="22"/>
  <c r="S1233" i="22"/>
  <c r="S1234" i="22"/>
  <c r="S1237" i="22"/>
  <c r="S1251" i="22"/>
  <c r="S1254" i="22"/>
  <c r="S1256" i="22"/>
  <c r="S1257" i="22"/>
  <c r="S1258" i="22"/>
  <c r="S1259" i="22"/>
  <c r="S1260" i="22"/>
  <c r="S1261" i="22"/>
  <c r="S1266" i="22"/>
  <c r="S1269" i="22"/>
  <c r="S1272" i="22"/>
  <c r="S1273" i="22"/>
  <c r="S1275" i="22"/>
  <c r="S1276" i="22"/>
  <c r="S1278" i="22"/>
  <c r="S1280" i="22"/>
  <c r="S1281" i="22"/>
  <c r="S1282" i="22"/>
  <c r="S1284" i="22"/>
  <c r="S1286" i="22"/>
  <c r="S1287" i="22"/>
  <c r="S1288" i="22"/>
  <c r="S1289" i="22"/>
  <c r="S1290" i="22"/>
  <c r="S1292" i="22"/>
  <c r="S1294" i="22"/>
  <c r="S1296" i="22"/>
  <c r="S1297" i="22"/>
  <c r="S1300" i="22"/>
  <c r="S1303" i="22"/>
  <c r="S1305" i="22"/>
  <c r="S1306" i="22"/>
  <c r="S1308" i="22"/>
  <c r="S1309" i="22"/>
  <c r="S1311" i="22"/>
  <c r="S1315" i="22"/>
  <c r="S1318" i="22"/>
  <c r="S1325" i="22"/>
  <c r="S1339" i="22"/>
  <c r="S1345" i="22"/>
  <c r="S1347" i="22"/>
  <c r="S1367" i="22"/>
  <c r="S1370" i="22"/>
  <c r="S1379" i="22"/>
  <c r="S1390" i="22"/>
  <c r="S1391" i="22"/>
  <c r="S1407" i="22"/>
  <c r="S1416" i="22"/>
  <c r="S1432" i="22"/>
  <c r="S1441" i="22"/>
  <c r="S1444" i="22"/>
  <c r="S1447" i="22"/>
  <c r="S1448" i="22"/>
  <c r="S1451" i="22"/>
  <c r="S1457" i="22"/>
  <c r="S1458" i="22"/>
  <c r="S1459" i="22"/>
  <c r="S1460" i="22"/>
  <c r="S1464" i="22"/>
  <c r="S1483" i="22"/>
  <c r="S1486" i="22"/>
  <c r="S1489" i="22"/>
  <c r="S1490" i="22"/>
  <c r="S1502" i="22"/>
  <c r="S1508" i="22"/>
  <c r="S1518" i="22"/>
  <c r="S1540" i="22"/>
  <c r="S1556" i="22"/>
  <c r="S1558" i="22"/>
  <c r="S1559" i="22"/>
  <c r="S1562" i="22"/>
  <c r="S1570" i="22"/>
  <c r="S1572" i="22"/>
  <c r="S1589" i="22"/>
  <c r="S1597" i="22"/>
  <c r="S1600" i="22"/>
  <c r="S1601" i="22"/>
  <c r="S1604" i="22"/>
  <c r="S1607" i="22"/>
  <c r="S1609" i="22"/>
  <c r="S1614" i="22"/>
  <c r="S1615" i="22"/>
  <c r="S1619" i="22"/>
  <c r="S1622" i="22"/>
  <c r="S1632" i="22"/>
  <c r="S1634" i="22"/>
  <c r="S1636" i="22"/>
  <c r="S1637" i="22"/>
  <c r="S1639" i="22"/>
  <c r="S1646" i="22"/>
  <c r="S1647" i="22"/>
  <c r="S1650" i="22"/>
  <c r="S1651" i="22"/>
  <c r="S1654" i="22"/>
  <c r="S1657" i="22"/>
  <c r="S1660" i="22"/>
  <c r="S1662" i="22"/>
  <c r="S1663" i="22"/>
  <c r="S1664" i="22"/>
  <c r="S1666" i="22"/>
  <c r="S1667" i="22"/>
  <c r="S1668" i="22"/>
  <c r="S1669" i="22"/>
  <c r="S1670" i="22"/>
  <c r="S1671" i="22"/>
  <c r="S1672" i="22"/>
  <c r="S1675" i="22"/>
  <c r="S1676" i="22"/>
  <c r="S1677" i="22"/>
  <c r="S1679" i="22"/>
  <c r="S1680" i="22"/>
  <c r="S1681" i="22"/>
  <c r="S1682" i="22"/>
  <c r="S1683" i="22"/>
  <c r="S1684" i="22"/>
  <c r="S1685" i="22"/>
  <c r="S1687" i="22"/>
  <c r="S1688" i="22"/>
  <c r="S1689" i="22"/>
  <c r="S1691" i="22"/>
  <c r="S1692" i="22"/>
  <c r="S1694" i="22"/>
  <c r="S1695" i="22"/>
  <c r="S1696" i="22"/>
  <c r="S1697" i="22"/>
  <c r="S1700" i="22"/>
  <c r="S1701" i="22"/>
  <c r="S1703" i="22"/>
  <c r="S1704" i="22"/>
  <c r="S1707" i="22"/>
  <c r="S1708" i="22"/>
  <c r="S1709" i="22"/>
  <c r="S1712" i="22"/>
  <c r="S1714" i="22"/>
  <c r="S1716" i="22"/>
  <c r="S1721" i="22"/>
  <c r="S1724" i="22"/>
  <c r="S1725" i="22"/>
  <c r="S1728" i="22"/>
  <c r="S1733" i="22"/>
  <c r="S1734" i="22"/>
  <c r="S1736" i="22"/>
  <c r="S1737" i="22"/>
  <c r="S1746" i="22"/>
  <c r="S1759" i="22"/>
  <c r="S1763" i="22"/>
  <c r="S1771" i="22"/>
  <c r="S1776" i="22"/>
  <c r="S1786" i="22"/>
  <c r="S1788" i="22"/>
  <c r="S1804" i="22"/>
  <c r="S1812" i="22"/>
  <c r="S1816" i="22"/>
  <c r="S1831" i="22"/>
  <c r="S1833" i="22"/>
  <c r="S1834" i="22"/>
  <c r="S1838" i="22"/>
  <c r="S1839" i="22"/>
  <c r="S1842" i="22"/>
  <c r="S1845" i="22"/>
  <c r="S1848" i="22"/>
  <c r="S1850" i="22"/>
  <c r="S1851" i="22"/>
  <c r="S1852" i="22"/>
  <c r="S1854" i="22"/>
  <c r="S1855" i="22"/>
  <c r="S1861" i="22"/>
  <c r="S1870" i="22"/>
  <c r="S1871" i="22"/>
  <c r="S1872" i="22"/>
  <c r="S1876" i="22"/>
  <c r="S1877" i="22"/>
  <c r="S1878" i="22"/>
  <c r="S1879" i="22"/>
  <c r="S1880" i="22"/>
  <c r="S1881" i="22"/>
  <c r="S1882" i="22"/>
  <c r="S1883" i="22"/>
  <c r="S1884" i="22"/>
  <c r="S1885" i="22"/>
  <c r="S1886" i="22"/>
  <c r="S1887" i="22"/>
  <c r="S1888" i="22"/>
  <c r="S1889" i="22"/>
  <c r="S1890" i="22"/>
  <c r="S1892" i="22"/>
  <c r="S1893" i="22"/>
  <c r="S1895" i="22"/>
  <c r="S1896" i="22"/>
  <c r="S1897" i="22"/>
  <c r="S1899" i="22"/>
  <c r="S1900" i="22"/>
  <c r="S1917" i="22"/>
  <c r="S1918" i="22"/>
  <c r="S1919" i="22"/>
  <c r="S1920" i="22"/>
  <c r="S1921" i="22"/>
  <c r="S1924" i="22"/>
  <c r="S1925" i="22"/>
  <c r="S1928" i="22"/>
  <c r="S1930" i="22"/>
  <c r="S1931" i="22"/>
  <c r="S1932" i="22"/>
  <c r="S1934" i="22"/>
  <c r="S1935" i="22"/>
  <c r="S1936" i="22"/>
  <c r="S1938" i="22"/>
  <c r="S1939" i="22"/>
  <c r="S1940" i="22"/>
  <c r="S1942" i="22"/>
  <c r="S1943" i="22"/>
  <c r="S1944" i="22"/>
  <c r="S1945" i="22"/>
  <c r="S1946" i="22"/>
  <c r="S1947" i="22"/>
  <c r="S1950" i="22"/>
  <c r="S1951" i="22"/>
  <c r="S1952" i="22"/>
  <c r="S1954" i="22"/>
  <c r="S1961" i="22"/>
  <c r="S1965" i="22"/>
  <c r="S1966" i="22"/>
  <c r="S1968" i="22"/>
  <c r="S1969" i="22"/>
  <c r="S1972" i="22"/>
  <c r="S1975" i="22"/>
  <c r="S1976" i="22"/>
  <c r="S1978" i="22"/>
  <c r="S1980" i="22"/>
  <c r="S1984" i="22"/>
  <c r="S1994" i="22"/>
  <c r="S1998" i="22"/>
  <c r="S1999" i="22"/>
  <c r="S2002" i="22"/>
  <c r="S2003" i="22"/>
  <c r="S2004" i="22"/>
  <c r="S2008" i="22"/>
  <c r="S2009" i="22"/>
  <c r="S2011" i="22"/>
  <c r="S2012" i="22"/>
  <c r="S2013" i="22"/>
  <c r="S2015" i="22"/>
  <c r="S2020" i="22"/>
  <c r="S2024" i="22"/>
  <c r="S2025" i="22"/>
  <c r="S2026" i="22"/>
  <c r="S2027" i="22"/>
  <c r="S2039" i="22"/>
  <c r="S2040" i="22"/>
  <c r="S2042" i="22"/>
  <c r="S2050" i="22"/>
  <c r="S2053" i="22"/>
  <c r="S2054" i="22"/>
  <c r="S2055" i="22"/>
  <c r="S2056" i="22"/>
  <c r="S2070" i="22"/>
  <c r="S2073" i="22"/>
  <c r="S2083" i="22"/>
  <c r="S2093" i="22"/>
  <c r="S2095" i="22"/>
  <c r="S2109" i="22"/>
  <c r="S2112" i="22"/>
  <c r="S2113" i="22"/>
  <c r="S2114" i="22"/>
  <c r="S2119" i="22"/>
  <c r="S2128" i="22"/>
  <c r="S2130" i="22"/>
  <c r="S2132" i="22"/>
  <c r="S2135" i="22"/>
  <c r="S2141" i="22"/>
  <c r="S2160" i="22"/>
  <c r="S2177" i="22"/>
  <c r="S2183" i="22"/>
  <c r="S2184" i="22"/>
  <c r="S2185" i="22"/>
  <c r="S2186" i="22"/>
  <c r="S2217" i="22"/>
  <c r="S2224" i="22"/>
  <c r="S2225" i="22"/>
  <c r="S2226" i="22"/>
  <c r="S2227" i="22"/>
  <c r="S2228" i="22"/>
  <c r="S2229" i="22"/>
  <c r="S2230" i="22"/>
  <c r="S2231" i="22"/>
  <c r="S2232" i="22"/>
  <c r="S2233" i="22"/>
  <c r="S2234" i="22"/>
  <c r="S2235" i="22"/>
  <c r="S2256" i="22"/>
  <c r="S2261" i="22"/>
  <c r="S2264" i="22"/>
  <c r="S2266" i="22"/>
  <c r="S2270" i="22"/>
  <c r="S2273" i="22"/>
  <c r="S2274" i="22"/>
  <c r="S2278" i="22"/>
  <c r="S2279" i="22"/>
  <c r="S2281" i="22"/>
  <c r="S2282" i="22"/>
  <c r="S2283" i="22"/>
  <c r="S2284" i="22"/>
  <c r="S2285" i="22"/>
  <c r="S2286" i="22"/>
  <c r="S2288" i="22"/>
  <c r="S2289" i="22"/>
  <c r="S2292" i="22"/>
  <c r="S2293" i="22"/>
  <c r="S2298" i="22"/>
  <c r="S2301" i="22"/>
  <c r="S2302" i="22"/>
  <c r="S2303" i="22"/>
  <c r="S2304" i="22"/>
  <c r="S2305" i="22"/>
  <c r="S2312" i="22"/>
  <c r="S2321" i="22"/>
  <c r="S2329" i="22"/>
  <c r="S2330" i="22"/>
  <c r="S2331" i="22"/>
  <c r="S2334" i="22"/>
  <c r="S2337" i="22"/>
  <c r="S2338" i="22"/>
  <c r="S2339" i="22"/>
  <c r="S2341" i="22"/>
  <c r="S2347" i="22"/>
  <c r="S2355" i="22"/>
  <c r="S2356" i="22"/>
  <c r="S2357" i="22"/>
  <c r="S2358" i="22"/>
  <c r="S2360" i="22"/>
  <c r="S2366" i="22"/>
  <c r="S2388" i="22"/>
  <c r="S2396" i="22"/>
  <c r="S2467" i="22"/>
  <c r="S2470" i="22"/>
  <c r="S2543" i="22"/>
  <c r="S2554" i="22"/>
  <c r="S2557" i="22"/>
  <c r="S2566" i="22"/>
  <c r="S2568" i="22"/>
  <c r="S2575" i="22"/>
  <c r="S2576" i="22"/>
  <c r="S2577" i="22"/>
  <c r="S2578" i="22"/>
  <c r="S2579" i="22"/>
  <c r="S2583" i="22"/>
  <c r="S2584" i="22"/>
  <c r="S2585" i="22"/>
  <c r="S2586" i="22"/>
  <c r="S2587" i="22"/>
  <c r="S2588" i="22"/>
  <c r="S2589" i="22"/>
  <c r="S2590" i="22"/>
  <c r="S2591" i="22"/>
  <c r="S2592" i="22"/>
  <c r="S2593" i="22"/>
  <c r="S2594" i="22"/>
  <c r="S2595" i="22"/>
  <c r="S2596" i="22"/>
  <c r="S2597" i="22"/>
  <c r="S2598" i="22"/>
  <c r="S2599" i="22"/>
  <c r="S2600" i="22"/>
  <c r="S2601" i="22"/>
  <c r="S2602" i="22"/>
  <c r="S2603" i="22"/>
  <c r="S2604" i="22"/>
  <c r="S2605" i="22"/>
  <c r="S2606" i="22"/>
  <c r="S2607" i="22"/>
  <c r="S2608" i="22"/>
  <c r="S2609" i="22"/>
  <c r="S2610" i="22"/>
  <c r="S2611" i="22"/>
  <c r="S2612" i="22"/>
  <c r="S2613" i="22"/>
  <c r="S2614" i="22"/>
  <c r="S2618" i="22"/>
  <c r="S2619" i="22"/>
  <c r="S2620" i="22"/>
  <c r="S2621" i="22"/>
  <c r="S2622" i="22"/>
  <c r="S2623" i="22"/>
  <c r="S2624" i="22"/>
  <c r="S2701" i="22"/>
  <c r="S2702" i="22"/>
  <c r="S2703" i="22"/>
  <c r="S2704" i="22"/>
  <c r="S2705" i="22"/>
  <c r="S2706" i="22"/>
  <c r="S2707" i="22"/>
  <c r="S2708" i="22"/>
  <c r="S2709" i="22"/>
  <c r="S2713" i="22"/>
  <c r="S2716" i="22"/>
  <c r="S2717" i="22"/>
  <c r="S2720" i="22"/>
  <c r="S2721" i="22"/>
  <c r="S2722" i="22"/>
  <c r="S2723" i="22"/>
  <c r="S2724" i="22"/>
  <c r="S2725" i="22"/>
  <c r="S2726" i="22"/>
  <c r="S2727" i="22"/>
  <c r="S2728" i="22"/>
  <c r="S2729" i="22"/>
  <c r="S2730" i="22"/>
  <c r="S2733" i="22"/>
  <c r="S2734" i="22"/>
  <c r="S2737" i="22"/>
  <c r="S2740" i="22"/>
  <c r="S2775" i="22"/>
  <c r="S2778" i="22"/>
  <c r="S2788" i="22"/>
  <c r="R31" i="22"/>
  <c r="Q31" i="22"/>
  <c r="Q209" i="22"/>
  <c r="Q210" i="22"/>
  <c r="Q211" i="22"/>
  <c r="Q212" i="22"/>
  <c r="Q213" i="22"/>
  <c r="Q214" i="22"/>
  <c r="Q215" i="22"/>
  <c r="Q216" i="22"/>
  <c r="Q217" i="22"/>
  <c r="Q218" i="22"/>
  <c r="Q219" i="22"/>
  <c r="Q220" i="22"/>
  <c r="Q221" i="22"/>
  <c r="Q222" i="22"/>
  <c r="Q223" i="22"/>
  <c r="Q224" i="22"/>
  <c r="Q225" i="22"/>
  <c r="Q226" i="22"/>
  <c r="Q227" i="22"/>
  <c r="Q228" i="22"/>
  <c r="Q229" i="22"/>
  <c r="Q230" i="22"/>
  <c r="Q231" i="22"/>
  <c r="Q232" i="22"/>
  <c r="Q233" i="22"/>
  <c r="Q234" i="22"/>
  <c r="Q235" i="22"/>
  <c r="Q236" i="22"/>
  <c r="Q237" i="22"/>
  <c r="Q238" i="22"/>
  <c r="Q239" i="22"/>
  <c r="Q240" i="22"/>
  <c r="Q241" i="22"/>
  <c r="Q242" i="22"/>
  <c r="Q243" i="22"/>
  <c r="Q244" i="22"/>
  <c r="Q245" i="22"/>
  <c r="Q246" i="22"/>
  <c r="Q247" i="22"/>
  <c r="Q248" i="22"/>
  <c r="Q249" i="22"/>
  <c r="Q250" i="22"/>
  <c r="Q251" i="22"/>
  <c r="Q252" i="22"/>
  <c r="Q253" i="22"/>
  <c r="Q254" i="22"/>
  <c r="Q255" i="22"/>
  <c r="Q256" i="22"/>
  <c r="Q257" i="22"/>
  <c r="S213" i="22" l="1"/>
  <c r="S202" i="22"/>
  <c r="S221" i="22"/>
  <c r="S206" i="22"/>
  <c r="S217" i="22"/>
  <c r="S229" i="22"/>
  <c r="S207" i="22"/>
  <c r="S218" i="22"/>
  <c r="S233" i="22"/>
  <c r="S231" i="22"/>
  <c r="S220" i="22"/>
  <c r="S232" i="22"/>
  <c r="S254" i="22"/>
  <c r="S243" i="22"/>
  <c r="AV564" i="22"/>
  <c r="AV565" i="22"/>
  <c r="AV566" i="22"/>
  <c r="AX566" i="22"/>
  <c r="AV567" i="22"/>
  <c r="AV568" i="22"/>
  <c r="AV569" i="22"/>
  <c r="AX569" i="22"/>
  <c r="AV570" i="22"/>
  <c r="AV571" i="22"/>
  <c r="AX571" i="22"/>
  <c r="AV572" i="22"/>
  <c r="AV573" i="22"/>
  <c r="AV574" i="22"/>
  <c r="AV575" i="22"/>
  <c r="AV576" i="22"/>
  <c r="AV577" i="22"/>
  <c r="AV578" i="22"/>
  <c r="AV579" i="22"/>
  <c r="AV580" i="22"/>
  <c r="AV581" i="22"/>
  <c r="AV582" i="22"/>
  <c r="AV583" i="22"/>
  <c r="AV584" i="22"/>
  <c r="AV585" i="22"/>
  <c r="AV586" i="22"/>
  <c r="AX586" i="22"/>
  <c r="AV587" i="22"/>
  <c r="AV588" i="22"/>
  <c r="AX588" i="22"/>
  <c r="AV589" i="22"/>
  <c r="AV590" i="22"/>
  <c r="AX590" i="22"/>
  <c r="AV591" i="22"/>
  <c r="AV592" i="22"/>
  <c r="AV630" i="22"/>
  <c r="AV631" i="22"/>
  <c r="AV632" i="22"/>
  <c r="AV633" i="22"/>
  <c r="AV634" i="22"/>
  <c r="AV635" i="22"/>
  <c r="AV636" i="22"/>
  <c r="AV637" i="22"/>
  <c r="AV651" i="22"/>
  <c r="AV563" i="22"/>
  <c r="AV562" i="22"/>
  <c r="AV561" i="22"/>
  <c r="AV560" i="22"/>
  <c r="AV559" i="22"/>
  <c r="AV558" i="22"/>
  <c r="AV557" i="22"/>
  <c r="AV556" i="22"/>
  <c r="AV555" i="22"/>
  <c r="AV554" i="22"/>
  <c r="AV553" i="22"/>
  <c r="AV552" i="22"/>
  <c r="AV551" i="22"/>
  <c r="AX550" i="22"/>
  <c r="AV550" i="22"/>
  <c r="AV549" i="22"/>
  <c r="AV548" i="22"/>
  <c r="AX547" i="22"/>
  <c r="AV547" i="22"/>
  <c r="AV546" i="22"/>
  <c r="AV545" i="22"/>
  <c r="AV544" i="22"/>
  <c r="AV543" i="22"/>
  <c r="AV542" i="22"/>
  <c r="AV541" i="22"/>
  <c r="AV540" i="22"/>
  <c r="AV539" i="22"/>
  <c r="AV538" i="22"/>
  <c r="AV537" i="22"/>
  <c r="AV536" i="22"/>
  <c r="AV535" i="22"/>
  <c r="AV534" i="22"/>
  <c r="AV533" i="22"/>
  <c r="AV532" i="22"/>
  <c r="AV531" i="22"/>
  <c r="AV530" i="22"/>
  <c r="AV529" i="22"/>
  <c r="AV528" i="22"/>
  <c r="AX621" i="22" l="1"/>
  <c r="AX551" i="22"/>
  <c r="AX54" i="22"/>
  <c r="AX51" i="22"/>
  <c r="AX591" i="22"/>
  <c r="AX574" i="22"/>
  <c r="AX552" i="22"/>
  <c r="AX553" i="22"/>
  <c r="AX57" i="22"/>
  <c r="AX56" i="22"/>
  <c r="AX557" i="22"/>
  <c r="AX554" i="22"/>
  <c r="AX563" i="22"/>
  <c r="AX60" i="22"/>
  <c r="AX59" i="22"/>
  <c r="AX582" i="22"/>
  <c r="AX544" i="22"/>
  <c r="AX61" i="22"/>
  <c r="AX62" i="22"/>
  <c r="AX65" i="22"/>
  <c r="AX63" i="22"/>
  <c r="AX66" i="22"/>
  <c r="AX538" i="22"/>
  <c r="AX576" i="22"/>
  <c r="AX555" i="22"/>
  <c r="AX577" i="22"/>
  <c r="AX642" i="22"/>
  <c r="AX585" i="22"/>
  <c r="AX583" i="22"/>
  <c r="AX579" i="22"/>
  <c r="AX567" i="22"/>
  <c r="AX543" i="22"/>
  <c r="AX580" i="22"/>
  <c r="AX532" i="22"/>
  <c r="AX643" i="22"/>
  <c r="AX584" i="22"/>
  <c r="AX568" i="22"/>
  <c r="AX535" i="22"/>
  <c r="AX634" i="22"/>
  <c r="AX595" i="22"/>
  <c r="AX549" i="22"/>
  <c r="AX637" i="22"/>
  <c r="AX533" i="22"/>
  <c r="AX530" i="22"/>
  <c r="AX578" i="22"/>
  <c r="AX534" i="22"/>
  <c r="AX581" i="22"/>
  <c r="AX565" i="22"/>
  <c r="AX556" i="22"/>
  <c r="AX592" i="22"/>
  <c r="AX536" i="22"/>
  <c r="AX541" i="22"/>
  <c r="AX545" i="22"/>
  <c r="AX651" i="22"/>
  <c r="AX575" i="22"/>
  <c r="AX542" i="22"/>
  <c r="AX589" i="22"/>
  <c r="AX635" i="22"/>
  <c r="AX548" i="22"/>
  <c r="AX632" i="22"/>
  <c r="AX560" i="22"/>
  <c r="AX531" i="22"/>
  <c r="AX539" i="22"/>
  <c r="AX561" i="22"/>
  <c r="AX572" i="22"/>
  <c r="AX564" i="22"/>
  <c r="AX528" i="22"/>
  <c r="AX558" i="22"/>
  <c r="AX529" i="22"/>
  <c r="AX630" i="22"/>
  <c r="AX636" i="22"/>
  <c r="AX587" i="22"/>
  <c r="AX573" i="22"/>
  <c r="AX633" i="22"/>
  <c r="AX559" i="22"/>
  <c r="AX631" i="22"/>
  <c r="AX540" i="22"/>
  <c r="AX537" i="22"/>
  <c r="AX546" i="22"/>
  <c r="AX562" i="22"/>
  <c r="AX570" i="22"/>
  <c r="B228" i="24" l="1"/>
  <c r="B241" i="23" l="1"/>
  <c r="B236" i="20"/>
  <c r="B234" i="9"/>
  <c r="B228" i="8"/>
  <c r="B38" i="28"/>
  <c r="C99" i="20"/>
  <c r="C98" i="20"/>
  <c r="C98" i="24"/>
  <c r="C99" i="24"/>
  <c r="C98" i="23"/>
  <c r="C99" i="23"/>
  <c r="C98" i="9"/>
  <c r="C99" i="9"/>
  <c r="G249" i="22" l="1"/>
  <c r="H249" i="22"/>
  <c r="G250" i="22"/>
  <c r="H250" i="22"/>
  <c r="G251" i="22"/>
  <c r="H251" i="22"/>
  <c r="G252" i="22"/>
  <c r="H252" i="22"/>
  <c r="G253" i="22"/>
  <c r="H253" i="22"/>
  <c r="G254" i="22"/>
  <c r="H254" i="22"/>
  <c r="G255" i="22"/>
  <c r="H255" i="22"/>
  <c r="G256" i="22"/>
  <c r="H256" i="22"/>
  <c r="G257" i="22"/>
  <c r="H257" i="22"/>
  <c r="I257" i="22" s="1"/>
  <c r="G258" i="22"/>
  <c r="H258" i="22"/>
  <c r="I258" i="22" s="1"/>
  <c r="G259" i="22"/>
  <c r="H259" i="22"/>
  <c r="I259" i="22" s="1"/>
  <c r="I253" i="22" l="1"/>
  <c r="I255" i="22"/>
  <c r="I249" i="22"/>
  <c r="I256" i="22"/>
  <c r="I250" i="22"/>
  <c r="I254" i="22"/>
  <c r="I251" i="22"/>
  <c r="I252" i="22"/>
  <c r="G200" i="22"/>
  <c r="H200" i="22"/>
  <c r="G201" i="22"/>
  <c r="H201" i="22"/>
  <c r="G202" i="22"/>
  <c r="H202" i="22"/>
  <c r="G203" i="22"/>
  <c r="H203" i="22"/>
  <c r="G204" i="22"/>
  <c r="H204" i="22"/>
  <c r="G205" i="22"/>
  <c r="H205" i="22"/>
  <c r="G206" i="22"/>
  <c r="H206" i="22"/>
  <c r="G207" i="22"/>
  <c r="H207" i="22"/>
  <c r="G208" i="22"/>
  <c r="H208" i="22"/>
  <c r="I208" i="22" s="1"/>
  <c r="G209" i="22"/>
  <c r="H209" i="22"/>
  <c r="I209" i="22" s="1"/>
  <c r="G210" i="22"/>
  <c r="H210" i="22"/>
  <c r="I210" i="22" s="1"/>
  <c r="G211" i="22"/>
  <c r="H211" i="22"/>
  <c r="I211" i="22" s="1"/>
  <c r="G212" i="22"/>
  <c r="H212" i="22"/>
  <c r="I212" i="22" s="1"/>
  <c r="G213" i="22"/>
  <c r="H213" i="22"/>
  <c r="I213" i="22" s="1"/>
  <c r="G214" i="22"/>
  <c r="H214" i="22"/>
  <c r="I214" i="22" s="1"/>
  <c r="G215" i="22"/>
  <c r="H215" i="22"/>
  <c r="I215" i="22" s="1"/>
  <c r="I200" i="22" l="1"/>
  <c r="I201" i="22"/>
  <c r="I204" i="22"/>
  <c r="I202" i="22"/>
  <c r="I206" i="22"/>
  <c r="I203" i="22"/>
  <c r="I205" i="22"/>
  <c r="I207" i="22"/>
  <c r="AK147" i="22"/>
  <c r="AL147" i="22"/>
  <c r="AM147" i="22" l="1"/>
  <c r="AA43" i="22"/>
  <c r="AA44" i="22"/>
  <c r="AA45" i="22"/>
  <c r="AA46" i="22"/>
  <c r="AA47" i="22"/>
  <c r="AA48" i="22"/>
  <c r="AA49" i="22"/>
  <c r="AA50" i="22"/>
  <c r="AA51" i="22"/>
  <c r="AA52" i="22"/>
  <c r="AA53" i="22"/>
  <c r="AA54" i="22"/>
  <c r="AA55" i="22"/>
  <c r="AA56" i="22"/>
  <c r="AA57" i="22"/>
  <c r="AA58" i="22"/>
  <c r="AA59" i="22"/>
  <c r="AA60" i="22"/>
  <c r="AA61" i="22"/>
  <c r="AA62" i="22"/>
  <c r="AA63" i="22"/>
  <c r="AA64" i="22"/>
  <c r="AA65" i="22"/>
  <c r="AA66" i="22"/>
  <c r="AA67" i="22"/>
  <c r="AA68" i="22"/>
  <c r="AA69" i="22"/>
  <c r="AA70" i="22"/>
  <c r="Q280" i="22"/>
  <c r="Q281" i="22"/>
  <c r="Q282" i="22"/>
  <c r="Q283" i="22"/>
  <c r="Q284" i="22"/>
  <c r="Q285" i="22"/>
  <c r="Q286" i="22"/>
  <c r="Q287" i="22"/>
  <c r="Q288" i="22"/>
  <c r="Q289" i="22"/>
  <c r="Q290" i="22"/>
  <c r="Q291" i="22"/>
  <c r="Q292" i="22"/>
  <c r="Q293" i="22"/>
  <c r="Q294" i="22"/>
  <c r="Q295" i="22"/>
  <c r="B43" i="24" l="1"/>
  <c r="B44" i="24"/>
  <c r="B45" i="24"/>
  <c r="B46" i="24"/>
  <c r="B47" i="24"/>
  <c r="B48" i="24"/>
  <c r="B49" i="24"/>
  <c r="B50" i="24"/>
  <c r="B51" i="24"/>
  <c r="J52" i="24"/>
  <c r="B43" i="23"/>
  <c r="J44" i="23"/>
  <c r="J45" i="23"/>
  <c r="J46" i="23"/>
  <c r="J47" i="23"/>
  <c r="J48" i="23"/>
  <c r="J49" i="23"/>
  <c r="J50" i="23"/>
  <c r="J51" i="23"/>
  <c r="J52" i="23"/>
  <c r="B43" i="20"/>
  <c r="B43" i="9"/>
  <c r="B43" i="8"/>
  <c r="J43" i="9" l="1"/>
  <c r="J43" i="20"/>
  <c r="J43" i="8"/>
  <c r="J43" i="23"/>
  <c r="J50" i="24"/>
  <c r="J46" i="24"/>
  <c r="J48" i="24"/>
  <c r="J44" i="24"/>
  <c r="J47" i="24"/>
  <c r="J51" i="24"/>
  <c r="J43" i="24"/>
  <c r="J49" i="24"/>
  <c r="J45" i="24"/>
  <c r="C46" i="24"/>
  <c r="B120" i="24" l="1"/>
  <c r="C120" i="24" s="1"/>
  <c r="B121" i="24"/>
  <c r="B120" i="23"/>
  <c r="C120" i="23" s="1"/>
  <c r="B121" i="23"/>
  <c r="C121" i="20"/>
  <c r="B122" i="20"/>
  <c r="J122" i="20" l="1"/>
  <c r="C122" i="20"/>
  <c r="J121" i="24"/>
  <c r="J120" i="24"/>
  <c r="J121" i="23"/>
  <c r="J120" i="23"/>
  <c r="B121" i="9"/>
  <c r="B122" i="9"/>
  <c r="B121" i="8"/>
  <c r="C121" i="8" s="1"/>
  <c r="B122" i="8"/>
  <c r="J122" i="9" l="1"/>
  <c r="C121" i="9"/>
  <c r="J121" i="9"/>
  <c r="J121" i="8"/>
  <c r="J122" i="8"/>
  <c r="AV690" i="22"/>
  <c r="AW690" i="22"/>
  <c r="AK158" i="22"/>
  <c r="AL158" i="22"/>
  <c r="AK179" i="22"/>
  <c r="Q2909" i="22"/>
  <c r="R2909" i="22"/>
  <c r="Q2924" i="22"/>
  <c r="R2924" i="22"/>
  <c r="AK141" i="22"/>
  <c r="AL141" i="22"/>
  <c r="AA118" i="22"/>
  <c r="AB118" i="22"/>
  <c r="AB112" i="22"/>
  <c r="AB111" i="22"/>
  <c r="AA112" i="22"/>
  <c r="Q2915" i="22"/>
  <c r="R2915" i="22"/>
  <c r="S2915" i="22" s="1"/>
  <c r="Q2916" i="22"/>
  <c r="R2916" i="22"/>
  <c r="S2916" i="22" s="1"/>
  <c r="Q2875" i="22"/>
  <c r="R2875" i="22"/>
  <c r="Q2708" i="22"/>
  <c r="Q2709" i="22"/>
  <c r="Q2710" i="22"/>
  <c r="S2710" i="22" s="1"/>
  <c r="Q2711" i="22"/>
  <c r="Q2712" i="22"/>
  <c r="Q2713" i="22"/>
  <c r="Q2714" i="22"/>
  <c r="S2714" i="22" s="1"/>
  <c r="Q2715" i="22"/>
  <c r="Q2716" i="22"/>
  <c r="Q2717" i="22"/>
  <c r="Q2718" i="22"/>
  <c r="S2718" i="22" s="1"/>
  <c r="Q2719" i="22"/>
  <c r="Q2720" i="22"/>
  <c r="Q2721" i="22"/>
  <c r="Q2722" i="22"/>
  <c r="Q2723" i="22"/>
  <c r="Q2724" i="22"/>
  <c r="Q2725" i="22"/>
  <c r="Q2726" i="22"/>
  <c r="Q2727" i="22"/>
  <c r="Q2728" i="22"/>
  <c r="Q2729" i="22"/>
  <c r="Q2730" i="22"/>
  <c r="Q2731" i="22"/>
  <c r="Q2732" i="22"/>
  <c r="Q2733" i="22"/>
  <c r="Q2734" i="22"/>
  <c r="Q2735" i="22"/>
  <c r="S2735" i="22" s="1"/>
  <c r="Q2736" i="22"/>
  <c r="Q2737" i="22"/>
  <c r="Q2738" i="22"/>
  <c r="S2738" i="22" s="1"/>
  <c r="Q2739" i="22"/>
  <c r="Q2740" i="22"/>
  <c r="Q2773" i="22"/>
  <c r="Q2774" i="22"/>
  <c r="Q2775" i="22"/>
  <c r="Q2776" i="22"/>
  <c r="Q2777" i="22"/>
  <c r="Q2778" i="22"/>
  <c r="Q2779" i="22"/>
  <c r="Q2780" i="22"/>
  <c r="Q2781" i="22"/>
  <c r="S2781" i="22" s="1"/>
  <c r="Q2782" i="22"/>
  <c r="Q2783" i="22"/>
  <c r="Q2784" i="22"/>
  <c r="Q2785" i="22"/>
  <c r="Q2786" i="22"/>
  <c r="Q2787" i="22"/>
  <c r="Q2788" i="22"/>
  <c r="Q2789" i="22"/>
  <c r="S2789" i="22" s="1"/>
  <c r="Q2832" i="22"/>
  <c r="S2827" i="22" s="1"/>
  <c r="Q2833" i="22"/>
  <c r="Q2834" i="22"/>
  <c r="Q2835" i="22"/>
  <c r="Q2836" i="22"/>
  <c r="Q2837" i="22"/>
  <c r="Q2838" i="22"/>
  <c r="Q2839" i="22"/>
  <c r="S2839" i="22" s="1"/>
  <c r="Q2840" i="22"/>
  <c r="Q2841" i="22"/>
  <c r="Q2842" i="22"/>
  <c r="S2842" i="22" s="1"/>
  <c r="Q2854" i="22"/>
  <c r="Q2855" i="22"/>
  <c r="H439" i="22"/>
  <c r="H440" i="22"/>
  <c r="H441" i="22"/>
  <c r="G159" i="22"/>
  <c r="G160" i="22"/>
  <c r="I160" i="22"/>
  <c r="G161" i="22"/>
  <c r="G173" i="22"/>
  <c r="S63" i="22" l="1"/>
  <c r="I159" i="22"/>
  <c r="I161" i="22"/>
  <c r="S53" i="22"/>
  <c r="S2786" i="22"/>
  <c r="S2711" i="22"/>
  <c r="S2830" i="22"/>
  <c r="S2825" i="22"/>
  <c r="S131" i="22"/>
  <c r="S2779" i="22"/>
  <c r="S2715" i="22"/>
  <c r="S2846" i="22"/>
  <c r="S2843" i="22"/>
  <c r="S2776" i="22"/>
  <c r="S2712" i="22"/>
  <c r="S132" i="22"/>
  <c r="S2855" i="22"/>
  <c r="S2719" i="22"/>
  <c r="S2742" i="22"/>
  <c r="S2834" i="22"/>
  <c r="S2739" i="22"/>
  <c r="S2780" i="22"/>
  <c r="S2835" i="22"/>
  <c r="S2777" i="22"/>
  <c r="S2787" i="22"/>
  <c r="S2736" i="22"/>
  <c r="S2826" i="22"/>
  <c r="S2829" i="22"/>
  <c r="S2749" i="22"/>
  <c r="S2854" i="22"/>
  <c r="S2836" i="22"/>
  <c r="S2833" i="22"/>
  <c r="S2783" i="22"/>
  <c r="S2841" i="22"/>
  <c r="I173" i="22"/>
  <c r="S2782" i="22"/>
  <c r="S2840" i="22"/>
  <c r="S2832" i="22"/>
  <c r="AX690" i="22"/>
  <c r="S2732" i="22"/>
  <c r="S2785" i="22"/>
  <c r="S2838" i="22"/>
  <c r="S2774" i="22"/>
  <c r="S2837" i="22"/>
  <c r="S2773" i="22"/>
  <c r="S2731" i="22"/>
  <c r="S2784" i="22"/>
  <c r="S2875" i="22"/>
  <c r="S2909" i="22"/>
  <c r="AM158" i="22"/>
  <c r="AC112" i="22"/>
  <c r="AM141" i="22"/>
  <c r="S2924" i="22"/>
  <c r="AC118" i="22"/>
  <c r="AF185" i="22" l="1"/>
  <c r="AL184" i="22"/>
  <c r="AK184" i="22"/>
  <c r="AK185" i="22" s="1"/>
  <c r="R2903" i="22"/>
  <c r="Q2903" i="22"/>
  <c r="R2908" i="22"/>
  <c r="Q2908" i="22"/>
  <c r="S2908" i="22" l="1"/>
  <c r="AM184" i="22"/>
  <c r="AM185" i="22" s="1"/>
  <c r="S2903" i="22"/>
  <c r="B10" i="25" l="1"/>
  <c r="B15" i="25"/>
  <c r="B20" i="25"/>
  <c r="B25" i="25"/>
  <c r="B30" i="25"/>
  <c r="B40" i="25"/>
  <c r="B35" i="25"/>
  <c r="L2864" i="22"/>
  <c r="Q2866" i="22"/>
  <c r="R2866" i="22"/>
  <c r="Q2867" i="22"/>
  <c r="R2867" i="22"/>
  <c r="Q2868" i="22"/>
  <c r="R2868" i="22"/>
  <c r="S2868" i="22" l="1"/>
  <c r="S2866" i="22"/>
  <c r="S2867" i="22"/>
  <c r="C28" i="5"/>
  <c r="C27" i="5"/>
  <c r="C26" i="5"/>
  <c r="C25" i="5"/>
  <c r="C40" i="5"/>
  <c r="C39" i="5"/>
  <c r="C46" i="5"/>
  <c r="C45" i="5"/>
  <c r="C44" i="5"/>
  <c r="C43" i="5"/>
  <c r="C38" i="5"/>
  <c r="C37" i="5"/>
  <c r="C36" i="5"/>
  <c r="C35" i="5"/>
  <c r="C32" i="5"/>
  <c r="C31" i="5"/>
  <c r="D5" i="13" s="1"/>
  <c r="C30" i="5"/>
  <c r="C29" i="5"/>
  <c r="C42" i="5"/>
  <c r="C41" i="5"/>
  <c r="D7" i="13"/>
  <c r="C48" i="5" l="1"/>
  <c r="E231" i="9"/>
  <c r="B231" i="9"/>
  <c r="B232" i="9" s="1"/>
  <c r="L2861" i="22"/>
  <c r="R2860" i="22"/>
  <c r="Q2860" i="22"/>
  <c r="Q2861" i="22" s="1"/>
  <c r="B1" i="13"/>
  <c r="B43" i="25"/>
  <c r="B41" i="25"/>
  <c r="D6" i="13"/>
  <c r="E6" i="13" s="1"/>
  <c r="R2880" i="22"/>
  <c r="Q2880" i="22"/>
  <c r="S2860" i="22" l="1"/>
  <c r="S2861" i="22" s="1"/>
  <c r="S2880" i="22"/>
  <c r="S2881" i="22" s="1"/>
  <c r="C231" i="9"/>
  <c r="C40" i="25"/>
  <c r="Q2881" i="22"/>
  <c r="A18" i="10" l="1"/>
  <c r="A19" i="10" s="1"/>
  <c r="A20" i="10" s="1"/>
  <c r="A21" i="10" s="1"/>
  <c r="A22" i="10" s="1"/>
  <c r="A23" i="10" s="1"/>
  <c r="A24" i="10" s="1"/>
  <c r="A25" i="10" s="1"/>
  <c r="A3" i="10"/>
  <c r="A4" i="10" s="1"/>
  <c r="A5" i="10" s="1"/>
  <c r="A6" i="10" s="1"/>
  <c r="A7" i="10" s="1"/>
  <c r="A8" i="10" s="1"/>
  <c r="A9" i="10" s="1"/>
  <c r="A10" i="10" s="1"/>
  <c r="A11" i="10" s="1"/>
  <c r="A12" i="10" s="1"/>
  <c r="A13" i="10" s="1"/>
  <c r="B32" i="29"/>
  <c r="K30" i="29"/>
  <c r="B29" i="29"/>
  <c r="B30" i="29" s="1"/>
  <c r="K24" i="29"/>
  <c r="B23" i="29"/>
  <c r="B24" i="29" s="1"/>
  <c r="K18" i="29"/>
  <c r="B17" i="29"/>
  <c r="B18" i="29" s="1"/>
  <c r="K12" i="29"/>
  <c r="B11" i="29"/>
  <c r="C11" i="29" s="1"/>
  <c r="B5" i="29"/>
  <c r="B3" i="29"/>
  <c r="K2" i="29"/>
  <c r="B225" i="24"/>
  <c r="B224" i="24"/>
  <c r="J224" i="24" s="1"/>
  <c r="B223" i="24"/>
  <c r="B222" i="24"/>
  <c r="J222" i="24" s="1"/>
  <c r="B221" i="24"/>
  <c r="C221" i="24" s="1"/>
  <c r="B220" i="24"/>
  <c r="C220" i="24" s="1"/>
  <c r="B219" i="24"/>
  <c r="B218" i="24"/>
  <c r="J218" i="24" s="1"/>
  <c r="B217" i="24"/>
  <c r="J217" i="24" s="1"/>
  <c r="B216" i="24"/>
  <c r="J216" i="24" s="1"/>
  <c r="B215" i="24"/>
  <c r="C215" i="24" s="1"/>
  <c r="B214" i="24"/>
  <c r="B213" i="24"/>
  <c r="B212" i="24"/>
  <c r="C212" i="24" s="1"/>
  <c r="B211" i="24"/>
  <c r="B210" i="24"/>
  <c r="J210" i="24" s="1"/>
  <c r="E209" i="24"/>
  <c r="B209" i="24"/>
  <c r="E208" i="24"/>
  <c r="B208" i="24"/>
  <c r="B226" i="24" s="1"/>
  <c r="B186" i="24"/>
  <c r="B185" i="24"/>
  <c r="C185" i="24" s="1"/>
  <c r="B184" i="24"/>
  <c r="J184" i="24" s="1"/>
  <c r="B183" i="24"/>
  <c r="J183" i="24" s="1"/>
  <c r="B182" i="24"/>
  <c r="J182" i="24" s="1"/>
  <c r="B181" i="24"/>
  <c r="C181" i="24" s="1"/>
  <c r="B180" i="24"/>
  <c r="C180" i="24" s="1"/>
  <c r="B179" i="24"/>
  <c r="C179" i="24" s="1"/>
  <c r="B178" i="24"/>
  <c r="B177" i="24"/>
  <c r="C177" i="24" s="1"/>
  <c r="B176" i="24"/>
  <c r="C176" i="24" s="1"/>
  <c r="B175" i="24"/>
  <c r="C175" i="24" s="1"/>
  <c r="B174" i="24"/>
  <c r="J174" i="24" s="1"/>
  <c r="B173" i="24"/>
  <c r="C173" i="24" s="1"/>
  <c r="B172" i="24"/>
  <c r="B171" i="24"/>
  <c r="J171" i="24" s="1"/>
  <c r="E170" i="24"/>
  <c r="B170" i="24"/>
  <c r="C170" i="24" s="1"/>
  <c r="E169" i="24"/>
  <c r="B169" i="24"/>
  <c r="B153" i="24"/>
  <c r="B152" i="24"/>
  <c r="B151" i="24"/>
  <c r="B150" i="24"/>
  <c r="B149" i="24"/>
  <c r="B148" i="24"/>
  <c r="J148" i="24" s="1"/>
  <c r="B147" i="24"/>
  <c r="B146" i="24"/>
  <c r="B145" i="24"/>
  <c r="B144" i="24"/>
  <c r="B143" i="24"/>
  <c r="B142" i="24"/>
  <c r="B141" i="24"/>
  <c r="B140" i="24"/>
  <c r="B139" i="24"/>
  <c r="B138" i="24"/>
  <c r="J138" i="24" s="1"/>
  <c r="B137" i="24"/>
  <c r="B136" i="24"/>
  <c r="B135" i="24"/>
  <c r="E134" i="24"/>
  <c r="B134" i="24"/>
  <c r="J134" i="24" s="1"/>
  <c r="E133" i="24"/>
  <c r="B133" i="24"/>
  <c r="B164" i="24" s="1"/>
  <c r="B127" i="24"/>
  <c r="C127" i="24" s="1"/>
  <c r="B126" i="24"/>
  <c r="B125" i="24"/>
  <c r="C125" i="24" s="1"/>
  <c r="B124" i="24"/>
  <c r="J124" i="24" s="1"/>
  <c r="B123" i="24"/>
  <c r="C123" i="24" s="1"/>
  <c r="B122" i="24"/>
  <c r="C122" i="24" s="1"/>
  <c r="C121" i="24"/>
  <c r="B119" i="24"/>
  <c r="C119" i="24" s="1"/>
  <c r="E118" i="24"/>
  <c r="B118" i="24"/>
  <c r="E117" i="24"/>
  <c r="B117" i="24"/>
  <c r="B111" i="24"/>
  <c r="C111" i="24" s="1"/>
  <c r="B110" i="24"/>
  <c r="J110" i="24" s="1"/>
  <c r="B109" i="24"/>
  <c r="B108" i="24"/>
  <c r="C108" i="24" s="1"/>
  <c r="E107" i="24"/>
  <c r="B107" i="24"/>
  <c r="J107" i="24" s="1"/>
  <c r="E106" i="24"/>
  <c r="B106" i="24"/>
  <c r="B112" i="24" s="1"/>
  <c r="B97" i="24"/>
  <c r="B96" i="24"/>
  <c r="B95" i="24"/>
  <c r="B94" i="24"/>
  <c r="E93" i="24"/>
  <c r="B93" i="24"/>
  <c r="E92" i="24"/>
  <c r="B92" i="24"/>
  <c r="C92" i="24" s="1"/>
  <c r="B86" i="24"/>
  <c r="B85" i="24"/>
  <c r="B84" i="24"/>
  <c r="B83" i="24"/>
  <c r="E82" i="24"/>
  <c r="B82" i="24"/>
  <c r="E81" i="24"/>
  <c r="B81" i="24"/>
  <c r="C49" i="24"/>
  <c r="C48" i="24"/>
  <c r="C44" i="24"/>
  <c r="E43" i="24"/>
  <c r="C43" i="24"/>
  <c r="E42" i="24"/>
  <c r="B42" i="24"/>
  <c r="B36" i="24"/>
  <c r="C36" i="24" s="1"/>
  <c r="B35" i="24"/>
  <c r="J35" i="24" s="1"/>
  <c r="B34" i="24"/>
  <c r="C34" i="24" s="1"/>
  <c r="B33" i="24"/>
  <c r="C33" i="24" s="1"/>
  <c r="B32" i="24"/>
  <c r="C32" i="24" s="1"/>
  <c r="E31" i="24"/>
  <c r="B31" i="24"/>
  <c r="J31" i="24" s="1"/>
  <c r="E30" i="24"/>
  <c r="B30" i="24"/>
  <c r="C30" i="24" s="1"/>
  <c r="B24" i="24"/>
  <c r="J24" i="24" s="1"/>
  <c r="B23" i="24"/>
  <c r="C23" i="24" s="1"/>
  <c r="E22" i="24"/>
  <c r="B22" i="24"/>
  <c r="C22" i="24" s="1"/>
  <c r="E21" i="24"/>
  <c r="B21" i="24"/>
  <c r="C21" i="24" s="1"/>
  <c r="B15" i="24"/>
  <c r="C15" i="24" s="1"/>
  <c r="B14" i="24"/>
  <c r="C14" i="24" s="1"/>
  <c r="B13" i="24"/>
  <c r="J13" i="24" s="1"/>
  <c r="B12" i="24"/>
  <c r="C12" i="24" s="1"/>
  <c r="B11" i="24"/>
  <c r="C11" i="24" s="1"/>
  <c r="B10" i="24"/>
  <c r="C10" i="24" s="1"/>
  <c r="B9" i="24"/>
  <c r="J9" i="24" s="1"/>
  <c r="B8" i="24"/>
  <c r="C8" i="24" s="1"/>
  <c r="B7" i="24"/>
  <c r="C7" i="24" s="1"/>
  <c r="E6" i="24"/>
  <c r="B6" i="24"/>
  <c r="C6" i="24" s="1"/>
  <c r="E5" i="24"/>
  <c r="B5" i="24"/>
  <c r="B3" i="24"/>
  <c r="B35" i="28"/>
  <c r="C35" i="28" s="1"/>
  <c r="B30" i="28"/>
  <c r="B31" i="28" s="1"/>
  <c r="K26" i="28"/>
  <c r="B25" i="28"/>
  <c r="B26" i="28" s="1"/>
  <c r="K21" i="28"/>
  <c r="B20" i="28"/>
  <c r="C20" i="28" s="1"/>
  <c r="K16" i="28"/>
  <c r="B15" i="28"/>
  <c r="B16" i="28" s="1"/>
  <c r="K11" i="28"/>
  <c r="B10" i="28"/>
  <c r="B11" i="28" s="1"/>
  <c r="B5" i="28"/>
  <c r="B6" i="28" s="1"/>
  <c r="B3" i="28"/>
  <c r="E238" i="23"/>
  <c r="B238" i="23"/>
  <c r="B239" i="23" s="1"/>
  <c r="E231" i="23"/>
  <c r="B231" i="23"/>
  <c r="C231" i="23" s="1"/>
  <c r="B225" i="23"/>
  <c r="C225" i="23" s="1"/>
  <c r="B224" i="23"/>
  <c r="C224" i="23" s="1"/>
  <c r="B223" i="23"/>
  <c r="C223" i="23" s="1"/>
  <c r="B222" i="23"/>
  <c r="B221" i="23"/>
  <c r="B220" i="23"/>
  <c r="C220" i="23" s="1"/>
  <c r="B219" i="23"/>
  <c r="C219" i="23" s="1"/>
  <c r="B218" i="23"/>
  <c r="C218" i="23" s="1"/>
  <c r="B217" i="23"/>
  <c r="J217" i="23" s="1"/>
  <c r="B216" i="23"/>
  <c r="J216" i="23" s="1"/>
  <c r="B215" i="23"/>
  <c r="C215" i="23" s="1"/>
  <c r="B214" i="23"/>
  <c r="C214" i="23" s="1"/>
  <c r="B213" i="23"/>
  <c r="J213" i="23" s="1"/>
  <c r="B212" i="23"/>
  <c r="C212" i="23" s="1"/>
  <c r="B211" i="23"/>
  <c r="C211" i="23" s="1"/>
  <c r="B210" i="23"/>
  <c r="B209" i="23"/>
  <c r="C209" i="23" s="1"/>
  <c r="E208" i="23"/>
  <c r="B208" i="23"/>
  <c r="B226" i="23" s="1"/>
  <c r="B186" i="23"/>
  <c r="B185" i="23"/>
  <c r="C185" i="23" s="1"/>
  <c r="B184" i="23"/>
  <c r="J184" i="23" s="1"/>
  <c r="B183" i="23"/>
  <c r="C183" i="23" s="1"/>
  <c r="B182" i="23"/>
  <c r="C182" i="23" s="1"/>
  <c r="B181" i="23"/>
  <c r="C181" i="23" s="1"/>
  <c r="B180" i="23"/>
  <c r="J180" i="23" s="1"/>
  <c r="B179" i="23"/>
  <c r="J179" i="23" s="1"/>
  <c r="B178" i="23"/>
  <c r="C178" i="23" s="1"/>
  <c r="B177" i="23"/>
  <c r="B176" i="23"/>
  <c r="B175" i="23"/>
  <c r="C175" i="23" s="1"/>
  <c r="B174" i="23"/>
  <c r="C174" i="23" s="1"/>
  <c r="B173" i="23"/>
  <c r="B172" i="23"/>
  <c r="B171" i="23"/>
  <c r="C171" i="23" s="1"/>
  <c r="E170" i="23"/>
  <c r="B170" i="23"/>
  <c r="C170" i="23" s="1"/>
  <c r="E169" i="23"/>
  <c r="B169" i="23"/>
  <c r="B189" i="23" s="1"/>
  <c r="B153" i="23"/>
  <c r="B152" i="23"/>
  <c r="B151" i="23"/>
  <c r="B150" i="23"/>
  <c r="B149" i="23"/>
  <c r="B148" i="23"/>
  <c r="J148" i="23" s="1"/>
  <c r="B147" i="23"/>
  <c r="B146" i="23"/>
  <c r="B145" i="23"/>
  <c r="B144" i="23"/>
  <c r="B143" i="23"/>
  <c r="B142" i="23"/>
  <c r="B141" i="23"/>
  <c r="B140" i="23"/>
  <c r="B139" i="23"/>
  <c r="B138" i="23"/>
  <c r="B137" i="23"/>
  <c r="B136" i="23"/>
  <c r="B135" i="23"/>
  <c r="E134" i="23"/>
  <c r="B134" i="23"/>
  <c r="E133" i="23"/>
  <c r="B133" i="23"/>
  <c r="B164" i="23" s="1"/>
  <c r="B127" i="23"/>
  <c r="C127" i="23" s="1"/>
  <c r="B126" i="23"/>
  <c r="C126" i="23" s="1"/>
  <c r="B125" i="23"/>
  <c r="C125" i="23" s="1"/>
  <c r="B124" i="23"/>
  <c r="B123" i="23"/>
  <c r="C123" i="23" s="1"/>
  <c r="B122" i="23"/>
  <c r="C121" i="23"/>
  <c r="B119" i="23"/>
  <c r="J119" i="23" s="1"/>
  <c r="E118" i="23"/>
  <c r="B118" i="23"/>
  <c r="C118" i="23" s="1"/>
  <c r="E117" i="23"/>
  <c r="B117" i="23"/>
  <c r="B128" i="23" s="1"/>
  <c r="B111" i="23"/>
  <c r="C111" i="23" s="1"/>
  <c r="B110" i="23"/>
  <c r="J110" i="23" s="1"/>
  <c r="B109" i="23"/>
  <c r="C109" i="23" s="1"/>
  <c r="B108" i="23"/>
  <c r="C108" i="23" s="1"/>
  <c r="E107" i="23"/>
  <c r="B107" i="23"/>
  <c r="C107" i="23" s="1"/>
  <c r="E106" i="23"/>
  <c r="B106" i="23"/>
  <c r="B97" i="23"/>
  <c r="B96" i="23"/>
  <c r="B95" i="23"/>
  <c r="B94" i="23"/>
  <c r="E93" i="23"/>
  <c r="B93" i="23"/>
  <c r="E92" i="23"/>
  <c r="B92" i="23"/>
  <c r="C92" i="23" s="1"/>
  <c r="B86" i="23"/>
  <c r="C86" i="23" s="1"/>
  <c r="B85" i="23"/>
  <c r="J85" i="23" s="1"/>
  <c r="B84" i="23"/>
  <c r="C84" i="23" s="1"/>
  <c r="B83" i="23"/>
  <c r="J83" i="23" s="1"/>
  <c r="E82" i="23"/>
  <c r="B82" i="23"/>
  <c r="C82" i="23" s="1"/>
  <c r="E81" i="23"/>
  <c r="B81" i="23"/>
  <c r="B87" i="23" s="1"/>
  <c r="E43" i="23"/>
  <c r="E42" i="23"/>
  <c r="B42" i="23"/>
  <c r="B36" i="23"/>
  <c r="C36" i="23" s="1"/>
  <c r="B35" i="23"/>
  <c r="C35" i="23" s="1"/>
  <c r="B34" i="23"/>
  <c r="J34" i="23" s="1"/>
  <c r="B33" i="23"/>
  <c r="C33" i="23" s="1"/>
  <c r="B32" i="23"/>
  <c r="C32" i="23" s="1"/>
  <c r="E31" i="23"/>
  <c r="B31" i="23"/>
  <c r="C31" i="23" s="1"/>
  <c r="E30" i="23"/>
  <c r="B30" i="23"/>
  <c r="B24" i="23"/>
  <c r="C24" i="23" s="1"/>
  <c r="B23" i="23"/>
  <c r="C23" i="23" s="1"/>
  <c r="E22" i="23"/>
  <c r="B22" i="23"/>
  <c r="C22" i="23" s="1"/>
  <c r="E21" i="23"/>
  <c r="B21" i="23"/>
  <c r="C21" i="23" s="1"/>
  <c r="B15" i="23"/>
  <c r="C15" i="23" s="1"/>
  <c r="B14" i="23"/>
  <c r="J14" i="23" s="1"/>
  <c r="B13" i="23"/>
  <c r="C13" i="23" s="1"/>
  <c r="B12" i="23"/>
  <c r="J12" i="23" s="1"/>
  <c r="B11" i="23"/>
  <c r="C11" i="23" s="1"/>
  <c r="B10" i="23"/>
  <c r="J10" i="23" s="1"/>
  <c r="B9" i="23"/>
  <c r="C9" i="23" s="1"/>
  <c r="B8" i="23"/>
  <c r="J8" i="23" s="1"/>
  <c r="B7" i="23"/>
  <c r="J7" i="23" s="1"/>
  <c r="E6" i="23"/>
  <c r="B6" i="23"/>
  <c r="C6" i="23" s="1"/>
  <c r="E5" i="23"/>
  <c r="B5" i="23"/>
  <c r="C5" i="23" s="1"/>
  <c r="B3" i="23"/>
  <c r="E233" i="20"/>
  <c r="B233" i="20"/>
  <c r="B234" i="20" s="1"/>
  <c r="B225" i="20"/>
  <c r="B224" i="20"/>
  <c r="B223" i="20"/>
  <c r="B222" i="20"/>
  <c r="B221" i="20"/>
  <c r="B220" i="20"/>
  <c r="B219" i="20"/>
  <c r="B218" i="20"/>
  <c r="B217" i="20"/>
  <c r="B216" i="20"/>
  <c r="B215" i="20"/>
  <c r="B214" i="20"/>
  <c r="B213" i="20"/>
  <c r="B212" i="20"/>
  <c r="B211" i="20"/>
  <c r="B210" i="20"/>
  <c r="E209" i="20"/>
  <c r="B209" i="20"/>
  <c r="E208" i="20"/>
  <c r="B208" i="20"/>
  <c r="B226" i="20" s="1"/>
  <c r="B186" i="20"/>
  <c r="B185" i="20"/>
  <c r="B184" i="20"/>
  <c r="B183" i="20"/>
  <c r="B182" i="20"/>
  <c r="B181" i="20"/>
  <c r="B180" i="20"/>
  <c r="B179" i="20"/>
  <c r="B178" i="20"/>
  <c r="B177" i="20"/>
  <c r="B176" i="20"/>
  <c r="B175" i="20"/>
  <c r="B174" i="20"/>
  <c r="B173" i="20"/>
  <c r="B172" i="20"/>
  <c r="B171" i="20"/>
  <c r="E170" i="20"/>
  <c r="B170" i="20"/>
  <c r="E169" i="20"/>
  <c r="B169" i="20"/>
  <c r="C169" i="20" s="1"/>
  <c r="B153" i="20"/>
  <c r="B152" i="20"/>
  <c r="B151" i="20"/>
  <c r="B150" i="20"/>
  <c r="B149" i="20"/>
  <c r="B148" i="20"/>
  <c r="B147" i="20"/>
  <c r="B146" i="20"/>
  <c r="B145" i="20"/>
  <c r="B144" i="20"/>
  <c r="B143" i="20"/>
  <c r="B142" i="20"/>
  <c r="B141" i="20"/>
  <c r="B140" i="20"/>
  <c r="B139" i="20"/>
  <c r="B138" i="20"/>
  <c r="B137" i="20"/>
  <c r="B136" i="20"/>
  <c r="B135" i="20"/>
  <c r="E134" i="20"/>
  <c r="B134" i="20"/>
  <c r="E133" i="20"/>
  <c r="B133" i="20"/>
  <c r="B127" i="20"/>
  <c r="B126" i="20"/>
  <c r="B125" i="20"/>
  <c r="B124" i="20"/>
  <c r="B123" i="20"/>
  <c r="B120" i="20"/>
  <c r="B119" i="20"/>
  <c r="E118" i="20"/>
  <c r="B118" i="20"/>
  <c r="E117" i="20"/>
  <c r="B117" i="20"/>
  <c r="B128" i="20" s="1"/>
  <c r="B111" i="20"/>
  <c r="B110" i="20"/>
  <c r="B109" i="20"/>
  <c r="B108" i="20"/>
  <c r="E107" i="20"/>
  <c r="B107" i="20"/>
  <c r="E106" i="20"/>
  <c r="B106" i="20"/>
  <c r="C97" i="20"/>
  <c r="C96" i="20"/>
  <c r="C93" i="20"/>
  <c r="E92" i="20"/>
  <c r="B92" i="20"/>
  <c r="C92" i="20" s="1"/>
  <c r="B86" i="20"/>
  <c r="B85" i="20"/>
  <c r="B84" i="20"/>
  <c r="B83" i="20"/>
  <c r="E82" i="20"/>
  <c r="B82" i="20"/>
  <c r="E81" i="20"/>
  <c r="B81" i="20"/>
  <c r="E43" i="20"/>
  <c r="C43" i="20"/>
  <c r="E42" i="20"/>
  <c r="B42" i="20"/>
  <c r="B36" i="20"/>
  <c r="B35" i="20"/>
  <c r="B34" i="20"/>
  <c r="B33" i="20"/>
  <c r="B32" i="20"/>
  <c r="E31" i="20"/>
  <c r="B31" i="20"/>
  <c r="E30" i="20"/>
  <c r="B30" i="20"/>
  <c r="C30" i="20" s="1"/>
  <c r="B24" i="20"/>
  <c r="B23" i="20"/>
  <c r="E22" i="20"/>
  <c r="B22" i="20"/>
  <c r="E21" i="20"/>
  <c r="B21" i="20"/>
  <c r="C21" i="20" s="1"/>
  <c r="B15" i="20"/>
  <c r="B14" i="20"/>
  <c r="B13" i="20"/>
  <c r="B12" i="20"/>
  <c r="B11" i="20"/>
  <c r="B10" i="20"/>
  <c r="B9" i="20"/>
  <c r="B8" i="20"/>
  <c r="B7" i="20"/>
  <c r="E6" i="20"/>
  <c r="B6" i="20"/>
  <c r="E5" i="20"/>
  <c r="B5" i="20"/>
  <c r="B3" i="20"/>
  <c r="B48" i="27"/>
  <c r="B45" i="27"/>
  <c r="B46" i="27" s="1"/>
  <c r="B40" i="27"/>
  <c r="B41" i="27" s="1"/>
  <c r="B35" i="27"/>
  <c r="B36" i="27" s="1"/>
  <c r="B30" i="27"/>
  <c r="B31" i="27" s="1"/>
  <c r="K26" i="27"/>
  <c r="B25" i="27"/>
  <c r="B26" i="27" s="1"/>
  <c r="K21" i="27"/>
  <c r="B20" i="27"/>
  <c r="B21" i="27" s="1"/>
  <c r="K16" i="27"/>
  <c r="B15" i="27"/>
  <c r="B16" i="27" s="1"/>
  <c r="K11" i="27"/>
  <c r="B10" i="27"/>
  <c r="B11" i="27" s="1"/>
  <c r="B5" i="27"/>
  <c r="B6" i="27" s="1"/>
  <c r="B3" i="27"/>
  <c r="B43" i="26"/>
  <c r="B40" i="26"/>
  <c r="B41" i="26" s="1"/>
  <c r="B35" i="26"/>
  <c r="B36" i="26" s="1"/>
  <c r="B30" i="26"/>
  <c r="B31" i="26" s="1"/>
  <c r="K26" i="26"/>
  <c r="B25" i="26"/>
  <c r="B26" i="26" s="1"/>
  <c r="K21" i="26"/>
  <c r="B20" i="26"/>
  <c r="B21" i="26" s="1"/>
  <c r="K16" i="26"/>
  <c r="B15" i="26"/>
  <c r="C15" i="26" s="1"/>
  <c r="K11" i="26"/>
  <c r="B10" i="26"/>
  <c r="B11" i="26" s="1"/>
  <c r="B5" i="26"/>
  <c r="B3" i="26"/>
  <c r="B225" i="9"/>
  <c r="B224" i="9"/>
  <c r="B223" i="9"/>
  <c r="B222" i="9"/>
  <c r="B221" i="9"/>
  <c r="B220" i="9"/>
  <c r="B219" i="9"/>
  <c r="B218" i="9"/>
  <c r="B217" i="9"/>
  <c r="B216" i="9"/>
  <c r="B215" i="9"/>
  <c r="B214" i="9"/>
  <c r="B213" i="9"/>
  <c r="B212" i="9"/>
  <c r="B211" i="9"/>
  <c r="B210" i="9"/>
  <c r="E209" i="9"/>
  <c r="B209" i="9"/>
  <c r="E208" i="9"/>
  <c r="B208" i="9"/>
  <c r="B226" i="9" s="1"/>
  <c r="B186" i="9"/>
  <c r="B185" i="9"/>
  <c r="B184" i="9"/>
  <c r="B183" i="9"/>
  <c r="B182" i="9"/>
  <c r="B181" i="9"/>
  <c r="B180" i="9"/>
  <c r="B179" i="9"/>
  <c r="B178" i="9"/>
  <c r="B177" i="9"/>
  <c r="B176" i="9"/>
  <c r="B175" i="9"/>
  <c r="B174" i="9"/>
  <c r="B173" i="9"/>
  <c r="B172" i="9"/>
  <c r="B171" i="9"/>
  <c r="B170" i="9"/>
  <c r="E169" i="9"/>
  <c r="B169" i="9"/>
  <c r="B153" i="9"/>
  <c r="B152" i="9"/>
  <c r="B151" i="9"/>
  <c r="B150" i="9"/>
  <c r="B149" i="9"/>
  <c r="B148" i="9"/>
  <c r="B147" i="9"/>
  <c r="B146" i="9"/>
  <c r="B145" i="9"/>
  <c r="B144" i="9"/>
  <c r="B143" i="9"/>
  <c r="B142" i="9"/>
  <c r="B141" i="9"/>
  <c r="B140" i="9"/>
  <c r="B139" i="9"/>
  <c r="B138" i="9"/>
  <c r="B137" i="9"/>
  <c r="B136" i="9"/>
  <c r="B135" i="9"/>
  <c r="E134" i="9"/>
  <c r="B134" i="9"/>
  <c r="E133" i="9"/>
  <c r="B133" i="9"/>
  <c r="B127" i="9"/>
  <c r="B126" i="9"/>
  <c r="B125" i="9"/>
  <c r="B124" i="9"/>
  <c r="B123" i="9"/>
  <c r="C122" i="9"/>
  <c r="B120" i="9"/>
  <c r="B119" i="9"/>
  <c r="E118" i="9"/>
  <c r="B118" i="9"/>
  <c r="E117" i="9"/>
  <c r="B117" i="9"/>
  <c r="C117" i="9" s="1"/>
  <c r="B111" i="9"/>
  <c r="B110" i="9"/>
  <c r="B109" i="9"/>
  <c r="B108" i="9"/>
  <c r="B107" i="9"/>
  <c r="E106" i="9"/>
  <c r="B106" i="9"/>
  <c r="C106" i="9" s="1"/>
  <c r="B97" i="9"/>
  <c r="B96" i="9"/>
  <c r="B95" i="9"/>
  <c r="B94" i="9"/>
  <c r="E93" i="9"/>
  <c r="B93" i="9"/>
  <c r="E92" i="9"/>
  <c r="B92" i="9"/>
  <c r="C92" i="9" s="1"/>
  <c r="B86" i="9"/>
  <c r="B85" i="9"/>
  <c r="B84" i="9"/>
  <c r="B83" i="9"/>
  <c r="E82" i="9"/>
  <c r="B82" i="9"/>
  <c r="E81" i="9"/>
  <c r="B81" i="9"/>
  <c r="E43" i="9"/>
  <c r="C43" i="9"/>
  <c r="E42" i="9"/>
  <c r="B42" i="9"/>
  <c r="B76" i="9" s="1"/>
  <c r="B36" i="9"/>
  <c r="B35" i="9"/>
  <c r="B34" i="9"/>
  <c r="B33" i="9"/>
  <c r="B32" i="9"/>
  <c r="E31" i="9"/>
  <c r="B31" i="9"/>
  <c r="E30" i="9"/>
  <c r="B30" i="9"/>
  <c r="C30" i="9" s="1"/>
  <c r="B24" i="9"/>
  <c r="J24" i="9" s="1"/>
  <c r="B23" i="9"/>
  <c r="J23" i="9" s="1"/>
  <c r="E22" i="9"/>
  <c r="B22" i="9"/>
  <c r="E21" i="9"/>
  <c r="B21" i="9"/>
  <c r="C21" i="9" s="1"/>
  <c r="B15" i="9"/>
  <c r="B14" i="9"/>
  <c r="B13" i="9"/>
  <c r="B12" i="9"/>
  <c r="B11" i="9"/>
  <c r="B10" i="9"/>
  <c r="B9" i="9"/>
  <c r="B8" i="9"/>
  <c r="B7" i="9"/>
  <c r="B6" i="9"/>
  <c r="E5" i="9"/>
  <c r="B5" i="9"/>
  <c r="B3" i="9"/>
  <c r="B36" i="25"/>
  <c r="B31" i="25"/>
  <c r="K26" i="25"/>
  <c r="B26" i="25"/>
  <c r="C25" i="25"/>
  <c r="K21" i="25"/>
  <c r="B21" i="25"/>
  <c r="C20" i="25"/>
  <c r="K16" i="25"/>
  <c r="B16" i="25"/>
  <c r="K11" i="25"/>
  <c r="B11" i="25"/>
  <c r="B5" i="25"/>
  <c r="B3" i="25"/>
  <c r="B225" i="8"/>
  <c r="B224" i="8"/>
  <c r="C224" i="8" s="1"/>
  <c r="B223" i="8"/>
  <c r="B222" i="8"/>
  <c r="J222" i="8" s="1"/>
  <c r="B221" i="8"/>
  <c r="C221" i="8" s="1"/>
  <c r="B220" i="8"/>
  <c r="C220" i="8" s="1"/>
  <c r="B219" i="8"/>
  <c r="B218" i="8"/>
  <c r="J218" i="8" s="1"/>
  <c r="B217" i="8"/>
  <c r="J217" i="8" s="1"/>
  <c r="B216" i="8"/>
  <c r="C216" i="8" s="1"/>
  <c r="B215" i="8"/>
  <c r="C215" i="8" s="1"/>
  <c r="B214" i="8"/>
  <c r="C214" i="8" s="1"/>
  <c r="B213" i="8"/>
  <c r="J213" i="8" s="1"/>
  <c r="B212" i="8"/>
  <c r="C212" i="8" s="1"/>
  <c r="B211" i="8"/>
  <c r="C211" i="8" s="1"/>
  <c r="B210" i="8"/>
  <c r="C210" i="8" s="1"/>
  <c r="E209" i="8"/>
  <c r="B209" i="8"/>
  <c r="E208" i="8"/>
  <c r="B208" i="8"/>
  <c r="B226" i="8" s="1"/>
  <c r="B186" i="8"/>
  <c r="B185" i="8"/>
  <c r="C185" i="8" s="1"/>
  <c r="B184" i="8"/>
  <c r="B183" i="8"/>
  <c r="C183" i="8" s="1"/>
  <c r="B182" i="8"/>
  <c r="B181" i="8"/>
  <c r="J181" i="8" s="1"/>
  <c r="B180" i="8"/>
  <c r="C180" i="8" s="1"/>
  <c r="B179" i="8"/>
  <c r="J179" i="8" s="1"/>
  <c r="B178" i="8"/>
  <c r="B177" i="8"/>
  <c r="C177" i="8" s="1"/>
  <c r="B176" i="8"/>
  <c r="J176" i="8" s="1"/>
  <c r="B175" i="8"/>
  <c r="C175" i="8" s="1"/>
  <c r="B174" i="8"/>
  <c r="C174" i="8" s="1"/>
  <c r="B173" i="8"/>
  <c r="C173" i="8" s="1"/>
  <c r="B172" i="8"/>
  <c r="J172" i="8" s="1"/>
  <c r="B171" i="8"/>
  <c r="C171" i="8" s="1"/>
  <c r="E170" i="8"/>
  <c r="B170" i="8"/>
  <c r="C170" i="8" s="1"/>
  <c r="E169" i="8"/>
  <c r="B169" i="8"/>
  <c r="B153" i="8"/>
  <c r="B152" i="8"/>
  <c r="B151" i="8"/>
  <c r="B150" i="8"/>
  <c r="B149" i="8"/>
  <c r="B148" i="8"/>
  <c r="B147" i="8"/>
  <c r="B146" i="8"/>
  <c r="J146" i="8" s="1"/>
  <c r="B145" i="8"/>
  <c r="B144" i="8"/>
  <c r="B143" i="8"/>
  <c r="B142" i="8"/>
  <c r="B141" i="8"/>
  <c r="B140" i="8"/>
  <c r="B139" i="8"/>
  <c r="J139" i="8" s="1"/>
  <c r="B138" i="8"/>
  <c r="J138" i="8" s="1"/>
  <c r="B137" i="8"/>
  <c r="B136" i="8"/>
  <c r="B135" i="8"/>
  <c r="E134" i="8"/>
  <c r="B134" i="8"/>
  <c r="E133" i="8"/>
  <c r="B133" i="8"/>
  <c r="C133" i="8" s="1"/>
  <c r="B127" i="8"/>
  <c r="J127" i="8" s="1"/>
  <c r="B126" i="8"/>
  <c r="B125" i="8"/>
  <c r="J125" i="8" s="1"/>
  <c r="B124" i="8"/>
  <c r="B123" i="8"/>
  <c r="J123" i="8" s="1"/>
  <c r="C122" i="8"/>
  <c r="B120" i="8"/>
  <c r="B119" i="8"/>
  <c r="J119" i="8" s="1"/>
  <c r="E118" i="8"/>
  <c r="B118" i="8"/>
  <c r="J118" i="8" s="1"/>
  <c r="E117" i="8"/>
  <c r="B117" i="8"/>
  <c r="B111" i="8"/>
  <c r="B110" i="8"/>
  <c r="C110" i="8" s="1"/>
  <c r="B109" i="8"/>
  <c r="J109" i="8" s="1"/>
  <c r="B108" i="8"/>
  <c r="C108" i="8" s="1"/>
  <c r="E107" i="8"/>
  <c r="B107" i="8"/>
  <c r="C107" i="8" s="1"/>
  <c r="E106" i="8"/>
  <c r="B106" i="8"/>
  <c r="B98" i="8"/>
  <c r="B97" i="8"/>
  <c r="J97" i="8" s="1"/>
  <c r="B96" i="8"/>
  <c r="J96" i="8" s="1"/>
  <c r="B95" i="8"/>
  <c r="J95" i="8" s="1"/>
  <c r="B94" i="8"/>
  <c r="E43" i="8"/>
  <c r="C43" i="8"/>
  <c r="E42" i="8"/>
  <c r="B42" i="8"/>
  <c r="B76" i="8" s="1"/>
  <c r="B36" i="8"/>
  <c r="J36" i="8" s="1"/>
  <c r="B35" i="8"/>
  <c r="C35" i="8" s="1"/>
  <c r="B34" i="8"/>
  <c r="C34" i="8" s="1"/>
  <c r="B33" i="8"/>
  <c r="J33" i="8" s="1"/>
  <c r="B32" i="8"/>
  <c r="J32" i="8" s="1"/>
  <c r="E31" i="8"/>
  <c r="B31" i="8"/>
  <c r="J31" i="8" s="1"/>
  <c r="E30" i="8"/>
  <c r="B30" i="8"/>
  <c r="C30" i="8" s="1"/>
  <c r="B24" i="8"/>
  <c r="C24" i="8" s="1"/>
  <c r="B23" i="8"/>
  <c r="J23" i="8" s="1"/>
  <c r="E22" i="8"/>
  <c r="B22" i="8"/>
  <c r="J22" i="8" s="1"/>
  <c r="E21" i="8"/>
  <c r="B21" i="8"/>
  <c r="B25" i="8" s="1"/>
  <c r="B15" i="8"/>
  <c r="J15" i="8" s="1"/>
  <c r="B14" i="8"/>
  <c r="J14" i="8" s="1"/>
  <c r="B13" i="8"/>
  <c r="J13" i="8" s="1"/>
  <c r="B12" i="8"/>
  <c r="C12" i="8" s="1"/>
  <c r="B11" i="8"/>
  <c r="C11" i="8" s="1"/>
  <c r="B10" i="8"/>
  <c r="J10" i="8" s="1"/>
  <c r="B9" i="8"/>
  <c r="C9" i="8" s="1"/>
  <c r="B8" i="8"/>
  <c r="C8" i="8" s="1"/>
  <c r="B7" i="8"/>
  <c r="C7" i="8" s="1"/>
  <c r="E6" i="8"/>
  <c r="B6" i="8"/>
  <c r="J6" i="8" s="1"/>
  <c r="E5" i="8"/>
  <c r="B5" i="8"/>
  <c r="B3" i="8"/>
  <c r="K2" i="8"/>
  <c r="B47" i="14"/>
  <c r="B44" i="14"/>
  <c r="B45" i="14" s="1"/>
  <c r="B39" i="14"/>
  <c r="B40" i="14" s="1"/>
  <c r="K35" i="14"/>
  <c r="J34" i="14"/>
  <c r="B34" i="14"/>
  <c r="J33" i="14"/>
  <c r="B33" i="14"/>
  <c r="J32" i="14"/>
  <c r="B32" i="14"/>
  <c r="B31" i="14"/>
  <c r="C31" i="14" s="1"/>
  <c r="K27" i="14"/>
  <c r="J26" i="14"/>
  <c r="B26" i="14"/>
  <c r="B25" i="14"/>
  <c r="C25" i="14" s="1"/>
  <c r="K21" i="14"/>
  <c r="B20" i="14"/>
  <c r="B21" i="14" s="1"/>
  <c r="K16" i="14"/>
  <c r="B15" i="14"/>
  <c r="B16" i="14" s="1"/>
  <c r="K11" i="14"/>
  <c r="B10" i="14"/>
  <c r="B11" i="14" s="1"/>
  <c r="K6" i="14"/>
  <c r="B5" i="14"/>
  <c r="B3" i="14"/>
  <c r="B8" i="21"/>
  <c r="C5" i="21"/>
  <c r="C4" i="21" s="1"/>
  <c r="B5" i="21"/>
  <c r="B3" i="21"/>
  <c r="L2931" i="22"/>
  <c r="R2930" i="22"/>
  <c r="Q2930" i="22"/>
  <c r="Q2931" i="22" s="1"/>
  <c r="L2928" i="22"/>
  <c r="L2925" i="22"/>
  <c r="B5" i="22" s="1"/>
  <c r="R2923" i="22"/>
  <c r="Q2923" i="22"/>
  <c r="R2922" i="22"/>
  <c r="Q2922" i="22"/>
  <c r="R2921" i="22"/>
  <c r="Q2921" i="22"/>
  <c r="R2914" i="22"/>
  <c r="Q2914" i="22"/>
  <c r="Q2917" i="22" s="1"/>
  <c r="R2902" i="22"/>
  <c r="Q2902" i="22"/>
  <c r="R2901" i="22"/>
  <c r="Q2901" i="22"/>
  <c r="R2895" i="22"/>
  <c r="Q2895" i="22"/>
  <c r="Q2897" i="22" s="1"/>
  <c r="R2890" i="22"/>
  <c r="Q2890" i="22"/>
  <c r="Q2891" i="22" s="1"/>
  <c r="R2885" i="22"/>
  <c r="Q2885" i="22"/>
  <c r="Q2886" i="22" s="1"/>
  <c r="R2874" i="22"/>
  <c r="Q2874" i="22"/>
  <c r="R2873" i="22"/>
  <c r="Q2873" i="22"/>
  <c r="R2872" i="22"/>
  <c r="Q2872" i="22"/>
  <c r="R2871" i="22"/>
  <c r="Q2871" i="22"/>
  <c r="R2870" i="22"/>
  <c r="Q2870" i="22"/>
  <c r="R2869" i="22"/>
  <c r="Q2869" i="22"/>
  <c r="Q2707" i="22"/>
  <c r="Q2706" i="22"/>
  <c r="Q2705" i="22"/>
  <c r="Q2704" i="22"/>
  <c r="Q2703" i="22"/>
  <c r="Q2702" i="22"/>
  <c r="Q2701" i="22"/>
  <c r="Q2700" i="22"/>
  <c r="Q2699" i="22"/>
  <c r="Q2624" i="22"/>
  <c r="Q2623" i="22"/>
  <c r="Q2622" i="22"/>
  <c r="Q2621" i="22"/>
  <c r="Q2620" i="22"/>
  <c r="Q2619" i="22"/>
  <c r="Q2618" i="22"/>
  <c r="Q2617" i="22"/>
  <c r="Q2616" i="22"/>
  <c r="Q2615" i="22"/>
  <c r="S2615" i="22" s="1"/>
  <c r="Q2614" i="22"/>
  <c r="Q2613" i="22"/>
  <c r="Q2612" i="22"/>
  <c r="Q2611" i="22"/>
  <c r="Q2610" i="22"/>
  <c r="Q2609" i="22"/>
  <c r="Q2608" i="22"/>
  <c r="Q2607" i="22"/>
  <c r="Q2606" i="22"/>
  <c r="Q2605" i="22"/>
  <c r="Q2604" i="22"/>
  <c r="Q2603" i="22"/>
  <c r="Q2602" i="22"/>
  <c r="Q2601" i="22"/>
  <c r="Q2600" i="22"/>
  <c r="Q2599" i="22"/>
  <c r="Q2598" i="22"/>
  <c r="Q2597" i="22"/>
  <c r="Q2596" i="22"/>
  <c r="Q2595" i="22"/>
  <c r="Q2594" i="22"/>
  <c r="Q2593" i="22"/>
  <c r="Q2592" i="22"/>
  <c r="Q2591" i="22"/>
  <c r="Q2590" i="22"/>
  <c r="Q2589" i="22"/>
  <c r="Q2588" i="22"/>
  <c r="Q2587" i="22"/>
  <c r="Q2586" i="22"/>
  <c r="Q2585" i="22"/>
  <c r="Q2584" i="22"/>
  <c r="Q2583" i="22"/>
  <c r="Q2582" i="22"/>
  <c r="Q2581" i="22"/>
  <c r="Q2580" i="22"/>
  <c r="Q2579" i="22"/>
  <c r="Q2578" i="22"/>
  <c r="Q2577" i="22"/>
  <c r="Q2576" i="22"/>
  <c r="Q2575" i="22"/>
  <c r="Q2574" i="22"/>
  <c r="Q2573" i="22"/>
  <c r="Q2572" i="22"/>
  <c r="Q2571" i="22"/>
  <c r="Q2570" i="22"/>
  <c r="S2570" i="22" s="1"/>
  <c r="Q2569" i="22"/>
  <c r="Q2568" i="22"/>
  <c r="Q2567" i="22"/>
  <c r="Q2566" i="22"/>
  <c r="Q2565" i="22"/>
  <c r="Q2564" i="22"/>
  <c r="Q2563" i="22"/>
  <c r="Q2562" i="22"/>
  <c r="S2562" i="22" s="1"/>
  <c r="Q2561" i="22"/>
  <c r="Q2560" i="22"/>
  <c r="S2560" i="22" s="1"/>
  <c r="Q2559" i="22"/>
  <c r="Q2558" i="22"/>
  <c r="Q2557" i="22"/>
  <c r="Q2556" i="22"/>
  <c r="Q2555" i="22"/>
  <c r="S2555" i="22" s="1"/>
  <c r="Q2554" i="22"/>
  <c r="Q2553" i="22"/>
  <c r="Q2552" i="22"/>
  <c r="S2552" i="22" s="1"/>
  <c r="Q2551" i="22"/>
  <c r="Q2550" i="22"/>
  <c r="Q2549" i="22"/>
  <c r="Q2548" i="22"/>
  <c r="Q2547" i="22"/>
  <c r="Q2546" i="22"/>
  <c r="Q2545" i="22"/>
  <c r="Q2544" i="22"/>
  <c r="S2544" i="22" s="1"/>
  <c r="Q2543" i="22"/>
  <c r="Q2542" i="22"/>
  <c r="Q2541" i="22"/>
  <c r="Q2540" i="22"/>
  <c r="Q2539" i="22"/>
  <c r="Q2538" i="22"/>
  <c r="Q2537" i="22"/>
  <c r="Q2536" i="22"/>
  <c r="S2536" i="22" s="1"/>
  <c r="Q2535" i="22"/>
  <c r="Q2534" i="22"/>
  <c r="Q2533" i="22"/>
  <c r="Q2532" i="22"/>
  <c r="Q2531" i="22"/>
  <c r="S2531" i="22" s="1"/>
  <c r="Q2530" i="22"/>
  <c r="S2530" i="22" s="1"/>
  <c r="Q2529" i="22"/>
  <c r="Q2528" i="22"/>
  <c r="S2528" i="22" s="1"/>
  <c r="Q2527" i="22"/>
  <c r="Q2526" i="22"/>
  <c r="Q2525" i="22"/>
  <c r="Q2524" i="22"/>
  <c r="Q2523" i="22"/>
  <c r="Q2522" i="22"/>
  <c r="Q2521" i="22"/>
  <c r="Q2520" i="22"/>
  <c r="S2520" i="22" s="1"/>
  <c r="Q2519" i="22"/>
  <c r="Q2518" i="22"/>
  <c r="Q2517" i="22"/>
  <c r="Q2516" i="22"/>
  <c r="Q2515" i="22"/>
  <c r="Q2514" i="22"/>
  <c r="Q2513" i="22"/>
  <c r="S2513" i="22" s="1"/>
  <c r="Q2512" i="22"/>
  <c r="S2512" i="22" s="1"/>
  <c r="Q2511" i="22"/>
  <c r="Q2510" i="22"/>
  <c r="Q2509" i="22"/>
  <c r="Q2508" i="22"/>
  <c r="Q2507" i="22"/>
  <c r="Q2506" i="22"/>
  <c r="Q2505" i="22"/>
  <c r="Q2504" i="22"/>
  <c r="S2504" i="22" s="1"/>
  <c r="Q2503" i="22"/>
  <c r="Q2502" i="22"/>
  <c r="Q2501" i="22"/>
  <c r="Q2500" i="22"/>
  <c r="Q2499" i="22"/>
  <c r="Q2498" i="22"/>
  <c r="Q2497" i="22"/>
  <c r="Q2496" i="22"/>
  <c r="Q2495" i="22"/>
  <c r="Q2494" i="22"/>
  <c r="Q2493" i="22"/>
  <c r="Q2492" i="22"/>
  <c r="Q2491" i="22"/>
  <c r="Q2490" i="22"/>
  <c r="Q2489" i="22"/>
  <c r="Q2488" i="22"/>
  <c r="Q2487" i="22"/>
  <c r="Q2486" i="22"/>
  <c r="Q2485" i="22"/>
  <c r="Q2484" i="22"/>
  <c r="S2484" i="22" s="1"/>
  <c r="Q2483" i="22"/>
  <c r="Q2482" i="22"/>
  <c r="Q2481" i="22"/>
  <c r="Q2480" i="22"/>
  <c r="S2480" i="22" s="1"/>
  <c r="Q2479" i="22"/>
  <c r="Q2478" i="22"/>
  <c r="Q2477" i="22"/>
  <c r="Q2476" i="22"/>
  <c r="Q2475" i="22"/>
  <c r="Q2474" i="22"/>
  <c r="Q2473" i="22"/>
  <c r="Q2472" i="22"/>
  <c r="S2472" i="22" s="1"/>
  <c r="Q2471" i="22"/>
  <c r="Q2470" i="22"/>
  <c r="Q2469" i="22"/>
  <c r="Q2468" i="22"/>
  <c r="S2468" i="22" s="1"/>
  <c r="Q2467" i="22"/>
  <c r="Q2466" i="22"/>
  <c r="Q2465" i="22"/>
  <c r="Q2464" i="22"/>
  <c r="Q2463" i="22"/>
  <c r="Q2462" i="22"/>
  <c r="Q2461" i="22"/>
  <c r="Q2460" i="22"/>
  <c r="Q2459" i="22"/>
  <c r="Q2458" i="22"/>
  <c r="Q2457" i="22"/>
  <c r="S2457" i="22" s="1"/>
  <c r="Q2456" i="22"/>
  <c r="S2456" i="22" s="1"/>
  <c r="Q2455" i="22"/>
  <c r="Q2454" i="22"/>
  <c r="Q2453" i="22"/>
  <c r="Q2452" i="22"/>
  <c r="Q2451" i="22"/>
  <c r="Q2450" i="22"/>
  <c r="S2450" i="22" s="1"/>
  <c r="Q2449" i="22"/>
  <c r="Q2448" i="22"/>
  <c r="Q2447" i="22"/>
  <c r="Q2446" i="22"/>
  <c r="Q2445" i="22"/>
  <c r="Q2444" i="22"/>
  <c r="Q2443" i="22"/>
  <c r="Q2442" i="22"/>
  <c r="Q2441" i="22"/>
  <c r="Q2440" i="22"/>
  <c r="S2440" i="22" s="1"/>
  <c r="Q2439" i="22"/>
  <c r="Q2438" i="22"/>
  <c r="Q2437" i="22"/>
  <c r="Q2436" i="22"/>
  <c r="Q2435" i="22"/>
  <c r="Q2434" i="22"/>
  <c r="S2434" i="22" s="1"/>
  <c r="Q2433" i="22"/>
  <c r="Q2432" i="22"/>
  <c r="S2432" i="22" s="1"/>
  <c r="Q2431" i="22"/>
  <c r="Q2430" i="22"/>
  <c r="Q2429" i="22"/>
  <c r="S2429" i="22" s="1"/>
  <c r="Q2428" i="22"/>
  <c r="Q2427" i="22"/>
  <c r="Q2426" i="22"/>
  <c r="Q2425" i="22"/>
  <c r="Q2424" i="22"/>
  <c r="Q2423" i="22"/>
  <c r="Q2422" i="22"/>
  <c r="Q2421" i="22"/>
  <c r="S2421" i="22" s="1"/>
  <c r="Q2420" i="22"/>
  <c r="S2420" i="22" s="1"/>
  <c r="Q2419" i="22"/>
  <c r="Q2418" i="22"/>
  <c r="Q2417" i="22"/>
  <c r="Q2416" i="22"/>
  <c r="Q2415" i="22"/>
  <c r="Q2414" i="22"/>
  <c r="Q2413" i="22"/>
  <c r="Q2412" i="22"/>
  <c r="Q2411" i="22"/>
  <c r="Q2410" i="22"/>
  <c r="Q2409" i="22"/>
  <c r="Q2408" i="22"/>
  <c r="S2408" i="22" s="1"/>
  <c r="Q2407" i="22"/>
  <c r="Q2406" i="22"/>
  <c r="Q2405" i="22"/>
  <c r="Q2404" i="22"/>
  <c r="Q2403" i="22"/>
  <c r="Q2402" i="22"/>
  <c r="Q2401" i="22"/>
  <c r="Q2400" i="22"/>
  <c r="S2400" i="22" s="1"/>
  <c r="Q2399" i="22"/>
  <c r="Q2398" i="22"/>
  <c r="Q2397" i="22"/>
  <c r="Q2396" i="22"/>
  <c r="Q2395" i="22"/>
  <c r="Q2394" i="22"/>
  <c r="Q2393" i="22"/>
  <c r="Q2392" i="22"/>
  <c r="Q2391" i="22"/>
  <c r="Q2390" i="22"/>
  <c r="Q2389" i="22"/>
  <c r="Q2388" i="22"/>
  <c r="Q2387" i="22"/>
  <c r="Q2386" i="22"/>
  <c r="Q2385" i="22"/>
  <c r="Q2384" i="22"/>
  <c r="Q2383" i="22"/>
  <c r="Q2382" i="22"/>
  <c r="Q2381" i="22"/>
  <c r="Q2380" i="22"/>
  <c r="Q2379" i="22"/>
  <c r="Q2378" i="22"/>
  <c r="Q2377" i="22"/>
  <c r="Q2376" i="22"/>
  <c r="Q2375" i="22"/>
  <c r="Q2374" i="22"/>
  <c r="Q2373" i="22"/>
  <c r="Q2372" i="22"/>
  <c r="Q2371" i="22"/>
  <c r="Q2370" i="22"/>
  <c r="Q2369" i="22"/>
  <c r="Q2368" i="22"/>
  <c r="Q2367" i="22"/>
  <c r="Q2366" i="22"/>
  <c r="Q2365" i="22"/>
  <c r="Q2364" i="22"/>
  <c r="Q2363" i="22"/>
  <c r="Q2362" i="22"/>
  <c r="Q2361" i="22"/>
  <c r="Q2360" i="22"/>
  <c r="Q2359" i="22"/>
  <c r="Q2358" i="22"/>
  <c r="Q2357" i="22"/>
  <c r="Q2356" i="22"/>
  <c r="Q2355" i="22"/>
  <c r="Q2354" i="22"/>
  <c r="Q2353" i="22"/>
  <c r="Q2352" i="22"/>
  <c r="S2352" i="22" s="1"/>
  <c r="Q2351" i="22"/>
  <c r="S2351" i="22" s="1"/>
  <c r="Q2350" i="22"/>
  <c r="S2350" i="22" s="1"/>
  <c r="Q2349" i="22"/>
  <c r="Q2348" i="22"/>
  <c r="Q2347" i="22"/>
  <c r="Q2346" i="22"/>
  <c r="Q2345" i="22"/>
  <c r="Q2344" i="22"/>
  <c r="Q2343" i="22"/>
  <c r="S2343" i="22" s="1"/>
  <c r="Q2342" i="22"/>
  <c r="Q2341" i="22"/>
  <c r="Q2340" i="22"/>
  <c r="Q2339" i="22"/>
  <c r="Q2338" i="22"/>
  <c r="Q2337" i="22"/>
  <c r="Q2336" i="22"/>
  <c r="S2336" i="22" s="1"/>
  <c r="Q2335" i="22"/>
  <c r="S2335" i="22" s="1"/>
  <c r="Q2334" i="22"/>
  <c r="Q2333" i="22"/>
  <c r="S2333" i="22" s="1"/>
  <c r="Q2332" i="22"/>
  <c r="Q2331" i="22"/>
  <c r="Q2330" i="22"/>
  <c r="Q2329" i="22"/>
  <c r="Q2328" i="22"/>
  <c r="Q2327" i="22"/>
  <c r="Q2326" i="22"/>
  <c r="Q2325" i="22"/>
  <c r="Q2324" i="22"/>
  <c r="Q2323" i="22"/>
  <c r="S2323" i="22" s="1"/>
  <c r="Q2322" i="22"/>
  <c r="Q2321" i="22"/>
  <c r="Q2320" i="22"/>
  <c r="Q2319" i="22"/>
  <c r="Q2318" i="22"/>
  <c r="Q2317" i="22"/>
  <c r="Q2316" i="22"/>
  <c r="S2316" i="22" s="1"/>
  <c r="Q2315" i="22"/>
  <c r="S2315" i="22" s="1"/>
  <c r="Q2314" i="22"/>
  <c r="Q2313" i="22"/>
  <c r="S2313" i="22" s="1"/>
  <c r="Q2312" i="22"/>
  <c r="Q2311" i="22"/>
  <c r="Q2310" i="22"/>
  <c r="Q2309" i="22"/>
  <c r="Q2308" i="22"/>
  <c r="Q2307" i="22"/>
  <c r="Q2306" i="22"/>
  <c r="S2306" i="22" s="1"/>
  <c r="Q2305" i="22"/>
  <c r="Q2304" i="22"/>
  <c r="Q2303" i="22"/>
  <c r="Q2302" i="22"/>
  <c r="Q2301" i="22"/>
  <c r="Q2300" i="22"/>
  <c r="Q2299" i="22"/>
  <c r="Q2298" i="22"/>
  <c r="Q2297" i="22"/>
  <c r="Q2296" i="22"/>
  <c r="Q2295" i="22"/>
  <c r="Q2294" i="22"/>
  <c r="Q2293" i="22"/>
  <c r="Q2292" i="22"/>
  <c r="Q2291" i="22"/>
  <c r="Q2290" i="22"/>
  <c r="Q2289" i="22"/>
  <c r="Q2288" i="22"/>
  <c r="Q2287" i="22"/>
  <c r="Q2286" i="22"/>
  <c r="Q2285" i="22"/>
  <c r="Q2284" i="22"/>
  <c r="Q2283" i="22"/>
  <c r="Q2282" i="22"/>
  <c r="Q2281" i="22"/>
  <c r="Q2280" i="22"/>
  <c r="S2280" i="22" s="1"/>
  <c r="Q2279" i="22"/>
  <c r="Q2278" i="22"/>
  <c r="Q2277" i="22"/>
  <c r="Q2276" i="22"/>
  <c r="Q2275" i="22"/>
  <c r="Q2274" i="22"/>
  <c r="Q2273" i="22"/>
  <c r="Q2272" i="22"/>
  <c r="Q2271" i="22"/>
  <c r="Q2270" i="22"/>
  <c r="Q2269" i="22"/>
  <c r="S2269" i="22" s="1"/>
  <c r="Q2268" i="22"/>
  <c r="Q2267" i="22"/>
  <c r="Q2266" i="22"/>
  <c r="Q2265" i="22"/>
  <c r="Q2264" i="22"/>
  <c r="Q2263" i="22"/>
  <c r="Q2262" i="22"/>
  <c r="Q2261" i="22"/>
  <c r="Q2260" i="22"/>
  <c r="Q2259" i="22"/>
  <c r="Q2258" i="22"/>
  <c r="Q2257" i="22"/>
  <c r="Q2256" i="22"/>
  <c r="Q2255" i="22"/>
  <c r="Q2254" i="22"/>
  <c r="Q2253" i="22"/>
  <c r="Q2252" i="22"/>
  <c r="Q2251" i="22"/>
  <c r="Q2250" i="22"/>
  <c r="Q2249" i="22"/>
  <c r="Q2248" i="22"/>
  <c r="Q2247" i="22"/>
  <c r="Q2246" i="22"/>
  <c r="Q2245" i="22"/>
  <c r="Q2244" i="22"/>
  <c r="Q2243" i="22"/>
  <c r="Q2242" i="22"/>
  <c r="Q2241" i="22"/>
  <c r="Q2240" i="22"/>
  <c r="Q2239" i="22"/>
  <c r="Q2238" i="22"/>
  <c r="Q2237" i="22"/>
  <c r="Q2236" i="22"/>
  <c r="Q2235" i="22"/>
  <c r="Q2234" i="22"/>
  <c r="Q2233" i="22"/>
  <c r="Q2232" i="22"/>
  <c r="Q2231" i="22"/>
  <c r="Q2230" i="22"/>
  <c r="Q2229" i="22"/>
  <c r="Q2228" i="22"/>
  <c r="Q2227" i="22"/>
  <c r="Q2226" i="22"/>
  <c r="Q2225" i="22"/>
  <c r="Q2224" i="22"/>
  <c r="Q2223" i="22"/>
  <c r="Q2222" i="22"/>
  <c r="Q2221" i="22"/>
  <c r="Q2220" i="22"/>
  <c r="S2220" i="22" s="1"/>
  <c r="Q2219" i="22"/>
  <c r="Q2218" i="22"/>
  <c r="Q2217" i="22"/>
  <c r="Q2216" i="22"/>
  <c r="Q2215" i="22"/>
  <c r="S2215" i="22" s="1"/>
  <c r="Q2214" i="22"/>
  <c r="Q2213" i="22"/>
  <c r="Q2212" i="22"/>
  <c r="Q2211" i="22"/>
  <c r="Q2210" i="22"/>
  <c r="Q2209" i="22"/>
  <c r="Q2208" i="22"/>
  <c r="Q2207" i="22"/>
  <c r="Q2206" i="22"/>
  <c r="Q2205" i="22"/>
  <c r="Q2204" i="22"/>
  <c r="Q2203" i="22"/>
  <c r="Q2202" i="22"/>
  <c r="Q2201" i="22"/>
  <c r="Q2200" i="22"/>
  <c r="Q2199" i="22"/>
  <c r="Q2198" i="22"/>
  <c r="Q2197" i="22"/>
  <c r="Q2196" i="22"/>
  <c r="Q2195" i="22"/>
  <c r="Q2194" i="22"/>
  <c r="Q2193" i="22"/>
  <c r="Q2192" i="22"/>
  <c r="S2192" i="22" s="1"/>
  <c r="Q2191" i="22"/>
  <c r="Q2190" i="22"/>
  <c r="Q2189" i="22"/>
  <c r="S2189" i="22" s="1"/>
  <c r="Q2188" i="22"/>
  <c r="Q2187" i="22"/>
  <c r="Q2186" i="22"/>
  <c r="Q2185" i="22"/>
  <c r="Q2184" i="22"/>
  <c r="Q2183" i="22"/>
  <c r="Q2182" i="22"/>
  <c r="Q2181" i="22"/>
  <c r="Q2180" i="22"/>
  <c r="Q2179" i="22"/>
  <c r="Q2178" i="22"/>
  <c r="Q2177" i="22"/>
  <c r="Q2176" i="22"/>
  <c r="Q2175" i="22"/>
  <c r="S2175" i="22" s="1"/>
  <c r="Q2174" i="22"/>
  <c r="S2174" i="22" s="1"/>
  <c r="Q2173" i="22"/>
  <c r="Q2172" i="22"/>
  <c r="Q2171" i="22"/>
  <c r="Q2170" i="22"/>
  <c r="Q2169" i="22"/>
  <c r="Q2168" i="22"/>
  <c r="Q2167" i="22"/>
  <c r="Q2166" i="22"/>
  <c r="Q2165" i="22"/>
  <c r="Q2164" i="22"/>
  <c r="Q2163" i="22"/>
  <c r="Q2162" i="22"/>
  <c r="S2162" i="22" s="1"/>
  <c r="Q2161" i="22"/>
  <c r="Q2160" i="22"/>
  <c r="Q2159" i="22"/>
  <c r="Q2158" i="22"/>
  <c r="S2158" i="22" s="1"/>
  <c r="Q2157" i="22"/>
  <c r="Q2156" i="22"/>
  <c r="S2156" i="22" s="1"/>
  <c r="Q2155" i="22"/>
  <c r="Q2154" i="22"/>
  <c r="S2154" i="22" s="1"/>
  <c r="Q2153" i="22"/>
  <c r="Q2152" i="22"/>
  <c r="S2152" i="22" s="1"/>
  <c r="Q2151" i="22"/>
  <c r="Q2150" i="22"/>
  <c r="Q2149" i="22"/>
  <c r="Q2148" i="22"/>
  <c r="Q2147" i="22"/>
  <c r="Q2146" i="22"/>
  <c r="Q2145" i="22"/>
  <c r="Q2144" i="22"/>
  <c r="Q2143" i="22"/>
  <c r="Q2142" i="22"/>
  <c r="S2142" i="22" s="1"/>
  <c r="Q2141" i="22"/>
  <c r="Q2140" i="22"/>
  <c r="Q2139" i="22"/>
  <c r="Q2138" i="22"/>
  <c r="Q2137" i="22"/>
  <c r="Q2136" i="22"/>
  <c r="Q2135" i="22"/>
  <c r="Q2134" i="22"/>
  <c r="Q2133" i="22"/>
  <c r="Q2132" i="22"/>
  <c r="Q2131" i="22"/>
  <c r="Q2130" i="22"/>
  <c r="Q2129" i="22"/>
  <c r="Q2128" i="22"/>
  <c r="Q2127" i="22"/>
  <c r="Q2126" i="22"/>
  <c r="Q2125" i="22"/>
  <c r="Q2124" i="22"/>
  <c r="Q2123" i="22"/>
  <c r="Q2122" i="22"/>
  <c r="Q2121" i="22"/>
  <c r="S2121" i="22" s="1"/>
  <c r="Q2120" i="22"/>
  <c r="S2120" i="22" s="1"/>
  <c r="Q2119" i="22"/>
  <c r="Q2118" i="22"/>
  <c r="Q2117" i="22"/>
  <c r="Q2116" i="22"/>
  <c r="S2116" i="22" s="1"/>
  <c r="Q2115" i="22"/>
  <c r="Q2114" i="22"/>
  <c r="Q2113" i="22"/>
  <c r="Q2112" i="22"/>
  <c r="Q2111" i="22"/>
  <c r="Q2110" i="22"/>
  <c r="Q2109" i="22"/>
  <c r="Q2108" i="22"/>
  <c r="Q2107" i="22"/>
  <c r="S2107" i="22" s="1"/>
  <c r="Q2106" i="22"/>
  <c r="Q2105" i="22"/>
  <c r="Q2104" i="22"/>
  <c r="Q2103" i="22"/>
  <c r="Q2102" i="22"/>
  <c r="Q2101" i="22"/>
  <c r="Q2100" i="22"/>
  <c r="Q2099" i="22"/>
  <c r="Q2098" i="22"/>
  <c r="S2098" i="22" s="1"/>
  <c r="Q2097" i="22"/>
  <c r="Q2096" i="22"/>
  <c r="Q2095" i="22"/>
  <c r="Q2094" i="22"/>
  <c r="Q2093" i="22"/>
  <c r="Q2092" i="22"/>
  <c r="Q2091" i="22"/>
  <c r="Q2090" i="22"/>
  <c r="Q2089" i="22"/>
  <c r="Q2088" i="22"/>
  <c r="S2088" i="22" s="1"/>
  <c r="Q2087" i="22"/>
  <c r="Q2086" i="22"/>
  <c r="Q2085" i="22"/>
  <c r="S2085" i="22" s="1"/>
  <c r="Q2084" i="22"/>
  <c r="S2084" i="22" s="1"/>
  <c r="Q2083" i="22"/>
  <c r="Q2082" i="22"/>
  <c r="Q2081" i="22"/>
  <c r="Q2080" i="22"/>
  <c r="S2080" i="22" s="1"/>
  <c r="Q2079" i="22"/>
  <c r="Q2078" i="22"/>
  <c r="Q2077" i="22"/>
  <c r="Q2076" i="22"/>
  <c r="Q2075" i="22"/>
  <c r="Q2074" i="22"/>
  <c r="Q2073" i="22"/>
  <c r="Q2072" i="22"/>
  <c r="S2072" i="22" s="1"/>
  <c r="Q2071" i="22"/>
  <c r="Q2070" i="22"/>
  <c r="Q2069" i="22"/>
  <c r="Q2068" i="22"/>
  <c r="S2068" i="22" s="1"/>
  <c r="Q2067" i="22"/>
  <c r="Q2066" i="22"/>
  <c r="Q2065" i="22"/>
  <c r="Q2064" i="22"/>
  <c r="S2064" i="22" s="1"/>
  <c r="Q2063" i="22"/>
  <c r="Q2062" i="22"/>
  <c r="Q2061" i="22"/>
  <c r="Q2060" i="22"/>
  <c r="Q2059" i="22"/>
  <c r="Q2058" i="22"/>
  <c r="S2058" i="22" s="1"/>
  <c r="Q2057" i="22"/>
  <c r="Q2056" i="22"/>
  <c r="Q2055" i="22"/>
  <c r="Q2054" i="22"/>
  <c r="Q2053" i="22"/>
  <c r="Q2052" i="22"/>
  <c r="Q2051" i="22"/>
  <c r="S2051" i="22" s="1"/>
  <c r="Q2050" i="22"/>
  <c r="Q2049" i="22"/>
  <c r="S2049" i="22" s="1"/>
  <c r="Q2048" i="22"/>
  <c r="S2048" i="22" s="1"/>
  <c r="Q2047" i="22"/>
  <c r="Q2046" i="22"/>
  <c r="Q2045" i="22"/>
  <c r="Q2044" i="22"/>
  <c r="Q2043" i="22"/>
  <c r="Q2042" i="22"/>
  <c r="Q2041" i="22"/>
  <c r="Q2040" i="22"/>
  <c r="Q2039" i="22"/>
  <c r="Q2038" i="22"/>
  <c r="Q2037" i="22"/>
  <c r="Q2036" i="22"/>
  <c r="Q2035" i="22"/>
  <c r="Q2034" i="22"/>
  <c r="Q2033" i="22"/>
  <c r="S2033" i="22" s="1"/>
  <c r="Q2032" i="22"/>
  <c r="S2032" i="22" s="1"/>
  <c r="Q2031" i="22"/>
  <c r="Q2030" i="22"/>
  <c r="S2030" i="22" s="1"/>
  <c r="Q2029" i="22"/>
  <c r="Q2028" i="22"/>
  <c r="Q2027" i="22"/>
  <c r="Q2026" i="22"/>
  <c r="Q2025" i="22"/>
  <c r="Q2024" i="22"/>
  <c r="Q2023" i="22"/>
  <c r="Q2022" i="22"/>
  <c r="Q2021" i="22"/>
  <c r="Q2020" i="22"/>
  <c r="Q2019" i="22"/>
  <c r="Q2018" i="22"/>
  <c r="S2018" i="22" s="1"/>
  <c r="Q2017" i="22"/>
  <c r="Q2016" i="22"/>
  <c r="S2016" i="22" s="1"/>
  <c r="Q2015" i="22"/>
  <c r="Q2014" i="22"/>
  <c r="Q2013" i="22"/>
  <c r="Q2012" i="22"/>
  <c r="Q2011" i="22"/>
  <c r="Q2010" i="22"/>
  <c r="Q2009" i="22"/>
  <c r="Q2008" i="22"/>
  <c r="Q2007" i="22"/>
  <c r="Q2006" i="22"/>
  <c r="Q2005" i="22"/>
  <c r="Q2004" i="22"/>
  <c r="Q2003" i="22"/>
  <c r="Q2002" i="22"/>
  <c r="Q2001" i="22"/>
  <c r="Q2000" i="22"/>
  <c r="S2000" i="22" s="1"/>
  <c r="Q1999" i="22"/>
  <c r="Q1998" i="22"/>
  <c r="Q1997" i="22"/>
  <c r="Q1996" i="22"/>
  <c r="Q1995" i="22"/>
  <c r="Q1994" i="22"/>
  <c r="Q1993" i="22"/>
  <c r="Q1992" i="22"/>
  <c r="Q1991" i="22"/>
  <c r="Q1990" i="22"/>
  <c r="Q1989" i="22"/>
  <c r="Q1988" i="22"/>
  <c r="Q1987" i="22"/>
  <c r="Q1986" i="22"/>
  <c r="Q1985" i="22"/>
  <c r="S1985" i="22" s="1"/>
  <c r="Q1984" i="22"/>
  <c r="Q1983" i="22"/>
  <c r="Q1982" i="22"/>
  <c r="Q1981" i="22"/>
  <c r="Q1980" i="22"/>
  <c r="Q1979" i="22"/>
  <c r="Q1978" i="22"/>
  <c r="Q1977" i="22"/>
  <c r="Q1976" i="22"/>
  <c r="Q1975" i="22"/>
  <c r="Q1974" i="22"/>
  <c r="Q1973" i="22"/>
  <c r="Q1972" i="22"/>
  <c r="Q1971" i="22"/>
  <c r="Q1970" i="22"/>
  <c r="S1970" i="22" s="1"/>
  <c r="Q1969" i="22"/>
  <c r="Q1968" i="22"/>
  <c r="Q1967" i="22"/>
  <c r="Q1966" i="22"/>
  <c r="Q1965" i="22"/>
  <c r="Q1964" i="22"/>
  <c r="Q1963" i="22"/>
  <c r="Q1962" i="22"/>
  <c r="Q1961" i="22"/>
  <c r="Q1960" i="22"/>
  <c r="S1960" i="22" s="1"/>
  <c r="Q1959" i="22"/>
  <c r="Q1958" i="22"/>
  <c r="Q1957" i="22"/>
  <c r="Q1956" i="22"/>
  <c r="Q1955" i="22"/>
  <c r="Q1954" i="22"/>
  <c r="Q1953" i="22"/>
  <c r="Q1952" i="22"/>
  <c r="Q1951" i="22"/>
  <c r="Q1950" i="22"/>
  <c r="Q1949" i="22"/>
  <c r="Q1948" i="22"/>
  <c r="Q1947" i="22"/>
  <c r="Q1946" i="22"/>
  <c r="Q1945" i="22"/>
  <c r="Q1944" i="22"/>
  <c r="Q1943" i="22"/>
  <c r="Q1942" i="22"/>
  <c r="Q1941" i="22"/>
  <c r="Q1940" i="22"/>
  <c r="Q1939" i="22"/>
  <c r="Q1938" i="22"/>
  <c r="Q1937" i="22"/>
  <c r="Q1936" i="22"/>
  <c r="Q1935" i="22"/>
  <c r="Q1934" i="22"/>
  <c r="Q1933" i="22"/>
  <c r="Q1932" i="22"/>
  <c r="Q1931" i="22"/>
  <c r="Q1930" i="22"/>
  <c r="Q1929" i="22"/>
  <c r="Q1928" i="22"/>
  <c r="Q1927" i="22"/>
  <c r="Q1926" i="22"/>
  <c r="Q1925" i="22"/>
  <c r="Q1924" i="22"/>
  <c r="Q1923" i="22"/>
  <c r="Q1922" i="22"/>
  <c r="Q1921" i="22"/>
  <c r="Q1920" i="22"/>
  <c r="Q1919" i="22"/>
  <c r="Q1918" i="22"/>
  <c r="Q1917" i="22"/>
  <c r="Q1916" i="22"/>
  <c r="Q1915" i="22"/>
  <c r="Q1914" i="22"/>
  <c r="Q1913" i="22"/>
  <c r="Q1912" i="22"/>
  <c r="S1912" i="22" s="1"/>
  <c r="Q1911" i="22"/>
  <c r="Q1910" i="22"/>
  <c r="Q1909" i="22"/>
  <c r="S1909" i="22" s="1"/>
  <c r="Q1908" i="22"/>
  <c r="Q1907" i="22"/>
  <c r="S1907" i="22" s="1"/>
  <c r="Q1906" i="22"/>
  <c r="Q1905" i="22"/>
  <c r="Q1904" i="22"/>
  <c r="S1904" i="22" s="1"/>
  <c r="Q1903" i="22"/>
  <c r="Q1902" i="22"/>
  <c r="Q1901" i="22"/>
  <c r="Q1900" i="22"/>
  <c r="Q1899" i="22"/>
  <c r="Q1898" i="22"/>
  <c r="S1898" i="22" s="1"/>
  <c r="Q1897" i="22"/>
  <c r="Q1896" i="22"/>
  <c r="Q1895" i="22"/>
  <c r="Q1894" i="22"/>
  <c r="Q1893" i="22"/>
  <c r="Q1892" i="22"/>
  <c r="Q1891" i="22"/>
  <c r="Q1890" i="22"/>
  <c r="Q1889" i="22"/>
  <c r="Q1888" i="22"/>
  <c r="Q1887" i="22"/>
  <c r="Q1886" i="22"/>
  <c r="Q1885" i="22"/>
  <c r="Q1884" i="22"/>
  <c r="Q1883" i="22"/>
  <c r="Q1882" i="22"/>
  <c r="Q1881" i="22"/>
  <c r="Q1880" i="22"/>
  <c r="Q1879" i="22"/>
  <c r="Q1878" i="22"/>
  <c r="Q1877" i="22"/>
  <c r="Q1876" i="22"/>
  <c r="Q1875" i="22"/>
  <c r="Q1874" i="22"/>
  <c r="S1874" i="22" s="1"/>
  <c r="Q1873" i="22"/>
  <c r="Q1872" i="22"/>
  <c r="Q1871" i="22"/>
  <c r="Q1870" i="22"/>
  <c r="Q1869" i="22"/>
  <c r="Q1868" i="22"/>
  <c r="Q1867" i="22"/>
  <c r="Q1866" i="22"/>
  <c r="Q1865" i="22"/>
  <c r="Q1864" i="22"/>
  <c r="S1864" i="22" s="1"/>
  <c r="Q1863" i="22"/>
  <c r="Q1862" i="22"/>
  <c r="S1862" i="22" s="1"/>
  <c r="Q1861" i="22"/>
  <c r="Q1860" i="22"/>
  <c r="S1860" i="22" s="1"/>
  <c r="Q1859" i="22"/>
  <c r="S1859" i="22" s="1"/>
  <c r="Q1858" i="22"/>
  <c r="Q1857" i="22"/>
  <c r="Q1856" i="22"/>
  <c r="S1856" i="22" s="1"/>
  <c r="Q1855" i="22"/>
  <c r="Q1854" i="22"/>
  <c r="Q1853" i="22"/>
  <c r="Q1852" i="22"/>
  <c r="Q1851" i="22"/>
  <c r="Q1850" i="22"/>
  <c r="Q1849" i="22"/>
  <c r="Q1848" i="22"/>
  <c r="Q1847" i="22"/>
  <c r="Q1846" i="22"/>
  <c r="S1846" i="22" s="1"/>
  <c r="Q1845" i="22"/>
  <c r="Q1844" i="22"/>
  <c r="Q1843" i="22"/>
  <c r="Q1842" i="22"/>
  <c r="Q1841" i="22"/>
  <c r="Q1840" i="22"/>
  <c r="S1840" i="22" s="1"/>
  <c r="Q1839" i="22"/>
  <c r="Q1838" i="22"/>
  <c r="Q1837" i="22"/>
  <c r="Q1836" i="22"/>
  <c r="Q1835" i="22"/>
  <c r="Q1834" i="22"/>
  <c r="Q1833" i="22"/>
  <c r="Q1832" i="22"/>
  <c r="Q1831" i="22"/>
  <c r="Q1830" i="22"/>
  <c r="Q1829" i="22"/>
  <c r="Q1828" i="22"/>
  <c r="Q1827" i="22"/>
  <c r="S1827" i="22" s="1"/>
  <c r="Q1826" i="22"/>
  <c r="Q1825" i="22"/>
  <c r="Q1824" i="22"/>
  <c r="Q1823" i="22"/>
  <c r="Q1822" i="22"/>
  <c r="Q1821" i="22"/>
  <c r="Q1820" i="22"/>
  <c r="Q1819" i="22"/>
  <c r="Q1818" i="22"/>
  <c r="Q1817" i="22"/>
  <c r="S1817" i="22" s="1"/>
  <c r="Q1816" i="22"/>
  <c r="Q1815" i="22"/>
  <c r="Q1814" i="22"/>
  <c r="Q1813" i="22"/>
  <c r="Q1812" i="22"/>
  <c r="Q1811" i="22"/>
  <c r="S1811" i="22" s="1"/>
  <c r="Q1810" i="22"/>
  <c r="Q1809" i="22"/>
  <c r="S1809" i="22" s="1"/>
  <c r="Q1808" i="22"/>
  <c r="S1808" i="22" s="1"/>
  <c r="Q1807" i="22"/>
  <c r="Q1806" i="22"/>
  <c r="Q1805" i="22"/>
  <c r="Q1804" i="22"/>
  <c r="Q1803" i="22"/>
  <c r="Q1802" i="22"/>
  <c r="Q1801" i="22"/>
  <c r="S1801" i="22" s="1"/>
  <c r="Q1800" i="22"/>
  <c r="S1800" i="22" s="1"/>
  <c r="Q1799" i="22"/>
  <c r="Q1798" i="22"/>
  <c r="Q1797" i="22"/>
  <c r="Q1796" i="22"/>
  <c r="Q1795" i="22"/>
  <c r="Q1794" i="22"/>
  <c r="Q1793" i="22"/>
  <c r="Q1792" i="22"/>
  <c r="Q1791" i="22"/>
  <c r="Q1790" i="22"/>
  <c r="Q1789" i="22"/>
  <c r="Q1788" i="22"/>
  <c r="Q1787" i="22"/>
  <c r="Q1786" i="22"/>
  <c r="Q1785" i="22"/>
  <c r="Q1784" i="22"/>
  <c r="Q1783" i="22"/>
  <c r="Q1782" i="22"/>
  <c r="Q1781" i="22"/>
  <c r="Q1780" i="22"/>
  <c r="Q1779" i="22"/>
  <c r="Q1778" i="22"/>
  <c r="Q1777" i="22"/>
  <c r="Q1776" i="22"/>
  <c r="Q1775" i="22"/>
  <c r="S1775" i="22" s="1"/>
  <c r="Q1774" i="22"/>
  <c r="Q1773" i="22"/>
  <c r="Q1772" i="22"/>
  <c r="Q1771" i="22"/>
  <c r="Q1770" i="22"/>
  <c r="Q1769" i="22"/>
  <c r="Q1768" i="22"/>
  <c r="S1768" i="22" s="1"/>
  <c r="Q1767" i="22"/>
  <c r="S1767" i="22" s="1"/>
  <c r="Q1766" i="22"/>
  <c r="Q1765" i="22"/>
  <c r="Q1764" i="22"/>
  <c r="Q1763" i="22"/>
  <c r="Q1762" i="22"/>
  <c r="Q1761" i="22"/>
  <c r="Q1760" i="22"/>
  <c r="S1760" i="22" s="1"/>
  <c r="Q1759" i="22"/>
  <c r="Q1758" i="22"/>
  <c r="Q1757" i="22"/>
  <c r="Q1756" i="22"/>
  <c r="S1756" i="22" s="1"/>
  <c r="Q1755" i="22"/>
  <c r="Q1754" i="22"/>
  <c r="Q1753" i="22"/>
  <c r="Q1752" i="22"/>
  <c r="Q1751" i="22"/>
  <c r="Q1750" i="22"/>
  <c r="S1750" i="22" s="1"/>
  <c r="Q1749" i="22"/>
  <c r="Q1748" i="22"/>
  <c r="S1748" i="22" s="1"/>
  <c r="Q1747" i="22"/>
  <c r="Q1746" i="22"/>
  <c r="Q1745" i="22"/>
  <c r="Q1744" i="22"/>
  <c r="Q1743" i="22"/>
  <c r="Q1742" i="22"/>
  <c r="Q1741" i="22"/>
  <c r="Q1740" i="22"/>
  <c r="Q1739" i="22"/>
  <c r="S1739" i="22" s="1"/>
  <c r="Q1738" i="22"/>
  <c r="Q1737" i="22"/>
  <c r="Q1736" i="22"/>
  <c r="Q1735" i="22"/>
  <c r="S1735" i="22" s="1"/>
  <c r="Q1734" i="22"/>
  <c r="Q1733" i="22"/>
  <c r="Q1732" i="22"/>
  <c r="Q1731" i="22"/>
  <c r="Q1730" i="22"/>
  <c r="Q1729" i="22"/>
  <c r="Q1728" i="22"/>
  <c r="Q1727" i="22"/>
  <c r="S1727" i="22" s="1"/>
  <c r="Q1726" i="22"/>
  <c r="Q1725" i="22"/>
  <c r="Q1724" i="22"/>
  <c r="Q1723" i="22"/>
  <c r="Q1722" i="22"/>
  <c r="Q1721" i="22"/>
  <c r="Q1720" i="22"/>
  <c r="Q1719" i="22"/>
  <c r="Q1718" i="22"/>
  <c r="Q1717" i="22"/>
  <c r="Q1716" i="22"/>
  <c r="Q1715" i="22"/>
  <c r="Q1714" i="22"/>
  <c r="Q1713" i="22"/>
  <c r="Q1712" i="22"/>
  <c r="Q1711" i="22"/>
  <c r="Q1710" i="22"/>
  <c r="Q1709" i="22"/>
  <c r="Q1708" i="22"/>
  <c r="Q1707" i="22"/>
  <c r="Q1706" i="22"/>
  <c r="Q1705" i="22"/>
  <c r="Q1704" i="22"/>
  <c r="Q1703" i="22"/>
  <c r="Q1702" i="22"/>
  <c r="Q1701" i="22"/>
  <c r="Q1700" i="22"/>
  <c r="Q1699" i="22"/>
  <c r="Q1698" i="22"/>
  <c r="Q1697" i="22"/>
  <c r="Q1696" i="22"/>
  <c r="Q1695" i="22"/>
  <c r="Q1694" i="22"/>
  <c r="Q1693" i="22"/>
  <c r="Q1692" i="22"/>
  <c r="Q1691" i="22"/>
  <c r="Q1690" i="22"/>
  <c r="Q1689" i="22"/>
  <c r="Q1688" i="22"/>
  <c r="Q1687" i="22"/>
  <c r="Q1686" i="22"/>
  <c r="Q1685" i="22"/>
  <c r="Q1684" i="22"/>
  <c r="Q1683" i="22"/>
  <c r="Q1682" i="22"/>
  <c r="Q1681" i="22"/>
  <c r="Q1680" i="22"/>
  <c r="Q1679" i="22"/>
  <c r="Q1678" i="22"/>
  <c r="Q1677" i="22"/>
  <c r="Q1676" i="22"/>
  <c r="Q1675" i="22"/>
  <c r="Q1674" i="22"/>
  <c r="Q1673" i="22"/>
  <c r="Q1672" i="22"/>
  <c r="Q1671" i="22"/>
  <c r="Q1670" i="22"/>
  <c r="Q1669" i="22"/>
  <c r="Q1668" i="22"/>
  <c r="Q1667" i="22"/>
  <c r="Q1666" i="22"/>
  <c r="Q1665" i="22"/>
  <c r="Q1664" i="22"/>
  <c r="Q1663" i="22"/>
  <c r="Q1662" i="22"/>
  <c r="Q1661" i="22"/>
  <c r="Q1660" i="22"/>
  <c r="Q1659" i="22"/>
  <c r="Q1658" i="22"/>
  <c r="Q1657" i="22"/>
  <c r="Q1656" i="22"/>
  <c r="S1656" i="22" s="1"/>
  <c r="Q1655" i="22"/>
  <c r="Q1654" i="22"/>
  <c r="Q1653" i="22"/>
  <c r="Q1652" i="22"/>
  <c r="Q1651" i="22"/>
  <c r="Q1650" i="22"/>
  <c r="Q1649" i="22"/>
  <c r="Q1648" i="22"/>
  <c r="Q1647" i="22"/>
  <c r="Q1646" i="22"/>
  <c r="Q1645" i="22"/>
  <c r="Q1644" i="22"/>
  <c r="Q1643" i="22"/>
  <c r="Q1642" i="22"/>
  <c r="Q1641" i="22"/>
  <c r="Q1640" i="22"/>
  <c r="S1640" i="22" s="1"/>
  <c r="Q1639" i="22"/>
  <c r="Q1638" i="22"/>
  <c r="Q1637" i="22"/>
  <c r="Q1636" i="22"/>
  <c r="Q1635" i="22"/>
  <c r="Q1634" i="22"/>
  <c r="Q1633" i="22"/>
  <c r="Q1632" i="22"/>
  <c r="Q1631" i="22"/>
  <c r="Q1630" i="22"/>
  <c r="Q1629" i="22"/>
  <c r="Q1628" i="22"/>
  <c r="Q1627" i="22"/>
  <c r="S1627" i="22" s="1"/>
  <c r="Q1626" i="22"/>
  <c r="S1626" i="22" s="1"/>
  <c r="Q1625" i="22"/>
  <c r="Q1624" i="22"/>
  <c r="S1624" i="22" s="1"/>
  <c r="Q1623" i="22"/>
  <c r="Q1622" i="22"/>
  <c r="Q1621" i="22"/>
  <c r="S1621" i="22" s="1"/>
  <c r="Q1620" i="22"/>
  <c r="Q1619" i="22"/>
  <c r="Q1618" i="22"/>
  <c r="Q1617" i="22"/>
  <c r="S1617" i="22" s="1"/>
  <c r="Q1616" i="22"/>
  <c r="S1616" i="22" s="1"/>
  <c r="Q1615" i="22"/>
  <c r="Q1614" i="22"/>
  <c r="Q1613" i="22"/>
  <c r="Q1612" i="22"/>
  <c r="Q1611" i="22"/>
  <c r="S1611" i="22" s="1"/>
  <c r="Q1610" i="22"/>
  <c r="Q1609" i="22"/>
  <c r="Q1608" i="22"/>
  <c r="S1608" i="22" s="1"/>
  <c r="Q1607" i="22"/>
  <c r="Q1606" i="22"/>
  <c r="Q1605" i="22"/>
  <c r="Q1604" i="22"/>
  <c r="Q1603" i="22"/>
  <c r="Q1602" i="22"/>
  <c r="Q1601" i="22"/>
  <c r="Q1600" i="22"/>
  <c r="Q1599" i="22"/>
  <c r="Q1598" i="22"/>
  <c r="Q1597" i="22"/>
  <c r="Q1596" i="22"/>
  <c r="Q1595" i="22"/>
  <c r="Q1594" i="22"/>
  <c r="Q1593" i="22"/>
  <c r="Q1592" i="22"/>
  <c r="S1592" i="22" s="1"/>
  <c r="Q1591" i="22"/>
  <c r="Q1590" i="22"/>
  <c r="Q1589" i="22"/>
  <c r="Q1588" i="22"/>
  <c r="Q1587" i="22"/>
  <c r="Q1586" i="22"/>
  <c r="S1586" i="22" s="1"/>
  <c r="Q1585" i="22"/>
  <c r="Q1584" i="22"/>
  <c r="S1584" i="22" s="1"/>
  <c r="Q1583" i="22"/>
  <c r="Q1582" i="22"/>
  <c r="Q1581" i="22"/>
  <c r="Q1580" i="22"/>
  <c r="Q1579" i="22"/>
  <c r="Q1578" i="22"/>
  <c r="Q1577" i="22"/>
  <c r="Q1576" i="22"/>
  <c r="S1576" i="22" s="1"/>
  <c r="Q1575" i="22"/>
  <c r="S1575" i="22" s="1"/>
  <c r="Q1574" i="22"/>
  <c r="Q1573" i="22"/>
  <c r="Q1572" i="22"/>
  <c r="Q1571" i="22"/>
  <c r="Q1570" i="22"/>
  <c r="Q1569" i="22"/>
  <c r="S1569" i="22" s="1"/>
  <c r="Q1568" i="22"/>
  <c r="Q1567" i="22"/>
  <c r="Q1566" i="22"/>
  <c r="Q1565" i="22"/>
  <c r="Q1564" i="22"/>
  <c r="S1564" i="22" s="1"/>
  <c r="Q1563" i="22"/>
  <c r="Q1562" i="22"/>
  <c r="Q1561" i="22"/>
  <c r="Q1560" i="22"/>
  <c r="S1560" i="22" s="1"/>
  <c r="Q1559" i="22"/>
  <c r="Q1558" i="22"/>
  <c r="Q1557" i="22"/>
  <c r="Q1556" i="22"/>
  <c r="Q1555" i="22"/>
  <c r="Q1554" i="22"/>
  <c r="Q1553" i="22"/>
  <c r="Q1552" i="22"/>
  <c r="Q1551" i="22"/>
  <c r="S1551" i="22" s="1"/>
  <c r="Q1550" i="22"/>
  <c r="Q1549" i="22"/>
  <c r="Q1548" i="22"/>
  <c r="Q1547" i="22"/>
  <c r="Q1546" i="22"/>
  <c r="Q1545" i="22"/>
  <c r="Q1544" i="22"/>
  <c r="Q1543" i="22"/>
  <c r="Q1542" i="22"/>
  <c r="Q1541" i="22"/>
  <c r="Q1540" i="22"/>
  <c r="Q1539" i="22"/>
  <c r="Q1538" i="22"/>
  <c r="Q1537" i="22"/>
  <c r="Q1536" i="22"/>
  <c r="Q1535" i="22"/>
  <c r="Q1534" i="22"/>
  <c r="Q1533" i="22"/>
  <c r="Q1532" i="22"/>
  <c r="Q1531" i="22"/>
  <c r="Q1530" i="22"/>
  <c r="Q1529" i="22"/>
  <c r="Q1528" i="22"/>
  <c r="Q1527" i="22"/>
  <c r="Q1526" i="22"/>
  <c r="Q1525" i="22"/>
  <c r="Q1524" i="22"/>
  <c r="Q1523" i="22"/>
  <c r="Q1522" i="22"/>
  <c r="Q1521" i="22"/>
  <c r="Q1520" i="22"/>
  <c r="S1520" i="22" s="1"/>
  <c r="Q1519" i="22"/>
  <c r="S1519" i="22" s="1"/>
  <c r="Q1518" i="22"/>
  <c r="Q1517" i="22"/>
  <c r="Q1516" i="22"/>
  <c r="Q1515" i="22"/>
  <c r="Q1514" i="22"/>
  <c r="Q1513" i="22"/>
  <c r="Q1512" i="22"/>
  <c r="Q1511" i="22"/>
  <c r="Q1510" i="22"/>
  <c r="Q1509" i="22"/>
  <c r="Q1508" i="22"/>
  <c r="Q1507" i="22"/>
  <c r="Q1506" i="22"/>
  <c r="Q1505" i="22"/>
  <c r="Q1504" i="22"/>
  <c r="S1504" i="22" s="1"/>
  <c r="Q1503" i="22"/>
  <c r="Q1502" i="22"/>
  <c r="Q1501" i="22"/>
  <c r="Q1500" i="22"/>
  <c r="Q1499" i="22"/>
  <c r="Q1498" i="22"/>
  <c r="Q1497" i="22"/>
  <c r="Q1496" i="22"/>
  <c r="Q1495" i="22"/>
  <c r="Q1494" i="22"/>
  <c r="Q1493" i="22"/>
  <c r="Q1492" i="22"/>
  <c r="Q1491" i="22"/>
  <c r="Q1490" i="22"/>
  <c r="Q1489" i="22"/>
  <c r="Q1488" i="22"/>
  <c r="Q1487" i="22"/>
  <c r="Q1486" i="22"/>
  <c r="Q1485" i="22"/>
  <c r="Q1484" i="22"/>
  <c r="Q1483" i="22"/>
  <c r="Q1482" i="22"/>
  <c r="Q1481" i="22"/>
  <c r="Q1480" i="22"/>
  <c r="S1480" i="22" s="1"/>
  <c r="Q1479" i="22"/>
  <c r="Q1478" i="22"/>
  <c r="Q1477" i="22"/>
  <c r="Q1476" i="22"/>
  <c r="Q1475" i="22"/>
  <c r="Q1474" i="22"/>
  <c r="Q1473" i="22"/>
  <c r="Q1472" i="22"/>
  <c r="S1472" i="22" s="1"/>
  <c r="Q1471" i="22"/>
  <c r="Q1470" i="22"/>
  <c r="Q1469" i="22"/>
  <c r="Q1468" i="22"/>
  <c r="Q1467" i="22"/>
  <c r="Q1466" i="22"/>
  <c r="Q1465" i="22"/>
  <c r="Q1464" i="22"/>
  <c r="Q1463" i="22"/>
  <c r="Q1462" i="22"/>
  <c r="Q1461" i="22"/>
  <c r="Q1460" i="22"/>
  <c r="Q1459" i="22"/>
  <c r="Q1458" i="22"/>
  <c r="Q1457" i="22"/>
  <c r="Q1456" i="22"/>
  <c r="S1456" i="22" s="1"/>
  <c r="Q1455" i="22"/>
  <c r="Q1454" i="22"/>
  <c r="Q1453" i="22"/>
  <c r="Q1452" i="22"/>
  <c r="Q1451" i="22"/>
  <c r="Q1450" i="22"/>
  <c r="Q1449" i="22"/>
  <c r="Q1448" i="22"/>
  <c r="Q1447" i="22"/>
  <c r="Q1446" i="22"/>
  <c r="Q1445" i="22"/>
  <c r="Q1444" i="22"/>
  <c r="Q1443" i="22"/>
  <c r="Q1442" i="22"/>
  <c r="Q1441" i="22"/>
  <c r="Q1440" i="22"/>
  <c r="Q1439" i="22"/>
  <c r="Q1438" i="22"/>
  <c r="Q1437" i="22"/>
  <c r="Q1436" i="22"/>
  <c r="Q1435" i="22"/>
  <c r="S1435" i="22" s="1"/>
  <c r="Q1434" i="22"/>
  <c r="Q1433" i="22"/>
  <c r="Q1432" i="22"/>
  <c r="Q1431" i="22"/>
  <c r="Q1430" i="22"/>
  <c r="Q1429" i="22"/>
  <c r="Q1428" i="22"/>
  <c r="Q1427" i="22"/>
  <c r="Q1426" i="22"/>
  <c r="Q1425" i="22"/>
  <c r="Q1424" i="22"/>
  <c r="Q1423" i="22"/>
  <c r="S1423" i="22" s="1"/>
  <c r="Q1422" i="22"/>
  <c r="Q1421" i="22"/>
  <c r="Q1420" i="22"/>
  <c r="Q1419" i="22"/>
  <c r="Q1418" i="22"/>
  <c r="Q1417" i="22"/>
  <c r="Q1416" i="22"/>
  <c r="Q1415" i="22"/>
  <c r="Q1414" i="22"/>
  <c r="Q1413" i="22"/>
  <c r="Q1412" i="22"/>
  <c r="Q1411" i="22"/>
  <c r="Q1410" i="22"/>
  <c r="Q1409" i="22"/>
  <c r="Q1408" i="22"/>
  <c r="Q1407" i="22"/>
  <c r="Q1406" i="22"/>
  <c r="Q1405" i="22"/>
  <c r="Q1404" i="22"/>
  <c r="Q1403" i="22"/>
  <c r="Q1402" i="22"/>
  <c r="Q1401" i="22"/>
  <c r="Q1400" i="22"/>
  <c r="Q1399" i="22"/>
  <c r="Q1398" i="22"/>
  <c r="Q1397" i="22"/>
  <c r="Q1396" i="22"/>
  <c r="Q1395" i="22"/>
  <c r="Q1394" i="22"/>
  <c r="Q1393" i="22"/>
  <c r="Q1392" i="22"/>
  <c r="Q1391" i="22"/>
  <c r="Q1390" i="22"/>
  <c r="Q1389" i="22"/>
  <c r="Q1388" i="22"/>
  <c r="Q1387" i="22"/>
  <c r="Q1386" i="22"/>
  <c r="Q1385" i="22"/>
  <c r="Q1384" i="22"/>
  <c r="Q1383" i="22"/>
  <c r="Q1382" i="22"/>
  <c r="Q1381" i="22"/>
  <c r="Q1380" i="22"/>
  <c r="Q1379" i="22"/>
  <c r="Q1378" i="22"/>
  <c r="Q1377" i="22"/>
  <c r="Q1376" i="22"/>
  <c r="S1376" i="22" s="1"/>
  <c r="Q1375" i="22"/>
  <c r="S1375" i="22" s="1"/>
  <c r="Q1374" i="22"/>
  <c r="Q1373" i="22"/>
  <c r="Q1372" i="22"/>
  <c r="Q1371" i="22"/>
  <c r="Q1370" i="22"/>
  <c r="Q1369" i="22"/>
  <c r="Q1368" i="22"/>
  <c r="S1368" i="22" s="1"/>
  <c r="Q1367" i="22"/>
  <c r="Q1366" i="22"/>
  <c r="Q1365" i="22"/>
  <c r="Q1364" i="22"/>
  <c r="Q1363" i="22"/>
  <c r="Q1362" i="22"/>
  <c r="Q1361" i="22"/>
  <c r="Q1360" i="22"/>
  <c r="Q1359" i="22"/>
  <c r="S1359" i="22" s="1"/>
  <c r="Q1358" i="22"/>
  <c r="Q1357" i="22"/>
  <c r="Q1356" i="22"/>
  <c r="Q1355" i="22"/>
  <c r="Q1354" i="22"/>
  <c r="Q1353" i="22"/>
  <c r="Q1352" i="22"/>
  <c r="Q1351" i="22"/>
  <c r="Q1350" i="22"/>
  <c r="Q1349" i="22"/>
  <c r="Q1348" i="22"/>
  <c r="Q1347" i="22"/>
  <c r="Q1346" i="22"/>
  <c r="Q1345" i="22"/>
  <c r="Q1344" i="22"/>
  <c r="Q1343" i="22"/>
  <c r="Q1342" i="22"/>
  <c r="Q1341" i="22"/>
  <c r="Q1340" i="22"/>
  <c r="Q1339" i="22"/>
  <c r="Q1338" i="22"/>
  <c r="Q1337" i="22"/>
  <c r="Q1336" i="22"/>
  <c r="S1336" i="22" s="1"/>
  <c r="Q1335" i="22"/>
  <c r="Q1334" i="22"/>
  <c r="Q1333" i="22"/>
  <c r="Q1332" i="22"/>
  <c r="Q1331" i="22"/>
  <c r="Q1330" i="22"/>
  <c r="Q1329" i="22"/>
  <c r="Q1328" i="22"/>
  <c r="Q1327" i="22"/>
  <c r="Q1326" i="22"/>
  <c r="Q1325" i="22"/>
  <c r="Q1324" i="22"/>
  <c r="Q1323" i="22"/>
  <c r="Q1322" i="22"/>
  <c r="Q1321" i="22"/>
  <c r="Q1320" i="22"/>
  <c r="Q1319" i="22"/>
  <c r="Q1318" i="22"/>
  <c r="Q1317" i="22"/>
  <c r="Q1316" i="22"/>
  <c r="Q1315" i="22"/>
  <c r="Q1314" i="22"/>
  <c r="Q1313" i="22"/>
  <c r="Q1312" i="22"/>
  <c r="S1312" i="22" s="1"/>
  <c r="Q1311" i="22"/>
  <c r="Q1310" i="22"/>
  <c r="Q1309" i="22"/>
  <c r="Q1308" i="22"/>
  <c r="Q1307" i="22"/>
  <c r="Q1306" i="22"/>
  <c r="Q1305" i="22"/>
  <c r="Q1304" i="22"/>
  <c r="Q1303" i="22"/>
  <c r="Q1302" i="22"/>
  <c r="Q1301" i="22"/>
  <c r="Q1300" i="22"/>
  <c r="Q1299" i="22"/>
  <c r="Q1298" i="22"/>
  <c r="Q1297" i="22"/>
  <c r="Q1296" i="22"/>
  <c r="Q1295" i="22"/>
  <c r="Q1294" i="22"/>
  <c r="Q1293" i="22"/>
  <c r="Q1292" i="22"/>
  <c r="Q1291" i="22"/>
  <c r="Q1290" i="22"/>
  <c r="Q1289" i="22"/>
  <c r="Q1288" i="22"/>
  <c r="Q1287" i="22"/>
  <c r="Q1286" i="22"/>
  <c r="Q1285" i="22"/>
  <c r="Q1284" i="22"/>
  <c r="Q1283" i="22"/>
  <c r="Q1282" i="22"/>
  <c r="Q1281" i="22"/>
  <c r="Q1280" i="22"/>
  <c r="Q1279" i="22"/>
  <c r="S1279" i="22" s="1"/>
  <c r="Q1278" i="22"/>
  <c r="Q1277" i="22"/>
  <c r="Q1276" i="22"/>
  <c r="Q1275" i="22"/>
  <c r="Q1274" i="22"/>
  <c r="Q1273" i="22"/>
  <c r="Q1272" i="22"/>
  <c r="Q1271" i="22"/>
  <c r="Q1270" i="22"/>
  <c r="Q1269" i="22"/>
  <c r="Q1268" i="22"/>
  <c r="Q1267" i="22"/>
  <c r="Q1266" i="22"/>
  <c r="Q1265" i="22"/>
  <c r="Q1264" i="22"/>
  <c r="Q1263" i="22"/>
  <c r="Q1262" i="22"/>
  <c r="Q1261" i="22"/>
  <c r="Q1260" i="22"/>
  <c r="Q1259" i="22"/>
  <c r="Q1258" i="22"/>
  <c r="Q1257" i="22"/>
  <c r="Q1256" i="22"/>
  <c r="Q1255" i="22"/>
  <c r="S1255" i="22" s="1"/>
  <c r="Q1254" i="22"/>
  <c r="Q1253" i="22"/>
  <c r="Q1252" i="22"/>
  <c r="Q1251" i="22"/>
  <c r="Q1250" i="22"/>
  <c r="Q1249" i="22"/>
  <c r="Q1248" i="22"/>
  <c r="S1248" i="22" s="1"/>
  <c r="Q1247" i="22"/>
  <c r="Q1246" i="22"/>
  <c r="Q1245" i="22"/>
  <c r="S1245" i="22" s="1"/>
  <c r="Q1244" i="22"/>
  <c r="Q1243" i="22"/>
  <c r="Q1242" i="22"/>
  <c r="Q1241" i="22"/>
  <c r="Q1240" i="22"/>
  <c r="S1240" i="22" s="1"/>
  <c r="Q1239" i="22"/>
  <c r="Q1238" i="22"/>
  <c r="Q1237" i="22"/>
  <c r="Q1236" i="22"/>
  <c r="Q1235" i="22"/>
  <c r="Q1234" i="22"/>
  <c r="Q1233" i="22"/>
  <c r="Q1232" i="22"/>
  <c r="Q1231" i="22"/>
  <c r="Q1230" i="22"/>
  <c r="Q1229" i="22"/>
  <c r="Q1228" i="22"/>
  <c r="Q1227" i="22"/>
  <c r="Q1226" i="22"/>
  <c r="Q1225" i="22"/>
  <c r="Q1224" i="22"/>
  <c r="Q1223" i="22"/>
  <c r="Q1222" i="22"/>
  <c r="Q1221" i="22"/>
  <c r="Q1220" i="22"/>
  <c r="Q1219" i="22"/>
  <c r="Q1218" i="22"/>
  <c r="Q1217" i="22"/>
  <c r="Q1216" i="22"/>
  <c r="S1216" i="22" s="1"/>
  <c r="Q1215" i="22"/>
  <c r="Q1214" i="22"/>
  <c r="Q1213" i="22"/>
  <c r="Q1212" i="22"/>
  <c r="S1212" i="22" s="1"/>
  <c r="Q1211" i="22"/>
  <c r="Q1210" i="22"/>
  <c r="Q1209" i="22"/>
  <c r="Q1208" i="22"/>
  <c r="Q1207" i="22"/>
  <c r="Q1206" i="22"/>
  <c r="Q1205" i="22"/>
  <c r="S1205" i="22" s="1"/>
  <c r="Q1204" i="22"/>
  <c r="S1204" i="22" s="1"/>
  <c r="Q1203" i="22"/>
  <c r="Q1202" i="22"/>
  <c r="Q1201" i="22"/>
  <c r="Q1200" i="22"/>
  <c r="Q1199" i="22"/>
  <c r="Q1198" i="22"/>
  <c r="Q1197" i="22"/>
  <c r="Q1196" i="22"/>
  <c r="Q1195" i="22"/>
  <c r="Q1194" i="22"/>
  <c r="Q1193" i="22"/>
  <c r="Q1192" i="22"/>
  <c r="Q1191" i="22"/>
  <c r="Q1190" i="22"/>
  <c r="Q1189" i="22"/>
  <c r="S1189" i="22" s="1"/>
  <c r="Q1188" i="22"/>
  <c r="Q1187" i="22"/>
  <c r="Q1186" i="22"/>
  <c r="Q1185" i="22"/>
  <c r="S1185" i="22" s="1"/>
  <c r="Q1184" i="22"/>
  <c r="Q1183" i="22"/>
  <c r="Q1182" i="22"/>
  <c r="Q1181" i="22"/>
  <c r="Q1180" i="22"/>
  <c r="Q1179" i="22"/>
  <c r="Q1178" i="22"/>
  <c r="Q1177" i="22"/>
  <c r="Q1176" i="22"/>
  <c r="Q1175" i="22"/>
  <c r="Q1174" i="22"/>
  <c r="Q1173" i="22"/>
  <c r="Q1172" i="22"/>
  <c r="Q1171" i="22"/>
  <c r="Q1170" i="22"/>
  <c r="Q1169" i="22"/>
  <c r="Q1168" i="22"/>
  <c r="S1168" i="22" s="1"/>
  <c r="Q1167" i="22"/>
  <c r="Q1166" i="22"/>
  <c r="Q1165" i="22"/>
  <c r="Q1164" i="22"/>
  <c r="S1164" i="22" s="1"/>
  <c r="Q1163" i="22"/>
  <c r="Q1162" i="22"/>
  <c r="Q1161" i="22"/>
  <c r="Q1160" i="22"/>
  <c r="Q1159" i="22"/>
  <c r="Q1158" i="22"/>
  <c r="Q1157" i="22"/>
  <c r="Q1156" i="22"/>
  <c r="Q1155" i="22"/>
  <c r="Q1154" i="22"/>
  <c r="Q1153" i="22"/>
  <c r="Q1152" i="22"/>
  <c r="S1152" i="22" s="1"/>
  <c r="Q1151" i="22"/>
  <c r="Q1150" i="22"/>
  <c r="Q1149" i="22"/>
  <c r="Q1148" i="22"/>
  <c r="Q1147" i="22"/>
  <c r="Q1146" i="22"/>
  <c r="Q1145" i="22"/>
  <c r="Q1144" i="22"/>
  <c r="Q1143" i="22"/>
  <c r="Q1142" i="22"/>
  <c r="Q1141" i="22"/>
  <c r="Q1140" i="22"/>
  <c r="Q1139" i="22"/>
  <c r="Q1138" i="22"/>
  <c r="Q1137" i="22"/>
  <c r="Q1136" i="22"/>
  <c r="S1136" i="22" s="1"/>
  <c r="Q1135" i="22"/>
  <c r="Q1134" i="22"/>
  <c r="Q1133" i="22"/>
  <c r="Q1132" i="22"/>
  <c r="S1132" i="22" s="1"/>
  <c r="Q1131" i="22"/>
  <c r="Q1130" i="22"/>
  <c r="Q1129" i="22"/>
  <c r="Q1128" i="22"/>
  <c r="S1128" i="22" s="1"/>
  <c r="Q1127" i="22"/>
  <c r="Q1126" i="22"/>
  <c r="Q1125" i="22"/>
  <c r="Q1124" i="22"/>
  <c r="Q1123" i="22"/>
  <c r="Q1122" i="22"/>
  <c r="Q1121" i="22"/>
  <c r="Q1120" i="22"/>
  <c r="Q1119" i="22"/>
  <c r="Q1118" i="22"/>
  <c r="Q1117" i="22"/>
  <c r="Q1116" i="22"/>
  <c r="S1116" i="22" s="1"/>
  <c r="Q1115" i="22"/>
  <c r="Q1114" i="22"/>
  <c r="Q1113" i="22"/>
  <c r="Q1112" i="22"/>
  <c r="Q1111" i="22"/>
  <c r="Q1110" i="22"/>
  <c r="Q1109" i="22"/>
  <c r="Q1108" i="22"/>
  <c r="Q1107" i="22"/>
  <c r="Q1106" i="22"/>
  <c r="Q1105" i="22"/>
  <c r="S1105" i="22" s="1"/>
  <c r="Q1104" i="22"/>
  <c r="Q1103" i="22"/>
  <c r="Q1102" i="22"/>
  <c r="Q1101" i="22"/>
  <c r="Q1100" i="22"/>
  <c r="S1100" i="22" s="1"/>
  <c r="Q1099" i="22"/>
  <c r="Q1098" i="22"/>
  <c r="Q1097" i="22"/>
  <c r="Q1096" i="22"/>
  <c r="Q1095" i="22"/>
  <c r="Q1094" i="22"/>
  <c r="Q1093" i="22"/>
  <c r="Q1092" i="22"/>
  <c r="Q1091" i="22"/>
  <c r="Q1090" i="22"/>
  <c r="Q1089" i="22"/>
  <c r="Q1088" i="22"/>
  <c r="S1088" i="22" s="1"/>
  <c r="Q1087" i="22"/>
  <c r="S1087" i="22" s="1"/>
  <c r="Q1086" i="22"/>
  <c r="Q1085" i="22"/>
  <c r="Q1084" i="22"/>
  <c r="Q1083" i="22"/>
  <c r="Q1082" i="22"/>
  <c r="Q1081" i="22"/>
  <c r="S1081" i="22" s="1"/>
  <c r="Q1080" i="22"/>
  <c r="S1080" i="22" s="1"/>
  <c r="Q1079" i="22"/>
  <c r="Q1078" i="22"/>
  <c r="Q1077" i="22"/>
  <c r="Q1076" i="22"/>
  <c r="Q1075" i="22"/>
  <c r="Q1074" i="22"/>
  <c r="Q1073" i="22"/>
  <c r="Q1072" i="22"/>
  <c r="S1072" i="22" s="1"/>
  <c r="Q1071" i="22"/>
  <c r="Q1070" i="22"/>
  <c r="Q1069" i="22"/>
  <c r="Q1068" i="22"/>
  <c r="S1068" i="22" s="1"/>
  <c r="Q1067" i="22"/>
  <c r="Q1066" i="22"/>
  <c r="Q1065" i="22"/>
  <c r="Q1064" i="22"/>
  <c r="Q1063" i="22"/>
  <c r="Q1062" i="22"/>
  <c r="Q1061" i="22"/>
  <c r="Q1060" i="22"/>
  <c r="S1060" i="22" s="1"/>
  <c r="Q1059" i="22"/>
  <c r="Q1058" i="22"/>
  <c r="Q1057" i="22"/>
  <c r="Q1056" i="22"/>
  <c r="Q1055" i="22"/>
  <c r="Q1054" i="22"/>
  <c r="Q1053" i="22"/>
  <c r="S1053" i="22" s="1"/>
  <c r="Q1052" i="22"/>
  <c r="Q1051" i="22"/>
  <c r="Q1050" i="22"/>
  <c r="S1050" i="22" s="1"/>
  <c r="Q1049" i="22"/>
  <c r="Q1048" i="22"/>
  <c r="S1048" i="22" s="1"/>
  <c r="Q1047" i="22"/>
  <c r="Q1046" i="22"/>
  <c r="Q1045" i="22"/>
  <c r="Q1044" i="22"/>
  <c r="Q1043" i="22"/>
  <c r="Q1042" i="22"/>
  <c r="Q1041" i="22"/>
  <c r="Q1040" i="22"/>
  <c r="Q1039" i="22"/>
  <c r="Q1038" i="22"/>
  <c r="Q1037" i="22"/>
  <c r="Q1036" i="22"/>
  <c r="Q1035" i="22"/>
  <c r="Q1034" i="22"/>
  <c r="Q1033" i="22"/>
  <c r="Q1032" i="22"/>
  <c r="Q1031" i="22"/>
  <c r="S1031" i="22" s="1"/>
  <c r="Q1030" i="22"/>
  <c r="Q1029" i="22"/>
  <c r="Q1028" i="22"/>
  <c r="Q1027" i="22"/>
  <c r="Q1026" i="22"/>
  <c r="Q1025" i="22"/>
  <c r="Q1024" i="22"/>
  <c r="Q1023" i="22"/>
  <c r="S1023" i="22" s="1"/>
  <c r="Q1022" i="22"/>
  <c r="Q1021" i="22"/>
  <c r="S1021" i="22" s="1"/>
  <c r="Q1020" i="22"/>
  <c r="Q1019" i="22"/>
  <c r="S1019" i="22" s="1"/>
  <c r="Q1018" i="22"/>
  <c r="Q1017" i="22"/>
  <c r="Q1016" i="22"/>
  <c r="S1016" i="22" s="1"/>
  <c r="Q1015" i="22"/>
  <c r="S1015" i="22" s="1"/>
  <c r="Q1014" i="22"/>
  <c r="Q1013" i="22"/>
  <c r="Q1012" i="22"/>
  <c r="S1012" i="22" s="1"/>
  <c r="Q1011" i="22"/>
  <c r="Q1010" i="22"/>
  <c r="Q1009" i="22"/>
  <c r="Q1008" i="22"/>
  <c r="Q1007" i="22"/>
  <c r="Q1006" i="22"/>
  <c r="Q1005" i="22"/>
  <c r="S1005" i="22" s="1"/>
  <c r="Q1004" i="22"/>
  <c r="Q1003" i="22"/>
  <c r="Q1002" i="22"/>
  <c r="Q1001" i="22"/>
  <c r="Q1000" i="22"/>
  <c r="Q999" i="22"/>
  <c r="Q998" i="22"/>
  <c r="Q997" i="22"/>
  <c r="Q996" i="22"/>
  <c r="Q995" i="22"/>
  <c r="Q994" i="22"/>
  <c r="Q993" i="22"/>
  <c r="Q992" i="22"/>
  <c r="S992" i="22" s="1"/>
  <c r="Q991" i="22"/>
  <c r="Q990" i="22"/>
  <c r="Q989" i="22"/>
  <c r="Q988" i="22"/>
  <c r="Q987" i="22"/>
  <c r="Q986" i="22"/>
  <c r="Q985" i="22"/>
  <c r="Q984" i="22"/>
  <c r="Q983" i="22"/>
  <c r="Q982" i="22"/>
  <c r="Q981" i="22"/>
  <c r="Q980" i="22"/>
  <c r="Q979" i="22"/>
  <c r="Q978" i="22"/>
  <c r="Q977" i="22"/>
  <c r="Q976" i="22"/>
  <c r="S976" i="22" s="1"/>
  <c r="Q975" i="22"/>
  <c r="S975" i="22" s="1"/>
  <c r="Q974" i="22"/>
  <c r="Q973" i="22"/>
  <c r="S973" i="22" s="1"/>
  <c r="Q972" i="22"/>
  <c r="Q971" i="22"/>
  <c r="S971" i="22" s="1"/>
  <c r="Q970" i="22"/>
  <c r="Q969" i="22"/>
  <c r="Q968" i="22"/>
  <c r="S968" i="22" s="1"/>
  <c r="Q967" i="22"/>
  <c r="Q966" i="22"/>
  <c r="Q965" i="22"/>
  <c r="Q964" i="22"/>
  <c r="Q963" i="22"/>
  <c r="Q962" i="22"/>
  <c r="Q961" i="22"/>
  <c r="Q960" i="22"/>
  <c r="S960" i="22" s="1"/>
  <c r="Q959" i="22"/>
  <c r="Q958" i="22"/>
  <c r="Q957" i="22"/>
  <c r="Q956" i="22"/>
  <c r="Q955" i="22"/>
  <c r="Q954" i="22"/>
  <c r="Q953" i="22"/>
  <c r="Q952" i="22"/>
  <c r="S952" i="22" s="1"/>
  <c r="Q951" i="22"/>
  <c r="Q950" i="22"/>
  <c r="Q949" i="22"/>
  <c r="S949" i="22" s="1"/>
  <c r="Q948" i="22"/>
  <c r="Q947" i="22"/>
  <c r="Q946" i="22"/>
  <c r="Q945" i="22"/>
  <c r="Q944" i="22"/>
  <c r="Q943" i="22"/>
  <c r="Q942" i="22"/>
  <c r="Q941" i="22"/>
  <c r="Q940" i="22"/>
  <c r="Q939" i="22"/>
  <c r="Q938" i="22"/>
  <c r="Q937" i="22"/>
  <c r="Q936" i="22"/>
  <c r="S936" i="22" s="1"/>
  <c r="Q935" i="22"/>
  <c r="Q934" i="22"/>
  <c r="Q933" i="22"/>
  <c r="Q932" i="22"/>
  <c r="Q931" i="22"/>
  <c r="Q930" i="22"/>
  <c r="Q929" i="22"/>
  <c r="Q928" i="22"/>
  <c r="Q927" i="22"/>
  <c r="Q926" i="22"/>
  <c r="Q925" i="22"/>
  <c r="S925" i="22" s="1"/>
  <c r="Q924" i="22"/>
  <c r="Q923" i="22"/>
  <c r="Q922" i="22"/>
  <c r="Q921" i="22"/>
  <c r="Q920" i="22"/>
  <c r="S920" i="22" s="1"/>
  <c r="Q919" i="22"/>
  <c r="Q918" i="22"/>
  <c r="Q917" i="22"/>
  <c r="S917" i="22" s="1"/>
  <c r="Q916" i="22"/>
  <c r="Q915" i="22"/>
  <c r="Q914" i="22"/>
  <c r="Q913" i="22"/>
  <c r="Q912" i="22"/>
  <c r="Q911" i="22"/>
  <c r="Q910" i="22"/>
  <c r="Q909" i="22"/>
  <c r="Q908" i="22"/>
  <c r="Q907" i="22"/>
  <c r="Q906" i="22"/>
  <c r="Q905" i="22"/>
  <c r="Q904" i="22"/>
  <c r="S904" i="22" s="1"/>
  <c r="Q903" i="22"/>
  <c r="Q902" i="22"/>
  <c r="Q901" i="22"/>
  <c r="Q900" i="22"/>
  <c r="Q899" i="22"/>
  <c r="Q898" i="22"/>
  <c r="Q897" i="22"/>
  <c r="Q896" i="22"/>
  <c r="Q895" i="22"/>
  <c r="Q894" i="22"/>
  <c r="Q893" i="22"/>
  <c r="Q892" i="22"/>
  <c r="Q891" i="22"/>
  <c r="Q890" i="22"/>
  <c r="Q889" i="22"/>
  <c r="Q888" i="22"/>
  <c r="Q887" i="22"/>
  <c r="S887" i="22" s="1"/>
  <c r="Q886" i="22"/>
  <c r="Q885" i="22"/>
  <c r="Q884" i="22"/>
  <c r="Q883" i="22"/>
  <c r="Q882" i="22"/>
  <c r="Q881" i="22"/>
  <c r="Q880" i="22"/>
  <c r="Q879" i="22"/>
  <c r="Q878" i="22"/>
  <c r="Q877" i="22"/>
  <c r="Q876" i="22"/>
  <c r="Q875" i="22"/>
  <c r="Q874" i="22"/>
  <c r="Q873" i="22"/>
  <c r="Q872" i="22"/>
  <c r="Q871" i="22"/>
  <c r="Q870" i="22"/>
  <c r="Q869" i="22"/>
  <c r="Q868" i="22"/>
  <c r="Q867" i="22"/>
  <c r="Q866" i="22"/>
  <c r="Q865" i="22"/>
  <c r="Q864" i="22"/>
  <c r="S864" i="22" s="1"/>
  <c r="Q863" i="22"/>
  <c r="Q862" i="22"/>
  <c r="Q861" i="22"/>
  <c r="Q860" i="22"/>
  <c r="Q859" i="22"/>
  <c r="Q858" i="22"/>
  <c r="Q857" i="22"/>
  <c r="Q856" i="22"/>
  <c r="Q855" i="22"/>
  <c r="Q854" i="22"/>
  <c r="Q853" i="22"/>
  <c r="Q852" i="22"/>
  <c r="Q851" i="22"/>
  <c r="Q850" i="22"/>
  <c r="Q849" i="22"/>
  <c r="Q848" i="22"/>
  <c r="Q847" i="22"/>
  <c r="Q846" i="22"/>
  <c r="Q845" i="22"/>
  <c r="Q844" i="22"/>
  <c r="Q843" i="22"/>
  <c r="Q842" i="22"/>
  <c r="Q841" i="22"/>
  <c r="Q840" i="22"/>
  <c r="Q839" i="22"/>
  <c r="Q838" i="22"/>
  <c r="Q837" i="22"/>
  <c r="Q836" i="22"/>
  <c r="Q835" i="22"/>
  <c r="Q834" i="22"/>
  <c r="Q833" i="22"/>
  <c r="Q832" i="22"/>
  <c r="Q831" i="22"/>
  <c r="Q830" i="22"/>
  <c r="Q829" i="22"/>
  <c r="Q828" i="22"/>
  <c r="Q827" i="22"/>
  <c r="Q826" i="22"/>
  <c r="Q825" i="22"/>
  <c r="Q824" i="22"/>
  <c r="Q823" i="22"/>
  <c r="Q822" i="22"/>
  <c r="Q821" i="22"/>
  <c r="Q820" i="22"/>
  <c r="Q819" i="22"/>
  <c r="Q818" i="22"/>
  <c r="Q817" i="22"/>
  <c r="Q816" i="22"/>
  <c r="Q815" i="22"/>
  <c r="Q814" i="22"/>
  <c r="Q813" i="22"/>
  <c r="Q812" i="22"/>
  <c r="Q811" i="22"/>
  <c r="Q810" i="22"/>
  <c r="Q809" i="22"/>
  <c r="Q808" i="22"/>
  <c r="Q807" i="22"/>
  <c r="S807" i="22" s="1"/>
  <c r="Q806" i="22"/>
  <c r="Q805" i="22"/>
  <c r="Q804" i="22"/>
  <c r="Q803" i="22"/>
  <c r="Q802" i="22"/>
  <c r="Q801" i="22"/>
  <c r="Q800" i="22"/>
  <c r="Q799" i="22"/>
  <c r="Q798" i="22"/>
  <c r="Q797" i="22"/>
  <c r="Q796" i="22"/>
  <c r="Q795" i="22"/>
  <c r="Q794" i="22"/>
  <c r="Q793" i="22"/>
  <c r="Q792" i="22"/>
  <c r="Q791" i="22"/>
  <c r="Q790" i="22"/>
  <c r="Q789" i="22"/>
  <c r="Q788" i="22"/>
  <c r="Q787" i="22"/>
  <c r="Q786" i="22"/>
  <c r="Q785" i="22"/>
  <c r="Q784" i="22"/>
  <c r="AQ715" i="22"/>
  <c r="Q783" i="22"/>
  <c r="AW714" i="22"/>
  <c r="AV714" i="22"/>
  <c r="AV715" i="22" s="1"/>
  <c r="Q782" i="22"/>
  <c r="Q781" i="22"/>
  <c r="AQ712" i="22"/>
  <c r="Q780" i="22"/>
  <c r="S780" i="22" s="1"/>
  <c r="Q779" i="22"/>
  <c r="Q778" i="22"/>
  <c r="AQ709" i="22"/>
  <c r="Q777" i="22"/>
  <c r="AW708" i="22"/>
  <c r="AV708" i="22"/>
  <c r="Q776" i="22"/>
  <c r="AW707" i="22"/>
  <c r="AV707" i="22"/>
  <c r="Q775" i="22"/>
  <c r="AW706" i="22"/>
  <c r="AV706" i="22"/>
  <c r="Q774" i="22"/>
  <c r="AW705" i="22"/>
  <c r="AV705" i="22"/>
  <c r="Q773" i="22"/>
  <c r="AW704" i="22"/>
  <c r="AV704" i="22"/>
  <c r="Q772" i="22"/>
  <c r="AW703" i="22"/>
  <c r="AX703" i="22" s="1"/>
  <c r="AV703" i="22"/>
  <c r="Q771" i="22"/>
  <c r="AW702" i="22"/>
  <c r="AV702" i="22"/>
  <c r="Q770" i="22"/>
  <c r="AW701" i="22"/>
  <c r="AV701" i="22"/>
  <c r="Q769" i="22"/>
  <c r="AW700" i="22"/>
  <c r="AV700" i="22"/>
  <c r="Q768" i="22"/>
  <c r="Q767" i="22"/>
  <c r="Q766" i="22"/>
  <c r="Q765" i="22"/>
  <c r="Q764" i="22"/>
  <c r="AW695" i="22"/>
  <c r="AV695" i="22"/>
  <c r="AV696" i="22" s="1"/>
  <c r="Q763" i="22"/>
  <c r="Q762" i="22"/>
  <c r="Q761" i="22"/>
  <c r="Q760" i="22"/>
  <c r="S760" i="22" s="1"/>
  <c r="Q759" i="22"/>
  <c r="AW689" i="22"/>
  <c r="AV689" i="22"/>
  <c r="AV691" i="22" s="1"/>
  <c r="Q758" i="22"/>
  <c r="Q757" i="22"/>
  <c r="Q756" i="22"/>
  <c r="Q755" i="22"/>
  <c r="Q754" i="22"/>
  <c r="AW684" i="22"/>
  <c r="AV684" i="22"/>
  <c r="Q753" i="22"/>
  <c r="AW683" i="22"/>
  <c r="AV683" i="22"/>
  <c r="Q752" i="22"/>
  <c r="Q751" i="22"/>
  <c r="Q750" i="22"/>
  <c r="Q749" i="22"/>
  <c r="Q748" i="22"/>
  <c r="AW678" i="22"/>
  <c r="AV678" i="22"/>
  <c r="Q747" i="22"/>
  <c r="Q746" i="22"/>
  <c r="Q745" i="22"/>
  <c r="Q744" i="22"/>
  <c r="Q743" i="22"/>
  <c r="AW673" i="22"/>
  <c r="AV673" i="22"/>
  <c r="Q742" i="22"/>
  <c r="Q741" i="22"/>
  <c r="Q740" i="22"/>
  <c r="Q739" i="22"/>
  <c r="Q738" i="22"/>
  <c r="AW668" i="22"/>
  <c r="AV668" i="22"/>
  <c r="Q737" i="22"/>
  <c r="AW667" i="22"/>
  <c r="AV667" i="22"/>
  <c r="Q736" i="22"/>
  <c r="AW666" i="22"/>
  <c r="AV666" i="22"/>
  <c r="Q735" i="22"/>
  <c r="AW665" i="22"/>
  <c r="AV665" i="22"/>
  <c r="Q734" i="22"/>
  <c r="AW664" i="22"/>
  <c r="AV664" i="22"/>
  <c r="Q733" i="22"/>
  <c r="AW663" i="22"/>
  <c r="AV663" i="22"/>
  <c r="Q732" i="22"/>
  <c r="Q731" i="22"/>
  <c r="AQ661" i="22"/>
  <c r="Q730" i="22"/>
  <c r="Q729" i="22"/>
  <c r="Q728" i="22"/>
  <c r="AQ658" i="22"/>
  <c r="Q727" i="22"/>
  <c r="AW657" i="22"/>
  <c r="AV657" i="22"/>
  <c r="AV658" i="22" s="1"/>
  <c r="Q726" i="22"/>
  <c r="Q725" i="22"/>
  <c r="AQ655" i="22"/>
  <c r="Q724" i="22"/>
  <c r="Q723" i="22"/>
  <c r="Q722" i="22"/>
  <c r="AQ652" i="22"/>
  <c r="Q721" i="22"/>
  <c r="Q720" i="22"/>
  <c r="Q719" i="22"/>
  <c r="Q718" i="22"/>
  <c r="Q717" i="22"/>
  <c r="Q716" i="22"/>
  <c r="Q715" i="22"/>
  <c r="Q714" i="22"/>
  <c r="Q713" i="22"/>
  <c r="Q712" i="22"/>
  <c r="Q711" i="22"/>
  <c r="AV527" i="22"/>
  <c r="Q710" i="22"/>
  <c r="AV526" i="22"/>
  <c r="Q709" i="22"/>
  <c r="AV525" i="22"/>
  <c r="Q708" i="22"/>
  <c r="AV524" i="22"/>
  <c r="Q707" i="22"/>
  <c r="AV523" i="22"/>
  <c r="Q706" i="22"/>
  <c r="AV522" i="22"/>
  <c r="Q705" i="22"/>
  <c r="AV521" i="22"/>
  <c r="Q704" i="22"/>
  <c r="AX520" i="22"/>
  <c r="AV520" i="22"/>
  <c r="Q703" i="22"/>
  <c r="AV519" i="22"/>
  <c r="Q702" i="22"/>
  <c r="AV518" i="22"/>
  <c r="Q701" i="22"/>
  <c r="AV517" i="22"/>
  <c r="Q700" i="22"/>
  <c r="AV516" i="22"/>
  <c r="Q699" i="22"/>
  <c r="AV515" i="22"/>
  <c r="Q698" i="22"/>
  <c r="AV514" i="22"/>
  <c r="Q697" i="22"/>
  <c r="AV513" i="22"/>
  <c r="Q696" i="22"/>
  <c r="AV512" i="22"/>
  <c r="Q695" i="22"/>
  <c r="AV511" i="22"/>
  <c r="Q694" i="22"/>
  <c r="AV510" i="22"/>
  <c r="Q693" i="22"/>
  <c r="AV509" i="22"/>
  <c r="Q692" i="22"/>
  <c r="AV508" i="22"/>
  <c r="Q691" i="22"/>
  <c r="AV507" i="22"/>
  <c r="Q690" i="22"/>
  <c r="AV506" i="22"/>
  <c r="Q689" i="22"/>
  <c r="AV505" i="22"/>
  <c r="Q688" i="22"/>
  <c r="AV504" i="22"/>
  <c r="Q687" i="22"/>
  <c r="AV503" i="22"/>
  <c r="Q686" i="22"/>
  <c r="S686" i="22" s="1"/>
  <c r="AV502" i="22"/>
  <c r="Q685" i="22"/>
  <c r="AV501" i="22"/>
  <c r="Q684" i="22"/>
  <c r="AV500" i="22"/>
  <c r="Q683" i="22"/>
  <c r="AV499" i="22"/>
  <c r="Q682" i="22"/>
  <c r="AV498" i="22"/>
  <c r="Q681" i="22"/>
  <c r="AX497" i="22"/>
  <c r="AV497" i="22"/>
  <c r="Q680" i="22"/>
  <c r="AX496" i="22"/>
  <c r="AV496" i="22"/>
  <c r="Q679" i="22"/>
  <c r="AV495" i="22"/>
  <c r="Q678" i="22"/>
  <c r="AX494" i="22"/>
  <c r="AV494" i="22"/>
  <c r="Q677" i="22"/>
  <c r="AV493" i="22"/>
  <c r="Q676" i="22"/>
  <c r="AV492" i="22"/>
  <c r="Q675" i="22"/>
  <c r="AV491" i="22"/>
  <c r="Q674" i="22"/>
  <c r="AV490" i="22"/>
  <c r="Q673" i="22"/>
  <c r="AV489" i="22"/>
  <c r="Q672" i="22"/>
  <c r="AV488" i="22"/>
  <c r="Q671" i="22"/>
  <c r="AV487" i="22"/>
  <c r="Q670" i="22"/>
  <c r="AV486" i="22"/>
  <c r="Q669" i="22"/>
  <c r="AV485" i="22"/>
  <c r="Q668" i="22"/>
  <c r="AV484" i="22"/>
  <c r="Q667" i="22"/>
  <c r="AV483" i="22"/>
  <c r="Q666" i="22"/>
  <c r="AV482" i="22"/>
  <c r="Q665" i="22"/>
  <c r="AV481" i="22"/>
  <c r="Q664" i="22"/>
  <c r="AV480" i="22"/>
  <c r="Q663" i="22"/>
  <c r="AV479" i="22"/>
  <c r="Q662" i="22"/>
  <c r="AV478" i="22"/>
  <c r="Q661" i="22"/>
  <c r="AV477" i="22"/>
  <c r="Q660" i="22"/>
  <c r="AV476" i="22"/>
  <c r="Q659" i="22"/>
  <c r="AV475" i="22"/>
  <c r="Q658" i="22"/>
  <c r="AV474" i="22"/>
  <c r="Q657" i="22"/>
  <c r="AV473" i="22"/>
  <c r="Q656" i="22"/>
  <c r="AV472" i="22"/>
  <c r="Q655" i="22"/>
  <c r="AV471" i="22"/>
  <c r="Q654" i="22"/>
  <c r="AV470" i="22"/>
  <c r="Q653" i="22"/>
  <c r="AV469" i="22"/>
  <c r="Q652" i="22"/>
  <c r="AV468" i="22"/>
  <c r="Q651" i="22"/>
  <c r="AV467" i="22"/>
  <c r="Q650" i="22"/>
  <c r="AV466" i="22"/>
  <c r="Q649" i="22"/>
  <c r="AV465" i="22"/>
  <c r="Q648" i="22"/>
  <c r="AV464" i="22"/>
  <c r="Q647" i="22"/>
  <c r="AV463" i="22"/>
  <c r="Q646" i="22"/>
  <c r="AV462" i="22"/>
  <c r="Q645" i="22"/>
  <c r="AV461" i="22"/>
  <c r="Q644" i="22"/>
  <c r="AV460" i="22"/>
  <c r="Q643" i="22"/>
  <c r="AV459" i="22"/>
  <c r="Q642" i="22"/>
  <c r="AV458" i="22"/>
  <c r="Q641" i="22"/>
  <c r="AV457" i="22"/>
  <c r="Q640" i="22"/>
  <c r="B452" i="22"/>
  <c r="AV456" i="22"/>
  <c r="Q639" i="22"/>
  <c r="H451" i="22"/>
  <c r="G451" i="22"/>
  <c r="G452" i="22" s="1"/>
  <c r="AV455" i="22"/>
  <c r="Q638" i="22"/>
  <c r="AV454" i="22"/>
  <c r="Q637" i="22"/>
  <c r="B449" i="22"/>
  <c r="AV453" i="22"/>
  <c r="Q636" i="22"/>
  <c r="AV452" i="22"/>
  <c r="Q635" i="22"/>
  <c r="B447" i="22"/>
  <c r="AV451" i="22"/>
  <c r="Q634" i="22"/>
  <c r="H446" i="22"/>
  <c r="G446" i="22"/>
  <c r="G447" i="22" s="1"/>
  <c r="AV450" i="22"/>
  <c r="Q633" i="22"/>
  <c r="AV449" i="22"/>
  <c r="Q632" i="22"/>
  <c r="AV448" i="22"/>
  <c r="Q631" i="22"/>
  <c r="AV447" i="22"/>
  <c r="Q630" i="22"/>
  <c r="AV446" i="22"/>
  <c r="Q629" i="22"/>
  <c r="G441" i="22"/>
  <c r="AV445" i="22"/>
  <c r="Q628" i="22"/>
  <c r="G440" i="22"/>
  <c r="AV444" i="22"/>
  <c r="Q627" i="22"/>
  <c r="G439" i="22"/>
  <c r="AV443" i="22"/>
  <c r="Q626" i="22"/>
  <c r="H438" i="22"/>
  <c r="G438" i="22"/>
  <c r="AV442" i="22"/>
  <c r="Q625" i="22"/>
  <c r="H437" i="22"/>
  <c r="G437" i="22"/>
  <c r="AV441" i="22"/>
  <c r="Q624" i="22"/>
  <c r="H436" i="22"/>
  <c r="G436" i="22"/>
  <c r="AV440" i="22"/>
  <c r="Q623" i="22"/>
  <c r="H435" i="22"/>
  <c r="G435" i="22"/>
  <c r="AX439" i="22"/>
  <c r="AV439" i="22"/>
  <c r="Q622" i="22"/>
  <c r="H434" i="22"/>
  <c r="G434" i="22"/>
  <c r="AV438" i="22"/>
  <c r="Q621" i="22"/>
  <c r="H433" i="22"/>
  <c r="G433" i="22"/>
  <c r="AV437" i="22"/>
  <c r="Q620" i="22"/>
  <c r="H432" i="22"/>
  <c r="G432" i="22"/>
  <c r="AV436" i="22"/>
  <c r="Q619" i="22"/>
  <c r="H431" i="22"/>
  <c r="G431" i="22"/>
  <c r="AV435" i="22"/>
  <c r="Q618" i="22"/>
  <c r="H430" i="22"/>
  <c r="G430" i="22"/>
  <c r="AV434" i="22"/>
  <c r="Q617" i="22"/>
  <c r="H429" i="22"/>
  <c r="G429" i="22"/>
  <c r="AV433" i="22"/>
  <c r="Q616" i="22"/>
  <c r="H428" i="22"/>
  <c r="G428" i="22"/>
  <c r="AV432" i="22"/>
  <c r="Q615" i="22"/>
  <c r="H427" i="22"/>
  <c r="G427" i="22"/>
  <c r="AV431" i="22"/>
  <c r="Q614" i="22"/>
  <c r="H426" i="22"/>
  <c r="G426" i="22"/>
  <c r="AV430" i="22"/>
  <c r="Q613" i="22"/>
  <c r="H425" i="22"/>
  <c r="G425" i="22"/>
  <c r="AV429" i="22"/>
  <c r="Q612" i="22"/>
  <c r="H424" i="22"/>
  <c r="G424" i="22"/>
  <c r="AV428" i="22"/>
  <c r="Q611" i="22"/>
  <c r="H423" i="22"/>
  <c r="G423" i="22"/>
  <c r="AV427" i="22"/>
  <c r="Q610" i="22"/>
  <c r="H422" i="22"/>
  <c r="G422" i="22"/>
  <c r="AV426" i="22"/>
  <c r="Q609" i="22"/>
  <c r="H421" i="22"/>
  <c r="G421" i="22"/>
  <c r="AV425" i="22"/>
  <c r="Q608" i="22"/>
  <c r="H418" i="22"/>
  <c r="G418" i="22"/>
  <c r="AV424" i="22"/>
  <c r="Q607" i="22"/>
  <c r="AV423" i="22"/>
  <c r="Q606" i="22"/>
  <c r="AV422" i="22"/>
  <c r="Q605" i="22"/>
  <c r="AV421" i="22"/>
  <c r="AX417" i="22" s="1"/>
  <c r="Q604" i="22"/>
  <c r="AV420" i="22"/>
  <c r="Q603" i="22"/>
  <c r="H413" i="22"/>
  <c r="G413" i="22"/>
  <c r="AV419" i="22"/>
  <c r="Q602" i="22"/>
  <c r="H412" i="22"/>
  <c r="G412" i="22"/>
  <c r="AV418" i="22"/>
  <c r="Q601" i="22"/>
  <c r="AV417" i="22"/>
  <c r="Q600" i="22"/>
  <c r="AV416" i="22"/>
  <c r="Q599" i="22"/>
  <c r="AV415" i="22"/>
  <c r="Q598" i="22"/>
  <c r="AV414" i="22"/>
  <c r="Q597" i="22"/>
  <c r="H407" i="22"/>
  <c r="G407" i="22"/>
  <c r="AV413" i="22"/>
  <c r="Q596" i="22"/>
  <c r="H406" i="22"/>
  <c r="G406" i="22"/>
  <c r="AV412" i="22"/>
  <c r="Q595" i="22"/>
  <c r="H405" i="22"/>
  <c r="G405" i="22"/>
  <c r="AV411" i="22"/>
  <c r="AX411" i="22" s="1"/>
  <c r="Q594" i="22"/>
  <c r="H404" i="22"/>
  <c r="G404" i="22"/>
  <c r="AV410" i="22"/>
  <c r="Q593" i="22"/>
  <c r="H403" i="22"/>
  <c r="G403" i="22"/>
  <c r="AV409" i="22"/>
  <c r="Q592" i="22"/>
  <c r="H402" i="22"/>
  <c r="G402" i="22"/>
  <c r="AV408" i="22"/>
  <c r="Q591" i="22"/>
  <c r="H401" i="22"/>
  <c r="G401" i="22"/>
  <c r="AV407" i="22"/>
  <c r="Q590" i="22"/>
  <c r="H400" i="22"/>
  <c r="G400" i="22"/>
  <c r="AV406" i="22"/>
  <c r="Q589" i="22"/>
  <c r="H399" i="22"/>
  <c r="G399" i="22"/>
  <c r="AV405" i="22"/>
  <c r="Q588" i="22"/>
  <c r="H398" i="22"/>
  <c r="G398" i="22"/>
  <c r="AV404" i="22"/>
  <c r="Q587" i="22"/>
  <c r="H397" i="22"/>
  <c r="G397" i="22"/>
  <c r="AV403" i="22"/>
  <c r="Q586" i="22"/>
  <c r="H396" i="22"/>
  <c r="G396" i="22"/>
  <c r="AV402" i="22"/>
  <c r="Q585" i="22"/>
  <c r="H395" i="22"/>
  <c r="G395" i="22"/>
  <c r="AV401" i="22"/>
  <c r="Q584" i="22"/>
  <c r="H394" i="22"/>
  <c r="G394" i="22"/>
  <c r="AV400" i="22"/>
  <c r="Q583" i="22"/>
  <c r="H393" i="22"/>
  <c r="G393" i="22"/>
  <c r="AV399" i="22"/>
  <c r="AX398" i="22" s="1"/>
  <c r="Q582" i="22"/>
  <c r="H392" i="22"/>
  <c r="G392" i="22"/>
  <c r="AV398" i="22"/>
  <c r="Q581" i="22"/>
  <c r="H391" i="22"/>
  <c r="G391" i="22"/>
  <c r="AV397" i="22"/>
  <c r="Q580" i="22"/>
  <c r="H390" i="22"/>
  <c r="G390" i="22"/>
  <c r="AV396" i="22"/>
  <c r="Q579" i="22"/>
  <c r="H389" i="22"/>
  <c r="G389" i="22"/>
  <c r="AV395" i="22"/>
  <c r="Q578" i="22"/>
  <c r="H388" i="22"/>
  <c r="G388" i="22"/>
  <c r="AV394" i="22"/>
  <c r="Q577" i="22"/>
  <c r="H387" i="22"/>
  <c r="G387" i="22"/>
  <c r="AV393" i="22"/>
  <c r="Q576" i="22"/>
  <c r="H386" i="22"/>
  <c r="G386" i="22"/>
  <c r="AV392" i="22"/>
  <c r="Q575" i="22"/>
  <c r="H385" i="22"/>
  <c r="G385" i="22"/>
  <c r="AV391" i="22"/>
  <c r="Q574" i="22"/>
  <c r="H384" i="22"/>
  <c r="G384" i="22"/>
  <c r="AV390" i="22"/>
  <c r="Q573" i="22"/>
  <c r="AV389" i="22"/>
  <c r="Q572" i="22"/>
  <c r="AV388" i="22"/>
  <c r="Q571" i="22"/>
  <c r="AV387" i="22"/>
  <c r="Q570" i="22"/>
  <c r="AV386" i="22"/>
  <c r="Q569" i="22"/>
  <c r="G379" i="22"/>
  <c r="AV385" i="22"/>
  <c r="Q568" i="22"/>
  <c r="G378" i="22"/>
  <c r="AV384" i="22"/>
  <c r="Q567" i="22"/>
  <c r="G377" i="22"/>
  <c r="AV383" i="22"/>
  <c r="Q566" i="22"/>
  <c r="G376" i="22"/>
  <c r="AV382" i="22"/>
  <c r="Q565" i="22"/>
  <c r="G375" i="22"/>
  <c r="AV381" i="22"/>
  <c r="Q564" i="22"/>
  <c r="G374" i="22"/>
  <c r="AV380" i="22"/>
  <c r="Q563" i="22"/>
  <c r="G373" i="22"/>
  <c r="AV379" i="22"/>
  <c r="Q562" i="22"/>
  <c r="G372" i="22"/>
  <c r="AV378" i="22"/>
  <c r="Q561" i="22"/>
  <c r="G371" i="22"/>
  <c r="AV377" i="22"/>
  <c r="Q560" i="22"/>
  <c r="G370" i="22"/>
  <c r="AV376" i="22"/>
  <c r="Q559" i="22"/>
  <c r="G369" i="22"/>
  <c r="AV375" i="22"/>
  <c r="Q558" i="22"/>
  <c r="G368" i="22"/>
  <c r="AV374" i="22"/>
  <c r="Q557" i="22"/>
  <c r="G367" i="22"/>
  <c r="AV373" i="22"/>
  <c r="Q556" i="22"/>
  <c r="G366" i="22"/>
  <c r="AV372" i="22"/>
  <c r="Q555" i="22"/>
  <c r="G365" i="22"/>
  <c r="AV371" i="22"/>
  <c r="Q554" i="22"/>
  <c r="G364" i="22"/>
  <c r="AV370" i="22"/>
  <c r="Q553" i="22"/>
  <c r="G363" i="22"/>
  <c r="AV369" i="22"/>
  <c r="Q552" i="22"/>
  <c r="G362" i="22"/>
  <c r="AV368" i="22"/>
  <c r="Q551" i="22"/>
  <c r="G361" i="22"/>
  <c r="AV367" i="22"/>
  <c r="Q550" i="22"/>
  <c r="G360" i="22"/>
  <c r="AV366" i="22"/>
  <c r="Q549" i="22"/>
  <c r="G359" i="22"/>
  <c r="AV365" i="22"/>
  <c r="Q548" i="22"/>
  <c r="G358" i="22"/>
  <c r="AV364" i="22"/>
  <c r="Q547" i="22"/>
  <c r="G357" i="22"/>
  <c r="AV363" i="22"/>
  <c r="Q546" i="22"/>
  <c r="G356" i="22"/>
  <c r="AV362" i="22"/>
  <c r="Q545" i="22"/>
  <c r="G355" i="22"/>
  <c r="AV361" i="22"/>
  <c r="Q544" i="22"/>
  <c r="G354" i="22"/>
  <c r="AV360" i="22"/>
  <c r="Q543" i="22"/>
  <c r="G353" i="22"/>
  <c r="AV359" i="22"/>
  <c r="Q542" i="22"/>
  <c r="G352" i="22"/>
  <c r="AV358" i="22"/>
  <c r="Q541" i="22"/>
  <c r="G351" i="22"/>
  <c r="AV357" i="22"/>
  <c r="Q540" i="22"/>
  <c r="G350" i="22"/>
  <c r="AV356" i="22"/>
  <c r="Q539" i="22"/>
  <c r="G349" i="22"/>
  <c r="AV355" i="22"/>
  <c r="Q538" i="22"/>
  <c r="G348" i="22"/>
  <c r="AV354" i="22"/>
  <c r="Q537" i="22"/>
  <c r="G347" i="22"/>
  <c r="AV353" i="22"/>
  <c r="Q536" i="22"/>
  <c r="G346" i="22"/>
  <c r="AV352" i="22"/>
  <c r="Q535" i="22"/>
  <c r="G345" i="22"/>
  <c r="AV351" i="22"/>
  <c r="Q534" i="22"/>
  <c r="G344" i="22"/>
  <c r="AV350" i="22"/>
  <c r="Q533" i="22"/>
  <c r="G343" i="22"/>
  <c r="AV349" i="22"/>
  <c r="Q532" i="22"/>
  <c r="G342" i="22"/>
  <c r="AV348" i="22"/>
  <c r="Q531" i="22"/>
  <c r="G341" i="22"/>
  <c r="AV347" i="22"/>
  <c r="Q530" i="22"/>
  <c r="G340" i="22"/>
  <c r="AV346" i="22"/>
  <c r="Q529" i="22"/>
  <c r="G339" i="22"/>
  <c r="AV345" i="22"/>
  <c r="Q528" i="22"/>
  <c r="G338" i="22"/>
  <c r="AV344" i="22"/>
  <c r="Q527" i="22"/>
  <c r="G337" i="22"/>
  <c r="AV343" i="22"/>
  <c r="Q526" i="22"/>
  <c r="G336" i="22"/>
  <c r="AV342" i="22"/>
  <c r="Q525" i="22"/>
  <c r="G335" i="22"/>
  <c r="AV341" i="22"/>
  <c r="Q524" i="22"/>
  <c r="G334" i="22"/>
  <c r="AV340" i="22"/>
  <c r="Q523" i="22"/>
  <c r="G333" i="22"/>
  <c r="AV339" i="22"/>
  <c r="Q522" i="22"/>
  <c r="G332" i="22"/>
  <c r="AV338" i="22"/>
  <c r="Q521" i="22"/>
  <c r="G331" i="22"/>
  <c r="AV337" i="22"/>
  <c r="Q520" i="22"/>
  <c r="G330" i="22"/>
  <c r="AV336" i="22"/>
  <c r="Q519" i="22"/>
  <c r="G329" i="22"/>
  <c r="AV335" i="22"/>
  <c r="Q518" i="22"/>
  <c r="G328" i="22"/>
  <c r="AV334" i="22"/>
  <c r="Q517" i="22"/>
  <c r="G327" i="22"/>
  <c r="AV333" i="22"/>
  <c r="Q516" i="22"/>
  <c r="G326" i="22"/>
  <c r="AV332" i="22"/>
  <c r="Q515" i="22"/>
  <c r="G325" i="22"/>
  <c r="AV331" i="22"/>
  <c r="Q514" i="22"/>
  <c r="G324" i="22"/>
  <c r="AV330" i="22"/>
  <c r="Q513" i="22"/>
  <c r="G323" i="22"/>
  <c r="AV329" i="22"/>
  <c r="Q512" i="22"/>
  <c r="G322" i="22"/>
  <c r="AV328" i="22"/>
  <c r="Q511" i="22"/>
  <c r="G321" i="22"/>
  <c r="AV327" i="22"/>
  <c r="Q510" i="22"/>
  <c r="G320" i="22"/>
  <c r="AV326" i="22"/>
  <c r="Q509" i="22"/>
  <c r="G319" i="22"/>
  <c r="AV325" i="22"/>
  <c r="Q508" i="22"/>
  <c r="G318" i="22"/>
  <c r="AV324" i="22"/>
  <c r="Q507" i="22"/>
  <c r="G317" i="22"/>
  <c r="AV323" i="22"/>
  <c r="Q506" i="22"/>
  <c r="G316" i="22"/>
  <c r="AV322" i="22"/>
  <c r="Q505" i="22"/>
  <c r="G315" i="22"/>
  <c r="AV321" i="22"/>
  <c r="Q504" i="22"/>
  <c r="G314" i="22"/>
  <c r="AV320" i="22"/>
  <c r="Q503" i="22"/>
  <c r="G313" i="22"/>
  <c r="AV319" i="22"/>
  <c r="Q502" i="22"/>
  <c r="H311" i="22"/>
  <c r="G311" i="22"/>
  <c r="AV318" i="22"/>
  <c r="Q501" i="22"/>
  <c r="AV317" i="22"/>
  <c r="Q500" i="22"/>
  <c r="AV316" i="22"/>
  <c r="Q499" i="22"/>
  <c r="AV315" i="22"/>
  <c r="Q498" i="22"/>
  <c r="AV314" i="22"/>
  <c r="Q497" i="22"/>
  <c r="G306" i="22"/>
  <c r="AV313" i="22"/>
  <c r="Q496" i="22"/>
  <c r="G305" i="22"/>
  <c r="AV312" i="22"/>
  <c r="Q495" i="22"/>
  <c r="G304" i="22"/>
  <c r="AV311" i="22"/>
  <c r="Q494" i="22"/>
  <c r="G303" i="22"/>
  <c r="AV310" i="22"/>
  <c r="Q493" i="22"/>
  <c r="G302" i="22"/>
  <c r="AV309" i="22"/>
  <c r="Q492" i="22"/>
  <c r="G301" i="22"/>
  <c r="AV308" i="22"/>
  <c r="Q491" i="22"/>
  <c r="G300" i="22"/>
  <c r="AV307" i="22"/>
  <c r="Q490" i="22"/>
  <c r="G299" i="22"/>
  <c r="AV306" i="22"/>
  <c r="Q489" i="22"/>
  <c r="G298" i="22"/>
  <c r="AV305" i="22"/>
  <c r="Q488" i="22"/>
  <c r="G297" i="22"/>
  <c r="AV304" i="22"/>
  <c r="Q487" i="22"/>
  <c r="G296" i="22"/>
  <c r="AX303" i="22"/>
  <c r="AV303" i="22"/>
  <c r="Q486" i="22"/>
  <c r="G295" i="22"/>
  <c r="AV302" i="22"/>
  <c r="Q485" i="22"/>
  <c r="G294" i="22"/>
  <c r="AV301" i="22"/>
  <c r="Q484" i="22"/>
  <c r="G293" i="22"/>
  <c r="AV300" i="22"/>
  <c r="Q483" i="22"/>
  <c r="G292" i="22"/>
  <c r="AV299" i="22"/>
  <c r="Q482" i="22"/>
  <c r="G291" i="22"/>
  <c r="AV298" i="22"/>
  <c r="Q481" i="22"/>
  <c r="G290" i="22"/>
  <c r="AV297" i="22"/>
  <c r="Q480" i="22"/>
  <c r="G289" i="22"/>
  <c r="AV296" i="22"/>
  <c r="Q479" i="22"/>
  <c r="G288" i="22"/>
  <c r="AV295" i="22"/>
  <c r="Q478" i="22"/>
  <c r="G287" i="22"/>
  <c r="AX294" i="22"/>
  <c r="AV294" i="22"/>
  <c r="Q477" i="22"/>
  <c r="G286" i="22"/>
  <c r="AV293" i="22"/>
  <c r="Q476" i="22"/>
  <c r="G285" i="22"/>
  <c r="AV292" i="22"/>
  <c r="Q475" i="22"/>
  <c r="G284" i="22"/>
  <c r="AV291" i="22"/>
  <c r="Q474" i="22"/>
  <c r="G283" i="22"/>
  <c r="AV290" i="22"/>
  <c r="Q473" i="22"/>
  <c r="G282" i="22"/>
  <c r="AV289" i="22"/>
  <c r="Q472" i="22"/>
  <c r="G281" i="22"/>
  <c r="AV288" i="22"/>
  <c r="Q471" i="22"/>
  <c r="G280" i="22"/>
  <c r="AV287" i="22"/>
  <c r="Q470" i="22"/>
  <c r="G279" i="22"/>
  <c r="AV286" i="22"/>
  <c r="Q469" i="22"/>
  <c r="G278" i="22"/>
  <c r="AV285" i="22"/>
  <c r="Q468" i="22"/>
  <c r="G277" i="22"/>
  <c r="AV284" i="22"/>
  <c r="Q467" i="22"/>
  <c r="G276" i="22"/>
  <c r="AV283" i="22"/>
  <c r="Q466" i="22"/>
  <c r="G275" i="22"/>
  <c r="AV282" i="22"/>
  <c r="Q465" i="22"/>
  <c r="G274" i="22"/>
  <c r="AV281" i="22"/>
  <c r="Q464" i="22"/>
  <c r="G273" i="22"/>
  <c r="AV280" i="22"/>
  <c r="Q463" i="22"/>
  <c r="G272" i="22"/>
  <c r="AV279" i="22"/>
  <c r="Q462" i="22"/>
  <c r="H264" i="22"/>
  <c r="G264" i="22"/>
  <c r="AV278" i="22"/>
  <c r="Q461" i="22"/>
  <c r="AV277" i="22"/>
  <c r="Q460" i="22"/>
  <c r="AV276" i="22"/>
  <c r="Q459" i="22"/>
  <c r="AV275" i="22"/>
  <c r="Q458" i="22"/>
  <c r="AV274" i="22"/>
  <c r="Q457" i="22"/>
  <c r="AV273" i="22"/>
  <c r="Q456" i="22"/>
  <c r="AV272" i="22"/>
  <c r="Q455" i="22"/>
  <c r="AV271" i="22"/>
  <c r="Q454" i="22"/>
  <c r="AV270" i="22"/>
  <c r="Q453" i="22"/>
  <c r="AV269" i="22"/>
  <c r="Q452" i="22"/>
  <c r="AV268" i="22"/>
  <c r="Q451" i="22"/>
  <c r="H248" i="22"/>
  <c r="G248" i="22"/>
  <c r="AV267" i="22"/>
  <c r="Q450" i="22"/>
  <c r="H247" i="22"/>
  <c r="G247" i="22"/>
  <c r="AV266" i="22"/>
  <c r="Q449" i="22"/>
  <c r="H246" i="22"/>
  <c r="G246" i="22"/>
  <c r="AV265" i="22"/>
  <c r="Q448" i="22"/>
  <c r="H245" i="22"/>
  <c r="G245" i="22"/>
  <c r="AV264" i="22"/>
  <c r="Q447" i="22"/>
  <c r="H244" i="22"/>
  <c r="G244" i="22"/>
  <c r="AV263" i="22"/>
  <c r="Q446" i="22"/>
  <c r="H243" i="22"/>
  <c r="G243" i="22"/>
  <c r="AV262" i="22"/>
  <c r="Q445" i="22"/>
  <c r="H242" i="22"/>
  <c r="G242" i="22"/>
  <c r="AV261" i="22"/>
  <c r="Q444" i="22"/>
  <c r="H241" i="22"/>
  <c r="G241" i="22"/>
  <c r="AV260" i="22"/>
  <c r="Q443" i="22"/>
  <c r="H240" i="22"/>
  <c r="G240" i="22"/>
  <c r="AV259" i="22"/>
  <c r="Q442" i="22"/>
  <c r="H239" i="22"/>
  <c r="G239" i="22"/>
  <c r="AV258" i="22"/>
  <c r="Q441" i="22"/>
  <c r="H238" i="22"/>
  <c r="G238" i="22"/>
  <c r="AV257" i="22"/>
  <c r="Q440" i="22"/>
  <c r="H237" i="22"/>
  <c r="G237" i="22"/>
  <c r="AV256" i="22"/>
  <c r="Q439" i="22"/>
  <c r="H236" i="22"/>
  <c r="G236" i="22"/>
  <c r="AV255" i="22"/>
  <c r="AX255" i="22" s="1"/>
  <c r="Q438" i="22"/>
  <c r="H235" i="22"/>
  <c r="G235" i="22"/>
  <c r="AV254" i="22"/>
  <c r="Q437" i="22"/>
  <c r="H234" i="22"/>
  <c r="G234" i="22"/>
  <c r="AV253" i="22"/>
  <c r="Q436" i="22"/>
  <c r="H233" i="22"/>
  <c r="G233" i="22"/>
  <c r="AV252" i="22"/>
  <c r="Q435" i="22"/>
  <c r="H232" i="22"/>
  <c r="G232" i="22"/>
  <c r="AV251" i="22"/>
  <c r="Q434" i="22"/>
  <c r="H231" i="22"/>
  <c r="G231" i="22"/>
  <c r="AV250" i="22"/>
  <c r="Q433" i="22"/>
  <c r="H230" i="22"/>
  <c r="G230" i="22"/>
  <c r="AV249" i="22"/>
  <c r="Q432" i="22"/>
  <c r="H229" i="22"/>
  <c r="G229" i="22"/>
  <c r="AV248" i="22"/>
  <c r="Q431" i="22"/>
  <c r="H228" i="22"/>
  <c r="G228" i="22"/>
  <c r="AV247" i="22"/>
  <c r="Q430" i="22"/>
  <c r="H227" i="22"/>
  <c r="G227" i="22"/>
  <c r="AV246" i="22"/>
  <c r="Q429" i="22"/>
  <c r="H226" i="22"/>
  <c r="G226" i="22"/>
  <c r="AV245" i="22"/>
  <c r="Q428" i="22"/>
  <c r="H225" i="22"/>
  <c r="G225" i="22"/>
  <c r="AV244" i="22"/>
  <c r="Q427" i="22"/>
  <c r="H224" i="22"/>
  <c r="G224" i="22"/>
  <c r="AV243" i="22"/>
  <c r="Q426" i="22"/>
  <c r="H223" i="22"/>
  <c r="G223" i="22"/>
  <c r="AV242" i="22"/>
  <c r="Q425" i="22"/>
  <c r="H222" i="22"/>
  <c r="G222" i="22"/>
  <c r="AV241" i="22"/>
  <c r="Q424" i="22"/>
  <c r="H221" i="22"/>
  <c r="G221" i="22"/>
  <c r="AV240" i="22"/>
  <c r="Q423" i="22"/>
  <c r="H220" i="22"/>
  <c r="G220" i="22"/>
  <c r="AV239" i="22"/>
  <c r="Q422" i="22"/>
  <c r="H219" i="22"/>
  <c r="G219" i="22"/>
  <c r="AV238" i="22"/>
  <c r="Q421" i="22"/>
  <c r="AV237" i="22"/>
  <c r="Q420" i="22"/>
  <c r="AV236" i="22"/>
  <c r="Q419" i="22"/>
  <c r="AV235" i="22"/>
  <c r="Q418" i="22"/>
  <c r="AV234" i="22"/>
  <c r="Q417" i="22"/>
  <c r="AV233" i="22"/>
  <c r="Q416" i="22"/>
  <c r="AV232" i="22"/>
  <c r="Q415" i="22"/>
  <c r="AV231" i="22"/>
  <c r="Q414" i="22"/>
  <c r="AV230" i="22"/>
  <c r="Q413" i="22"/>
  <c r="AX229" i="22"/>
  <c r="AV229" i="22"/>
  <c r="Q412" i="22"/>
  <c r="AV228" i="22"/>
  <c r="Q411" i="22"/>
  <c r="AV227" i="22"/>
  <c r="Q410" i="22"/>
  <c r="H199" i="22"/>
  <c r="G199" i="22"/>
  <c r="AV226" i="22"/>
  <c r="Q409" i="22"/>
  <c r="H198" i="22"/>
  <c r="G198" i="22"/>
  <c r="AX225" i="22"/>
  <c r="AV225" i="22"/>
  <c r="Q408" i="22"/>
  <c r="H197" i="22"/>
  <c r="G197" i="22"/>
  <c r="AV224" i="22"/>
  <c r="Q407" i="22"/>
  <c r="H196" i="22"/>
  <c r="G196" i="22"/>
  <c r="AV223" i="22"/>
  <c r="Q406" i="22"/>
  <c r="H195" i="22"/>
  <c r="G195" i="22"/>
  <c r="AV222" i="22"/>
  <c r="Q405" i="22"/>
  <c r="H194" i="22"/>
  <c r="G194" i="22"/>
  <c r="AV221" i="22"/>
  <c r="Q404" i="22"/>
  <c r="H193" i="22"/>
  <c r="G193" i="22"/>
  <c r="AV220" i="22"/>
  <c r="Q403" i="22"/>
  <c r="H192" i="22"/>
  <c r="G192" i="22"/>
  <c r="AV219" i="22"/>
  <c r="Q402" i="22"/>
  <c r="H191" i="22"/>
  <c r="G191" i="22"/>
  <c r="AV218" i="22"/>
  <c r="Q401" i="22"/>
  <c r="H190" i="22"/>
  <c r="G190" i="22"/>
  <c r="AV217" i="22"/>
  <c r="Q400" i="22"/>
  <c r="H189" i="22"/>
  <c r="G189" i="22"/>
  <c r="AV216" i="22"/>
  <c r="Q399" i="22"/>
  <c r="H188" i="22"/>
  <c r="G188" i="22"/>
  <c r="AV215" i="22"/>
  <c r="Q398" i="22"/>
  <c r="H187" i="22"/>
  <c r="G187" i="22"/>
  <c r="AV214" i="22"/>
  <c r="Q397" i="22"/>
  <c r="H186" i="22"/>
  <c r="G186" i="22"/>
  <c r="AV213" i="22"/>
  <c r="Q396" i="22"/>
  <c r="H185" i="22"/>
  <c r="G185" i="22"/>
  <c r="AV212" i="22"/>
  <c r="Q395" i="22"/>
  <c r="H184" i="22"/>
  <c r="G184" i="22"/>
  <c r="AV211" i="22"/>
  <c r="AF191" i="22"/>
  <c r="Q394" i="22"/>
  <c r="H183" i="22"/>
  <c r="G183" i="22"/>
  <c r="AV210" i="22"/>
  <c r="AL190" i="22"/>
  <c r="AK190" i="22"/>
  <c r="AK191" i="22" s="1"/>
  <c r="Q393" i="22"/>
  <c r="H182" i="22"/>
  <c r="G182" i="22"/>
  <c r="AV209" i="22"/>
  <c r="Q392" i="22"/>
  <c r="H181" i="22"/>
  <c r="G181" i="22"/>
  <c r="AV208" i="22"/>
  <c r="AF188" i="22"/>
  <c r="Q391" i="22"/>
  <c r="H180" i="22"/>
  <c r="G180" i="22"/>
  <c r="AV207" i="22"/>
  <c r="Q390" i="22"/>
  <c r="H179" i="22"/>
  <c r="G179" i="22"/>
  <c r="AV206" i="22"/>
  <c r="Q389" i="22"/>
  <c r="AV205" i="22"/>
  <c r="AL179" i="22"/>
  <c r="Q388" i="22"/>
  <c r="B177" i="22"/>
  <c r="AV204" i="22"/>
  <c r="AL178" i="22"/>
  <c r="AK178" i="22"/>
  <c r="Q387" i="22"/>
  <c r="AV203" i="22"/>
  <c r="Q386" i="22"/>
  <c r="AV202" i="22"/>
  <c r="Q385" i="22"/>
  <c r="B174" i="22"/>
  <c r="AV201" i="22"/>
  <c r="Q384" i="22"/>
  <c r="G158" i="22"/>
  <c r="I157" i="22" s="1"/>
  <c r="AV200" i="22"/>
  <c r="Q383" i="22"/>
  <c r="AV199" i="22"/>
  <c r="Q382" i="22"/>
  <c r="G156" i="22"/>
  <c r="AV198" i="22"/>
  <c r="Q381" i="22"/>
  <c r="G155" i="22"/>
  <c r="AV197" i="22"/>
  <c r="Q380" i="22"/>
  <c r="G154" i="22"/>
  <c r="AV196" i="22"/>
  <c r="Q379" i="22"/>
  <c r="G153" i="22"/>
  <c r="AV195" i="22"/>
  <c r="Q378" i="22"/>
  <c r="G152" i="22"/>
  <c r="AV194" i="22"/>
  <c r="AL173" i="22"/>
  <c r="AK173" i="22"/>
  <c r="AK174" i="22" s="1"/>
  <c r="Q377" i="22"/>
  <c r="G151" i="22"/>
  <c r="AV193" i="22"/>
  <c r="Q376" i="22"/>
  <c r="G150" i="22"/>
  <c r="AV192" i="22"/>
  <c r="Q375" i="22"/>
  <c r="G149" i="22"/>
  <c r="AV191" i="22"/>
  <c r="Q374" i="22"/>
  <c r="G148" i="22"/>
  <c r="AV190" i="22"/>
  <c r="Q373" i="22"/>
  <c r="G147" i="22"/>
  <c r="AV189" i="22"/>
  <c r="AL168" i="22"/>
  <c r="AK168" i="22"/>
  <c r="AK169" i="22" s="1"/>
  <c r="Q372" i="22"/>
  <c r="G146" i="22"/>
  <c r="AV188" i="22"/>
  <c r="Q371" i="22"/>
  <c r="G145" i="22"/>
  <c r="AV187" i="22"/>
  <c r="Q370" i="22"/>
  <c r="G144" i="22"/>
  <c r="AV186" i="22"/>
  <c r="Q369" i="22"/>
  <c r="G143" i="22"/>
  <c r="AV185" i="22"/>
  <c r="V157" i="22"/>
  <c r="Q368" i="22"/>
  <c r="G142" i="22"/>
  <c r="AV184" i="22"/>
  <c r="AL163" i="22"/>
  <c r="AK163" i="22"/>
  <c r="AK164" i="22" s="1"/>
  <c r="AB156" i="22"/>
  <c r="AA156" i="22"/>
  <c r="AA157" i="22" s="1"/>
  <c r="Q367" i="22"/>
  <c r="G141" i="22"/>
  <c r="AV183" i="22"/>
  <c r="Q366" i="22"/>
  <c r="G140" i="22"/>
  <c r="AV182" i="22"/>
  <c r="V154" i="22"/>
  <c r="Q365" i="22"/>
  <c r="G139" i="22"/>
  <c r="AV181" i="22"/>
  <c r="Q364" i="22"/>
  <c r="G138" i="22"/>
  <c r="AV180" i="22"/>
  <c r="V151" i="22"/>
  <c r="Q363" i="22"/>
  <c r="G137" i="22"/>
  <c r="AV179" i="22"/>
  <c r="AL157" i="22"/>
  <c r="AK157" i="22"/>
  <c r="AK159" i="22" s="1"/>
  <c r="AB150" i="22"/>
  <c r="AA150" i="22"/>
  <c r="AA151" i="22" s="1"/>
  <c r="Q362" i="22"/>
  <c r="G136" i="22"/>
  <c r="AV178" i="22"/>
  <c r="Q361" i="22"/>
  <c r="G135" i="22"/>
  <c r="AV177" i="22"/>
  <c r="V148" i="22"/>
  <c r="Q360" i="22"/>
  <c r="G134" i="22"/>
  <c r="AV176" i="22"/>
  <c r="Q359" i="22"/>
  <c r="G133" i="22"/>
  <c r="AV175" i="22"/>
  <c r="V145" i="22"/>
  <c r="Q358" i="22"/>
  <c r="G132" i="22"/>
  <c r="AX174" i="22"/>
  <c r="AV174" i="22"/>
  <c r="AL152" i="22"/>
  <c r="AK152" i="22"/>
  <c r="AK153" i="22" s="1"/>
  <c r="AB144" i="22"/>
  <c r="AA144" i="22"/>
  <c r="AA145" i="22" s="1"/>
  <c r="Q357" i="22"/>
  <c r="G131" i="22"/>
  <c r="AV173" i="22"/>
  <c r="Q356" i="22"/>
  <c r="G130" i="22"/>
  <c r="AV172" i="22"/>
  <c r="Q355" i="22"/>
  <c r="G129" i="22"/>
  <c r="AV171" i="22"/>
  <c r="Q354" i="22"/>
  <c r="G128" i="22"/>
  <c r="AV170" i="22"/>
  <c r="Q353" i="22"/>
  <c r="G127" i="22"/>
  <c r="AV169" i="22"/>
  <c r="AB139" i="22"/>
  <c r="AA139" i="22"/>
  <c r="AA140" i="22" s="1"/>
  <c r="Q352" i="22"/>
  <c r="G126" i="22"/>
  <c r="AV168" i="22"/>
  <c r="AL146" i="22"/>
  <c r="AK146" i="22"/>
  <c r="AK148" i="22" s="1"/>
  <c r="Q351" i="22"/>
  <c r="G125" i="22"/>
  <c r="AV167" i="22"/>
  <c r="Q350" i="22"/>
  <c r="G124" i="22"/>
  <c r="AV166" i="22"/>
  <c r="Q349" i="22"/>
  <c r="G123" i="22"/>
  <c r="AV165" i="22"/>
  <c r="Q348" i="22"/>
  <c r="G122" i="22"/>
  <c r="AV164" i="22"/>
  <c r="AB134" i="22"/>
  <c r="AA134" i="22"/>
  <c r="AA135" i="22" s="1"/>
  <c r="Q347" i="22"/>
  <c r="G121" i="22"/>
  <c r="AV163" i="22"/>
  <c r="AL140" i="22"/>
  <c r="AK140" i="22"/>
  <c r="Q346" i="22"/>
  <c r="G120" i="22"/>
  <c r="AV162" i="22"/>
  <c r="AL139" i="22"/>
  <c r="AM139" i="22" s="1"/>
  <c r="AK139" i="22"/>
  <c r="Q345" i="22"/>
  <c r="G119" i="22"/>
  <c r="AV161" i="22"/>
  <c r="AL138" i="22"/>
  <c r="AK138" i="22"/>
  <c r="Q344" i="22"/>
  <c r="G118" i="22"/>
  <c r="AV160" i="22"/>
  <c r="AL137" i="22"/>
  <c r="AM137" i="22" s="1"/>
  <c r="AK137" i="22"/>
  <c r="Q343" i="22"/>
  <c r="G117" i="22"/>
  <c r="AV159" i="22"/>
  <c r="AL136" i="22"/>
  <c r="AM136" i="22" s="1"/>
  <c r="AK136" i="22"/>
  <c r="AB129" i="22"/>
  <c r="AA129" i="22"/>
  <c r="AA130" i="22" s="1"/>
  <c r="Q342" i="22"/>
  <c r="G116" i="22"/>
  <c r="AV158" i="22"/>
  <c r="AL135" i="22"/>
  <c r="AK135" i="22"/>
  <c r="Q341" i="22"/>
  <c r="G115" i="22"/>
  <c r="AV157" i="22"/>
  <c r="AL134" i="22"/>
  <c r="AK134" i="22"/>
  <c r="Q340" i="22"/>
  <c r="G114" i="22"/>
  <c r="AV156" i="22"/>
  <c r="AL133" i="22"/>
  <c r="AK133" i="22"/>
  <c r="Q339" i="22"/>
  <c r="G113" i="22"/>
  <c r="AV155" i="22"/>
  <c r="Q338" i="22"/>
  <c r="G112" i="22"/>
  <c r="AV154" i="22"/>
  <c r="AF131" i="22"/>
  <c r="B14" i="22" s="1"/>
  <c r="AB124" i="22"/>
  <c r="AA124" i="22"/>
  <c r="Q337" i="22"/>
  <c r="G111" i="22"/>
  <c r="AV153" i="22"/>
  <c r="AB123" i="22"/>
  <c r="AA123" i="22"/>
  <c r="Q336" i="22"/>
  <c r="G110" i="22"/>
  <c r="AV152" i="22"/>
  <c r="AF128" i="22"/>
  <c r="Q335" i="22"/>
  <c r="G109" i="22"/>
  <c r="AV151" i="22"/>
  <c r="AL127" i="22"/>
  <c r="AK127" i="22"/>
  <c r="AK128" i="22" s="1"/>
  <c r="Q334" i="22"/>
  <c r="G108" i="22"/>
  <c r="AV150" i="22"/>
  <c r="Q333" i="22"/>
  <c r="G107" i="22"/>
  <c r="AV149" i="22"/>
  <c r="AF125" i="22"/>
  <c r="Q332" i="22"/>
  <c r="G106" i="22"/>
  <c r="AV148" i="22"/>
  <c r="AB117" i="22"/>
  <c r="AA117" i="22"/>
  <c r="AA119" i="22" s="1"/>
  <c r="Q331" i="22"/>
  <c r="G105" i="22"/>
  <c r="AV147" i="22"/>
  <c r="AF122" i="22"/>
  <c r="Q330" i="22"/>
  <c r="G104" i="22"/>
  <c r="AV146" i="22"/>
  <c r="Q329" i="22"/>
  <c r="G103" i="22"/>
  <c r="AV145" i="22"/>
  <c r="Q328" i="22"/>
  <c r="G102" i="22"/>
  <c r="AV144" i="22"/>
  <c r="AL100" i="22"/>
  <c r="AM100" i="22" s="1"/>
  <c r="AK100" i="22"/>
  <c r="Q327" i="22"/>
  <c r="G101" i="22"/>
  <c r="AV143" i="22"/>
  <c r="AL99" i="22"/>
  <c r="AM99" i="22" s="1"/>
  <c r="AK99" i="22"/>
  <c r="AA111" i="22"/>
  <c r="Q326" i="22"/>
  <c r="G100" i="22"/>
  <c r="AV142" i="22"/>
  <c r="AL98" i="22"/>
  <c r="AM98" i="22" s="1"/>
  <c r="AK98" i="22"/>
  <c r="Q325" i="22"/>
  <c r="G99" i="22"/>
  <c r="AV141" i="22"/>
  <c r="AL97" i="22"/>
  <c r="AM97" i="22" s="1"/>
  <c r="AK97" i="22"/>
  <c r="Q324" i="22"/>
  <c r="G98" i="22"/>
  <c r="AV140" i="22"/>
  <c r="AL96" i="22"/>
  <c r="AM96" i="22" s="1"/>
  <c r="AK96" i="22"/>
  <c r="Q323" i="22"/>
  <c r="G97" i="22"/>
  <c r="AV139" i="22"/>
  <c r="AL95" i="22"/>
  <c r="AM95" i="22" s="1"/>
  <c r="AK95" i="22"/>
  <c r="Q322" i="22"/>
  <c r="G96" i="22"/>
  <c r="AV138" i="22"/>
  <c r="AL94" i="22"/>
  <c r="AM94" i="22" s="1"/>
  <c r="AK94" i="22"/>
  <c r="AB106" i="22"/>
  <c r="AA106" i="22"/>
  <c r="Q321" i="22"/>
  <c r="G95" i="22"/>
  <c r="AV137" i="22"/>
  <c r="AL93" i="22"/>
  <c r="AK93" i="22"/>
  <c r="Q320" i="22"/>
  <c r="G94" i="22"/>
  <c r="AV136" i="22"/>
  <c r="AL92" i="22"/>
  <c r="AK92" i="22"/>
  <c r="V104" i="22"/>
  <c r="Q319" i="22"/>
  <c r="G93" i="22"/>
  <c r="AV135" i="22"/>
  <c r="AL91" i="22"/>
  <c r="AK91" i="22"/>
  <c r="Q318" i="22"/>
  <c r="G92" i="22"/>
  <c r="AV134" i="22"/>
  <c r="AL90" i="22"/>
  <c r="AK90" i="22"/>
  <c r="Q317" i="22"/>
  <c r="G91" i="22"/>
  <c r="AV133" i="22"/>
  <c r="AL89" i="22"/>
  <c r="AK89" i="22"/>
  <c r="V101" i="22"/>
  <c r="Q316" i="22"/>
  <c r="G90" i="22"/>
  <c r="AV132" i="22"/>
  <c r="AL88" i="22"/>
  <c r="AK88" i="22"/>
  <c r="AB100" i="22"/>
  <c r="AA100" i="22"/>
  <c r="Q315" i="22"/>
  <c r="G89" i="22"/>
  <c r="AV131" i="22"/>
  <c r="AL87" i="22"/>
  <c r="AK87" i="22"/>
  <c r="Q314" i="22"/>
  <c r="G88" i="22"/>
  <c r="AV130" i="22"/>
  <c r="AL86" i="22"/>
  <c r="AM86" i="22" s="1"/>
  <c r="AK86" i="22"/>
  <c r="V98" i="22"/>
  <c r="Q313" i="22"/>
  <c r="G87" i="22"/>
  <c r="AV129" i="22"/>
  <c r="AL85" i="22"/>
  <c r="AK85" i="22"/>
  <c r="Q312" i="22"/>
  <c r="G86" i="22"/>
  <c r="AV128" i="22"/>
  <c r="AL84" i="22"/>
  <c r="AK84" i="22"/>
  <c r="Q311" i="22"/>
  <c r="G85" i="22"/>
  <c r="AX127" i="22"/>
  <c r="AV127" i="22"/>
  <c r="AL83" i="22"/>
  <c r="AK83" i="22"/>
  <c r="V95" i="22"/>
  <c r="Q310" i="22"/>
  <c r="G84" i="22"/>
  <c r="AV126" i="22"/>
  <c r="AL82" i="22"/>
  <c r="AK82" i="22"/>
  <c r="Q309" i="22"/>
  <c r="G83" i="22"/>
  <c r="AV125" i="22"/>
  <c r="AL81" i="22"/>
  <c r="AK81" i="22"/>
  <c r="Q308" i="22"/>
  <c r="G82" i="22"/>
  <c r="AV124" i="22"/>
  <c r="AL80" i="22"/>
  <c r="AK80" i="22"/>
  <c r="Q307" i="22"/>
  <c r="G81" i="22"/>
  <c r="AV123" i="22"/>
  <c r="AL79" i="22"/>
  <c r="AK79" i="22"/>
  <c r="Q306" i="22"/>
  <c r="G80" i="22"/>
  <c r="AV122" i="22"/>
  <c r="AL78" i="22"/>
  <c r="AK78" i="22"/>
  <c r="Q305" i="22"/>
  <c r="G79" i="22"/>
  <c r="AV121" i="22"/>
  <c r="AL77" i="22"/>
  <c r="AK77" i="22"/>
  <c r="Q304" i="22"/>
  <c r="G78" i="22"/>
  <c r="AV120" i="22"/>
  <c r="AL76" i="22"/>
  <c r="AK76" i="22"/>
  <c r="Q303" i="22"/>
  <c r="G77" i="22"/>
  <c r="AV119" i="22"/>
  <c r="AL75" i="22"/>
  <c r="AK75" i="22"/>
  <c r="AB75" i="22"/>
  <c r="AC75" i="22" s="1"/>
  <c r="AA75" i="22"/>
  <c r="Q302" i="22"/>
  <c r="G76" i="22"/>
  <c r="AV118" i="22"/>
  <c r="AL74" i="22"/>
  <c r="AK74" i="22"/>
  <c r="AB74" i="22"/>
  <c r="AC74" i="22" s="1"/>
  <c r="AA74" i="22"/>
  <c r="Q301" i="22"/>
  <c r="G75" i="22"/>
  <c r="AV117" i="22"/>
  <c r="AL73" i="22"/>
  <c r="AK73" i="22"/>
  <c r="AB73" i="22"/>
  <c r="AC73" i="22" s="1"/>
  <c r="AA73" i="22"/>
  <c r="Q300" i="22"/>
  <c r="G74" i="22"/>
  <c r="AV116" i="22"/>
  <c r="AL72" i="22"/>
  <c r="AK72" i="22"/>
  <c r="AB72" i="22"/>
  <c r="AC72" i="22" s="1"/>
  <c r="AA72" i="22"/>
  <c r="Q299" i="22"/>
  <c r="G73" i="22"/>
  <c r="AV115" i="22"/>
  <c r="AL71" i="22"/>
  <c r="AK71" i="22"/>
  <c r="AB71" i="22"/>
  <c r="AC71" i="22" s="1"/>
  <c r="AA71" i="22"/>
  <c r="Q298" i="22"/>
  <c r="G72" i="22"/>
  <c r="AV114" i="22"/>
  <c r="AL70" i="22"/>
  <c r="AK70" i="22"/>
  <c r="AB70" i="22"/>
  <c r="AC70" i="22" s="1"/>
  <c r="Q297" i="22"/>
  <c r="G71" i="22"/>
  <c r="AV113" i="22"/>
  <c r="AL69" i="22"/>
  <c r="AK69" i="22"/>
  <c r="AB69" i="22"/>
  <c r="AC69" i="22" s="1"/>
  <c r="Q296" i="22"/>
  <c r="G70" i="22"/>
  <c r="AV112" i="22"/>
  <c r="AL68" i="22"/>
  <c r="AK68" i="22"/>
  <c r="AB68" i="22"/>
  <c r="AC68" i="22" s="1"/>
  <c r="G69" i="22"/>
  <c r="AV111" i="22"/>
  <c r="AL67" i="22"/>
  <c r="AK67" i="22"/>
  <c r="AB67" i="22"/>
  <c r="AC67" i="22" s="1"/>
  <c r="G68" i="22"/>
  <c r="AV110" i="22"/>
  <c r="AL66" i="22"/>
  <c r="AK66" i="22"/>
  <c r="AB66" i="22"/>
  <c r="AC66" i="22" s="1"/>
  <c r="G67" i="22"/>
  <c r="AV109" i="22"/>
  <c r="AL65" i="22"/>
  <c r="AK65" i="22"/>
  <c r="AB65" i="22"/>
  <c r="G66" i="22"/>
  <c r="AV108" i="22"/>
  <c r="AL64" i="22"/>
  <c r="AK64" i="22"/>
  <c r="AB64" i="22"/>
  <c r="G65" i="22"/>
  <c r="AV107" i="22"/>
  <c r="AL63" i="22"/>
  <c r="AK63" i="22"/>
  <c r="AB63" i="22"/>
  <c r="G64" i="22"/>
  <c r="AV106" i="22"/>
  <c r="AL62" i="22"/>
  <c r="AK62" i="22"/>
  <c r="AB62" i="22"/>
  <c r="G63" i="22"/>
  <c r="AV105" i="22"/>
  <c r="AL61" i="22"/>
  <c r="AK61" i="22"/>
  <c r="AB61" i="22"/>
  <c r="AC61" i="22" s="1"/>
  <c r="G62" i="22"/>
  <c r="AV104" i="22"/>
  <c r="AL60" i="22"/>
  <c r="AK60" i="22"/>
  <c r="AB60" i="22"/>
  <c r="G61" i="22"/>
  <c r="AV103" i="22"/>
  <c r="AL59" i="22"/>
  <c r="AK59" i="22"/>
  <c r="AB59" i="22"/>
  <c r="G60" i="22"/>
  <c r="AV102" i="22"/>
  <c r="AL58" i="22"/>
  <c r="AK58" i="22"/>
  <c r="AB58" i="22"/>
  <c r="G59" i="22"/>
  <c r="AV101" i="22"/>
  <c r="AL57" i="22"/>
  <c r="AK57" i="22"/>
  <c r="AB57" i="22"/>
  <c r="G58" i="22"/>
  <c r="AV100" i="22"/>
  <c r="AL56" i="22"/>
  <c r="AK56" i="22"/>
  <c r="AB56" i="22"/>
  <c r="G57" i="22"/>
  <c r="AV99" i="22"/>
  <c r="AL55" i="22"/>
  <c r="AK55" i="22"/>
  <c r="AB55" i="22"/>
  <c r="G56" i="22"/>
  <c r="AV98" i="22"/>
  <c r="AL54" i="22"/>
  <c r="AK54" i="22"/>
  <c r="AB54" i="22"/>
  <c r="G55" i="22"/>
  <c r="AV97" i="22"/>
  <c r="AL53" i="22"/>
  <c r="AK53" i="22"/>
  <c r="AB53" i="22"/>
  <c r="G54" i="22"/>
  <c r="AV96" i="22"/>
  <c r="AL52" i="22"/>
  <c r="AK52" i="22"/>
  <c r="AB52" i="22"/>
  <c r="Q279" i="22"/>
  <c r="G53" i="22"/>
  <c r="AV95" i="22"/>
  <c r="AL51" i="22"/>
  <c r="AK51" i="22"/>
  <c r="AB51" i="22"/>
  <c r="Q278" i="22"/>
  <c r="G52" i="22"/>
  <c r="AV94" i="22"/>
  <c r="AL50" i="22"/>
  <c r="AK50" i="22"/>
  <c r="AB50" i="22"/>
  <c r="Q277" i="22"/>
  <c r="G51" i="22"/>
  <c r="AV93" i="22"/>
  <c r="AL49" i="22"/>
  <c r="AK49" i="22"/>
  <c r="AB49" i="22"/>
  <c r="Q276" i="22"/>
  <c r="G50" i="22"/>
  <c r="AV92" i="22"/>
  <c r="AL48" i="22"/>
  <c r="AK48" i="22"/>
  <c r="AB48" i="22"/>
  <c r="Q275" i="22"/>
  <c r="G49" i="22"/>
  <c r="AV91" i="22"/>
  <c r="AL47" i="22"/>
  <c r="AK47" i="22"/>
  <c r="AB47" i="22"/>
  <c r="Q274" i="22"/>
  <c r="G48" i="22"/>
  <c r="AV90" i="22"/>
  <c r="AL46" i="22"/>
  <c r="AK46" i="22"/>
  <c r="AB46" i="22"/>
  <c r="Q273" i="22"/>
  <c r="G47" i="22"/>
  <c r="AV89" i="22"/>
  <c r="AL45" i="22"/>
  <c r="AK45" i="22"/>
  <c r="AB45" i="22"/>
  <c r="Q272" i="22"/>
  <c r="G46" i="22"/>
  <c r="AV88" i="22"/>
  <c r="AL44" i="22"/>
  <c r="AK44" i="22"/>
  <c r="AB44" i="22"/>
  <c r="Q271" i="22"/>
  <c r="G45" i="22"/>
  <c r="AV87" i="22"/>
  <c r="AL43" i="22"/>
  <c r="AK43" i="22"/>
  <c r="AB43" i="22"/>
  <c r="Q270" i="22"/>
  <c r="G44" i="22"/>
  <c r="AV86" i="22"/>
  <c r="AL42" i="22"/>
  <c r="AK42" i="22"/>
  <c r="AB42" i="22"/>
  <c r="AA42" i="22"/>
  <c r="Q269" i="22"/>
  <c r="G43" i="22"/>
  <c r="AV85" i="22"/>
  <c r="AL41" i="22"/>
  <c r="AK41" i="22"/>
  <c r="AB41" i="22"/>
  <c r="AA41" i="22"/>
  <c r="Q268" i="22"/>
  <c r="G42" i="22"/>
  <c r="AV84" i="22"/>
  <c r="AL40" i="22"/>
  <c r="AK40" i="22"/>
  <c r="AB40" i="22"/>
  <c r="AA40" i="22"/>
  <c r="Q267" i="22"/>
  <c r="G41" i="22"/>
  <c r="AV83" i="22"/>
  <c r="AL39" i="22"/>
  <c r="AK39" i="22"/>
  <c r="AB39" i="22"/>
  <c r="AA39" i="22"/>
  <c r="Q266" i="22"/>
  <c r="G40" i="22"/>
  <c r="AV82" i="22"/>
  <c r="AL38" i="22"/>
  <c r="AK38" i="22"/>
  <c r="AB38" i="22"/>
  <c r="AA38" i="22"/>
  <c r="Q265" i="22"/>
  <c r="G39" i="22"/>
  <c r="AV81" i="22"/>
  <c r="AL37" i="22"/>
  <c r="AK37" i="22"/>
  <c r="AB37" i="22"/>
  <c r="AA37" i="22"/>
  <c r="Q264" i="22"/>
  <c r="G38" i="22"/>
  <c r="AV80" i="22"/>
  <c r="AL36" i="22"/>
  <c r="AK36" i="22"/>
  <c r="AB36" i="22"/>
  <c r="AA36" i="22"/>
  <c r="Q263" i="22"/>
  <c r="G37" i="22"/>
  <c r="AV79" i="22"/>
  <c r="AL35" i="22"/>
  <c r="AK35" i="22"/>
  <c r="AB35" i="22"/>
  <c r="AA35" i="22"/>
  <c r="Q262" i="22"/>
  <c r="G36" i="22"/>
  <c r="AV78" i="22"/>
  <c r="AL34" i="22"/>
  <c r="AK34" i="22"/>
  <c r="AB34" i="22"/>
  <c r="AA34" i="22"/>
  <c r="Q261" i="22"/>
  <c r="G35" i="22"/>
  <c r="AV77" i="22"/>
  <c r="AL33" i="22"/>
  <c r="AK33" i="22"/>
  <c r="AB33" i="22"/>
  <c r="AA33" i="22"/>
  <c r="Q260" i="22"/>
  <c r="G34" i="22"/>
  <c r="AV76" i="22"/>
  <c r="AL32" i="22"/>
  <c r="AK32" i="22"/>
  <c r="AB32" i="22"/>
  <c r="AA32" i="22"/>
  <c r="Q259" i="22"/>
  <c r="G33" i="22"/>
  <c r="AW31" i="22"/>
  <c r="AV31" i="22"/>
  <c r="AL31" i="22"/>
  <c r="AK31" i="22"/>
  <c r="AB31" i="22"/>
  <c r="AA31" i="22"/>
  <c r="Q258" i="22"/>
  <c r="H31" i="22"/>
  <c r="G31" i="22"/>
  <c r="AQ29" i="22"/>
  <c r="AF29" i="22"/>
  <c r="V29" i="22"/>
  <c r="B4" i="22"/>
  <c r="B29" i="22"/>
  <c r="B127" i="13"/>
  <c r="D82" i="13"/>
  <c r="E82" i="13" s="1"/>
  <c r="B77" i="13"/>
  <c r="B73" i="13"/>
  <c r="E5" i="13"/>
  <c r="B3" i="17"/>
  <c r="C70" i="5"/>
  <c r="C68" i="5"/>
  <c r="C64" i="5"/>
  <c r="B64" i="5" s="1"/>
  <c r="C61" i="5"/>
  <c r="C60" i="5"/>
  <c r="C59" i="5"/>
  <c r="C58" i="5"/>
  <c r="B54" i="5"/>
  <c r="C54" i="5" s="1"/>
  <c r="B53" i="5"/>
  <c r="C53" i="5" s="1"/>
  <c r="C52" i="5"/>
  <c r="D81" i="13" s="1"/>
  <c r="E81" i="13" s="1"/>
  <c r="C34" i="5"/>
  <c r="C33" i="5"/>
  <c r="D20" i="2"/>
  <c r="F11" i="22" s="1"/>
  <c r="Z156" i="22" s="1"/>
  <c r="D19" i="2"/>
  <c r="F26" i="22" s="1"/>
  <c r="D18" i="2"/>
  <c r="F25" i="22" s="1"/>
  <c r="D17" i="2"/>
  <c r="F24" i="22" s="1"/>
  <c r="AU690" i="22" s="1"/>
  <c r="D16" i="2"/>
  <c r="F23" i="22" s="1"/>
  <c r="D15" i="2"/>
  <c r="F22" i="22" s="1"/>
  <c r="D14" i="2"/>
  <c r="F21" i="22" s="1"/>
  <c r="D13" i="2"/>
  <c r="F5" i="22" s="1"/>
  <c r="D12" i="2"/>
  <c r="F6" i="22" s="1"/>
  <c r="D11" i="2"/>
  <c r="F20" i="22" s="1"/>
  <c r="P2860" i="22" s="1"/>
  <c r="D10" i="2"/>
  <c r="F16" i="22" s="1"/>
  <c r="Q6" i="13"/>
  <c r="Q114" i="13"/>
  <c r="Q40" i="13"/>
  <c r="Q19" i="13"/>
  <c r="Q102" i="13"/>
  <c r="Q91" i="13"/>
  <c r="Q119" i="13"/>
  <c r="Q44" i="13"/>
  <c r="Q65" i="13"/>
  <c r="Q14" i="13"/>
  <c r="Q21" i="13"/>
  <c r="Q48" i="13"/>
  <c r="Q59" i="13"/>
  <c r="Q87" i="13"/>
  <c r="Q23" i="13"/>
  <c r="Q92" i="13"/>
  <c r="Q66" i="13"/>
  <c r="Q124" i="13"/>
  <c r="Q16" i="13"/>
  <c r="Q34" i="13"/>
  <c r="Q106" i="13"/>
  <c r="Q24" i="13"/>
  <c r="Q33" i="13"/>
  <c r="Q111" i="13"/>
  <c r="Q27" i="13"/>
  <c r="Q113" i="13"/>
  <c r="Q95" i="13"/>
  <c r="Q51" i="13"/>
  <c r="Q88" i="13"/>
  <c r="Q99" i="13"/>
  <c r="Q67" i="13"/>
  <c r="Q46" i="13"/>
  <c r="Q115" i="13"/>
  <c r="Q84" i="13"/>
  <c r="Q117" i="13"/>
  <c r="Q29" i="13"/>
  <c r="Q52" i="13"/>
  <c r="Q38" i="13"/>
  <c r="Q8" i="13"/>
  <c r="Q10" i="13"/>
  <c r="Q63" i="13"/>
  <c r="Q120" i="13"/>
  <c r="Q123" i="13"/>
  <c r="Q122" i="13"/>
  <c r="Q105" i="13"/>
  <c r="Q86" i="13"/>
  <c r="Q100" i="13"/>
  <c r="Q13" i="13"/>
  <c r="Q26" i="13"/>
  <c r="Q43" i="13"/>
  <c r="Q94" i="13"/>
  <c r="Q60" i="13"/>
  <c r="Q12" i="13"/>
  <c r="Q82" i="13"/>
  <c r="Q22" i="13"/>
  <c r="Q125" i="13"/>
  <c r="Q107" i="13"/>
  <c r="Q55" i="13"/>
  <c r="Q42" i="13"/>
  <c r="Q104" i="13"/>
  <c r="Q89" i="13"/>
  <c r="Q20" i="13"/>
  <c r="Q62" i="13"/>
  <c r="Q45" i="13"/>
  <c r="Q64" i="13"/>
  <c r="Q116" i="13"/>
  <c r="Q97" i="13"/>
  <c r="Q69" i="13"/>
  <c r="Q85" i="13"/>
  <c r="Q101" i="13"/>
  <c r="Q109" i="13"/>
  <c r="Q118" i="13"/>
  <c r="Q17" i="13"/>
  <c r="Q61" i="13"/>
  <c r="Q11" i="13"/>
  <c r="Q96" i="13"/>
  <c r="Q112" i="13"/>
  <c r="Q83" i="13"/>
  <c r="A138" i="13"/>
  <c r="Q32" i="13"/>
  <c r="Q71" i="13"/>
  <c r="Q68" i="13"/>
  <c r="Q35" i="13"/>
  <c r="Q57" i="13"/>
  <c r="Q110" i="13"/>
  <c r="Q37" i="13"/>
  <c r="Q93" i="13"/>
  <c r="Q18" i="13"/>
  <c r="Q31" i="13"/>
  <c r="Q7" i="13"/>
  <c r="Q41" i="13"/>
  <c r="Q30" i="13"/>
  <c r="Q56" i="13"/>
  <c r="Q70" i="13"/>
  <c r="Q50" i="13"/>
  <c r="Q108" i="13"/>
  <c r="Q103" i="13"/>
  <c r="Q58" i="13"/>
  <c r="Q47" i="13"/>
  <c r="Q121" i="13"/>
  <c r="Q25" i="13"/>
  <c r="Q98" i="13"/>
  <c r="Q28" i="13"/>
  <c r="Q39" i="13"/>
  <c r="Q9" i="13"/>
  <c r="Q53" i="13"/>
  <c r="Q90" i="13"/>
  <c r="Q36" i="13"/>
  <c r="Q49" i="13"/>
  <c r="Q54" i="13"/>
  <c r="Q15" i="13"/>
  <c r="AX217" i="22" l="1"/>
  <c r="S1832" i="22"/>
  <c r="S2161" i="22"/>
  <c r="S1923" i="22"/>
  <c r="S2131" i="22"/>
  <c r="S2324" i="22"/>
  <c r="S2005" i="22"/>
  <c r="S2069" i="22"/>
  <c r="AX390" i="22"/>
  <c r="S999" i="22"/>
  <c r="S1824" i="22"/>
  <c r="S1992" i="22"/>
  <c r="S2200" i="22"/>
  <c r="S2320" i="22"/>
  <c r="S1001" i="22"/>
  <c r="S1209" i="22"/>
  <c r="S2465" i="22"/>
  <c r="S947" i="22"/>
  <c r="S1915" i="22"/>
  <c r="S989" i="22"/>
  <c r="S2037" i="22"/>
  <c r="S2317" i="22"/>
  <c r="S2023" i="22"/>
  <c r="S953" i="22"/>
  <c r="S1002" i="22"/>
  <c r="S1218" i="22"/>
  <c r="S1866" i="22"/>
  <c r="S1914" i="22"/>
  <c r="S2060" i="22"/>
  <c r="S2508" i="22"/>
  <c r="S1141" i="22"/>
  <c r="S2165" i="22"/>
  <c r="S1004" i="22"/>
  <c r="S950" i="22"/>
  <c r="S2022" i="22"/>
  <c r="S1991" i="22"/>
  <c r="S2319" i="22"/>
  <c r="S2479" i="22"/>
  <c r="S1913" i="22"/>
  <c r="S938" i="22"/>
  <c r="S1003" i="22"/>
  <c r="S1355" i="22"/>
  <c r="S2021" i="22"/>
  <c r="S1990" i="22"/>
  <c r="S2150" i="22"/>
  <c r="S2318" i="22"/>
  <c r="S1063" i="22"/>
  <c r="S1343" i="22"/>
  <c r="AX311" i="22"/>
  <c r="AX331" i="22"/>
  <c r="S2129" i="22"/>
  <c r="S2145" i="22"/>
  <c r="S2481" i="22"/>
  <c r="S1210" i="22"/>
  <c r="S1858" i="22"/>
  <c r="S1906" i="22"/>
  <c r="S2115" i="22"/>
  <c r="S1988" i="22"/>
  <c r="S2028" i="22"/>
  <c r="S2052" i="22"/>
  <c r="AX308" i="22"/>
  <c r="S2117" i="22"/>
  <c r="S2157" i="22"/>
  <c r="AX247" i="22"/>
  <c r="S2014" i="22"/>
  <c r="S1207" i="22"/>
  <c r="S1983" i="22"/>
  <c r="S2191" i="22"/>
  <c r="S2471" i="22"/>
  <c r="S2168" i="22"/>
  <c r="S2529" i="22"/>
  <c r="B6" i="14"/>
  <c r="AX708" i="22"/>
  <c r="B6" i="26"/>
  <c r="B6" i="25"/>
  <c r="B6" i="29"/>
  <c r="B6" i="21"/>
  <c r="S2065" i="22"/>
  <c r="S2043" i="22"/>
  <c r="S2196" i="22"/>
  <c r="S2548" i="22"/>
  <c r="S1910" i="22"/>
  <c r="S1958" i="22"/>
  <c r="S935" i="22"/>
  <c r="S2079" i="22"/>
  <c r="S2519" i="22"/>
  <c r="S1865" i="22"/>
  <c r="S2081" i="22"/>
  <c r="S2105" i="22"/>
  <c r="S2537" i="22"/>
  <c r="S2553" i="22"/>
  <c r="S1170" i="22"/>
  <c r="S2067" i="22"/>
  <c r="S2251" i="22"/>
  <c r="S2259" i="22"/>
  <c r="S1400" i="22"/>
  <c r="S2036" i="22"/>
  <c r="S2540" i="22"/>
  <c r="F420" i="22"/>
  <c r="F419" i="22"/>
  <c r="S1869" i="22"/>
  <c r="S2045" i="22"/>
  <c r="AX707" i="22"/>
  <c r="S2182" i="22"/>
  <c r="S1903" i="22"/>
  <c r="S2511" i="22"/>
  <c r="S2551" i="22"/>
  <c r="S1242" i="22"/>
  <c r="S2066" i="22"/>
  <c r="S2258" i="22"/>
  <c r="S1411" i="22"/>
  <c r="S1419" i="22"/>
  <c r="S2035" i="22"/>
  <c r="S1868" i="22"/>
  <c r="S2197" i="22"/>
  <c r="S1902" i="22"/>
  <c r="S983" i="22"/>
  <c r="S1911" i="22"/>
  <c r="S2207" i="22"/>
  <c r="S2041" i="22"/>
  <c r="S2361" i="22"/>
  <c r="S2497" i="22"/>
  <c r="S1410" i="22"/>
  <c r="S2178" i="22"/>
  <c r="S931" i="22"/>
  <c r="S1867" i="22"/>
  <c r="S2419" i="22"/>
  <c r="S2507" i="22"/>
  <c r="S1908" i="22"/>
  <c r="S1956" i="22"/>
  <c r="S2364" i="22"/>
  <c r="S1173" i="22"/>
  <c r="S1901" i="22"/>
  <c r="S2101" i="22"/>
  <c r="S2541" i="22"/>
  <c r="S2549" i="22"/>
  <c r="S2166" i="22"/>
  <c r="S943" i="22"/>
  <c r="S1239" i="22"/>
  <c r="S1247" i="22"/>
  <c r="S1863" i="22"/>
  <c r="S993" i="22"/>
  <c r="S1409" i="22"/>
  <c r="S1417" i="22"/>
  <c r="S1905" i="22"/>
  <c r="S2545" i="22"/>
  <c r="S834" i="22"/>
  <c r="S696" i="22"/>
  <c r="S2164" i="22"/>
  <c r="S981" i="22"/>
  <c r="S2029" i="22"/>
  <c r="S1246" i="22"/>
  <c r="S2038" i="22"/>
  <c r="S2190" i="22"/>
  <c r="S2238" i="22"/>
  <c r="S991" i="22"/>
  <c r="S1167" i="22"/>
  <c r="S2359" i="22"/>
  <c r="S2495" i="22"/>
  <c r="S2010" i="22"/>
  <c r="S2034" i="22"/>
  <c r="S2482" i="22"/>
  <c r="S979" i="22"/>
  <c r="S2139" i="22"/>
  <c r="S940" i="22"/>
  <c r="S1996" i="22"/>
  <c r="S2188" i="22"/>
  <c r="S1197" i="22"/>
  <c r="S2469" i="22"/>
  <c r="AX420" i="22"/>
  <c r="S1894" i="22"/>
  <c r="S1974" i="22"/>
  <c r="S2294" i="22"/>
  <c r="S1847" i="22"/>
  <c r="S2111" i="22"/>
  <c r="S2127" i="22"/>
  <c r="S2463" i="22"/>
  <c r="S2108" i="22"/>
  <c r="S2124" i="22"/>
  <c r="S2096" i="22"/>
  <c r="S2136" i="22"/>
  <c r="S2170" i="22"/>
  <c r="S1891" i="22"/>
  <c r="S1971" i="22"/>
  <c r="AX269" i="22"/>
  <c r="S1844" i="22"/>
  <c r="S1837" i="22"/>
  <c r="S2181" i="22"/>
  <c r="S2007" i="22"/>
  <c r="S2031" i="22"/>
  <c r="S2287" i="22"/>
  <c r="S2455" i="22"/>
  <c r="S1873" i="22"/>
  <c r="S1953" i="22"/>
  <c r="S1993" i="22"/>
  <c r="S2017" i="22"/>
  <c r="AX31" i="22"/>
  <c r="S1378" i="22"/>
  <c r="S1826" i="22"/>
  <c r="S1819" i="22"/>
  <c r="S1979" i="22"/>
  <c r="S2427" i="22"/>
  <c r="S1957" i="22"/>
  <c r="S2078" i="22"/>
  <c r="S2118" i="22"/>
  <c r="S2454" i="22"/>
  <c r="S1351" i="22"/>
  <c r="S2082" i="22"/>
  <c r="S2466" i="22"/>
  <c r="S684" i="22"/>
  <c r="S939" i="22"/>
  <c r="S1875" i="22"/>
  <c r="S1955" i="22"/>
  <c r="S1995" i="22"/>
  <c r="S2019" i="22"/>
  <c r="S2163" i="22"/>
  <c r="S745" i="22"/>
  <c r="S693" i="22"/>
  <c r="S1365" i="22"/>
  <c r="S1981" i="22"/>
  <c r="S2277" i="22"/>
  <c r="S1125" i="22"/>
  <c r="S974" i="22"/>
  <c r="S990" i="22"/>
  <c r="S2110" i="22"/>
  <c r="S927" i="22"/>
  <c r="S102" i="22"/>
  <c r="S746" i="22"/>
  <c r="S1361" i="22"/>
  <c r="S1857" i="22"/>
  <c r="S1977" i="22"/>
  <c r="S2001" i="22"/>
  <c r="S2137" i="22"/>
  <c r="S2075" i="22"/>
  <c r="S2091" i="22"/>
  <c r="S2435" i="22"/>
  <c r="S2443" i="22"/>
  <c r="S1341" i="22"/>
  <c r="S1941" i="22"/>
  <c r="S685" i="22"/>
  <c r="S829" i="22"/>
  <c r="S2414" i="22"/>
  <c r="S694" i="22"/>
  <c r="S2063" i="22"/>
  <c r="S2103" i="22"/>
  <c r="S2311" i="22"/>
  <c r="S1937" i="22"/>
  <c r="S2057" i="22"/>
  <c r="S2097" i="22"/>
  <c r="S2417" i="22"/>
  <c r="S2099" i="22"/>
  <c r="S2307" i="22"/>
  <c r="S2395" i="22"/>
  <c r="S1853" i="22"/>
  <c r="S1973" i="22"/>
  <c r="S1997" i="22"/>
  <c r="S2253" i="22"/>
  <c r="AX283" i="22"/>
  <c r="S1799" i="22"/>
  <c r="S1959" i="22"/>
  <c r="S2071" i="22"/>
  <c r="S2240" i="22"/>
  <c r="S2424" i="22"/>
  <c r="AX387" i="22"/>
  <c r="S1843" i="22"/>
  <c r="S1963" i="22"/>
  <c r="S1987" i="22"/>
  <c r="S1796" i="22"/>
  <c r="AX140" i="22"/>
  <c r="AX405" i="22"/>
  <c r="AX415" i="22"/>
  <c r="S1927" i="22"/>
  <c r="S2047" i="22"/>
  <c r="S1321" i="22"/>
  <c r="S1761" i="22"/>
  <c r="S1849" i="22"/>
  <c r="S1929" i="22"/>
  <c r="S2425" i="22"/>
  <c r="S2433" i="22"/>
  <c r="S937" i="22"/>
  <c r="S986" i="22"/>
  <c r="S1122" i="22"/>
  <c r="S2090" i="22"/>
  <c r="S2314" i="22"/>
  <c r="AX272" i="22"/>
  <c r="S988" i="22"/>
  <c r="S1188" i="22"/>
  <c r="S2092" i="22"/>
  <c r="S2428" i="22"/>
  <c r="S1373" i="22"/>
  <c r="S1933" i="22"/>
  <c r="AX137" i="22"/>
  <c r="S749" i="22"/>
  <c r="S934" i="22"/>
  <c r="S1982" i="22"/>
  <c r="S2006" i="22"/>
  <c r="S2062" i="22"/>
  <c r="S2094" i="22"/>
  <c r="S2422" i="22"/>
  <c r="S1191" i="22"/>
  <c r="S1967" i="22"/>
  <c r="S2143" i="22"/>
  <c r="S2151" i="22"/>
  <c r="S2439" i="22"/>
  <c r="S2418" i="22"/>
  <c r="S825" i="22"/>
  <c r="S929" i="22"/>
  <c r="S1337" i="22"/>
  <c r="S1753" i="22"/>
  <c r="S1841" i="22"/>
  <c r="S2089" i="22"/>
  <c r="S2385" i="22"/>
  <c r="S978" i="22"/>
  <c r="S1178" i="22"/>
  <c r="S1186" i="22"/>
  <c r="S1922" i="22"/>
  <c r="S1962" i="22"/>
  <c r="S1986" i="22"/>
  <c r="S690" i="22"/>
  <c r="S742" i="22"/>
  <c r="S915" i="22"/>
  <c r="S2123" i="22"/>
  <c r="S2243" i="22"/>
  <c r="S99" i="22"/>
  <c r="S964" i="22"/>
  <c r="S980" i="22"/>
  <c r="S1324" i="22"/>
  <c r="S1948" i="22"/>
  <c r="S681" i="22"/>
  <c r="S1037" i="22"/>
  <c r="S1357" i="22"/>
  <c r="S1749" i="22"/>
  <c r="S2061" i="22"/>
  <c r="S2077" i="22"/>
  <c r="S1926" i="22"/>
  <c r="S2126" i="22"/>
  <c r="S2134" i="22"/>
  <c r="S1183" i="22"/>
  <c r="S2087" i="22"/>
  <c r="AX88" i="22"/>
  <c r="S1744" i="22"/>
  <c r="S692" i="22"/>
  <c r="S921" i="22"/>
  <c r="S1041" i="22"/>
  <c r="S1113" i="22"/>
  <c r="S1329" i="22"/>
  <c r="S1785" i="22"/>
  <c r="S1354" i="22"/>
  <c r="S1778" i="22"/>
  <c r="S2074" i="22"/>
  <c r="S2122" i="22"/>
  <c r="S2394" i="22"/>
  <c r="S827" i="22"/>
  <c r="S2059" i="22"/>
  <c r="S1740" i="22"/>
  <c r="S1916" i="22"/>
  <c r="S1964" i="22"/>
  <c r="S2044" i="22"/>
  <c r="S2076" i="22"/>
  <c r="S2476" i="22"/>
  <c r="S64" i="22"/>
  <c r="S101" i="22"/>
  <c r="S1949" i="22"/>
  <c r="S1989" i="22"/>
  <c r="S2125" i="22"/>
  <c r="S2133" i="22"/>
  <c r="S984" i="22"/>
  <c r="S683" i="22"/>
  <c r="S830" i="22"/>
  <c r="S982" i="22"/>
  <c r="S2046" i="22"/>
  <c r="S2086" i="22"/>
  <c r="S2239" i="22"/>
  <c r="S2423" i="22"/>
  <c r="S31" i="22"/>
  <c r="C22" i="9"/>
  <c r="J22" i="9"/>
  <c r="I154" i="22"/>
  <c r="I156" i="22"/>
  <c r="I158" i="22"/>
  <c r="I155" i="22"/>
  <c r="C10" i="9"/>
  <c r="J10" i="9"/>
  <c r="C32" i="9"/>
  <c r="J32" i="9"/>
  <c r="J86" i="9"/>
  <c r="J97" i="9"/>
  <c r="J124" i="9"/>
  <c r="J135" i="9"/>
  <c r="J143" i="9"/>
  <c r="J151" i="9"/>
  <c r="J173" i="9"/>
  <c r="J181" i="9"/>
  <c r="J209" i="9"/>
  <c r="J216" i="9"/>
  <c r="J224" i="9"/>
  <c r="J11" i="9"/>
  <c r="J33" i="9"/>
  <c r="J125" i="9"/>
  <c r="J136" i="9"/>
  <c r="J144" i="9"/>
  <c r="J152" i="9"/>
  <c r="J174" i="9"/>
  <c r="J182" i="9"/>
  <c r="J217" i="9"/>
  <c r="J225" i="9"/>
  <c r="J12" i="9"/>
  <c r="C34" i="9"/>
  <c r="J34" i="9"/>
  <c r="C118" i="9"/>
  <c r="J118" i="9"/>
  <c r="J126" i="9"/>
  <c r="J137" i="9"/>
  <c r="J145" i="9"/>
  <c r="J153" i="9"/>
  <c r="J175" i="9"/>
  <c r="J183" i="9"/>
  <c r="J210" i="9"/>
  <c r="J218" i="9"/>
  <c r="C13" i="9"/>
  <c r="J13" i="9"/>
  <c r="C35" i="9"/>
  <c r="J35" i="9"/>
  <c r="J82" i="9"/>
  <c r="J93" i="9"/>
  <c r="C107" i="9"/>
  <c r="J107" i="9"/>
  <c r="C127" i="9"/>
  <c r="J127" i="9"/>
  <c r="J138" i="9"/>
  <c r="J146" i="9"/>
  <c r="J176" i="9"/>
  <c r="J184" i="9"/>
  <c r="J211" i="9"/>
  <c r="J219" i="9"/>
  <c r="C6" i="9"/>
  <c r="J6" i="9"/>
  <c r="C14" i="9"/>
  <c r="J14" i="9"/>
  <c r="J36" i="9"/>
  <c r="C108" i="9"/>
  <c r="J108" i="9"/>
  <c r="J119" i="9"/>
  <c r="J139" i="9"/>
  <c r="J147" i="9"/>
  <c r="J177" i="9"/>
  <c r="J185" i="9"/>
  <c r="J212" i="9"/>
  <c r="J220" i="9"/>
  <c r="J7" i="9"/>
  <c r="J15" i="9"/>
  <c r="C83" i="9"/>
  <c r="J83" i="9"/>
  <c r="J94" i="9"/>
  <c r="J109" i="9"/>
  <c r="C120" i="9"/>
  <c r="J120" i="9"/>
  <c r="J140" i="9"/>
  <c r="J148" i="9"/>
  <c r="J170" i="9"/>
  <c r="J178" i="9"/>
  <c r="J186" i="9"/>
  <c r="J213" i="9"/>
  <c r="J221" i="9"/>
  <c r="J8" i="9"/>
  <c r="C31" i="9"/>
  <c r="J31" i="9"/>
  <c r="C84" i="9"/>
  <c r="J84" i="9"/>
  <c r="J95" i="9"/>
  <c r="C110" i="9"/>
  <c r="J110" i="9"/>
  <c r="J134" i="9"/>
  <c r="J141" i="9"/>
  <c r="J149" i="9"/>
  <c r="J171" i="9"/>
  <c r="J179" i="9"/>
  <c r="J214" i="9"/>
  <c r="J222" i="9"/>
  <c r="C9" i="9"/>
  <c r="J9" i="9"/>
  <c r="C85" i="9"/>
  <c r="J85" i="9"/>
  <c r="J96" i="9"/>
  <c r="J111" i="9"/>
  <c r="C123" i="9"/>
  <c r="J123" i="9"/>
  <c r="J142" i="9"/>
  <c r="J150" i="9"/>
  <c r="J172" i="9"/>
  <c r="J180" i="9"/>
  <c r="J215" i="9"/>
  <c r="J223" i="9"/>
  <c r="S2449" i="22"/>
  <c r="AX459" i="22"/>
  <c r="S2488" i="22"/>
  <c r="S2363" i="22"/>
  <c r="S2387" i="22"/>
  <c r="S2478" i="22"/>
  <c r="S2327" i="22"/>
  <c r="S2447" i="22"/>
  <c r="S2322" i="22"/>
  <c r="J11" i="20"/>
  <c r="J33" i="20"/>
  <c r="J139" i="20"/>
  <c r="J147" i="20"/>
  <c r="J176" i="20"/>
  <c r="J184" i="20"/>
  <c r="C211" i="20"/>
  <c r="J211" i="20"/>
  <c r="J219" i="20"/>
  <c r="J12" i="20"/>
  <c r="C23" i="20"/>
  <c r="J23" i="20"/>
  <c r="J34" i="20"/>
  <c r="C108" i="20"/>
  <c r="J108" i="20"/>
  <c r="J119" i="20"/>
  <c r="J140" i="20"/>
  <c r="J148" i="20"/>
  <c r="J170" i="20"/>
  <c r="J177" i="20"/>
  <c r="J185" i="20"/>
  <c r="C212" i="20"/>
  <c r="J212" i="20"/>
  <c r="J220" i="20"/>
  <c r="C6" i="20"/>
  <c r="J6" i="20"/>
  <c r="C13" i="20"/>
  <c r="J13" i="20"/>
  <c r="J24" i="20"/>
  <c r="J35" i="20"/>
  <c r="J82" i="20"/>
  <c r="C109" i="20"/>
  <c r="J109" i="20"/>
  <c r="J120" i="20"/>
  <c r="J134" i="20"/>
  <c r="J141" i="20"/>
  <c r="J149" i="20"/>
  <c r="C178" i="20"/>
  <c r="J178" i="20"/>
  <c r="J186" i="20"/>
  <c r="J213" i="20"/>
  <c r="J221" i="20"/>
  <c r="C14" i="20"/>
  <c r="J14" i="20"/>
  <c r="C36" i="20"/>
  <c r="J36" i="20"/>
  <c r="J110" i="20"/>
  <c r="J123" i="20"/>
  <c r="J142" i="20"/>
  <c r="J150" i="20"/>
  <c r="J171" i="20"/>
  <c r="C179" i="20"/>
  <c r="J179" i="20"/>
  <c r="J214" i="20"/>
  <c r="J222" i="20"/>
  <c r="J7" i="20"/>
  <c r="J15" i="20"/>
  <c r="C83" i="20"/>
  <c r="J83" i="20"/>
  <c r="C111" i="20"/>
  <c r="J111" i="20"/>
  <c r="J124" i="20"/>
  <c r="J135" i="20"/>
  <c r="J143" i="20"/>
  <c r="J151" i="20"/>
  <c r="J172" i="20"/>
  <c r="C180" i="20"/>
  <c r="J180" i="20"/>
  <c r="J215" i="20"/>
  <c r="C223" i="20"/>
  <c r="J223" i="20"/>
  <c r="C8" i="20"/>
  <c r="J8" i="20"/>
  <c r="C31" i="20"/>
  <c r="J31" i="20"/>
  <c r="C84" i="20"/>
  <c r="J84" i="20"/>
  <c r="J125" i="20"/>
  <c r="J136" i="20"/>
  <c r="J144" i="20"/>
  <c r="J152" i="20"/>
  <c r="J173" i="20"/>
  <c r="J181" i="20"/>
  <c r="J209" i="20"/>
  <c r="J216" i="20"/>
  <c r="C224" i="20"/>
  <c r="J224" i="20"/>
  <c r="C9" i="20"/>
  <c r="J9" i="20"/>
  <c r="J85" i="20"/>
  <c r="C126" i="20"/>
  <c r="J126" i="20"/>
  <c r="J137" i="20"/>
  <c r="J145" i="20"/>
  <c r="J153" i="20"/>
  <c r="C174" i="20"/>
  <c r="J174" i="20"/>
  <c r="C182" i="20"/>
  <c r="J182" i="20"/>
  <c r="C217" i="20"/>
  <c r="J217" i="20"/>
  <c r="J225" i="20"/>
  <c r="C10" i="20"/>
  <c r="J10" i="20"/>
  <c r="C22" i="20"/>
  <c r="J22" i="20"/>
  <c r="J32" i="20"/>
  <c r="J86" i="20"/>
  <c r="C107" i="20"/>
  <c r="J107" i="20"/>
  <c r="C118" i="20"/>
  <c r="J118" i="20"/>
  <c r="C127" i="20"/>
  <c r="J127" i="20"/>
  <c r="J138" i="20"/>
  <c r="J146" i="20"/>
  <c r="C175" i="20"/>
  <c r="J175" i="20"/>
  <c r="J183" i="20"/>
  <c r="J210" i="20"/>
  <c r="J218" i="20"/>
  <c r="S711" i="22"/>
  <c r="S1026" i="22"/>
  <c r="S1514" i="22"/>
  <c r="S2362" i="22"/>
  <c r="S2386" i="22"/>
  <c r="S987" i="22"/>
  <c r="S2187" i="22"/>
  <c r="F268" i="22"/>
  <c r="F266" i="22"/>
  <c r="F269" i="22"/>
  <c r="F267" i="22"/>
  <c r="F265" i="22"/>
  <c r="S1277" i="22"/>
  <c r="S1293" i="22"/>
  <c r="S1509" i="22"/>
  <c r="S1653" i="22"/>
  <c r="S2149" i="22"/>
  <c r="AX492" i="22"/>
  <c r="S733" i="22"/>
  <c r="S1061" i="22"/>
  <c r="S87" i="22"/>
  <c r="S94" i="22"/>
  <c r="S1022" i="22"/>
  <c r="S1406" i="22"/>
  <c r="S1678" i="22"/>
  <c r="AX423" i="22"/>
  <c r="S977" i="22"/>
  <c r="S1665" i="22"/>
  <c r="S2153" i="22"/>
  <c r="S2697" i="22"/>
  <c r="C42" i="8"/>
  <c r="AX245" i="22"/>
  <c r="S1487" i="22"/>
  <c r="AX320" i="22"/>
  <c r="S895" i="22"/>
  <c r="S729" i="22"/>
  <c r="S985" i="22"/>
  <c r="S1673" i="22"/>
  <c r="S1713" i="22"/>
  <c r="AX306" i="22"/>
  <c r="S1034" i="22"/>
  <c r="S1442" i="22"/>
  <c r="S1706" i="22"/>
  <c r="AX421" i="22"/>
  <c r="S720" i="22"/>
  <c r="S1075" i="22"/>
  <c r="S1291" i="22"/>
  <c r="AX256" i="22"/>
  <c r="AX400" i="22"/>
  <c r="S892" i="22"/>
  <c r="S1420" i="22"/>
  <c r="S1285" i="22"/>
  <c r="S1301" i="22"/>
  <c r="S1517" i="22"/>
  <c r="S1661" i="22"/>
  <c r="S1069" i="22"/>
  <c r="S1077" i="22"/>
  <c r="S96" i="22"/>
  <c r="S1134" i="22"/>
  <c r="S1270" i="22"/>
  <c r="S2328" i="22"/>
  <c r="S2368" i="22"/>
  <c r="S2448" i="22"/>
  <c r="S1304" i="22"/>
  <c r="S2354" i="22"/>
  <c r="S996" i="22"/>
  <c r="S1043" i="22"/>
  <c r="S1283" i="22"/>
  <c r="S2159" i="22"/>
  <c r="S1344" i="22"/>
  <c r="S1008" i="22"/>
  <c r="S2353" i="22"/>
  <c r="S732" i="22"/>
  <c r="AJ158" i="22"/>
  <c r="F312" i="22"/>
  <c r="P2896" i="22"/>
  <c r="S998" i="22"/>
  <c r="S1082" i="22"/>
  <c r="S1298" i="22"/>
  <c r="S819" i="22"/>
  <c r="S1047" i="22"/>
  <c r="S1455" i="22"/>
  <c r="S1719" i="22"/>
  <c r="S2523" i="22"/>
  <c r="S2248" i="22"/>
  <c r="S2332" i="22"/>
  <c r="S2392" i="22"/>
  <c r="S2201" i="22"/>
  <c r="S1674" i="22"/>
  <c r="S1147" i="22"/>
  <c r="S1219" i="22"/>
  <c r="S1699" i="22"/>
  <c r="S2155" i="22"/>
  <c r="S2193" i="22"/>
  <c r="S108" i="22"/>
  <c r="S109" i="22"/>
  <c r="S741" i="22"/>
  <c r="S994" i="22"/>
  <c r="S1090" i="22"/>
  <c r="S2446" i="22"/>
  <c r="S1094" i="22"/>
  <c r="S2487" i="22"/>
  <c r="S1326" i="22"/>
  <c r="S1686" i="22"/>
  <c r="S2167" i="22"/>
  <c r="S120" i="22"/>
  <c r="S765" i="22"/>
  <c r="S1006" i="22"/>
  <c r="S1723" i="22"/>
  <c r="S1731" i="22"/>
  <c r="AX472" i="22"/>
  <c r="S753" i="22"/>
  <c r="S916" i="22"/>
  <c r="S1316" i="22"/>
  <c r="AX145" i="22"/>
  <c r="AX215" i="22"/>
  <c r="AX275" i="22"/>
  <c r="AX499" i="22"/>
  <c r="AX523" i="22"/>
  <c r="S1445" i="22"/>
  <c r="S1461" i="22"/>
  <c r="S831" i="22"/>
  <c r="S919" i="22"/>
  <c r="AX276" i="22"/>
  <c r="S1352" i="22"/>
  <c r="S1512" i="22"/>
  <c r="AX113" i="22"/>
  <c r="AX307" i="22"/>
  <c r="AX446" i="22"/>
  <c r="S1295" i="22"/>
  <c r="S1711" i="22"/>
  <c r="AX436" i="22"/>
  <c r="AX325" i="22"/>
  <c r="S744" i="22"/>
  <c r="S1698" i="22"/>
  <c r="S1360" i="22"/>
  <c r="S1401" i="22"/>
  <c r="S1465" i="22"/>
  <c r="S1024" i="22"/>
  <c r="S757" i="22"/>
  <c r="S1098" i="22"/>
  <c r="S1314" i="22"/>
  <c r="S1330" i="22"/>
  <c r="S1434" i="22"/>
  <c r="S1690" i="22"/>
  <c r="AX277" i="22"/>
  <c r="S835" i="22"/>
  <c r="S923" i="22"/>
  <c r="S1059" i="22"/>
  <c r="S1163" i="22"/>
  <c r="S1235" i="22"/>
  <c r="S1299" i="22"/>
  <c r="S1715" i="22"/>
  <c r="S2211" i="22"/>
  <c r="S748" i="22"/>
  <c r="S124" i="22"/>
  <c r="AX178" i="22"/>
  <c r="S1702" i="22"/>
  <c r="S751" i="22"/>
  <c r="AX309" i="22"/>
  <c r="S2473" i="22"/>
  <c r="S2651" i="22"/>
  <c r="AX147" i="22"/>
  <c r="S1066" i="22"/>
  <c r="S1554" i="22"/>
  <c r="S2458" i="22"/>
  <c r="S2538" i="22"/>
  <c r="S2546" i="22"/>
  <c r="AX116" i="22"/>
  <c r="S1363" i="22"/>
  <c r="S2260" i="22"/>
  <c r="S2340" i="22"/>
  <c r="S2404" i="22"/>
  <c r="S2344" i="22"/>
  <c r="S2171" i="22"/>
  <c r="S1317" i="22"/>
  <c r="S1333" i="22"/>
  <c r="S1693" i="22"/>
  <c r="S2205" i="22"/>
  <c r="S2365" i="22"/>
  <c r="S2501" i="22"/>
  <c r="S2379" i="22"/>
  <c r="F270" i="22"/>
  <c r="F271" i="22"/>
  <c r="S772" i="22"/>
  <c r="S127" i="22"/>
  <c r="S130" i="22"/>
  <c r="S128" i="22"/>
  <c r="S142" i="22"/>
  <c r="S134" i="22"/>
  <c r="S141" i="22"/>
  <c r="S926" i="22"/>
  <c r="S1062" i="22"/>
  <c r="S1166" i="22"/>
  <c r="S1238" i="22"/>
  <c r="S1718" i="22"/>
  <c r="S944" i="22"/>
  <c r="S2464" i="22"/>
  <c r="AX373" i="22"/>
  <c r="S1722" i="22"/>
  <c r="AX435" i="22"/>
  <c r="S1035" i="22"/>
  <c r="S1491" i="22"/>
  <c r="S1747" i="22"/>
  <c r="S1755" i="22"/>
  <c r="AX449" i="22"/>
  <c r="AX460" i="22"/>
  <c r="S856" i="22"/>
  <c r="S1536" i="22"/>
  <c r="AX148" i="22"/>
  <c r="AX68" i="22"/>
  <c r="AX67" i="22"/>
  <c r="S769" i="22"/>
  <c r="S1340" i="22"/>
  <c r="S1380" i="22"/>
  <c r="S2384" i="22"/>
  <c r="AX293" i="22"/>
  <c r="AX341" i="22"/>
  <c r="AX503" i="22"/>
  <c r="S1045" i="22"/>
  <c r="AX404" i="22"/>
  <c r="AX425" i="22"/>
  <c r="S941" i="22"/>
  <c r="S152" i="22"/>
  <c r="S149" i="22"/>
  <c r="AX278" i="22"/>
  <c r="AX310" i="22"/>
  <c r="AX342" i="22"/>
  <c r="S778" i="22"/>
  <c r="S1334" i="22"/>
  <c r="S1454" i="22"/>
  <c r="S1534" i="22"/>
  <c r="S1710" i="22"/>
  <c r="AX399" i="22"/>
  <c r="S791" i="22"/>
  <c r="S1055" i="22"/>
  <c r="S1583" i="22"/>
  <c r="S2655" i="22"/>
  <c r="S1058" i="22"/>
  <c r="S1346" i="22"/>
  <c r="S1362" i="22"/>
  <c r="S1466" i="22"/>
  <c r="S1546" i="22"/>
  <c r="S782" i="22"/>
  <c r="S803" i="22"/>
  <c r="S1139" i="22"/>
  <c r="S1267" i="22"/>
  <c r="S1331" i="22"/>
  <c r="S1475" i="22"/>
  <c r="S869" i="22"/>
  <c r="S1093" i="22"/>
  <c r="S1765" i="22"/>
  <c r="S2477" i="22"/>
  <c r="S957" i="22"/>
  <c r="S162" i="22"/>
  <c r="AX441" i="22"/>
  <c r="S1385" i="22"/>
  <c r="S2169" i="22"/>
  <c r="S2652" i="22"/>
  <c r="S1328" i="22"/>
  <c r="S1138" i="22"/>
  <c r="S2346" i="22"/>
  <c r="S2474" i="22"/>
  <c r="AX312" i="22"/>
  <c r="S1264" i="22"/>
  <c r="AX295" i="22"/>
  <c r="AX375" i="22"/>
  <c r="AX427" i="22"/>
  <c r="S2547" i="22"/>
  <c r="AX119" i="22"/>
  <c r="S1092" i="22"/>
  <c r="S1500" i="22"/>
  <c r="S1349" i="22"/>
  <c r="S2173" i="22"/>
  <c r="S2461" i="22"/>
  <c r="AX151" i="22"/>
  <c r="AX437" i="22"/>
  <c r="AX326" i="22"/>
  <c r="AX374" i="22"/>
  <c r="S1742" i="22"/>
  <c r="S2262" i="22"/>
  <c r="S2342" i="22"/>
  <c r="S1042" i="22"/>
  <c r="S779" i="22"/>
  <c r="S951" i="22"/>
  <c r="S954" i="22"/>
  <c r="S160" i="22"/>
  <c r="AX379" i="22"/>
  <c r="S1095" i="22"/>
  <c r="S1263" i="22"/>
  <c r="S1327" i="22"/>
  <c r="S1471" i="22"/>
  <c r="S1591" i="22"/>
  <c r="S1129" i="22"/>
  <c r="AX89" i="22"/>
  <c r="AX91" i="22"/>
  <c r="S1056" i="22"/>
  <c r="S1720" i="22"/>
  <c r="S867" i="22"/>
  <c r="S955" i="22"/>
  <c r="S1499" i="22"/>
  <c r="S1579" i="22"/>
  <c r="AX222" i="22"/>
  <c r="S801" i="22"/>
  <c r="AX364" i="22"/>
  <c r="S1044" i="22"/>
  <c r="S1348" i="22"/>
  <c r="S1388" i="22"/>
  <c r="S1732" i="22"/>
  <c r="AX253" i="22"/>
  <c r="S1477" i="22"/>
  <c r="S1493" i="22"/>
  <c r="S1773" i="22"/>
  <c r="AX328" i="22"/>
  <c r="AX401" i="22"/>
  <c r="AX377" i="22"/>
  <c r="S789" i="22"/>
  <c r="S172" i="22"/>
  <c r="S168" i="22"/>
  <c r="S161" i="22"/>
  <c r="AX242" i="22"/>
  <c r="S1046" i="22"/>
  <c r="S1342" i="22"/>
  <c r="S1462" i="22"/>
  <c r="S1574" i="22"/>
  <c r="S1766" i="22"/>
  <c r="S788" i="22"/>
  <c r="S797" i="22"/>
  <c r="S180" i="22"/>
  <c r="AX329" i="22"/>
  <c r="AX347" i="22"/>
  <c r="S1143" i="22"/>
  <c r="S1479" i="22"/>
  <c r="S1599" i="22"/>
  <c r="S2503" i="22"/>
  <c r="S2216" i="22"/>
  <c r="AX223" i="22"/>
  <c r="S1437" i="22"/>
  <c r="S1485" i="22"/>
  <c r="S1200" i="22"/>
  <c r="S2176" i="22"/>
  <c r="S1064" i="22"/>
  <c r="S1137" i="22"/>
  <c r="S1145" i="22"/>
  <c r="AX254" i="22"/>
  <c r="AX298" i="22"/>
  <c r="S1738" i="22"/>
  <c r="S2218" i="22"/>
  <c r="S799" i="22"/>
  <c r="S1271" i="22"/>
  <c r="S1552" i="22"/>
  <c r="AX365" i="22"/>
  <c r="AX243" i="22"/>
  <c r="S811" i="22"/>
  <c r="S875" i="22"/>
  <c r="S963" i="22"/>
  <c r="S1587" i="22"/>
  <c r="S2539" i="22"/>
  <c r="AX452" i="22"/>
  <c r="S1052" i="22"/>
  <c r="S1356" i="22"/>
  <c r="S1396" i="22"/>
  <c r="S2172" i="22"/>
  <c r="S2460" i="22"/>
  <c r="S184" i="22"/>
  <c r="S182" i="22"/>
  <c r="AX258" i="22"/>
  <c r="S790" i="22"/>
  <c r="S1054" i="22"/>
  <c r="S1350" i="22"/>
  <c r="S1470" i="22"/>
  <c r="S1582" i="22"/>
  <c r="S1726" i="22"/>
  <c r="AX244" i="22"/>
  <c r="S793" i="22"/>
  <c r="S1057" i="22"/>
  <c r="S1353" i="22"/>
  <c r="S1369" i="22"/>
  <c r="AX224" i="22"/>
  <c r="AX378" i="22"/>
  <c r="S802" i="22"/>
  <c r="S1106" i="22"/>
  <c r="S1274" i="22"/>
  <c r="S1602" i="22"/>
  <c r="AX232" i="22"/>
  <c r="S1148" i="22"/>
  <c r="S1067" i="22"/>
  <c r="S186" i="22"/>
  <c r="S185" i="22"/>
  <c r="S814" i="22"/>
  <c r="S966" i="22"/>
  <c r="C49" i="5"/>
  <c r="S1208" i="22"/>
  <c r="S1488" i="22"/>
  <c r="AX257" i="22"/>
  <c r="AX409" i="22"/>
  <c r="S809" i="22"/>
  <c r="S969" i="22"/>
  <c r="S1073" i="22"/>
  <c r="S1473" i="22"/>
  <c r="S1585" i="22"/>
  <c r="S1729" i="22"/>
  <c r="S2345" i="22"/>
  <c r="S2659" i="22"/>
  <c r="S1154" i="22"/>
  <c r="S820" i="22"/>
  <c r="S972" i="22"/>
  <c r="S1364" i="22"/>
  <c r="S2268" i="22"/>
  <c r="AX214" i="22"/>
  <c r="AX476" i="22"/>
  <c r="S800" i="22"/>
  <c r="S1112" i="22"/>
  <c r="AX246" i="22"/>
  <c r="S1754" i="22"/>
  <c r="S2179" i="22"/>
  <c r="S2475" i="22"/>
  <c r="AX71" i="22"/>
  <c r="AX69" i="22"/>
  <c r="AX284" i="22"/>
  <c r="AX429" i="22"/>
  <c r="S1741" i="22"/>
  <c r="S2221" i="22"/>
  <c r="S2349" i="22"/>
  <c r="AX268" i="22"/>
  <c r="S2370" i="22"/>
  <c r="AX525" i="22"/>
  <c r="AX261" i="22"/>
  <c r="S192" i="22"/>
  <c r="AX85" i="22"/>
  <c r="S1070" i="22"/>
  <c r="S1358" i="22"/>
  <c r="S1590" i="22"/>
  <c r="S2382" i="22"/>
  <c r="S2462" i="22"/>
  <c r="S2542" i="22"/>
  <c r="S2550" i="22"/>
  <c r="S823" i="22"/>
  <c r="S1135" i="22"/>
  <c r="S1231" i="22"/>
  <c r="S1463" i="22"/>
  <c r="S1511" i="22"/>
  <c r="S1496" i="22"/>
  <c r="S1752" i="22"/>
  <c r="S1096" i="22"/>
  <c r="S1177" i="22"/>
  <c r="S1505" i="22"/>
  <c r="S2393" i="22"/>
  <c r="S2682" i="22"/>
  <c r="S2202" i="22"/>
  <c r="S2498" i="22"/>
  <c r="S2514" i="22"/>
  <c r="S843" i="22"/>
  <c r="S907" i="22"/>
  <c r="S995" i="22"/>
  <c r="S1131" i="22"/>
  <c r="S2291" i="22"/>
  <c r="S1084" i="22"/>
  <c r="S1764" i="22"/>
  <c r="S2236" i="22"/>
  <c r="S1381" i="22"/>
  <c r="S2405" i="22"/>
  <c r="S2565" i="22"/>
  <c r="S832" i="22"/>
  <c r="S193" i="22"/>
  <c r="S1086" i="22"/>
  <c r="S1302" i="22"/>
  <c r="S1366" i="22"/>
  <c r="S1422" i="22"/>
  <c r="S1790" i="22"/>
  <c r="S2198" i="22"/>
  <c r="S2430" i="22"/>
  <c r="AX381" i="22"/>
  <c r="AX479" i="22"/>
  <c r="S1089" i="22"/>
  <c r="S2241" i="22"/>
  <c r="S2249" i="22"/>
  <c r="S2521" i="22"/>
  <c r="S2689" i="22"/>
  <c r="S1000" i="22"/>
  <c r="S1392" i="22"/>
  <c r="AX354" i="22"/>
  <c r="AX406" i="22"/>
  <c r="AX466" i="22"/>
  <c r="S1386" i="22"/>
  <c r="S1538" i="22"/>
  <c r="S1618" i="22"/>
  <c r="AX188" i="22"/>
  <c r="AX456" i="22"/>
  <c r="AX469" i="22"/>
  <c r="S1091" i="22"/>
  <c r="S1307" i="22"/>
  <c r="S1371" i="22"/>
  <c r="S1427" i="22"/>
  <c r="S1803" i="22"/>
  <c r="S912" i="22"/>
  <c r="I153" i="22"/>
  <c r="AX432" i="22"/>
  <c r="AX480" i="22"/>
  <c r="AX504" i="22"/>
  <c r="S828" i="22"/>
  <c r="S1140" i="22"/>
  <c r="S1180" i="22"/>
  <c r="S1236" i="22"/>
  <c r="S1468" i="22"/>
  <c r="S1532" i="22"/>
  <c r="S2580" i="22"/>
  <c r="AX412" i="22"/>
  <c r="AX483" i="22"/>
  <c r="S837" i="22"/>
  <c r="S997" i="22"/>
  <c r="S1613" i="22"/>
  <c r="S2373" i="22"/>
  <c r="S2437" i="22"/>
  <c r="AX337" i="22"/>
  <c r="S203" i="22"/>
  <c r="S209" i="22"/>
  <c r="AX199" i="22"/>
  <c r="AX234" i="22"/>
  <c r="AX350" i="22"/>
  <c r="S1174" i="22"/>
  <c r="S1182" i="22"/>
  <c r="S1510" i="22"/>
  <c r="S2398" i="22"/>
  <c r="S1103" i="22"/>
  <c r="S1319" i="22"/>
  <c r="S1383" i="22"/>
  <c r="S1527" i="22"/>
  <c r="AX207" i="22"/>
  <c r="AX349" i="22"/>
  <c r="AX357" i="22"/>
  <c r="S1249" i="22"/>
  <c r="S1793" i="22"/>
  <c r="S1594" i="22"/>
  <c r="AX216" i="22"/>
  <c r="AX233" i="22"/>
  <c r="AX259" i="22"/>
  <c r="AX359" i="22"/>
  <c r="AX332" i="22"/>
  <c r="AX380" i="22"/>
  <c r="S844" i="22"/>
  <c r="S1196" i="22"/>
  <c r="S1404" i="22"/>
  <c r="S1644" i="22"/>
  <c r="S1780" i="22"/>
  <c r="S928" i="22"/>
  <c r="AX301" i="22"/>
  <c r="AX507" i="22"/>
  <c r="S1013" i="22"/>
  <c r="S1117" i="22"/>
  <c r="S1549" i="22"/>
  <c r="S1629" i="22"/>
  <c r="S219" i="22"/>
  <c r="AX270" i="22"/>
  <c r="AX410" i="22"/>
  <c r="AX478" i="22"/>
  <c r="AX502" i="22"/>
  <c r="S1198" i="22"/>
  <c r="S1414" i="22"/>
  <c r="S1806" i="22"/>
  <c r="S1814" i="22"/>
  <c r="S2506" i="22"/>
  <c r="AM93" i="22"/>
  <c r="AM85" i="22"/>
  <c r="S848" i="22"/>
  <c r="S2493" i="22"/>
  <c r="AM35" i="22"/>
  <c r="S857" i="22"/>
  <c r="S223" i="22"/>
  <c r="S847" i="22"/>
  <c r="S1007" i="22"/>
  <c r="S1623" i="22"/>
  <c r="S2199" i="22"/>
  <c r="S2367" i="22"/>
  <c r="S2431" i="22"/>
  <c r="S1097" i="22"/>
  <c r="S1377" i="22"/>
  <c r="S1433" i="22"/>
  <c r="S1521" i="22"/>
  <c r="S1537" i="22"/>
  <c r="S858" i="22"/>
  <c r="S922" i="22"/>
  <c r="S1010" i="22"/>
  <c r="S1474" i="22"/>
  <c r="S1506" i="22"/>
  <c r="S1762" i="22"/>
  <c r="S2290" i="22"/>
  <c r="S1243" i="22"/>
  <c r="S1515" i="22"/>
  <c r="S1787" i="22"/>
  <c r="S2203" i="22"/>
  <c r="S2371" i="22"/>
  <c r="S2499" i="22"/>
  <c r="S2563" i="22"/>
  <c r="S2571" i="22"/>
  <c r="S1588" i="22"/>
  <c r="S1429" i="22"/>
  <c r="S2237" i="22"/>
  <c r="S2245" i="22"/>
  <c r="S1398" i="22"/>
  <c r="S1774" i="22"/>
  <c r="S2406" i="22"/>
  <c r="S2486" i="22"/>
  <c r="S2510" i="22"/>
  <c r="AX79" i="22"/>
  <c r="S1408" i="22"/>
  <c r="S1648" i="22"/>
  <c r="S1784" i="22"/>
  <c r="S2416" i="22"/>
  <c r="S2496" i="22"/>
  <c r="S1160" i="22"/>
  <c r="AX73" i="22"/>
  <c r="AX72" i="22"/>
  <c r="S235" i="22"/>
  <c r="S1439" i="22"/>
  <c r="S1631" i="22"/>
  <c r="S2247" i="22"/>
  <c r="S2255" i="22"/>
  <c r="S1121" i="22"/>
  <c r="S1553" i="22"/>
  <c r="S1633" i="22"/>
  <c r="S1825" i="22"/>
  <c r="S2209" i="22"/>
  <c r="S1194" i="22"/>
  <c r="S1202" i="22"/>
  <c r="S1402" i="22"/>
  <c r="S1810" i="22"/>
  <c r="S1818" i="22"/>
  <c r="S1107" i="22"/>
  <c r="S1323" i="22"/>
  <c r="S1443" i="22"/>
  <c r="S1531" i="22"/>
  <c r="AX236" i="22"/>
  <c r="S1156" i="22"/>
  <c r="S1516" i="22"/>
  <c r="S1596" i="22"/>
  <c r="S1772" i="22"/>
  <c r="S2300" i="22"/>
  <c r="S2532" i="22"/>
  <c r="S1109" i="22"/>
  <c r="S1253" i="22"/>
  <c r="S1525" i="22"/>
  <c r="S1797" i="22"/>
  <c r="S2213" i="22"/>
  <c r="S2381" i="22"/>
  <c r="S2509" i="22"/>
  <c r="S2573" i="22"/>
  <c r="S2581" i="22"/>
  <c r="S1598" i="22"/>
  <c r="S2494" i="22"/>
  <c r="S2534" i="22"/>
  <c r="S2490" i="22"/>
  <c r="S840" i="22"/>
  <c r="S1322" i="22"/>
  <c r="S1522" i="22"/>
  <c r="S2210" i="22"/>
  <c r="S2378" i="22"/>
  <c r="AX273" i="22"/>
  <c r="AX407" i="22"/>
  <c r="S1159" i="22"/>
  <c r="S1199" i="22"/>
  <c r="S1399" i="22"/>
  <c r="S2399" i="22"/>
  <c r="S1120" i="22"/>
  <c r="S1384" i="22"/>
  <c r="S1440" i="22"/>
  <c r="S1528" i="22"/>
  <c r="S1544" i="22"/>
  <c r="AM92" i="22"/>
  <c r="S849" i="22"/>
  <c r="S1017" i="22"/>
  <c r="S1201" i="22"/>
  <c r="S1481" i="22"/>
  <c r="S1513" i="22"/>
  <c r="S1625" i="22"/>
  <c r="S1769" i="22"/>
  <c r="S2297" i="22"/>
  <c r="S2505" i="22"/>
  <c r="S2680" i="22"/>
  <c r="AM88" i="22"/>
  <c r="S1155" i="22"/>
  <c r="S1595" i="22"/>
  <c r="S868" i="22"/>
  <c r="S932" i="22"/>
  <c r="S1020" i="22"/>
  <c r="S1252" i="22"/>
  <c r="S1436" i="22"/>
  <c r="S2244" i="22"/>
  <c r="S2252" i="22"/>
  <c r="S2516" i="22"/>
  <c r="S2564" i="22"/>
  <c r="S2572" i="22"/>
  <c r="S1781" i="22"/>
  <c r="S2413" i="22"/>
  <c r="S2525" i="22"/>
  <c r="AM84" i="22"/>
  <c r="S1110" i="22"/>
  <c r="S1550" i="22"/>
  <c r="S1630" i="22"/>
  <c r="S1822" i="22"/>
  <c r="S2206" i="22"/>
  <c r="S2438" i="22"/>
  <c r="S2518" i="22"/>
  <c r="AX201" i="22"/>
  <c r="AX508" i="22"/>
  <c r="S1320" i="22"/>
  <c r="S1792" i="22"/>
  <c r="AX205" i="22"/>
  <c r="AX219" i="22"/>
  <c r="S2561" i="22"/>
  <c r="S2677" i="22"/>
  <c r="AX262" i="22"/>
  <c r="S866" i="22"/>
  <c r="S1018" i="22"/>
  <c r="S1250" i="22"/>
  <c r="S2242" i="22"/>
  <c r="S2250" i="22"/>
  <c r="AX210" i="22"/>
  <c r="AX213" i="22"/>
  <c r="AX251" i="22"/>
  <c r="AX351" i="22"/>
  <c r="S1115" i="22"/>
  <c r="S1779" i="22"/>
  <c r="S2411" i="22"/>
  <c r="AX141" i="22"/>
  <c r="AX360" i="22"/>
  <c r="AX385" i="22"/>
  <c r="S1548" i="22"/>
  <c r="AX231" i="22"/>
  <c r="AX321" i="22"/>
  <c r="AX413" i="22"/>
  <c r="S1157" i="22"/>
  <c r="S1413" i="22"/>
  <c r="S1805" i="22"/>
  <c r="S1813" i="22"/>
  <c r="S2397" i="22"/>
  <c r="I151" i="22"/>
  <c r="AX304" i="22"/>
  <c r="S2208" i="22"/>
  <c r="S1593" i="22"/>
  <c r="S2569" i="22"/>
  <c r="AX81" i="22"/>
  <c r="AX74" i="22"/>
  <c r="AX240" i="22"/>
  <c r="S1628" i="22"/>
  <c r="S2204" i="22"/>
  <c r="S2372" i="22"/>
  <c r="S2436" i="22"/>
  <c r="AX382" i="22"/>
  <c r="S838" i="22"/>
  <c r="S1382" i="22"/>
  <c r="S1438" i="22"/>
  <c r="S1542" i="22"/>
  <c r="AX142" i="22"/>
  <c r="I152" i="22"/>
  <c r="S1119" i="22"/>
  <c r="S1335" i="22"/>
  <c r="S1535" i="22"/>
  <c r="S1655" i="22"/>
  <c r="S1807" i="22"/>
  <c r="S945" i="22"/>
  <c r="S1033" i="22"/>
  <c r="S1265" i="22"/>
  <c r="S1449" i="22"/>
  <c r="S1641" i="22"/>
  <c r="S1418" i="22"/>
  <c r="S1658" i="22"/>
  <c r="S1794" i="22"/>
  <c r="S1123" i="22"/>
  <c r="S1643" i="22"/>
  <c r="S1835" i="22"/>
  <c r="S1172" i="22"/>
  <c r="S1412" i="22"/>
  <c r="S1820" i="22"/>
  <c r="S1828" i="22"/>
  <c r="AX75" i="22"/>
  <c r="S1133" i="22"/>
  <c r="S1397" i="22"/>
  <c r="S1453" i="22"/>
  <c r="S1541" i="22"/>
  <c r="S1557" i="22"/>
  <c r="S237" i="22"/>
  <c r="S1206" i="22"/>
  <c r="S1214" i="22"/>
  <c r="S1494" i="22"/>
  <c r="S1526" i="22"/>
  <c r="S1782" i="22"/>
  <c r="S1175" i="22"/>
  <c r="S1215" i="22"/>
  <c r="S1431" i="22"/>
  <c r="S1567" i="22"/>
  <c r="S2223" i="22"/>
  <c r="S2263" i="22"/>
  <c r="S2391" i="22"/>
  <c r="S865" i="22"/>
  <c r="S1217" i="22"/>
  <c r="S2257" i="22"/>
  <c r="S2265" i="22"/>
  <c r="S2690" i="22"/>
  <c r="AX482" i="22"/>
  <c r="AX506" i="22"/>
  <c r="S1338" i="22"/>
  <c r="S1498" i="22"/>
  <c r="S1530" i="22"/>
  <c r="S1610" i="22"/>
  <c r="S1642" i="22"/>
  <c r="S2426" i="22"/>
  <c r="AX485" i="22"/>
  <c r="S1171" i="22"/>
  <c r="S1659" i="22"/>
  <c r="S1795" i="22"/>
  <c r="S2219" i="22"/>
  <c r="S2451" i="22"/>
  <c r="S884" i="22"/>
  <c r="S948" i="22"/>
  <c r="S1036" i="22"/>
  <c r="S1124" i="22"/>
  <c r="S1268" i="22"/>
  <c r="S1452" i="22"/>
  <c r="S1612" i="22"/>
  <c r="S1836" i="22"/>
  <c r="S2412" i="22"/>
  <c r="S2500" i="22"/>
  <c r="AX475" i="22"/>
  <c r="S1421" i="22"/>
  <c r="S1645" i="22"/>
  <c r="S1821" i="22"/>
  <c r="S1829" i="22"/>
  <c r="S2533" i="22"/>
  <c r="AX434" i="22"/>
  <c r="AX518" i="22"/>
  <c r="S1126" i="22"/>
  <c r="S2310" i="22"/>
  <c r="S2502" i="22"/>
  <c r="S2526" i="22"/>
  <c r="S2574" i="22"/>
  <c r="S2582" i="22"/>
  <c r="C5" i="20"/>
  <c r="B16" i="9"/>
  <c r="B16" i="8"/>
  <c r="AX252" i="22"/>
  <c r="S1649" i="22"/>
  <c r="S2489" i="22"/>
  <c r="S2522" i="22"/>
  <c r="F1" i="22"/>
  <c r="F157" i="22" s="1"/>
  <c r="F2" i="22"/>
  <c r="F195" i="22" s="1"/>
  <c r="S1777" i="22"/>
  <c r="S1802" i="22"/>
  <c r="S1539" i="22"/>
  <c r="S1555" i="22"/>
  <c r="S1635" i="22"/>
  <c r="S2299" i="22"/>
  <c r="S2491" i="22"/>
  <c r="S2515" i="22"/>
  <c r="S1652" i="22"/>
  <c r="S2380" i="22"/>
  <c r="S2524" i="22"/>
  <c r="S1533" i="22"/>
  <c r="S1605" i="22"/>
  <c r="S1789" i="22"/>
  <c r="S2517" i="22"/>
  <c r="S1524" i="22"/>
  <c r="S2212" i="22"/>
  <c r="S1638" i="22"/>
  <c r="S1830" i="22"/>
  <c r="S2246" i="22"/>
  <c r="S2254" i="22"/>
  <c r="S1561" i="22"/>
  <c r="S2699" i="22"/>
  <c r="S2673" i="22"/>
  <c r="S1815" i="22"/>
  <c r="S1823" i="22"/>
  <c r="S2415" i="22"/>
  <c r="S2567" i="22"/>
  <c r="J94" i="24"/>
  <c r="J95" i="24"/>
  <c r="J93" i="24"/>
  <c r="J97" i="24"/>
  <c r="J96" i="24"/>
  <c r="J94" i="23"/>
  <c r="J96" i="23"/>
  <c r="J93" i="23"/>
  <c r="J97" i="23"/>
  <c r="J95" i="23"/>
  <c r="J98" i="8"/>
  <c r="AX433" i="22"/>
  <c r="S1425" i="22"/>
  <c r="AX383" i="22"/>
  <c r="S1394" i="22"/>
  <c r="S1450" i="22"/>
  <c r="S1770" i="22"/>
  <c r="S2700" i="22"/>
  <c r="AX165" i="22"/>
  <c r="AX443" i="22"/>
  <c r="S1027" i="22"/>
  <c r="S1203" i="22"/>
  <c r="S1211" i="22"/>
  <c r="S1507" i="22"/>
  <c r="S1523" i="22"/>
  <c r="S1571" i="22"/>
  <c r="S1603" i="22"/>
  <c r="S2267" i="22"/>
  <c r="S2459" i="22"/>
  <c r="S2483" i="22"/>
  <c r="AX484" i="22"/>
  <c r="AX274" i="22"/>
  <c r="AX290" i="22"/>
  <c r="AX340" i="22"/>
  <c r="AX408" i="22"/>
  <c r="S1332" i="22"/>
  <c r="S1492" i="22"/>
  <c r="S1620" i="22"/>
  <c r="S2180" i="22"/>
  <c r="S2348" i="22"/>
  <c r="S2492" i="22"/>
  <c r="S2369" i="22"/>
  <c r="AX356" i="22"/>
  <c r="AX305" i="22"/>
  <c r="AX361" i="22"/>
  <c r="S1165" i="22"/>
  <c r="S1573" i="22"/>
  <c r="S1757" i="22"/>
  <c r="S2485" i="22"/>
  <c r="AX220" i="22"/>
  <c r="AX470" i="22"/>
  <c r="AX510" i="22"/>
  <c r="S942" i="22"/>
  <c r="S1030" i="22"/>
  <c r="S1118" i="22"/>
  <c r="S1262" i="22"/>
  <c r="S1446" i="22"/>
  <c r="S1606" i="22"/>
  <c r="S1798" i="22"/>
  <c r="S2214" i="22"/>
  <c r="S2222" i="22"/>
  <c r="AX241" i="22"/>
  <c r="S1169" i="22"/>
  <c r="S1529" i="22"/>
  <c r="S1745" i="22"/>
  <c r="S1130" i="22"/>
  <c r="AX292" i="22"/>
  <c r="AX208" i="22"/>
  <c r="AX263" i="22"/>
  <c r="AX291" i="22"/>
  <c r="AX363" i="22"/>
  <c r="AX371" i="22"/>
  <c r="AX481" i="22"/>
  <c r="AX505" i="22"/>
  <c r="S1127" i="22"/>
  <c r="S1415" i="22"/>
  <c r="S1783" i="22"/>
  <c r="S1791" i="22"/>
  <c r="S2383" i="22"/>
  <c r="S2527" i="22"/>
  <c r="S2535" i="22"/>
  <c r="C186" i="23"/>
  <c r="C186" i="8"/>
  <c r="S1099" i="22"/>
  <c r="S1563" i="22"/>
  <c r="S2403" i="22"/>
  <c r="AX336" i="22"/>
  <c r="AX344" i="22"/>
  <c r="AX416" i="22"/>
  <c r="AX500" i="22"/>
  <c r="AX516" i="22"/>
  <c r="S1184" i="22"/>
  <c r="S1192" i="22"/>
  <c r="S1424" i="22"/>
  <c r="S2272" i="22"/>
  <c r="S2296" i="22"/>
  <c r="S2556" i="22"/>
  <c r="AX463" i="22"/>
  <c r="AX495" i="22"/>
  <c r="AX519" i="22"/>
  <c r="S1241" i="22"/>
  <c r="S1393" i="22"/>
  <c r="S1577" i="22"/>
  <c r="S2377" i="22"/>
  <c r="S2401" i="22"/>
  <c r="S2617" i="22"/>
  <c r="AX346" i="22"/>
  <c r="AX430" i="22"/>
  <c r="S850" i="22"/>
  <c r="S930" i="22"/>
  <c r="S1146" i="22"/>
  <c r="S1482" i="22"/>
  <c r="S2106" i="22"/>
  <c r="S2146" i="22"/>
  <c r="S2410" i="22"/>
  <c r="S2442" i="22"/>
  <c r="AX319" i="22"/>
  <c r="S859" i="22"/>
  <c r="S1387" i="22"/>
  <c r="S1403" i="22"/>
  <c r="S1467" i="22"/>
  <c r="S2195" i="22"/>
  <c r="AX440" i="22"/>
  <c r="AX464" i="22"/>
  <c r="AX488" i="22"/>
  <c r="S1108" i="22"/>
  <c r="S1372" i="22"/>
  <c r="S1428" i="22"/>
  <c r="S1476" i="22"/>
  <c r="S1580" i="22"/>
  <c r="S2140" i="22"/>
  <c r="S2148" i="22"/>
  <c r="S2276" i="22"/>
  <c r="AX369" i="22"/>
  <c r="S1101" i="22"/>
  <c r="S1501" i="22"/>
  <c r="S2309" i="22"/>
  <c r="S2445" i="22"/>
  <c r="S2453" i="22"/>
  <c r="S878" i="22"/>
  <c r="S1150" i="22"/>
  <c r="S1190" i="22"/>
  <c r="S1310" i="22"/>
  <c r="S1566" i="22"/>
  <c r="S2102" i="22"/>
  <c r="S2326" i="22"/>
  <c r="S2390" i="22"/>
  <c r="AX323" i="22"/>
  <c r="AX339" i="22"/>
  <c r="AX355" i="22"/>
  <c r="AX391" i="22"/>
  <c r="AX453" i="22"/>
  <c r="AX473" i="22"/>
  <c r="AX513" i="22"/>
  <c r="S1495" i="22"/>
  <c r="S1543" i="22"/>
  <c r="S2375" i="22"/>
  <c r="S2559" i="22"/>
  <c r="F10" i="22"/>
  <c r="F15" i="22"/>
  <c r="C45" i="27"/>
  <c r="C23" i="29"/>
  <c r="F17" i="22"/>
  <c r="S2100" i="22"/>
  <c r="C25" i="28"/>
  <c r="F18" i="22"/>
  <c r="C10" i="28"/>
  <c r="C10" i="14"/>
  <c r="B27" i="14"/>
  <c r="C15" i="27"/>
  <c r="B16" i="26"/>
  <c r="AX451" i="22"/>
  <c r="S1104" i="22"/>
  <c r="S1568" i="22"/>
  <c r="S2104" i="22"/>
  <c r="S2144" i="22"/>
  <c r="S2376" i="22"/>
  <c r="S2616" i="22"/>
  <c r="S1193" i="22"/>
  <c r="S1114" i="22"/>
  <c r="S1426" i="22"/>
  <c r="S1578" i="22"/>
  <c r="S1730" i="22"/>
  <c r="S2138" i="22"/>
  <c r="S2194" i="22"/>
  <c r="S2402" i="22"/>
  <c r="S1011" i="22"/>
  <c r="S1187" i="22"/>
  <c r="S1195" i="22"/>
  <c r="S1395" i="22"/>
  <c r="S1547" i="22"/>
  <c r="S2147" i="22"/>
  <c r="S2275" i="22"/>
  <c r="S260" i="22"/>
  <c r="S1244" i="22"/>
  <c r="S1484" i="22"/>
  <c r="S2308" i="22"/>
  <c r="S2444" i="22"/>
  <c r="S2452" i="22"/>
  <c r="S853" i="22"/>
  <c r="S933" i="22"/>
  <c r="S1149" i="22"/>
  <c r="S1389" i="22"/>
  <c r="S1405" i="22"/>
  <c r="S1469" i="22"/>
  <c r="S1565" i="22"/>
  <c r="S1581" i="22"/>
  <c r="S1717" i="22"/>
  <c r="S2325" i="22"/>
  <c r="S2389" i="22"/>
  <c r="S258" i="22"/>
  <c r="Q2856" i="22"/>
  <c r="S862" i="22"/>
  <c r="S1014" i="22"/>
  <c r="S1102" i="22"/>
  <c r="S1374" i="22"/>
  <c r="S1430" i="22"/>
  <c r="S1478" i="22"/>
  <c r="S1758" i="22"/>
  <c r="S2374" i="22"/>
  <c r="S2558" i="22"/>
  <c r="S1111" i="22"/>
  <c r="S1503" i="22"/>
  <c r="S1743" i="22"/>
  <c r="S1751" i="22"/>
  <c r="S2271" i="22"/>
  <c r="S2295" i="22"/>
  <c r="S2407" i="22"/>
  <c r="S881" i="22"/>
  <c r="S1153" i="22"/>
  <c r="S1313" i="22"/>
  <c r="S1497" i="22"/>
  <c r="S1545" i="22"/>
  <c r="S1705" i="22"/>
  <c r="S2409" i="22"/>
  <c r="S2441" i="22"/>
  <c r="AM82" i="22"/>
  <c r="AM83" i="22"/>
  <c r="AX318" i="22"/>
  <c r="AX334" i="22"/>
  <c r="AX338" i="22"/>
  <c r="AX370" i="22"/>
  <c r="AX514" i="22"/>
  <c r="AX526" i="22"/>
  <c r="I149" i="22"/>
  <c r="AX237" i="22"/>
  <c r="AX302" i="22"/>
  <c r="AX462" i="22"/>
  <c r="AM87" i="22"/>
  <c r="AX289" i="22"/>
  <c r="AX345" i="22"/>
  <c r="AX353" i="22"/>
  <c r="AX395" i="22"/>
  <c r="AX260" i="22"/>
  <c r="AX322" i="22"/>
  <c r="AX235" i="22"/>
  <c r="AX428" i="22"/>
  <c r="AX512" i="22"/>
  <c r="AX144" i="22"/>
  <c r="AX202" i="22"/>
  <c r="AX218" i="22"/>
  <c r="I148" i="22"/>
  <c r="AX194" i="22"/>
  <c r="AM89" i="22"/>
  <c r="AM90" i="22"/>
  <c r="AM91" i="22"/>
  <c r="AX204" i="22"/>
  <c r="AX230" i="22"/>
  <c r="AX250" i="22"/>
  <c r="AX271" i="22"/>
  <c r="AX288" i="22"/>
  <c r="AX368" i="22"/>
  <c r="AX414" i="22"/>
  <c r="AX438" i="22"/>
  <c r="AX461" i="22"/>
  <c r="AX491" i="22"/>
  <c r="AX509" i="22"/>
  <c r="AX511" i="22"/>
  <c r="AX517" i="22"/>
  <c r="AX163" i="22"/>
  <c r="AX206" i="22"/>
  <c r="AX212" i="22"/>
  <c r="AX287" i="22"/>
  <c r="AX335" i="22"/>
  <c r="AX343" i="22"/>
  <c r="AX367" i="22"/>
  <c r="F249" i="22"/>
  <c r="F257" i="22"/>
  <c r="F252" i="22"/>
  <c r="F255" i="22"/>
  <c r="F259" i="22"/>
  <c r="F250" i="22"/>
  <c r="F258" i="22"/>
  <c r="F256" i="22"/>
  <c r="F254" i="22"/>
  <c r="F253" i="22"/>
  <c r="F251" i="22"/>
  <c r="C164" i="24"/>
  <c r="AX114" i="22"/>
  <c r="AM75" i="22"/>
  <c r="I146" i="22"/>
  <c r="I147" i="22"/>
  <c r="I150" i="22"/>
  <c r="AX196" i="22"/>
  <c r="C83" i="24"/>
  <c r="J84" i="24"/>
  <c r="J85" i="24"/>
  <c r="C82" i="24"/>
  <c r="C96" i="24"/>
  <c r="C97" i="24"/>
  <c r="C94" i="24"/>
  <c r="C93" i="23"/>
  <c r="C97" i="23"/>
  <c r="C94" i="23"/>
  <c r="C95" i="23"/>
  <c r="C96" i="9"/>
  <c r="C93" i="9"/>
  <c r="C97" i="9"/>
  <c r="C94" i="9"/>
  <c r="C96" i="8"/>
  <c r="C97" i="8"/>
  <c r="C94" i="8"/>
  <c r="C98" i="8"/>
  <c r="AC65" i="22"/>
  <c r="AX103" i="22"/>
  <c r="AX104" i="22"/>
  <c r="AX109" i="22"/>
  <c r="AX115" i="22"/>
  <c r="AX136" i="22"/>
  <c r="AX198" i="22"/>
  <c r="AX183" i="22"/>
  <c r="AX128" i="22"/>
  <c r="AX129" i="22"/>
  <c r="AX143" i="22"/>
  <c r="AX172" i="22"/>
  <c r="AX171" i="22"/>
  <c r="AX134" i="22"/>
  <c r="AX159" i="22"/>
  <c r="AX160" i="22"/>
  <c r="AX161" i="22"/>
  <c r="AX162" i="22"/>
  <c r="AX170" i="22"/>
  <c r="AM51" i="22"/>
  <c r="B9" i="22"/>
  <c r="F1" i="26" s="1"/>
  <c r="C10" i="26"/>
  <c r="B21" i="28"/>
  <c r="F3" i="22"/>
  <c r="F451" i="22" s="1"/>
  <c r="F19" i="22"/>
  <c r="C25" i="26"/>
  <c r="C35" i="27"/>
  <c r="F9" i="22"/>
  <c r="C44" i="14"/>
  <c r="J179" i="24"/>
  <c r="C10" i="27"/>
  <c r="C25" i="27"/>
  <c r="K5" i="21"/>
  <c r="C35" i="26"/>
  <c r="Z112" i="22"/>
  <c r="AJ147" i="22"/>
  <c r="AM146" i="22"/>
  <c r="AM148" i="22" s="1"/>
  <c r="C20" i="14"/>
  <c r="B35" i="14"/>
  <c r="J176" i="24"/>
  <c r="B12" i="29"/>
  <c r="C29" i="29"/>
  <c r="C5" i="14"/>
  <c r="C20" i="26"/>
  <c r="C20" i="27"/>
  <c r="B36" i="28"/>
  <c r="C5" i="29"/>
  <c r="F4" i="22"/>
  <c r="F12" i="22"/>
  <c r="C15" i="14"/>
  <c r="C39" i="14"/>
  <c r="C5" i="26"/>
  <c r="C30" i="26"/>
  <c r="C40" i="26"/>
  <c r="C5" i="27"/>
  <c r="C30" i="27"/>
  <c r="C40" i="27"/>
  <c r="C5" i="28"/>
  <c r="C30" i="28"/>
  <c r="AC64" i="22"/>
  <c r="C15" i="28"/>
  <c r="J185" i="24"/>
  <c r="C17" i="29"/>
  <c r="F14" i="22"/>
  <c r="F13" i="22"/>
  <c r="F7" i="22"/>
  <c r="F8" i="22"/>
  <c r="B16" i="22"/>
  <c r="F1" i="24" s="1"/>
  <c r="J23" i="24"/>
  <c r="J7" i="24"/>
  <c r="C110" i="24"/>
  <c r="J173" i="24"/>
  <c r="J183" i="23"/>
  <c r="J23" i="23"/>
  <c r="C14" i="23"/>
  <c r="J220" i="23"/>
  <c r="J186" i="23"/>
  <c r="C127" i="8"/>
  <c r="J110" i="8"/>
  <c r="J220" i="8"/>
  <c r="AC62" i="22"/>
  <c r="AX146" i="22"/>
  <c r="AX150" i="22"/>
  <c r="AX164" i="22"/>
  <c r="AX166" i="22"/>
  <c r="AX177" i="22"/>
  <c r="AX179" i="22"/>
  <c r="AX184" i="22"/>
  <c r="AC60" i="22"/>
  <c r="AC63" i="22"/>
  <c r="AX83" i="22"/>
  <c r="AM40" i="22"/>
  <c r="AX117" i="22"/>
  <c r="AX181" i="22"/>
  <c r="AX186" i="22"/>
  <c r="AM48" i="22"/>
  <c r="AX99" i="22"/>
  <c r="AX101" i="22"/>
  <c r="AM60" i="22"/>
  <c r="AX121" i="22"/>
  <c r="AX131" i="22"/>
  <c r="I143" i="22"/>
  <c r="AX191" i="22"/>
  <c r="AX155" i="22"/>
  <c r="AX158" i="22"/>
  <c r="AX167" i="22"/>
  <c r="AX168" i="22"/>
  <c r="AX173" i="22"/>
  <c r="I142" i="22"/>
  <c r="AX107" i="22"/>
  <c r="AX111" i="22"/>
  <c r="AX130" i="22"/>
  <c r="AX176" i="22"/>
  <c r="I145" i="22"/>
  <c r="AX189" i="22"/>
  <c r="AX149" i="22"/>
  <c r="AX156" i="22"/>
  <c r="AX169" i="22"/>
  <c r="AX76" i="22"/>
  <c r="AX80" i="22"/>
  <c r="AX82" i="22"/>
  <c r="AM39" i="22"/>
  <c r="AX84" i="22"/>
  <c r="AX90" i="22"/>
  <c r="AX92" i="22"/>
  <c r="AX98" i="22"/>
  <c r="AX100" i="22"/>
  <c r="AX102" i="22"/>
  <c r="AM63" i="22"/>
  <c r="AX108" i="22"/>
  <c r="AX110" i="22"/>
  <c r="AX112" i="22"/>
  <c r="AX118" i="22"/>
  <c r="AX120" i="22"/>
  <c r="AX122" i="22"/>
  <c r="AX124" i="22"/>
  <c r="AX126" i="22"/>
  <c r="AX132" i="22"/>
  <c r="AX138" i="22"/>
  <c r="AX139" i="22"/>
  <c r="AX175" i="22"/>
  <c r="AX180" i="22"/>
  <c r="I144" i="22"/>
  <c r="AX190" i="22"/>
  <c r="AX192" i="22"/>
  <c r="AM32" i="22"/>
  <c r="AM38" i="22"/>
  <c r="AM44" i="22"/>
  <c r="AM64" i="22"/>
  <c r="AX454" i="22"/>
  <c r="AX97" i="22"/>
  <c r="AM54" i="22"/>
  <c r="AM42" i="22"/>
  <c r="AM62" i="22"/>
  <c r="AM76" i="22"/>
  <c r="I84" i="22"/>
  <c r="J8" i="24"/>
  <c r="J34" i="24"/>
  <c r="J82" i="24"/>
  <c r="J108" i="24"/>
  <c r="J122" i="24"/>
  <c r="C136" i="24"/>
  <c r="C138" i="24"/>
  <c r="J220" i="24"/>
  <c r="B25" i="24"/>
  <c r="C140" i="24"/>
  <c r="J142" i="24"/>
  <c r="C144" i="24"/>
  <c r="C148" i="24"/>
  <c r="J15" i="24"/>
  <c r="J123" i="24"/>
  <c r="C134" i="24"/>
  <c r="C139" i="24"/>
  <c r="J141" i="24"/>
  <c r="J143" i="24"/>
  <c r="J144" i="24"/>
  <c r="J150" i="24"/>
  <c r="J152" i="24"/>
  <c r="J175" i="24"/>
  <c r="J212" i="24"/>
  <c r="C50" i="24"/>
  <c r="C51" i="24"/>
  <c r="C150" i="24"/>
  <c r="C218" i="24"/>
  <c r="J12" i="24"/>
  <c r="J33" i="24"/>
  <c r="C106" i="24"/>
  <c r="J140" i="24"/>
  <c r="J181" i="24"/>
  <c r="J11" i="24"/>
  <c r="J32" i="24"/>
  <c r="J83" i="24"/>
  <c r="J136" i="24"/>
  <c r="J139" i="24"/>
  <c r="J177" i="24"/>
  <c r="J180" i="24"/>
  <c r="J170" i="23"/>
  <c r="J212" i="23"/>
  <c r="C143" i="23"/>
  <c r="C147" i="23"/>
  <c r="C152" i="23"/>
  <c r="C149" i="23"/>
  <c r="C151" i="23"/>
  <c r="C216" i="23"/>
  <c r="J118" i="23"/>
  <c r="J134" i="23"/>
  <c r="C136" i="23"/>
  <c r="J138" i="23"/>
  <c r="C140" i="23"/>
  <c r="C142" i="23"/>
  <c r="J144" i="23"/>
  <c r="C148" i="23"/>
  <c r="J153" i="23"/>
  <c r="J182" i="23"/>
  <c r="J185" i="23"/>
  <c r="J211" i="23"/>
  <c r="J32" i="23"/>
  <c r="J108" i="23"/>
  <c r="J127" i="23"/>
  <c r="J151" i="23"/>
  <c r="J175" i="23"/>
  <c r="C238" i="23"/>
  <c r="B16" i="23"/>
  <c r="J123" i="23"/>
  <c r="J126" i="23"/>
  <c r="J136" i="23"/>
  <c r="J174" i="23"/>
  <c r="J181" i="23"/>
  <c r="J224" i="23"/>
  <c r="J109" i="23"/>
  <c r="J125" i="23"/>
  <c r="J140" i="23"/>
  <c r="J152" i="23"/>
  <c r="J171" i="23"/>
  <c r="J223" i="23"/>
  <c r="B189" i="20"/>
  <c r="C219" i="20"/>
  <c r="C137" i="20"/>
  <c r="C136" i="20"/>
  <c r="C139" i="20"/>
  <c r="C145" i="20"/>
  <c r="C153" i="20"/>
  <c r="C176" i="20"/>
  <c r="C215" i="20"/>
  <c r="C225" i="20"/>
  <c r="C141" i="20"/>
  <c r="C149" i="20"/>
  <c r="C152" i="20"/>
  <c r="B16" i="20"/>
  <c r="B101" i="20"/>
  <c r="C117" i="20"/>
  <c r="C135" i="20"/>
  <c r="C140" i="20"/>
  <c r="C143" i="20"/>
  <c r="C151" i="20"/>
  <c r="C181" i="20"/>
  <c r="C134" i="9"/>
  <c r="C136" i="9"/>
  <c r="C138" i="9"/>
  <c r="C140" i="9"/>
  <c r="C135" i="9"/>
  <c r="C139" i="9"/>
  <c r="C8" i="9"/>
  <c r="J147" i="8"/>
  <c r="J177" i="8"/>
  <c r="J9" i="8"/>
  <c r="C13" i="8"/>
  <c r="C14" i="8"/>
  <c r="J134" i="8"/>
  <c r="J136" i="8"/>
  <c r="J141" i="8"/>
  <c r="J143" i="8"/>
  <c r="J145" i="8"/>
  <c r="J148" i="8"/>
  <c r="J150" i="8"/>
  <c r="J152" i="8"/>
  <c r="J214" i="8"/>
  <c r="J135" i="8"/>
  <c r="J137" i="8"/>
  <c r="J140" i="8"/>
  <c r="J142" i="8"/>
  <c r="J144" i="8"/>
  <c r="J149" i="8"/>
  <c r="J151" i="8"/>
  <c r="J153" i="8"/>
  <c r="C31" i="8"/>
  <c r="C32" i="8"/>
  <c r="C179" i="8"/>
  <c r="C218" i="8"/>
  <c r="C21" i="8"/>
  <c r="C118" i="8"/>
  <c r="J173" i="8"/>
  <c r="C45" i="24"/>
  <c r="C85" i="24"/>
  <c r="C133" i="24"/>
  <c r="C142" i="24"/>
  <c r="C152" i="24"/>
  <c r="C171" i="24"/>
  <c r="C183" i="24"/>
  <c r="C216" i="24"/>
  <c r="C217" i="24"/>
  <c r="C224" i="24"/>
  <c r="C13" i="24"/>
  <c r="J14" i="24"/>
  <c r="J22" i="24"/>
  <c r="C84" i="24"/>
  <c r="J125" i="24"/>
  <c r="C141" i="24"/>
  <c r="C182" i="24"/>
  <c r="C107" i="24"/>
  <c r="J127" i="24"/>
  <c r="J215" i="24"/>
  <c r="J149" i="24"/>
  <c r="C211" i="24"/>
  <c r="J211" i="24"/>
  <c r="J225" i="24"/>
  <c r="C225" i="24"/>
  <c r="C9" i="24"/>
  <c r="C47" i="24"/>
  <c r="C95" i="24"/>
  <c r="C109" i="24"/>
  <c r="J109" i="24"/>
  <c r="C135" i="24"/>
  <c r="J135" i="24"/>
  <c r="C149" i="24"/>
  <c r="C169" i="24"/>
  <c r="B189" i="24"/>
  <c r="J209" i="24"/>
  <c r="C210" i="24"/>
  <c r="C214" i="24"/>
  <c r="J214" i="24"/>
  <c r="C219" i="24"/>
  <c r="J219" i="24"/>
  <c r="B16" i="24"/>
  <c r="C5" i="24"/>
  <c r="J10" i="24"/>
  <c r="C35" i="24"/>
  <c r="B76" i="24"/>
  <c r="C42" i="24"/>
  <c r="C93" i="24"/>
  <c r="J118" i="24"/>
  <c r="C118" i="24"/>
  <c r="C147" i="24"/>
  <c r="J147" i="24"/>
  <c r="J153" i="24"/>
  <c r="C153" i="24"/>
  <c r="C209" i="24"/>
  <c r="J6" i="24"/>
  <c r="C24" i="24"/>
  <c r="B37" i="24"/>
  <c r="C31" i="24"/>
  <c r="J36" i="24"/>
  <c r="B87" i="24"/>
  <c r="C81" i="24"/>
  <c r="C86" i="24"/>
  <c r="J86" i="24"/>
  <c r="J111" i="24"/>
  <c r="C112" i="24"/>
  <c r="J119" i="24"/>
  <c r="J137" i="24"/>
  <c r="C137" i="24"/>
  <c r="J146" i="24"/>
  <c r="C146" i="24"/>
  <c r="C151" i="24"/>
  <c r="J151" i="24"/>
  <c r="J170" i="24"/>
  <c r="J186" i="24"/>
  <c r="C186" i="24"/>
  <c r="J213" i="24"/>
  <c r="C213" i="24"/>
  <c r="C226" i="24"/>
  <c r="B101" i="24"/>
  <c r="B128" i="24"/>
  <c r="J145" i="24"/>
  <c r="C184" i="24"/>
  <c r="C208" i="24"/>
  <c r="C223" i="24"/>
  <c r="J223" i="24"/>
  <c r="C117" i="24"/>
  <c r="C124" i="24"/>
  <c r="J126" i="24"/>
  <c r="C126" i="24"/>
  <c r="C143" i="24"/>
  <c r="C145" i="24"/>
  <c r="C172" i="24"/>
  <c r="J172" i="24"/>
  <c r="C174" i="24"/>
  <c r="J178" i="24"/>
  <c r="C178" i="24"/>
  <c r="J221" i="24"/>
  <c r="C222" i="24"/>
  <c r="C10" i="23"/>
  <c r="C81" i="23"/>
  <c r="C85" i="23"/>
  <c r="C117" i="23"/>
  <c r="C134" i="23"/>
  <c r="C138" i="23"/>
  <c r="C144" i="23"/>
  <c r="C179" i="23"/>
  <c r="C180" i="23"/>
  <c r="J31" i="23"/>
  <c r="J107" i="23"/>
  <c r="C133" i="23"/>
  <c r="J147" i="23"/>
  <c r="J215" i="23"/>
  <c r="J219" i="23"/>
  <c r="J6" i="23"/>
  <c r="J9" i="23"/>
  <c r="J36" i="23"/>
  <c r="C43" i="23"/>
  <c r="C83" i="23"/>
  <c r="J84" i="23"/>
  <c r="C110" i="23"/>
  <c r="J111" i="23"/>
  <c r="J143" i="23"/>
  <c r="C153" i="23"/>
  <c r="J178" i="23"/>
  <c r="C213" i="23"/>
  <c r="J214" i="23"/>
  <c r="J218" i="23"/>
  <c r="B76" i="23"/>
  <c r="B112" i="23"/>
  <c r="C106" i="23"/>
  <c r="J124" i="23"/>
  <c r="C124" i="23"/>
  <c r="J137" i="23"/>
  <c r="J145" i="23"/>
  <c r="C145" i="23"/>
  <c r="C150" i="23"/>
  <c r="J150" i="23"/>
  <c r="J176" i="23"/>
  <c r="C210" i="23"/>
  <c r="J210" i="23"/>
  <c r="J221" i="23"/>
  <c r="C221" i="23"/>
  <c r="C7" i="23"/>
  <c r="C8" i="23"/>
  <c r="C12" i="23"/>
  <c r="J22" i="23"/>
  <c r="C34" i="23"/>
  <c r="C96" i="23"/>
  <c r="C119" i="23"/>
  <c r="C135" i="23"/>
  <c r="J135" i="23"/>
  <c r="J141" i="23"/>
  <c r="C141" i="23"/>
  <c r="C173" i="23"/>
  <c r="J173" i="23"/>
  <c r="B37" i="23"/>
  <c r="C30" i="23"/>
  <c r="C42" i="23"/>
  <c r="C122" i="23"/>
  <c r="J122" i="23"/>
  <c r="C137" i="23"/>
  <c r="J149" i="23"/>
  <c r="C176" i="23"/>
  <c r="J209" i="23"/>
  <c r="J225" i="23"/>
  <c r="J13" i="23"/>
  <c r="B25" i="23"/>
  <c r="J35" i="23"/>
  <c r="B101" i="23"/>
  <c r="C139" i="23"/>
  <c r="J139" i="23"/>
  <c r="J142" i="23"/>
  <c r="C146" i="23"/>
  <c r="J146" i="23"/>
  <c r="J172" i="23"/>
  <c r="C172" i="23"/>
  <c r="C177" i="23"/>
  <c r="J177" i="23"/>
  <c r="C208" i="23"/>
  <c r="C222" i="23"/>
  <c r="J222" i="23"/>
  <c r="J11" i="23"/>
  <c r="J15" i="23"/>
  <c r="J24" i="23"/>
  <c r="J33" i="23"/>
  <c r="J82" i="23"/>
  <c r="J86" i="23"/>
  <c r="C184" i="23"/>
  <c r="C217" i="23"/>
  <c r="B232" i="23"/>
  <c r="K238" i="23"/>
  <c r="K408" i="23" s="1"/>
  <c r="C169" i="23"/>
  <c r="C12" i="20"/>
  <c r="C32" i="20"/>
  <c r="C85" i="20"/>
  <c r="C86" i="20"/>
  <c r="C94" i="20"/>
  <c r="C124" i="20"/>
  <c r="C172" i="20"/>
  <c r="C184" i="20"/>
  <c r="C209" i="20"/>
  <c r="C213" i="20"/>
  <c r="C214" i="20"/>
  <c r="C221" i="20"/>
  <c r="C11" i="20"/>
  <c r="B37" i="20"/>
  <c r="C208" i="20"/>
  <c r="B25" i="20"/>
  <c r="C142" i="20"/>
  <c r="C123" i="20"/>
  <c r="C134" i="20"/>
  <c r="C148" i="20"/>
  <c r="C183" i="20"/>
  <c r="C15" i="20"/>
  <c r="C24" i="20"/>
  <c r="C33" i="20"/>
  <c r="C34" i="20"/>
  <c r="C35" i="20"/>
  <c r="B76" i="20"/>
  <c r="C42" i="20"/>
  <c r="C82" i="20"/>
  <c r="B112" i="20"/>
  <c r="C106" i="20"/>
  <c r="C120" i="20"/>
  <c r="C147" i="20"/>
  <c r="C173" i="20"/>
  <c r="C218" i="20"/>
  <c r="C81" i="20"/>
  <c r="C119" i="20"/>
  <c r="C146" i="20"/>
  <c r="C171" i="20"/>
  <c r="C186" i="20"/>
  <c r="C216" i="20"/>
  <c r="C222" i="20"/>
  <c r="C7" i="20"/>
  <c r="B87" i="20"/>
  <c r="C95" i="20"/>
  <c r="C125" i="20"/>
  <c r="C144" i="20"/>
  <c r="C150" i="20"/>
  <c r="C170" i="20"/>
  <c r="C185" i="20"/>
  <c r="C220" i="20"/>
  <c r="C110" i="20"/>
  <c r="C133" i="20"/>
  <c r="C138" i="20"/>
  <c r="B164" i="20"/>
  <c r="C177" i="20"/>
  <c r="C210" i="20"/>
  <c r="C172" i="9"/>
  <c r="C180" i="9"/>
  <c r="C182" i="9"/>
  <c r="C222" i="9"/>
  <c r="C224" i="9"/>
  <c r="C5" i="9"/>
  <c r="C36" i="9"/>
  <c r="C42" i="9"/>
  <c r="C142" i="9"/>
  <c r="C148" i="9"/>
  <c r="C150" i="9"/>
  <c r="C171" i="9"/>
  <c r="C184" i="9"/>
  <c r="C186" i="9"/>
  <c r="C210" i="9"/>
  <c r="C217" i="9"/>
  <c r="C124" i="9"/>
  <c r="C170" i="9"/>
  <c r="C175" i="9"/>
  <c r="C209" i="9"/>
  <c r="C214" i="9"/>
  <c r="C221" i="9"/>
  <c r="B101" i="9"/>
  <c r="C144" i="9"/>
  <c r="C145" i="9"/>
  <c r="C151" i="9"/>
  <c r="C152" i="9"/>
  <c r="C183" i="9"/>
  <c r="C213" i="9"/>
  <c r="C218" i="9"/>
  <c r="C220" i="9"/>
  <c r="C225" i="9"/>
  <c r="J8" i="8"/>
  <c r="J12" i="8"/>
  <c r="J24" i="8"/>
  <c r="B37" i="8"/>
  <c r="J186" i="8"/>
  <c r="J7" i="8"/>
  <c r="J11" i="8"/>
  <c r="C15" i="8"/>
  <c r="C22" i="8"/>
  <c r="C33" i="8"/>
  <c r="J35" i="8"/>
  <c r="J107" i="8"/>
  <c r="J108" i="8"/>
  <c r="C119" i="8"/>
  <c r="C123" i="8"/>
  <c r="J170" i="8"/>
  <c r="J171" i="8"/>
  <c r="J174" i="8"/>
  <c r="J175" i="8"/>
  <c r="J183" i="8"/>
  <c r="J211" i="8"/>
  <c r="J212" i="8"/>
  <c r="J215" i="8"/>
  <c r="J216" i="8"/>
  <c r="J224" i="8"/>
  <c r="K233" i="20"/>
  <c r="K403" i="20" s="1"/>
  <c r="C109" i="8"/>
  <c r="C125" i="8"/>
  <c r="C176" i="8"/>
  <c r="C217" i="8"/>
  <c r="C233" i="20"/>
  <c r="J124" i="8"/>
  <c r="C36" i="8"/>
  <c r="C111" i="8"/>
  <c r="C117" i="8"/>
  <c r="C124" i="8"/>
  <c r="C178" i="8"/>
  <c r="J178" i="8"/>
  <c r="J184" i="8"/>
  <c r="C184" i="8"/>
  <c r="C219" i="8"/>
  <c r="J219" i="8"/>
  <c r="J225" i="8"/>
  <c r="C225" i="8"/>
  <c r="C6" i="8"/>
  <c r="C23" i="8"/>
  <c r="J34" i="8"/>
  <c r="B112" i="8"/>
  <c r="C106" i="8"/>
  <c r="B128" i="8"/>
  <c r="C182" i="8"/>
  <c r="J182" i="8"/>
  <c r="J185" i="8"/>
  <c r="J209" i="8"/>
  <c r="C209" i="8"/>
  <c r="C223" i="8"/>
  <c r="J223" i="8"/>
  <c r="C5" i="8"/>
  <c r="C10" i="8"/>
  <c r="C95" i="8"/>
  <c r="J111" i="8"/>
  <c r="C120" i="8"/>
  <c r="J120" i="8"/>
  <c r="C126" i="8"/>
  <c r="J126" i="8"/>
  <c r="J180" i="8"/>
  <c r="C181" i="8"/>
  <c r="J210" i="8"/>
  <c r="J221" i="8"/>
  <c r="C222" i="8"/>
  <c r="B164" i="8"/>
  <c r="B101" i="8"/>
  <c r="C134" i="8"/>
  <c r="C135" i="8"/>
  <c r="C136" i="8"/>
  <c r="C137" i="8"/>
  <c r="C138" i="8"/>
  <c r="C139" i="8"/>
  <c r="C140" i="8"/>
  <c r="C141" i="8"/>
  <c r="C142" i="8"/>
  <c r="C143" i="8"/>
  <c r="C144" i="8"/>
  <c r="C145" i="8"/>
  <c r="C146" i="8"/>
  <c r="C147" i="8"/>
  <c r="C148" i="8"/>
  <c r="C149" i="8"/>
  <c r="C150" i="8"/>
  <c r="C151" i="8"/>
  <c r="C152" i="8"/>
  <c r="C153" i="8"/>
  <c r="B189" i="8"/>
  <c r="C169" i="8"/>
  <c r="C172" i="8"/>
  <c r="C208" i="8"/>
  <c r="C213" i="8"/>
  <c r="I140" i="22"/>
  <c r="AX239" i="22"/>
  <c r="AX249" i="22"/>
  <c r="AX267" i="22"/>
  <c r="AX297" i="22"/>
  <c r="AX397" i="22"/>
  <c r="AX403" i="22"/>
  <c r="AM33" i="22"/>
  <c r="AX86" i="22"/>
  <c r="AM43" i="22"/>
  <c r="AX94" i="22"/>
  <c r="AM55" i="22"/>
  <c r="AM57" i="22"/>
  <c r="AX106" i="22"/>
  <c r="AM65" i="22"/>
  <c r="AM67" i="22"/>
  <c r="AM77" i="22"/>
  <c r="AX125" i="22"/>
  <c r="I95" i="22"/>
  <c r="AX209" i="22"/>
  <c r="AX135" i="22"/>
  <c r="AX154" i="22"/>
  <c r="I141" i="22"/>
  <c r="AX228" i="22"/>
  <c r="AX280" i="22"/>
  <c r="AX282" i="22"/>
  <c r="AX286" i="22"/>
  <c r="AX300" i="22"/>
  <c r="AX315" i="22"/>
  <c r="AX317" i="22"/>
  <c r="AX352" i="22"/>
  <c r="AX366" i="22"/>
  <c r="AX376" i="22"/>
  <c r="AX386" i="22"/>
  <c r="AX389" i="22"/>
  <c r="AX394" i="22"/>
  <c r="AX457" i="22"/>
  <c r="AX465" i="22"/>
  <c r="AX468" i="22"/>
  <c r="AX474" i="22"/>
  <c r="AX486" i="22"/>
  <c r="AX487" i="22"/>
  <c r="AX498" i="22"/>
  <c r="AX327" i="22"/>
  <c r="AX333" i="22"/>
  <c r="AX419" i="22"/>
  <c r="AC117" i="22"/>
  <c r="AC119" i="22" s="1"/>
  <c r="AX77" i="22"/>
  <c r="AX87" i="22"/>
  <c r="AM52" i="22"/>
  <c r="AM58" i="22"/>
  <c r="AX105" i="22"/>
  <c r="AM74" i="22"/>
  <c r="AM78" i="22"/>
  <c r="AM80" i="22"/>
  <c r="AX193" i="22"/>
  <c r="S2869" i="22"/>
  <c r="S2871" i="22"/>
  <c r="S2873" i="22"/>
  <c r="S2921" i="22"/>
  <c r="S2923" i="22"/>
  <c r="AM34" i="22"/>
  <c r="AM36" i="22"/>
  <c r="AM46" i="22"/>
  <c r="AX93" i="22"/>
  <c r="AM50" i="22"/>
  <c r="AX95" i="22"/>
  <c r="AM56" i="22"/>
  <c r="AM66" i="22"/>
  <c r="AM68" i="22"/>
  <c r="AM70" i="22"/>
  <c r="AM72" i="22"/>
  <c r="AM81" i="22"/>
  <c r="AX447" i="22"/>
  <c r="AX448" i="22"/>
  <c r="Q2904" i="22"/>
  <c r="Q2910" i="22" s="1"/>
  <c r="B6" i="22"/>
  <c r="F8" i="29" s="1"/>
  <c r="B17" i="22"/>
  <c r="F235" i="23" s="1"/>
  <c r="B18" i="22"/>
  <c r="F1" i="28" s="1"/>
  <c r="B1" i="22"/>
  <c r="F1" i="8" s="1"/>
  <c r="B2" i="22"/>
  <c r="F1" i="14" s="1"/>
  <c r="B7" i="22"/>
  <c r="F1" i="20" s="1"/>
  <c r="B8" i="22"/>
  <c r="F229" i="20" s="1"/>
  <c r="B3" i="22"/>
  <c r="F1" i="29" s="1"/>
  <c r="B15" i="22"/>
  <c r="F20" i="29" s="1"/>
  <c r="B19" i="22"/>
  <c r="F26" i="29" s="1"/>
  <c r="B12" i="22"/>
  <c r="F1" i="23" s="1"/>
  <c r="B13" i="22"/>
  <c r="F228" i="23" s="1"/>
  <c r="B10" i="22"/>
  <c r="F14" i="29" s="1"/>
  <c r="B11" i="22"/>
  <c r="F1" i="21" s="1"/>
  <c r="AJ152" i="22"/>
  <c r="AU678" i="22"/>
  <c r="AX444" i="22"/>
  <c r="AX689" i="22"/>
  <c r="AX691" i="22" s="1"/>
  <c r="AM31" i="22"/>
  <c r="AX78" i="22"/>
  <c r="AM37" i="22"/>
  <c r="AM49" i="22"/>
  <c r="AX96" i="22"/>
  <c r="AM59" i="22"/>
  <c r="AM61" i="22"/>
  <c r="AM71" i="22"/>
  <c r="AM73" i="22"/>
  <c r="AM79" i="22"/>
  <c r="AX152" i="22"/>
  <c r="AX187" i="22"/>
  <c r="AX195" i="22"/>
  <c r="AX197" i="22"/>
  <c r="AM41" i="22"/>
  <c r="AM45" i="22"/>
  <c r="AM47" i="22"/>
  <c r="AM53" i="22"/>
  <c r="AM69" i="22"/>
  <c r="AX185" i="22"/>
  <c r="AM157" i="22"/>
  <c r="AM159" i="22" s="1"/>
  <c r="P2909" i="22"/>
  <c r="P2908" i="22"/>
  <c r="AU702" i="22"/>
  <c r="P2924" i="22"/>
  <c r="AX153" i="22"/>
  <c r="S2922" i="22"/>
  <c r="Q2925" i="22"/>
  <c r="AX123" i="22"/>
  <c r="AX455" i="22"/>
  <c r="AX200" i="22"/>
  <c r="AX450" i="22"/>
  <c r="AX157" i="22"/>
  <c r="AX211" i="22"/>
  <c r="AX221" i="22"/>
  <c r="AX227" i="22"/>
  <c r="AX265" i="22"/>
  <c r="AX279" i="22"/>
  <c r="AX281" i="22"/>
  <c r="AX285" i="22"/>
  <c r="AX299" i="22"/>
  <c r="AX313" i="22"/>
  <c r="AX384" i="22"/>
  <c r="AX393" i="22"/>
  <c r="AX431" i="22"/>
  <c r="AV652" i="22"/>
  <c r="AX133" i="22"/>
  <c r="AX182" i="22"/>
  <c r="AX203" i="22"/>
  <c r="AX226" i="22"/>
  <c r="AX238" i="22"/>
  <c r="AX248" i="22"/>
  <c r="AX264" i="22"/>
  <c r="AX266" i="22"/>
  <c r="AX296" i="22"/>
  <c r="AX314" i="22"/>
  <c r="AX316" i="22"/>
  <c r="AX324" i="22"/>
  <c r="AX330" i="22"/>
  <c r="AX348" i="22"/>
  <c r="AX358" i="22"/>
  <c r="AX362" i="22"/>
  <c r="AX372" i="22"/>
  <c r="AX388" i="22"/>
  <c r="AX392" i="22"/>
  <c r="AX396" i="22"/>
  <c r="AX402" i="22"/>
  <c r="AX418" i="22"/>
  <c r="AX422" i="22"/>
  <c r="AX424" i="22"/>
  <c r="AX426" i="22"/>
  <c r="AX442" i="22"/>
  <c r="AX445" i="22"/>
  <c r="AX458" i="22"/>
  <c r="AX467" i="22"/>
  <c r="AX471" i="22"/>
  <c r="AX477" i="22"/>
  <c r="AX489" i="22"/>
  <c r="AX490" i="22"/>
  <c r="AX493" i="22"/>
  <c r="AX501" i="22"/>
  <c r="AX515" i="22"/>
  <c r="AX521" i="22"/>
  <c r="AX522" i="22"/>
  <c r="AX524" i="22"/>
  <c r="AX527" i="22"/>
  <c r="AM138" i="22"/>
  <c r="AM140" i="22"/>
  <c r="AK142" i="22"/>
  <c r="AM133" i="22"/>
  <c r="AM134" i="22"/>
  <c r="AM135" i="22"/>
  <c r="AK122" i="22"/>
  <c r="F281" i="22"/>
  <c r="Z118" i="22"/>
  <c r="AA113" i="22"/>
  <c r="AC111" i="22"/>
  <c r="AC113" i="22" s="1"/>
  <c r="P2915" i="22"/>
  <c r="P2916" i="22"/>
  <c r="S2870" i="22"/>
  <c r="S2872" i="22"/>
  <c r="S2874" i="22"/>
  <c r="S2914" i="22"/>
  <c r="S2917" i="22" s="1"/>
  <c r="Q2876" i="22"/>
  <c r="I39" i="22"/>
  <c r="I47" i="22"/>
  <c r="I53" i="22"/>
  <c r="I59" i="22"/>
  <c r="I63" i="22"/>
  <c r="I71" i="22"/>
  <c r="I77" i="22"/>
  <c r="I108" i="22"/>
  <c r="I109" i="22"/>
  <c r="I112" i="22"/>
  <c r="I119" i="22"/>
  <c r="I128" i="22"/>
  <c r="I130" i="22"/>
  <c r="I132" i="22"/>
  <c r="I135" i="22"/>
  <c r="I137" i="22"/>
  <c r="I384" i="22"/>
  <c r="I386" i="22"/>
  <c r="I388" i="22"/>
  <c r="I390" i="22"/>
  <c r="I392" i="22"/>
  <c r="I394" i="22"/>
  <c r="I396" i="22"/>
  <c r="I398" i="22"/>
  <c r="I400" i="22"/>
  <c r="I402" i="22"/>
  <c r="I404" i="22"/>
  <c r="I406" i="22"/>
  <c r="I35" i="22"/>
  <c r="I43" i="22"/>
  <c r="I45" i="22"/>
  <c r="I49" i="22"/>
  <c r="I57" i="22"/>
  <c r="I65" i="22"/>
  <c r="I69" i="22"/>
  <c r="I75" i="22"/>
  <c r="I81" i="22"/>
  <c r="I88" i="22"/>
  <c r="I89" i="22"/>
  <c r="I101" i="22"/>
  <c r="I102" i="22"/>
  <c r="I103" i="22"/>
  <c r="I104" i="22"/>
  <c r="I117" i="22"/>
  <c r="I118" i="22"/>
  <c r="I120" i="22"/>
  <c r="I121" i="22"/>
  <c r="I122" i="22"/>
  <c r="I33" i="22"/>
  <c r="I37" i="22"/>
  <c r="I41" i="22"/>
  <c r="I51" i="22"/>
  <c r="I55" i="22"/>
  <c r="I61" i="22"/>
  <c r="I67" i="22"/>
  <c r="I73" i="22"/>
  <c r="I79" i="22"/>
  <c r="I83" i="22"/>
  <c r="I94" i="22"/>
  <c r="I124" i="22"/>
  <c r="G174" i="22"/>
  <c r="I31" i="22"/>
  <c r="I34" i="22"/>
  <c r="I36" i="22"/>
  <c r="I38" i="22"/>
  <c r="I40" i="22"/>
  <c r="I42" i="22"/>
  <c r="I44" i="22"/>
  <c r="I46" i="22"/>
  <c r="I48" i="22"/>
  <c r="I50" i="22"/>
  <c r="I52" i="22"/>
  <c r="I54" i="22"/>
  <c r="I56" i="22"/>
  <c r="I58" i="22"/>
  <c r="I60" i="22"/>
  <c r="I62" i="22"/>
  <c r="I64" i="22"/>
  <c r="I66" i="22"/>
  <c r="I68" i="22"/>
  <c r="I70" i="22"/>
  <c r="I72" i="22"/>
  <c r="I74" i="22"/>
  <c r="I76" i="22"/>
  <c r="I78" i="22"/>
  <c r="I80" i="22"/>
  <c r="I82" i="22"/>
  <c r="I90" i="22"/>
  <c r="I96" i="22"/>
  <c r="I97" i="22"/>
  <c r="I98" i="22"/>
  <c r="I99" i="22"/>
  <c r="I100" i="22"/>
  <c r="I107" i="22"/>
  <c r="I113" i="22"/>
  <c r="I114" i="22"/>
  <c r="I115" i="22"/>
  <c r="I116" i="22"/>
  <c r="I123" i="22"/>
  <c r="I125" i="22"/>
  <c r="I126" i="22"/>
  <c r="I127" i="22"/>
  <c r="I129" i="22"/>
  <c r="I131" i="22"/>
  <c r="I136" i="22"/>
  <c r="I306" i="22"/>
  <c r="I385" i="22"/>
  <c r="I387" i="22"/>
  <c r="I389" i="22"/>
  <c r="I391" i="22"/>
  <c r="I393" i="22"/>
  <c r="I395" i="22"/>
  <c r="I397" i="22"/>
  <c r="I399" i="22"/>
  <c r="I401" i="22"/>
  <c r="I403" i="22"/>
  <c r="I405" i="22"/>
  <c r="I407" i="22"/>
  <c r="I134" i="22"/>
  <c r="I139" i="22"/>
  <c r="I85" i="22"/>
  <c r="I86" i="22"/>
  <c r="I87" i="22"/>
  <c r="I91" i="22"/>
  <c r="I92" i="22"/>
  <c r="I93" i="22"/>
  <c r="I105" i="22"/>
  <c r="I106" i="22"/>
  <c r="I110" i="22"/>
  <c r="I111" i="22"/>
  <c r="I133" i="22"/>
  <c r="I138" i="22"/>
  <c r="C23" i="9"/>
  <c r="B112" i="9"/>
  <c r="C125" i="9"/>
  <c r="C173" i="9"/>
  <c r="C179" i="9"/>
  <c r="C211" i="9"/>
  <c r="B25" i="9"/>
  <c r="B128" i="9"/>
  <c r="C7" i="9"/>
  <c r="C86" i="9"/>
  <c r="C141" i="9"/>
  <c r="C208" i="9"/>
  <c r="F240" i="22"/>
  <c r="Z144" i="22"/>
  <c r="S2901" i="22"/>
  <c r="AU684" i="22"/>
  <c r="AJ184" i="22"/>
  <c r="P2903" i="22"/>
  <c r="S2885" i="22"/>
  <c r="S2886" i="22" s="1"/>
  <c r="S2902" i="22"/>
  <c r="AC100" i="22"/>
  <c r="AC101" i="22" s="1"/>
  <c r="AC150" i="22"/>
  <c r="AC151" i="22" s="1"/>
  <c r="I451" i="22"/>
  <c r="I452" i="22" s="1"/>
  <c r="I363" i="22"/>
  <c r="AM152" i="22"/>
  <c r="AM153" i="22" s="1"/>
  <c r="AX683" i="22"/>
  <c r="AC46" i="22"/>
  <c r="AC48" i="22"/>
  <c r="AC50" i="22"/>
  <c r="AC56" i="22"/>
  <c r="I192" i="22"/>
  <c r="I322" i="22"/>
  <c r="I328" i="22"/>
  <c r="I344" i="22"/>
  <c r="AC57" i="22"/>
  <c r="I432" i="22"/>
  <c r="C63" i="5"/>
  <c r="B63" i="5" s="1"/>
  <c r="C62" i="5"/>
  <c r="B62" i="5" s="1"/>
  <c r="I339" i="22"/>
  <c r="I189" i="22"/>
  <c r="I191" i="22"/>
  <c r="I183" i="22"/>
  <c r="I228" i="22"/>
  <c r="I238" i="22"/>
  <c r="AC55" i="22"/>
  <c r="AC144" i="22"/>
  <c r="AC145" i="22" s="1"/>
  <c r="AC33" i="22"/>
  <c r="F301" i="22"/>
  <c r="F282" i="22"/>
  <c r="AC35" i="22"/>
  <c r="AC37" i="22"/>
  <c r="AC47" i="22"/>
  <c r="AC53" i="22"/>
  <c r="AC32" i="22"/>
  <c r="AC34" i="22"/>
  <c r="I223" i="22"/>
  <c r="I227" i="22"/>
  <c r="F272" i="22"/>
  <c r="F287" i="22"/>
  <c r="I354" i="22"/>
  <c r="I182" i="22"/>
  <c r="I276" i="22"/>
  <c r="I338" i="22"/>
  <c r="AX714" i="22"/>
  <c r="AX715" i="22" s="1"/>
  <c r="AX668" i="22"/>
  <c r="C169" i="9"/>
  <c r="B189" i="9"/>
  <c r="C178" i="9"/>
  <c r="C11" i="9"/>
  <c r="C12" i="9"/>
  <c r="C82" i="9"/>
  <c r="C109" i="9"/>
  <c r="C143" i="9"/>
  <c r="C149" i="9"/>
  <c r="C177" i="9"/>
  <c r="C212" i="9"/>
  <c r="C219" i="9"/>
  <c r="C15" i="9"/>
  <c r="C24" i="9"/>
  <c r="C33" i="9"/>
  <c r="B37" i="9"/>
  <c r="C81" i="9"/>
  <c r="B164" i="9"/>
  <c r="C133" i="9"/>
  <c r="C147" i="9"/>
  <c r="C176" i="9"/>
  <c r="C216" i="9"/>
  <c r="B87" i="9"/>
  <c r="C95" i="9"/>
  <c r="C111" i="9"/>
  <c r="C126" i="9"/>
  <c r="C146" i="9"/>
  <c r="C174" i="9"/>
  <c r="C181" i="9"/>
  <c r="C215" i="9"/>
  <c r="C119" i="9"/>
  <c r="C137" i="9"/>
  <c r="C153" i="9"/>
  <c r="C185" i="9"/>
  <c r="C223" i="9"/>
  <c r="F239" i="22"/>
  <c r="F227" i="22"/>
  <c r="AJ178" i="22"/>
  <c r="F221" i="22"/>
  <c r="AJ146" i="22"/>
  <c r="F222" i="22"/>
  <c r="F247" i="22"/>
  <c r="F234" i="22"/>
  <c r="AA107" i="22"/>
  <c r="AC106" i="22"/>
  <c r="AC107" i="22" s="1"/>
  <c r="F235" i="22"/>
  <c r="AJ168" i="22"/>
  <c r="Z134" i="22"/>
  <c r="F397" i="22"/>
  <c r="F404" i="22"/>
  <c r="AC44" i="22"/>
  <c r="I197" i="22"/>
  <c r="I295" i="22"/>
  <c r="I193" i="22"/>
  <c r="I199" i="22"/>
  <c r="I225" i="22"/>
  <c r="I235" i="22"/>
  <c r="I355" i="22"/>
  <c r="I429" i="22"/>
  <c r="AJ163" i="22"/>
  <c r="I323" i="22"/>
  <c r="AX666" i="22"/>
  <c r="AV674" i="22"/>
  <c r="AX673" i="22"/>
  <c r="AX674" i="22" s="1"/>
  <c r="I421" i="22"/>
  <c r="F300" i="22"/>
  <c r="F298" i="22"/>
  <c r="AC41" i="22"/>
  <c r="AC123" i="22"/>
  <c r="Z139" i="22"/>
  <c r="I185" i="22"/>
  <c r="I222" i="22"/>
  <c r="I231" i="22"/>
  <c r="I236" i="22"/>
  <c r="I352" i="22"/>
  <c r="I441" i="22"/>
  <c r="I446" i="22"/>
  <c r="I447" i="22" s="1"/>
  <c r="AC51" i="22"/>
  <c r="AC52" i="22"/>
  <c r="AC58" i="22"/>
  <c r="AM127" i="22"/>
  <c r="AM128" i="22" s="1"/>
  <c r="AA125" i="22"/>
  <c r="I180" i="22"/>
  <c r="AM190" i="22"/>
  <c r="AM191" i="22" s="1"/>
  <c r="I187" i="22"/>
  <c r="I195" i="22"/>
  <c r="I243" i="22"/>
  <c r="I313" i="22"/>
  <c r="I314" i="22"/>
  <c r="I335" i="22"/>
  <c r="I337" i="22"/>
  <c r="I350" i="22"/>
  <c r="I372" i="22"/>
  <c r="I374" i="22"/>
  <c r="S2930" i="22"/>
  <c r="S2931" i="22" s="1"/>
  <c r="S2890" i="22"/>
  <c r="S2891" i="22" s="1"/>
  <c r="AK180" i="22"/>
  <c r="AM178" i="22"/>
  <c r="F355" i="22"/>
  <c r="F356" i="22"/>
  <c r="AC43" i="22"/>
  <c r="AC45" i="22"/>
  <c r="AC134" i="22"/>
  <c r="AC135" i="22" s="1"/>
  <c r="AJ157" i="22"/>
  <c r="AM163" i="22"/>
  <c r="AM164" i="22" s="1"/>
  <c r="F264" i="22"/>
  <c r="F296" i="22"/>
  <c r="I325" i="22"/>
  <c r="F328" i="22"/>
  <c r="F388" i="22"/>
  <c r="P2895" i="22"/>
  <c r="F446" i="22"/>
  <c r="AU683" i="22"/>
  <c r="F377" i="22"/>
  <c r="F374" i="22"/>
  <c r="F369" i="22"/>
  <c r="F366" i="22"/>
  <c r="F364" i="22"/>
  <c r="F362" i="22"/>
  <c r="F359" i="22"/>
  <c r="F354" i="22"/>
  <c r="F352" i="22"/>
  <c r="F346" i="22"/>
  <c r="F344" i="22"/>
  <c r="F343" i="22"/>
  <c r="F341" i="22"/>
  <c r="F338" i="22"/>
  <c r="F331" i="22"/>
  <c r="F329" i="22"/>
  <c r="F327" i="22"/>
  <c r="F324" i="22"/>
  <c r="F322" i="22"/>
  <c r="F319" i="22"/>
  <c r="F316" i="22"/>
  <c r="F313" i="22"/>
  <c r="F379" i="22"/>
  <c r="F376" i="22"/>
  <c r="F371" i="22"/>
  <c r="F368" i="22"/>
  <c r="F361" i="22"/>
  <c r="F360" i="22"/>
  <c r="F353" i="22"/>
  <c r="F349" i="22"/>
  <c r="F348" i="22"/>
  <c r="F347" i="22"/>
  <c r="F342" i="22"/>
  <c r="F334" i="22"/>
  <c r="F333" i="22"/>
  <c r="F332" i="22"/>
  <c r="F326" i="22"/>
  <c r="F325" i="22"/>
  <c r="F318" i="22"/>
  <c r="F317" i="22"/>
  <c r="F378" i="22"/>
  <c r="F367" i="22"/>
  <c r="F365" i="22"/>
  <c r="F363" i="22"/>
  <c r="F358" i="22"/>
  <c r="F357" i="22"/>
  <c r="F345" i="22"/>
  <c r="F340" i="22"/>
  <c r="F339" i="22"/>
  <c r="F336" i="22"/>
  <c r="F335" i="22"/>
  <c r="F330" i="22"/>
  <c r="F323" i="22"/>
  <c r="F315" i="22"/>
  <c r="F314" i="22"/>
  <c r="Z123" i="22"/>
  <c r="P2902" i="22"/>
  <c r="AU689" i="22"/>
  <c r="F406" i="22"/>
  <c r="P2901" i="22"/>
  <c r="F403" i="22"/>
  <c r="F401" i="22"/>
  <c r="F398" i="22"/>
  <c r="F394" i="22"/>
  <c r="F391" i="22"/>
  <c r="F389" i="22"/>
  <c r="F386" i="22"/>
  <c r="F384" i="22"/>
  <c r="F405" i="22"/>
  <c r="F402" i="22"/>
  <c r="F396" i="22"/>
  <c r="F393" i="22"/>
  <c r="F407" i="22"/>
  <c r="F400" i="22"/>
  <c r="F395" i="22"/>
  <c r="AC31" i="22"/>
  <c r="AC38" i="22"/>
  <c r="AC49" i="22"/>
  <c r="AC59" i="22"/>
  <c r="Z117" i="22"/>
  <c r="AC129" i="22"/>
  <c r="AC130" i="22" s="1"/>
  <c r="F286" i="22"/>
  <c r="I293" i="22"/>
  <c r="F297" i="22"/>
  <c r="F311" i="22"/>
  <c r="I319" i="22"/>
  <c r="F337" i="22"/>
  <c r="F375" i="22"/>
  <c r="F392" i="22"/>
  <c r="AU673" i="22"/>
  <c r="P2885" i="22"/>
  <c r="F246" i="22"/>
  <c r="F241" i="22"/>
  <c r="F236" i="22"/>
  <c r="F233" i="22"/>
  <c r="F230" i="22"/>
  <c r="F225" i="22"/>
  <c r="F220" i="22"/>
  <c r="F232" i="22"/>
  <c r="F231" i="22"/>
  <c r="F219" i="22"/>
  <c r="AJ179" i="22"/>
  <c r="Z111" i="22"/>
  <c r="F243" i="22"/>
  <c r="F242" i="22"/>
  <c r="F238" i="22"/>
  <c r="F237" i="22"/>
  <c r="F229" i="22"/>
  <c r="F228" i="22"/>
  <c r="F224" i="22"/>
  <c r="F223" i="22"/>
  <c r="P2914" i="22"/>
  <c r="F413" i="22"/>
  <c r="F412" i="22"/>
  <c r="AU695" i="22"/>
  <c r="AA95" i="22"/>
  <c r="AC36" i="22"/>
  <c r="AC40" i="22"/>
  <c r="AC54" i="22"/>
  <c r="Z129" i="22"/>
  <c r="I196" i="22"/>
  <c r="I220" i="22"/>
  <c r="F226" i="22"/>
  <c r="I233" i="22"/>
  <c r="F244" i="22"/>
  <c r="F245" i="22"/>
  <c r="F248" i="22"/>
  <c r="I317" i="22"/>
  <c r="I327" i="22"/>
  <c r="I343" i="22"/>
  <c r="F351" i="22"/>
  <c r="F370" i="22"/>
  <c r="F387" i="22"/>
  <c r="F372" i="22"/>
  <c r="P2890" i="22"/>
  <c r="F306" i="22"/>
  <c r="F302" i="22"/>
  <c r="F299" i="22"/>
  <c r="F295" i="22"/>
  <c r="F292" i="22"/>
  <c r="F288" i="22"/>
  <c r="F283" i="22"/>
  <c r="F280" i="22"/>
  <c r="F276" i="22"/>
  <c r="F273" i="22"/>
  <c r="F294" i="22"/>
  <c r="F293" i="22"/>
  <c r="F285" i="22"/>
  <c r="F284" i="22"/>
  <c r="F279" i="22"/>
  <c r="F278" i="22"/>
  <c r="F277" i="22"/>
  <c r="F305" i="22"/>
  <c r="F304" i="22"/>
  <c r="F303" i="22"/>
  <c r="F291" i="22"/>
  <c r="F290" i="22"/>
  <c r="F289" i="22"/>
  <c r="F275" i="22"/>
  <c r="F274" i="22"/>
  <c r="P2923" i="22"/>
  <c r="P2922" i="22"/>
  <c r="AU706" i="22"/>
  <c r="AU704" i="22"/>
  <c r="F438" i="22"/>
  <c r="F435" i="22"/>
  <c r="F432" i="22"/>
  <c r="F427" i="22"/>
  <c r="F424" i="22"/>
  <c r="P2921" i="22"/>
  <c r="AU707" i="22"/>
  <c r="AU705" i="22"/>
  <c r="F437" i="22"/>
  <c r="F436" i="22"/>
  <c r="F423" i="22"/>
  <c r="F422" i="22"/>
  <c r="AU700" i="22"/>
  <c r="F429" i="22"/>
  <c r="F428" i="22"/>
  <c r="F440" i="22"/>
  <c r="F439" i="22"/>
  <c r="F434" i="22"/>
  <c r="F431" i="22"/>
  <c r="F430" i="22"/>
  <c r="F421" i="22"/>
  <c r="F418" i="22"/>
  <c r="AJ173" i="22"/>
  <c r="AU708" i="22"/>
  <c r="F441" i="22"/>
  <c r="F426" i="22"/>
  <c r="F425" i="22"/>
  <c r="AU703" i="22"/>
  <c r="AU701" i="22"/>
  <c r="AC39" i="22"/>
  <c r="Z124" i="22"/>
  <c r="F320" i="22"/>
  <c r="F321" i="22"/>
  <c r="F350" i="22"/>
  <c r="F373" i="22"/>
  <c r="F385" i="22"/>
  <c r="F390" i="22"/>
  <c r="F399" i="22"/>
  <c r="F433" i="22"/>
  <c r="I438" i="22"/>
  <c r="AV679" i="22"/>
  <c r="AX678" i="22"/>
  <c r="AX679" i="22" s="1"/>
  <c r="I241" i="22"/>
  <c r="I246" i="22"/>
  <c r="I273" i="22"/>
  <c r="I299" i="22"/>
  <c r="AC42" i="22"/>
  <c r="AC124" i="22"/>
  <c r="AC139" i="22"/>
  <c r="AC140" i="22" s="1"/>
  <c r="AM168" i="22"/>
  <c r="AM169" i="22" s="1"/>
  <c r="I188" i="22"/>
  <c r="I230" i="22"/>
  <c r="I247" i="22"/>
  <c r="I302" i="22"/>
  <c r="I324" i="22"/>
  <c r="I329" i="22"/>
  <c r="I331" i="22"/>
  <c r="I346" i="22"/>
  <c r="I357" i="22"/>
  <c r="I359" i="22"/>
  <c r="I362" i="22"/>
  <c r="I366" i="22"/>
  <c r="I377" i="22"/>
  <c r="I424" i="22"/>
  <c r="I425" i="22"/>
  <c r="I439" i="22"/>
  <c r="AX695" i="22"/>
  <c r="AX696" i="22" s="1"/>
  <c r="I184" i="22"/>
  <c r="I186" i="22"/>
  <c r="I190" i="22"/>
  <c r="I194" i="22"/>
  <c r="I198" i="22"/>
  <c r="I219" i="22"/>
  <c r="I240" i="22"/>
  <c r="I245" i="22"/>
  <c r="I248" i="22"/>
  <c r="I272" i="22"/>
  <c r="I274" i="22"/>
  <c r="I282" i="22"/>
  <c r="I290" i="22"/>
  <c r="I301" i="22"/>
  <c r="I311" i="22"/>
  <c r="I315" i="22"/>
  <c r="I318" i="22"/>
  <c r="I321" i="22"/>
  <c r="I351" i="22"/>
  <c r="I361" i="22"/>
  <c r="I368" i="22"/>
  <c r="I376" i="22"/>
  <c r="I379" i="22"/>
  <c r="I433" i="22"/>
  <c r="AX657" i="22"/>
  <c r="AX658" i="22" s="1"/>
  <c r="I412" i="22"/>
  <c r="G414" i="22"/>
  <c r="S2895" i="22"/>
  <c r="S2897" i="22" s="1"/>
  <c r="C5" i="25"/>
  <c r="C10" i="25"/>
  <c r="C30" i="25"/>
  <c r="C35" i="25"/>
  <c r="C15" i="25"/>
  <c r="F1" i="25"/>
  <c r="F1" i="9"/>
  <c r="B133" i="13"/>
  <c r="AV685" i="22"/>
  <c r="AX664" i="22"/>
  <c r="AM173" i="22"/>
  <c r="AM174" i="22" s="1"/>
  <c r="AX663" i="22"/>
  <c r="AV669" i="22"/>
  <c r="AX684" i="22"/>
  <c r="AX706" i="22"/>
  <c r="I242" i="22"/>
  <c r="I278" i="22"/>
  <c r="I224" i="22"/>
  <c r="I316" i="22"/>
  <c r="I333" i="22"/>
  <c r="I436" i="22"/>
  <c r="G216" i="22"/>
  <c r="AA101" i="22"/>
  <c r="I221" i="22"/>
  <c r="I232" i="22"/>
  <c r="I239" i="22"/>
  <c r="I280" i="22"/>
  <c r="I284" i="22"/>
  <c r="I288" i="22"/>
  <c r="I294" i="22"/>
  <c r="I300" i="22"/>
  <c r="I365" i="22"/>
  <c r="I413" i="22"/>
  <c r="I428" i="22"/>
  <c r="I226" i="22"/>
  <c r="I229" i="22"/>
  <c r="I244" i="22"/>
  <c r="I296" i="22"/>
  <c r="I341" i="22"/>
  <c r="I348" i="22"/>
  <c r="I373" i="22"/>
  <c r="I286" i="22"/>
  <c r="I291" i="22"/>
  <c r="I297" i="22"/>
  <c r="I326" i="22"/>
  <c r="I336" i="22"/>
  <c r="I370" i="22"/>
  <c r="AX702" i="22"/>
  <c r="I305" i="22"/>
  <c r="I320" i="22"/>
  <c r="I332" i="22"/>
  <c r="I342" i="22"/>
  <c r="I347" i="22"/>
  <c r="I358" i="22"/>
  <c r="I369" i="22"/>
  <c r="I422" i="22"/>
  <c r="I426" i="22"/>
  <c r="I430" i="22"/>
  <c r="I434" i="22"/>
  <c r="AX667" i="22"/>
  <c r="I234" i="22"/>
  <c r="I237" i="22"/>
  <c r="I281" i="22"/>
  <c r="I289" i="22"/>
  <c r="I330" i="22"/>
  <c r="I340" i="22"/>
  <c r="I345" i="22"/>
  <c r="I353" i="22"/>
  <c r="I356" i="22"/>
  <c r="I364" i="22"/>
  <c r="I367" i="22"/>
  <c r="I375" i="22"/>
  <c r="I378" i="22"/>
  <c r="I440" i="22"/>
  <c r="AX700" i="22"/>
  <c r="AV709" i="22"/>
  <c r="AX665" i="22"/>
  <c r="AX704" i="22"/>
  <c r="I264" i="22"/>
  <c r="I279" i="22"/>
  <c r="I292" i="22"/>
  <c r="I298" i="22"/>
  <c r="I303" i="22"/>
  <c r="I304" i="22"/>
  <c r="I334" i="22"/>
  <c r="I349" i="22"/>
  <c r="I360" i="22"/>
  <c r="I371" i="22"/>
  <c r="I283" i="22"/>
  <c r="I287" i="22"/>
  <c r="AC156" i="22"/>
  <c r="AC157" i="22" s="1"/>
  <c r="I181" i="22"/>
  <c r="G307" i="22"/>
  <c r="I277" i="22"/>
  <c r="G380" i="22"/>
  <c r="I179" i="22"/>
  <c r="I275" i="22"/>
  <c r="I285" i="22"/>
  <c r="G442" i="22"/>
  <c r="G443" i="22" s="1"/>
  <c r="I418" i="22"/>
  <c r="F1" i="27"/>
  <c r="I423" i="22"/>
  <c r="I427" i="22"/>
  <c r="I431" i="22"/>
  <c r="I435" i="22"/>
  <c r="I437" i="22"/>
  <c r="G408" i="22"/>
  <c r="G260" i="22"/>
  <c r="AX705" i="22"/>
  <c r="AX701" i="22"/>
  <c r="B134" i="13"/>
  <c r="F100" i="20"/>
  <c r="F26" i="14"/>
  <c r="F160" i="8"/>
  <c r="B138" i="13"/>
  <c r="G191" i="24" s="1"/>
  <c r="F231" i="23"/>
  <c r="F6" i="21"/>
  <c r="F161" i="8"/>
  <c r="F163" i="20"/>
  <c r="F81" i="8"/>
  <c r="F163" i="8"/>
  <c r="F18" i="29"/>
  <c r="F6" i="26"/>
  <c r="F188" i="8"/>
  <c r="F162" i="20"/>
  <c r="C138" i="13"/>
  <c r="F238" i="23"/>
  <c r="F30" i="29"/>
  <c r="F162" i="9"/>
  <c r="F11" i="28"/>
  <c r="F188" i="23"/>
  <c r="F12" i="29"/>
  <c r="F41" i="25"/>
  <c r="F24" i="29"/>
  <c r="F188" i="24"/>
  <c r="F6" i="29"/>
  <c r="F41" i="27"/>
  <c r="P2853" i="22" l="1"/>
  <c r="AJ120" i="22"/>
  <c r="AU650" i="22"/>
  <c r="Z93" i="22"/>
  <c r="F172" i="22"/>
  <c r="P2852" i="22"/>
  <c r="AJ119" i="22"/>
  <c r="AU649" i="22"/>
  <c r="Z92" i="22"/>
  <c r="F171" i="22"/>
  <c r="AU648" i="22"/>
  <c r="P2851" i="22"/>
  <c r="F170" i="22"/>
  <c r="AJ118" i="22"/>
  <c r="Z91" i="22"/>
  <c r="Z90" i="22"/>
  <c r="AU647" i="22"/>
  <c r="P2850" i="22"/>
  <c r="AJ117" i="22"/>
  <c r="F169" i="22"/>
  <c r="P2849" i="22"/>
  <c r="AU646" i="22"/>
  <c r="AJ116" i="22"/>
  <c r="Z89" i="22"/>
  <c r="F168" i="22"/>
  <c r="P2848" i="22"/>
  <c r="AU645" i="22"/>
  <c r="AJ115" i="22"/>
  <c r="F167" i="22"/>
  <c r="Z88" i="22"/>
  <c r="I442" i="22"/>
  <c r="AJ101" i="22"/>
  <c r="AJ109" i="22"/>
  <c r="AJ102" i="22"/>
  <c r="AJ104" i="22"/>
  <c r="AJ112" i="22"/>
  <c r="AJ107" i="22"/>
  <c r="AJ121" i="22"/>
  <c r="AJ110" i="22"/>
  <c r="AJ105" i="22"/>
  <c r="AJ113" i="22"/>
  <c r="AJ111" i="22"/>
  <c r="AJ108" i="22"/>
  <c r="AJ103" i="22"/>
  <c r="AJ106" i="22"/>
  <c r="AJ114" i="22"/>
  <c r="Z76" i="22"/>
  <c r="Z78" i="22"/>
  <c r="Z80" i="22"/>
  <c r="Z82" i="22"/>
  <c r="Z84" i="22"/>
  <c r="Z86" i="22"/>
  <c r="Z94" i="22"/>
  <c r="Z79" i="22"/>
  <c r="Z77" i="22"/>
  <c r="Z81" i="22"/>
  <c r="Z83" i="22"/>
  <c r="Z85" i="22"/>
  <c r="Z87" i="22"/>
  <c r="F32" i="22"/>
  <c r="AU602" i="22"/>
  <c r="AU610" i="22"/>
  <c r="AU618" i="22"/>
  <c r="AU597" i="22"/>
  <c r="AU605" i="22"/>
  <c r="AU613" i="22"/>
  <c r="AU621" i="22"/>
  <c r="AU600" i="22"/>
  <c r="AU608" i="22"/>
  <c r="AU616" i="22"/>
  <c r="AU603" i="22"/>
  <c r="AU611" i="22"/>
  <c r="AU619" i="22"/>
  <c r="AU598" i="22"/>
  <c r="AU606" i="22"/>
  <c r="AU614" i="22"/>
  <c r="AU601" i="22"/>
  <c r="AU609" i="22"/>
  <c r="AU617" i="22"/>
  <c r="AU596" i="22"/>
  <c r="AU604" i="22"/>
  <c r="AU612" i="22"/>
  <c r="AU620" i="22"/>
  <c r="AU599" i="22"/>
  <c r="AU607" i="22"/>
  <c r="AU615" i="22"/>
  <c r="S169" i="22"/>
  <c r="S2856" i="22" s="1"/>
  <c r="P2805" i="22"/>
  <c r="P2812" i="22"/>
  <c r="P2821" i="22"/>
  <c r="P2824" i="22"/>
  <c r="P2818" i="22"/>
  <c r="P2798" i="22"/>
  <c r="P2814" i="22"/>
  <c r="P2823" i="22"/>
  <c r="P2803" i="22"/>
  <c r="P2810" i="22"/>
  <c r="P2819" i="22"/>
  <c r="P2801" i="22"/>
  <c r="P2808" i="22"/>
  <c r="P2817" i="22"/>
  <c r="P2799" i="22"/>
  <c r="P2806" i="22"/>
  <c r="P2815" i="22"/>
  <c r="P2822" i="22"/>
  <c r="P2802" i="22"/>
  <c r="P2811" i="22"/>
  <c r="P2800" i="22"/>
  <c r="P2809" i="22"/>
  <c r="P2804" i="22"/>
  <c r="P2813" i="22"/>
  <c r="P2820" i="22"/>
  <c r="P2816" i="22"/>
  <c r="P2807" i="22"/>
  <c r="I307" i="22"/>
  <c r="P38" i="22"/>
  <c r="P36" i="22"/>
  <c r="P32" i="22"/>
  <c r="AU51" i="22"/>
  <c r="AU49" i="22"/>
  <c r="AU47" i="22"/>
  <c r="AU45" i="22"/>
  <c r="AU43" i="22"/>
  <c r="AU41" i="22"/>
  <c r="AU39" i="22"/>
  <c r="AU37" i="22"/>
  <c r="AU35" i="22"/>
  <c r="AU33" i="22"/>
  <c r="P37" i="22"/>
  <c r="P33" i="22"/>
  <c r="P39" i="22"/>
  <c r="P35" i="22"/>
  <c r="AU52" i="22"/>
  <c r="AU50" i="22"/>
  <c r="AU48" i="22"/>
  <c r="AU46" i="22"/>
  <c r="AU44" i="22"/>
  <c r="AU42" i="22"/>
  <c r="AU40" i="22"/>
  <c r="AU38" i="22"/>
  <c r="AU36" i="22"/>
  <c r="AU34" i="22"/>
  <c r="AU32" i="22"/>
  <c r="P40" i="22"/>
  <c r="P34" i="22"/>
  <c r="P51" i="22"/>
  <c r="P49" i="22"/>
  <c r="P47" i="22"/>
  <c r="P45" i="22"/>
  <c r="P43" i="22"/>
  <c r="P41" i="22"/>
  <c r="P52" i="22"/>
  <c r="P50" i="22"/>
  <c r="P48" i="22"/>
  <c r="P46" i="22"/>
  <c r="P44" i="22"/>
  <c r="P42" i="22"/>
  <c r="P55" i="22"/>
  <c r="P61" i="22"/>
  <c r="P64" i="22"/>
  <c r="P58" i="22"/>
  <c r="P63" i="22"/>
  <c r="P60" i="22"/>
  <c r="P57" i="22"/>
  <c r="P54" i="22"/>
  <c r="P62" i="22"/>
  <c r="P59" i="22"/>
  <c r="P56" i="22"/>
  <c r="P53" i="22"/>
  <c r="I380" i="22"/>
  <c r="P67" i="22"/>
  <c r="P65" i="22"/>
  <c r="P68" i="22"/>
  <c r="P66" i="22"/>
  <c r="AU54" i="22"/>
  <c r="AU53" i="22"/>
  <c r="P70" i="22"/>
  <c r="AU55" i="22"/>
  <c r="P71" i="22"/>
  <c r="P69" i="22"/>
  <c r="P93" i="22"/>
  <c r="P83" i="22"/>
  <c r="P77" i="22"/>
  <c r="P73" i="22"/>
  <c r="P92" i="22"/>
  <c r="P90" i="22"/>
  <c r="P88" i="22"/>
  <c r="P86" i="22"/>
  <c r="P84" i="22"/>
  <c r="P82" i="22"/>
  <c r="P80" i="22"/>
  <c r="P78" i="22"/>
  <c r="P76" i="22"/>
  <c r="P74" i="22"/>
  <c r="P72" i="22"/>
  <c r="P81" i="22"/>
  <c r="AU57" i="22"/>
  <c r="AU56" i="22"/>
  <c r="P91" i="22"/>
  <c r="P89" i="22"/>
  <c r="P87" i="22"/>
  <c r="P85" i="22"/>
  <c r="P79" i="22"/>
  <c r="P75" i="22"/>
  <c r="P106" i="22"/>
  <c r="P104" i="22"/>
  <c r="P102" i="22"/>
  <c r="P100" i="22"/>
  <c r="P98" i="22"/>
  <c r="P96" i="22"/>
  <c r="P94" i="22"/>
  <c r="AU58" i="22"/>
  <c r="P107" i="22"/>
  <c r="P105" i="22"/>
  <c r="P103" i="22"/>
  <c r="P101" i="22"/>
  <c r="P99" i="22"/>
  <c r="P97" i="22"/>
  <c r="P95" i="22"/>
  <c r="AU59" i="22"/>
  <c r="AU60" i="22"/>
  <c r="AU61" i="22"/>
  <c r="P108" i="22"/>
  <c r="AU62" i="22"/>
  <c r="AU63" i="22"/>
  <c r="P126" i="22"/>
  <c r="P124" i="22"/>
  <c r="P122" i="22"/>
  <c r="P120" i="22"/>
  <c r="P118" i="22"/>
  <c r="P116" i="22"/>
  <c r="P114" i="22"/>
  <c r="P112" i="22"/>
  <c r="P110" i="22"/>
  <c r="AU64" i="22"/>
  <c r="P127" i="22"/>
  <c r="P125" i="22"/>
  <c r="P123" i="22"/>
  <c r="P121" i="22"/>
  <c r="P119" i="22"/>
  <c r="P117" i="22"/>
  <c r="P115" i="22"/>
  <c r="P113" i="22"/>
  <c r="P111" i="22"/>
  <c r="P109" i="22"/>
  <c r="P2372" i="22"/>
  <c r="P128" i="22"/>
  <c r="P129" i="22"/>
  <c r="P1115" i="22"/>
  <c r="P1370" i="22"/>
  <c r="P1549" i="22"/>
  <c r="AU336" i="22"/>
  <c r="P570" i="22"/>
  <c r="P2394" i="22"/>
  <c r="P132" i="22"/>
  <c r="P130" i="22"/>
  <c r="P133" i="22"/>
  <c r="P131" i="22"/>
  <c r="AU65" i="22"/>
  <c r="P1873" i="22"/>
  <c r="P933" i="22"/>
  <c r="P970" i="22"/>
  <c r="P1634" i="22"/>
  <c r="P1968" i="22"/>
  <c r="P2480" i="22"/>
  <c r="P980" i="22"/>
  <c r="P1190" i="22"/>
  <c r="P1897" i="22"/>
  <c r="P1988" i="22"/>
  <c r="P2484" i="22"/>
  <c r="P266" i="22"/>
  <c r="Z69" i="22"/>
  <c r="P813" i="22"/>
  <c r="P981" i="22"/>
  <c r="P1227" i="22"/>
  <c r="P1398" i="22"/>
  <c r="P1696" i="22"/>
  <c r="P539" i="22"/>
  <c r="P1989" i="22"/>
  <c r="P2037" i="22"/>
  <c r="F132" i="22"/>
  <c r="P305" i="22"/>
  <c r="P1381" i="22"/>
  <c r="F79" i="22"/>
  <c r="P1384" i="22"/>
  <c r="AU503" i="22"/>
  <c r="P845" i="22"/>
  <c r="P995" i="22"/>
  <c r="P1237" i="22"/>
  <c r="P1480" i="22"/>
  <c r="P1700" i="22"/>
  <c r="AU86" i="22"/>
  <c r="P2504" i="22"/>
  <c r="P2074" i="22"/>
  <c r="P1683" i="22"/>
  <c r="P854" i="22"/>
  <c r="P1066" i="22"/>
  <c r="P1238" i="22"/>
  <c r="P1520" i="22"/>
  <c r="P1728" i="22"/>
  <c r="Z49" i="22"/>
  <c r="AU193" i="22"/>
  <c r="P2196" i="22"/>
  <c r="P1875" i="22"/>
  <c r="P856" i="22"/>
  <c r="P1101" i="22"/>
  <c r="P1260" i="22"/>
  <c r="P1524" i="22"/>
  <c r="P1800" i="22"/>
  <c r="AU104" i="22"/>
  <c r="AU335" i="22"/>
  <c r="AU338" i="22"/>
  <c r="P139" i="22"/>
  <c r="P137" i="22"/>
  <c r="P135" i="22"/>
  <c r="AU67" i="22"/>
  <c r="P140" i="22"/>
  <c r="P138" i="22"/>
  <c r="P136" i="22"/>
  <c r="P134" i="22"/>
  <c r="AU66" i="22"/>
  <c r="P1128" i="22"/>
  <c r="AU449" i="22"/>
  <c r="P371" i="22"/>
  <c r="F37" i="22"/>
  <c r="P875" i="22"/>
  <c r="P1106" i="22"/>
  <c r="P1326" i="22"/>
  <c r="P1534" i="22"/>
  <c r="P1856" i="22"/>
  <c r="F83" i="22"/>
  <c r="P568" i="22"/>
  <c r="P2146" i="22"/>
  <c r="P2837" i="22"/>
  <c r="F191" i="22"/>
  <c r="P294" i="22"/>
  <c r="P790" i="22"/>
  <c r="P907" i="22"/>
  <c r="P1032" i="22"/>
  <c r="P1164" i="22"/>
  <c r="P1299" i="22"/>
  <c r="P1440" i="22"/>
  <c r="P1598" i="22"/>
  <c r="P1776" i="22"/>
  <c r="P1953" i="22"/>
  <c r="AU217" i="22"/>
  <c r="AU515" i="22"/>
  <c r="P2142" i="22"/>
  <c r="P2432" i="22"/>
  <c r="AU94" i="22"/>
  <c r="AU664" i="22"/>
  <c r="P377" i="22"/>
  <c r="P800" i="22"/>
  <c r="P909" i="22"/>
  <c r="P1043" i="22"/>
  <c r="P1174" i="22"/>
  <c r="P1301" i="22"/>
  <c r="P1452" i="22"/>
  <c r="P1614" i="22"/>
  <c r="P1780" i="22"/>
  <c r="AU260" i="22"/>
  <c r="P444" i="22"/>
  <c r="P708" i="22"/>
  <c r="P2500" i="22"/>
  <c r="P2596" i="22"/>
  <c r="Z53" i="22"/>
  <c r="P372" i="22"/>
  <c r="P802" i="22"/>
  <c r="P918" i="22"/>
  <c r="P1044" i="22"/>
  <c r="P1176" i="22"/>
  <c r="P1312" i="22"/>
  <c r="P1454" i="22"/>
  <c r="P1616" i="22"/>
  <c r="P644" i="22"/>
  <c r="AU266" i="22"/>
  <c r="AU261" i="22"/>
  <c r="P2106" i="22"/>
  <c r="P2565" i="22"/>
  <c r="P2706" i="22"/>
  <c r="Z59" i="22"/>
  <c r="AU164" i="22"/>
  <c r="P1004" i="22"/>
  <c r="P1328" i="22"/>
  <c r="P1645" i="22"/>
  <c r="P587" i="22"/>
  <c r="P2263" i="22"/>
  <c r="AJ60" i="22"/>
  <c r="P1077" i="22"/>
  <c r="P1568" i="22"/>
  <c r="AU394" i="22"/>
  <c r="P270" i="22"/>
  <c r="AU166" i="22"/>
  <c r="P473" i="22"/>
  <c r="AU244" i="22"/>
  <c r="P821" i="22"/>
  <c r="P934" i="22"/>
  <c r="P1130" i="22"/>
  <c r="P1261" i="22"/>
  <c r="P1482" i="22"/>
  <c r="P1730" i="22"/>
  <c r="AU356" i="22"/>
  <c r="P2505" i="22"/>
  <c r="P689" i="22"/>
  <c r="P824" i="22"/>
  <c r="P946" i="22"/>
  <c r="P1008" i="22"/>
  <c r="P1140" i="22"/>
  <c r="P1203" i="22"/>
  <c r="P1272" i="22"/>
  <c r="P1341" i="22"/>
  <c r="P1412" i="22"/>
  <c r="P1493" i="22"/>
  <c r="P1652" i="22"/>
  <c r="P1742" i="22"/>
  <c r="P1819" i="22"/>
  <c r="P603" i="22"/>
  <c r="AU146" i="22"/>
  <c r="P602" i="22"/>
  <c r="AU241" i="22"/>
  <c r="P719" i="22"/>
  <c r="P2020" i="22"/>
  <c r="P2580" i="22"/>
  <c r="P2292" i="22"/>
  <c r="AU403" i="22"/>
  <c r="P493" i="22"/>
  <c r="F112" i="22"/>
  <c r="P271" i="22"/>
  <c r="P617" i="22"/>
  <c r="P832" i="22"/>
  <c r="P886" i="22"/>
  <c r="P947" i="22"/>
  <c r="P1016" i="22"/>
  <c r="P1078" i="22"/>
  <c r="P1141" i="22"/>
  <c r="P1212" i="22"/>
  <c r="P1275" i="22"/>
  <c r="P1342" i="22"/>
  <c r="P1422" i="22"/>
  <c r="P1494" i="22"/>
  <c r="P1570" i="22"/>
  <c r="P1664" i="22"/>
  <c r="P1744" i="22"/>
  <c r="P1821" i="22"/>
  <c r="P1929" i="22"/>
  <c r="P609" i="22"/>
  <c r="P338" i="22"/>
  <c r="P715" i="22"/>
  <c r="AU398" i="22"/>
  <c r="AU243" i="22"/>
  <c r="P2081" i="22"/>
  <c r="P2039" i="22"/>
  <c r="P2597" i="22"/>
  <c r="P2395" i="22"/>
  <c r="AU199" i="22"/>
  <c r="P141" i="22"/>
  <c r="AU69" i="22"/>
  <c r="AU70" i="22"/>
  <c r="AU68" i="22"/>
  <c r="P415" i="22"/>
  <c r="AJ87" i="22"/>
  <c r="P2569" i="22"/>
  <c r="P2131" i="22"/>
  <c r="P2286" i="22"/>
  <c r="P2371" i="22"/>
  <c r="P2379" i="22"/>
  <c r="AU463" i="22"/>
  <c r="P2093" i="22"/>
  <c r="P632" i="22"/>
  <c r="P468" i="22"/>
  <c r="P2527" i="22"/>
  <c r="P635" i="22"/>
  <c r="P2104" i="22"/>
  <c r="P1963" i="22"/>
  <c r="AU329" i="22"/>
  <c r="F137" i="22"/>
  <c r="F82" i="22"/>
  <c r="P727" i="22"/>
  <c r="AU307" i="22"/>
  <c r="P1949" i="22"/>
  <c r="P1894" i="22"/>
  <c r="P1841" i="22"/>
  <c r="P1799" i="22"/>
  <c r="P1763" i="22"/>
  <c r="P1716" i="22"/>
  <c r="P1678" i="22"/>
  <c r="P1632" i="22"/>
  <c r="P1584" i="22"/>
  <c r="P1548" i="22"/>
  <c r="P1508" i="22"/>
  <c r="P1469" i="22"/>
  <c r="P1437" i="22"/>
  <c r="P1397" i="22"/>
  <c r="P1357" i="22"/>
  <c r="P1325" i="22"/>
  <c r="P1286" i="22"/>
  <c r="P1251" i="22"/>
  <c r="P1224" i="22"/>
  <c r="P1189" i="22"/>
  <c r="P1154" i="22"/>
  <c r="P1126" i="22"/>
  <c r="P1091" i="22"/>
  <c r="P1056" i="22"/>
  <c r="P1029" i="22"/>
  <c r="P994" i="22"/>
  <c r="P958" i="22"/>
  <c r="P931" i="22"/>
  <c r="P898" i="22"/>
  <c r="P867" i="22"/>
  <c r="P843" i="22"/>
  <c r="P812" i="22"/>
  <c r="P749" i="22"/>
  <c r="Z55" i="22"/>
  <c r="AU135" i="22"/>
  <c r="P351" i="22"/>
  <c r="AU239" i="22"/>
  <c r="P483" i="22"/>
  <c r="AU168" i="22"/>
  <c r="P2021" i="22"/>
  <c r="P2197" i="22"/>
  <c r="P2118" i="22"/>
  <c r="P457" i="22"/>
  <c r="P588" i="22"/>
  <c r="P464" i="22"/>
  <c r="AU110" i="22"/>
  <c r="P476" i="22"/>
  <c r="P1877" i="22"/>
  <c r="AU484" i="22"/>
  <c r="P1749" i="22"/>
  <c r="P1619" i="22"/>
  <c r="P1536" i="22"/>
  <c r="P1496" i="22"/>
  <c r="P1386" i="22"/>
  <c r="P1314" i="22"/>
  <c r="P1248" i="22"/>
  <c r="P1150" i="22"/>
  <c r="P1080" i="22"/>
  <c r="P982" i="22"/>
  <c r="P956" i="22"/>
  <c r="P888" i="22"/>
  <c r="P803" i="22"/>
  <c r="AU211" i="22"/>
  <c r="AU277" i="22"/>
  <c r="P2705" i="22"/>
  <c r="P2449" i="22"/>
  <c r="P2115" i="22"/>
  <c r="P2247" i="22"/>
  <c r="P2254" i="22"/>
  <c r="P2375" i="22"/>
  <c r="AU461" i="22"/>
  <c r="P2173" i="22"/>
  <c r="P620" i="22"/>
  <c r="AU279" i="22"/>
  <c r="P2187" i="22"/>
  <c r="P630" i="22"/>
  <c r="P2026" i="22"/>
  <c r="P2308" i="22"/>
  <c r="P511" i="22"/>
  <c r="F136" i="22"/>
  <c r="AJ67" i="22"/>
  <c r="P718" i="22"/>
  <c r="AU306" i="22"/>
  <c r="P1933" i="22"/>
  <c r="P1889" i="22"/>
  <c r="P1835" i="22"/>
  <c r="AU525" i="22"/>
  <c r="P1762" i="22"/>
  <c r="P1715" i="22"/>
  <c r="P1667" i="22"/>
  <c r="P1630" i="22"/>
  <c r="P1582" i="22"/>
  <c r="P1538" i="22"/>
  <c r="P1507" i="22"/>
  <c r="P1467" i="22"/>
  <c r="P1427" i="22"/>
  <c r="P1396" i="22"/>
  <c r="P1355" i="22"/>
  <c r="P1315" i="22"/>
  <c r="P1285" i="22"/>
  <c r="P1250" i="22"/>
  <c r="P1214" i="22"/>
  <c r="P1187" i="22"/>
  <c r="P1152" i="22"/>
  <c r="P1117" i="22"/>
  <c r="P1090" i="22"/>
  <c r="P1054" i="22"/>
  <c r="P1020" i="22"/>
  <c r="P992" i="22"/>
  <c r="P957" i="22"/>
  <c r="P923" i="22"/>
  <c r="P896" i="22"/>
  <c r="P866" i="22"/>
  <c r="P835" i="22"/>
  <c r="P811" i="22"/>
  <c r="P701" i="22"/>
  <c r="AU80" i="22"/>
  <c r="AJ55" i="22"/>
  <c r="AU136" i="22"/>
  <c r="AU171" i="22"/>
  <c r="AU304" i="22"/>
  <c r="P575" i="22"/>
  <c r="AU220" i="22"/>
  <c r="P2427" i="22"/>
  <c r="P2210" i="22"/>
  <c r="P2088" i="22"/>
  <c r="P577" i="22"/>
  <c r="P2176" i="22"/>
  <c r="P760" i="22"/>
  <c r="AU177" i="22"/>
  <c r="P622" i="22"/>
  <c r="P1833" i="22"/>
  <c r="P1712" i="22"/>
  <c r="P1581" i="22"/>
  <c r="P1464" i="22"/>
  <c r="P1354" i="22"/>
  <c r="P1276" i="22"/>
  <c r="P1179" i="22"/>
  <c r="P1116" i="22"/>
  <c r="P1019" i="22"/>
  <c r="P920" i="22"/>
  <c r="P834" i="22"/>
  <c r="AU509" i="22"/>
  <c r="AJ66" i="22"/>
  <c r="AJ93" i="22"/>
  <c r="P2701" i="22"/>
  <c r="AU445" i="22"/>
  <c r="P2011" i="22"/>
  <c r="P1931" i="22"/>
  <c r="P1666" i="22"/>
  <c r="P1424" i="22"/>
  <c r="P1213" i="22"/>
  <c r="P1053" i="22"/>
  <c r="P864" i="22"/>
  <c r="P2709" i="22"/>
  <c r="AJ91" i="22"/>
  <c r="F51" i="22"/>
  <c r="P328" i="22"/>
  <c r="Z35" i="22"/>
  <c r="P2475" i="22"/>
  <c r="P2283" i="22"/>
  <c r="P2447" i="22"/>
  <c r="P2577" i="22"/>
  <c r="P2071" i="22"/>
  <c r="AU510" i="22"/>
  <c r="P2423" i="22"/>
  <c r="P688" i="22"/>
  <c r="P522" i="22"/>
  <c r="AU230" i="22"/>
  <c r="P700" i="22"/>
  <c r="P2543" i="22"/>
  <c r="P1987" i="22"/>
  <c r="P598" i="22"/>
  <c r="P409" i="22"/>
  <c r="AJ45" i="22"/>
  <c r="AU380" i="22"/>
  <c r="AU253" i="22"/>
  <c r="P1915" i="22"/>
  <c r="P1857" i="22"/>
  <c r="P1815" i="22"/>
  <c r="P1779" i="22"/>
  <c r="P1731" i="22"/>
  <c r="P1694" i="22"/>
  <c r="P1646" i="22"/>
  <c r="P1603" i="22"/>
  <c r="P1566" i="22"/>
  <c r="P1523" i="22"/>
  <c r="P1483" i="22"/>
  <c r="P1451" i="22"/>
  <c r="P1411" i="22"/>
  <c r="P1371" i="22"/>
  <c r="P1339" i="22"/>
  <c r="P1300" i="22"/>
  <c r="P1264" i="22"/>
  <c r="P1236" i="22"/>
  <c r="P1202" i="22"/>
  <c r="P1165" i="22"/>
  <c r="P1139" i="22"/>
  <c r="P1104" i="22"/>
  <c r="P1068" i="22"/>
  <c r="P1042" i="22"/>
  <c r="P1005" i="22"/>
  <c r="P971" i="22"/>
  <c r="P944" i="22"/>
  <c r="P908" i="22"/>
  <c r="P877" i="22"/>
  <c r="P853" i="22"/>
  <c r="P822" i="22"/>
  <c r="P792" i="22"/>
  <c r="Z46" i="22"/>
  <c r="AU120" i="22"/>
  <c r="AU158" i="22"/>
  <c r="P525" i="22"/>
  <c r="P733" i="22"/>
  <c r="AU98" i="22"/>
  <c r="P876" i="22"/>
  <c r="P1067" i="22"/>
  <c r="P1200" i="22"/>
  <c r="P1410" i="22"/>
  <c r="P1555" i="22"/>
  <c r="P1801" i="22"/>
  <c r="P1911" i="22"/>
  <c r="P311" i="22"/>
  <c r="P380" i="22"/>
  <c r="AU504" i="22"/>
  <c r="P2414" i="22"/>
  <c r="P293" i="22"/>
  <c r="P685" i="22"/>
  <c r="P885" i="22"/>
  <c r="P1917" i="22"/>
  <c r="P586" i="22"/>
  <c r="AU223" i="22"/>
  <c r="AU151" i="22"/>
  <c r="P269" i="22"/>
  <c r="P789" i="22"/>
  <c r="P844" i="22"/>
  <c r="P899" i="22"/>
  <c r="P968" i="22"/>
  <c r="P1030" i="22"/>
  <c r="P1093" i="22"/>
  <c r="P1163" i="22"/>
  <c r="P1226" i="22"/>
  <c r="P1288" i="22"/>
  <c r="P1366" i="22"/>
  <c r="P1438" i="22"/>
  <c r="P1509" i="22"/>
  <c r="P1597" i="22"/>
  <c r="P1680" i="22"/>
  <c r="P1764" i="22"/>
  <c r="P1855" i="22"/>
  <c r="P1950" i="22"/>
  <c r="P758" i="22"/>
  <c r="AU206" i="22"/>
  <c r="P1966" i="22"/>
  <c r="P651" i="22"/>
  <c r="P515" i="22"/>
  <c r="P2141" i="22"/>
  <c r="P2398" i="22"/>
  <c r="P2392" i="22"/>
  <c r="P2582" i="22"/>
  <c r="F95" i="22"/>
  <c r="P150" i="22"/>
  <c r="P146" i="22"/>
  <c r="P142" i="22"/>
  <c r="P151" i="22"/>
  <c r="P145" i="22"/>
  <c r="P147" i="22"/>
  <c r="P143" i="22"/>
  <c r="P148" i="22"/>
  <c r="P149" i="22"/>
  <c r="P144" i="22"/>
  <c r="P166" i="22"/>
  <c r="P164" i="22"/>
  <c r="P162" i="22"/>
  <c r="P160" i="22"/>
  <c r="P158" i="22"/>
  <c r="P156" i="22"/>
  <c r="P154" i="22"/>
  <c r="P152" i="22"/>
  <c r="P167" i="22"/>
  <c r="P165" i="22"/>
  <c r="P163" i="22"/>
  <c r="P161" i="22"/>
  <c r="P159" i="22"/>
  <c r="P157" i="22"/>
  <c r="P155" i="22"/>
  <c r="P153" i="22"/>
  <c r="P170" i="22"/>
  <c r="P168" i="22"/>
  <c r="P171" i="22"/>
  <c r="P169" i="22"/>
  <c r="P182" i="22"/>
  <c r="P180" i="22"/>
  <c r="P176" i="22"/>
  <c r="P174" i="22"/>
  <c r="P172" i="22"/>
  <c r="P183" i="22"/>
  <c r="P181" i="22"/>
  <c r="P179" i="22"/>
  <c r="P177" i="22"/>
  <c r="P175" i="22"/>
  <c r="P173" i="22"/>
  <c r="P178" i="22"/>
  <c r="AU530" i="22"/>
  <c r="P184" i="22"/>
  <c r="AU71" i="22"/>
  <c r="P185" i="22"/>
  <c r="AU72" i="22"/>
  <c r="F184" i="22"/>
  <c r="F193" i="22"/>
  <c r="AJ135" i="22"/>
  <c r="F196" i="22"/>
  <c r="P571" i="22"/>
  <c r="P399" i="22"/>
  <c r="F90" i="22"/>
  <c r="P794" i="22"/>
  <c r="P846" i="22"/>
  <c r="P890" i="22"/>
  <c r="P948" i="22"/>
  <c r="P997" i="22"/>
  <c r="P1058" i="22"/>
  <c r="P1118" i="22"/>
  <c r="P1168" i="22"/>
  <c r="P1216" i="22"/>
  <c r="P1266" i="22"/>
  <c r="P1316" i="22"/>
  <c r="P1358" i="22"/>
  <c r="P1413" i="22"/>
  <c r="P1456" i="22"/>
  <c r="P1512" i="22"/>
  <c r="P1556" i="22"/>
  <c r="P1604" i="22"/>
  <c r="P1668" i="22"/>
  <c r="P1717" i="22"/>
  <c r="P1765" i="22"/>
  <c r="P1822" i="22"/>
  <c r="P1878" i="22"/>
  <c r="P1958" i="22"/>
  <c r="AU460" i="22"/>
  <c r="AJ68" i="22"/>
  <c r="F138" i="22"/>
  <c r="AU351" i="22"/>
  <c r="P1996" i="22"/>
  <c r="P659" i="22"/>
  <c r="AU246" i="22"/>
  <c r="AU402" i="22"/>
  <c r="P2364" i="22"/>
  <c r="AU465" i="22"/>
  <c r="P2098" i="22"/>
  <c r="P2290" i="22"/>
  <c r="P2452" i="22"/>
  <c r="Z37" i="22"/>
  <c r="P302" i="22"/>
  <c r="P287" i="22"/>
  <c r="P398" i="22"/>
  <c r="F206" i="22"/>
  <c r="F212" i="22"/>
  <c r="F215" i="22"/>
  <c r="F210" i="22"/>
  <c r="P2868" i="22"/>
  <c r="AJ140" i="22"/>
  <c r="AJ134" i="22"/>
  <c r="F200" i="22"/>
  <c r="F207" i="22"/>
  <c r="P2867" i="22"/>
  <c r="AJ133" i="22"/>
  <c r="F186" i="22"/>
  <c r="F208" i="22"/>
  <c r="F203" i="22"/>
  <c r="F213" i="22"/>
  <c r="F211" i="22"/>
  <c r="P2875" i="22"/>
  <c r="F214" i="22"/>
  <c r="F187" i="22"/>
  <c r="Z106" i="22"/>
  <c r="F181" i="22"/>
  <c r="F205" i="22"/>
  <c r="AJ139" i="22"/>
  <c r="F197" i="22"/>
  <c r="AJ141" i="22"/>
  <c r="F204" i="22"/>
  <c r="F180" i="22"/>
  <c r="P2880" i="22"/>
  <c r="P2871" i="22"/>
  <c r="F185" i="22"/>
  <c r="F183" i="22"/>
  <c r="F201" i="22"/>
  <c r="F209" i="22"/>
  <c r="AU665" i="22"/>
  <c r="F179" i="22"/>
  <c r="AJ137" i="22"/>
  <c r="F189" i="22"/>
  <c r="F202" i="22"/>
  <c r="AU668" i="22"/>
  <c r="P2866" i="22"/>
  <c r="F199" i="22"/>
  <c r="F190" i="22"/>
  <c r="P804" i="22"/>
  <c r="P836" i="22"/>
  <c r="P878" i="22"/>
  <c r="P924" i="22"/>
  <c r="P972" i="22"/>
  <c r="P1010" i="22"/>
  <c r="P1045" i="22"/>
  <c r="P1094" i="22"/>
  <c r="P1131" i="22"/>
  <c r="P1180" i="22"/>
  <c r="P1204" i="22"/>
  <c r="P1240" i="22"/>
  <c r="P1302" i="22"/>
  <c r="P1346" i="22"/>
  <c r="P1400" i="22"/>
  <c r="P1443" i="22"/>
  <c r="P1484" i="22"/>
  <c r="P1540" i="22"/>
  <c r="P1587" i="22"/>
  <c r="P1635" i="22"/>
  <c r="P1701" i="22"/>
  <c r="P1750" i="22"/>
  <c r="P2013" i="22"/>
  <c r="P1843" i="22"/>
  <c r="P1936" i="22"/>
  <c r="AU308" i="22"/>
  <c r="P763" i="22"/>
  <c r="F115" i="22"/>
  <c r="AU281" i="22"/>
  <c r="P2487" i="22"/>
  <c r="P2188" i="22"/>
  <c r="P593" i="22"/>
  <c r="P2206" i="22"/>
  <c r="AU350" i="22"/>
  <c r="P724" i="22"/>
  <c r="P2606" i="22"/>
  <c r="P2140" i="22"/>
  <c r="P2269" i="22"/>
  <c r="P2041" i="22"/>
  <c r="P2293" i="22"/>
  <c r="F198" i="22"/>
  <c r="AU245" i="22"/>
  <c r="F102" i="22"/>
  <c r="P2730" i="22"/>
  <c r="AU666" i="22"/>
  <c r="P2874" i="22"/>
  <c r="P666" i="22"/>
  <c r="P566" i="22"/>
  <c r="P514" i="22"/>
  <c r="P474" i="22"/>
  <c r="P439" i="22"/>
  <c r="P414" i="22"/>
  <c r="AU210" i="22"/>
  <c r="AU180" i="22"/>
  <c r="P345" i="22"/>
  <c r="F104" i="22"/>
  <c r="AU129" i="22"/>
  <c r="AU116" i="22"/>
  <c r="Z64" i="22"/>
  <c r="Z52" i="22"/>
  <c r="F35" i="22"/>
  <c r="AU440" i="22"/>
  <c r="P784" i="22"/>
  <c r="P795" i="22"/>
  <c r="P805" i="22"/>
  <c r="P816" i="22"/>
  <c r="P827" i="22"/>
  <c r="P837" i="22"/>
  <c r="P848" i="22"/>
  <c r="P859" i="22"/>
  <c r="P869" i="22"/>
  <c r="P880" i="22"/>
  <c r="P891" i="22"/>
  <c r="P901" i="22"/>
  <c r="P914" i="22"/>
  <c r="P925" i="22"/>
  <c r="P938" i="22"/>
  <c r="P949" i="22"/>
  <c r="P962" i="22"/>
  <c r="P973" i="22"/>
  <c r="P987" i="22"/>
  <c r="P998" i="22"/>
  <c r="P1011" i="22"/>
  <c r="P1022" i="22"/>
  <c r="P1035" i="22"/>
  <c r="P1046" i="22"/>
  <c r="P1059" i="22"/>
  <c r="P1072" i="22"/>
  <c r="P1084" i="22"/>
  <c r="P1096" i="22"/>
  <c r="P1108" i="22"/>
  <c r="P1120" i="22"/>
  <c r="P1132" i="22"/>
  <c r="P1144" i="22"/>
  <c r="P1157" i="22"/>
  <c r="P1170" i="22"/>
  <c r="P1181" i="22"/>
  <c r="P1194" i="22"/>
  <c r="P1205" i="22"/>
  <c r="P1218" i="22"/>
  <c r="P1229" i="22"/>
  <c r="P1243" i="22"/>
  <c r="P1254" i="22"/>
  <c r="P1267" i="22"/>
  <c r="P1278" i="22"/>
  <c r="P1291" i="22"/>
  <c r="P1304" i="22"/>
  <c r="P1317" i="22"/>
  <c r="P1333" i="22"/>
  <c r="P1347" i="22"/>
  <c r="P1360" i="22"/>
  <c r="P1374" i="22"/>
  <c r="P1388" i="22"/>
  <c r="P1402" i="22"/>
  <c r="P1416" i="22"/>
  <c r="P1430" i="22"/>
  <c r="P1444" i="22"/>
  <c r="P1459" i="22"/>
  <c r="P1472" i="22"/>
  <c r="P1485" i="22"/>
  <c r="P1499" i="22"/>
  <c r="P1514" i="22"/>
  <c r="P1528" i="22"/>
  <c r="P1541" i="22"/>
  <c r="P1557" i="22"/>
  <c r="P1572" i="22"/>
  <c r="P1590" i="22"/>
  <c r="P1605" i="22"/>
  <c r="P1621" i="22"/>
  <c r="P1640" i="22"/>
  <c r="P1654" i="22"/>
  <c r="P1669" i="22"/>
  <c r="P1688" i="22"/>
  <c r="P1704" i="22"/>
  <c r="P1718" i="22"/>
  <c r="P1738" i="22"/>
  <c r="P1752" i="22"/>
  <c r="P1768" i="22"/>
  <c r="P1786" i="22"/>
  <c r="P2075" i="22"/>
  <c r="P1805" i="22"/>
  <c r="P1825" i="22"/>
  <c r="P1845" i="22"/>
  <c r="P1863" i="22"/>
  <c r="P1885" i="22"/>
  <c r="P1901" i="22"/>
  <c r="P1919" i="22"/>
  <c r="P1941" i="22"/>
  <c r="P1959" i="22"/>
  <c r="P454" i="22"/>
  <c r="AU328" i="22"/>
  <c r="AU390" i="22"/>
  <c r="P645" i="22"/>
  <c r="P2267" i="22"/>
  <c r="P278" i="22"/>
  <c r="AU114" i="22"/>
  <c r="P320" i="22"/>
  <c r="F116" i="22"/>
  <c r="AU182" i="22"/>
  <c r="P424" i="22"/>
  <c r="AU290" i="22"/>
  <c r="AU363" i="22"/>
  <c r="P674" i="22"/>
  <c r="P2702" i="22"/>
  <c r="P1973" i="22"/>
  <c r="P1999" i="22"/>
  <c r="P2217" i="22"/>
  <c r="AU369" i="22"/>
  <c r="AU417" i="22"/>
  <c r="P667" i="22"/>
  <c r="P728" i="22"/>
  <c r="P2400" i="22"/>
  <c r="AU203" i="22"/>
  <c r="P434" i="22"/>
  <c r="P491" i="22"/>
  <c r="P537" i="22"/>
  <c r="P589" i="22"/>
  <c r="P657" i="22"/>
  <c r="P725" i="22"/>
  <c r="P2397" i="22"/>
  <c r="P2314" i="22"/>
  <c r="P2622" i="22"/>
  <c r="AU467" i="22"/>
  <c r="P746" i="22"/>
  <c r="P2149" i="22"/>
  <c r="P2462" i="22"/>
  <c r="P2127" i="22"/>
  <c r="P2294" i="22"/>
  <c r="P2448" i="22"/>
  <c r="P2179" i="22"/>
  <c r="P2297" i="22"/>
  <c r="P2473" i="22"/>
  <c r="P2068" i="22"/>
  <c r="P2190" i="22"/>
  <c r="P2298" i="22"/>
  <c r="P2494" i="22"/>
  <c r="P2382" i="22"/>
  <c r="P2534" i="22"/>
  <c r="P481" i="22"/>
  <c r="Z38" i="22"/>
  <c r="F150" i="22"/>
  <c r="AU31" i="22"/>
  <c r="AU269" i="22"/>
  <c r="F74" i="22"/>
  <c r="AU339" i="22"/>
  <c r="F119" i="22"/>
  <c r="P314" i="22"/>
  <c r="P2775" i="22"/>
  <c r="AU663" i="22"/>
  <c r="AU73" i="22"/>
  <c r="P2765" i="22"/>
  <c r="P2742" i="22"/>
  <c r="P2756" i="22"/>
  <c r="P2767" i="22"/>
  <c r="P2627" i="22"/>
  <c r="P2698" i="22"/>
  <c r="P2682" i="22"/>
  <c r="P2666" i="22"/>
  <c r="P2650" i="22"/>
  <c r="P2634" i="22"/>
  <c r="AU623" i="22"/>
  <c r="P2643" i="22"/>
  <c r="P2691" i="22"/>
  <c r="P2669" i="22"/>
  <c r="P2625" i="22"/>
  <c r="P2845" i="22"/>
  <c r="P232" i="22"/>
  <c r="P227" i="22"/>
  <c r="P237" i="22"/>
  <c r="P223" i="22"/>
  <c r="P250" i="22"/>
  <c r="P235" i="22"/>
  <c r="AU567" i="22"/>
  <c r="AU633" i="22"/>
  <c r="AU591" i="22"/>
  <c r="AU592" i="22"/>
  <c r="P2755" i="22"/>
  <c r="P2771" i="22"/>
  <c r="P2750" i="22"/>
  <c r="P2743" i="22"/>
  <c r="AU624" i="22"/>
  <c r="P2696" i="22"/>
  <c r="P2680" i="22"/>
  <c r="P2664" i="22"/>
  <c r="P2648" i="22"/>
  <c r="P2632" i="22"/>
  <c r="P2635" i="22"/>
  <c r="P2689" i="22"/>
  <c r="P2667" i="22"/>
  <c r="AU622" i="22"/>
  <c r="AU640" i="22"/>
  <c r="P219" i="22"/>
  <c r="P236" i="22"/>
  <c r="P209" i="22"/>
  <c r="P241" i="22"/>
  <c r="P247" i="22"/>
  <c r="P231" i="22"/>
  <c r="P255" i="22"/>
  <c r="AU575" i="22"/>
  <c r="AU637" i="22"/>
  <c r="AU636" i="22"/>
  <c r="AU571" i="22"/>
  <c r="AU533" i="22"/>
  <c r="AU554" i="22"/>
  <c r="AU538" i="22"/>
  <c r="AU549" i="22"/>
  <c r="P2729" i="22"/>
  <c r="P2835" i="22"/>
  <c r="P2833" i="22"/>
  <c r="P2732" i="22"/>
  <c r="P2838" i="22"/>
  <c r="P2787" i="22"/>
  <c r="P2726" i="22"/>
  <c r="P2774" i="22"/>
  <c r="P2772" i="22"/>
  <c r="P2749" i="22"/>
  <c r="P2763" i="22"/>
  <c r="P2744" i="22"/>
  <c r="P2681" i="22"/>
  <c r="P2694" i="22"/>
  <c r="P2678" i="22"/>
  <c r="P2662" i="22"/>
  <c r="P2646" i="22"/>
  <c r="P2630" i="22"/>
  <c r="AU594" i="22"/>
  <c r="P2629" i="22"/>
  <c r="P2687" i="22"/>
  <c r="P2663" i="22"/>
  <c r="AU643" i="22"/>
  <c r="F165" i="22"/>
  <c r="AU639" i="22"/>
  <c r="F162" i="22"/>
  <c r="P31" i="22"/>
  <c r="P240" i="22"/>
  <c r="P213" i="22"/>
  <c r="P245" i="22"/>
  <c r="P251" i="22"/>
  <c r="P214" i="22"/>
  <c r="P239" i="22"/>
  <c r="P2766" i="22"/>
  <c r="P2741" i="22"/>
  <c r="P2759" i="22"/>
  <c r="P2769" i="22"/>
  <c r="P2655" i="22"/>
  <c r="P2692" i="22"/>
  <c r="P2676" i="22"/>
  <c r="P2660" i="22"/>
  <c r="P2644" i="22"/>
  <c r="P2628" i="22"/>
  <c r="P2677" i="22"/>
  <c r="AU626" i="22"/>
  <c r="P2685" i="22"/>
  <c r="P2659" i="22"/>
  <c r="P2844" i="22"/>
  <c r="P2843" i="22"/>
  <c r="P212" i="22"/>
  <c r="P244" i="22"/>
  <c r="P217" i="22"/>
  <c r="P249" i="22"/>
  <c r="P210" i="22"/>
  <c r="P222" i="22"/>
  <c r="AU572" i="22"/>
  <c r="AU588" i="22"/>
  <c r="AU577" i="22"/>
  <c r="AU576" i="22"/>
  <c r="AU584" i="22"/>
  <c r="AU531" i="22"/>
  <c r="AU550" i="22"/>
  <c r="AU534" i="22"/>
  <c r="AU541" i="22"/>
  <c r="P2737" i="22"/>
  <c r="P2854" i="22"/>
  <c r="P2708" i="22"/>
  <c r="P2740" i="22"/>
  <c r="P2711" i="22"/>
  <c r="P2714" i="22"/>
  <c r="P2734" i="22"/>
  <c r="F160" i="22"/>
  <c r="F105" i="22"/>
  <c r="AJ78" i="22"/>
  <c r="AU300" i="22"/>
  <c r="AU400" i="22"/>
  <c r="P519" i="22"/>
  <c r="P438" i="22"/>
  <c r="P407" i="22"/>
  <c r="AU183" i="22"/>
  <c r="P349" i="22"/>
  <c r="AU145" i="22"/>
  <c r="AU134" i="22"/>
  <c r="P304" i="22"/>
  <c r="Z65" i="22"/>
  <c r="AU97" i="22"/>
  <c r="AU435" i="22"/>
  <c r="P527" i="22"/>
  <c r="AU288" i="22"/>
  <c r="P403" i="22"/>
  <c r="P373" i="22"/>
  <c r="AU169" i="22"/>
  <c r="AU154" i="22"/>
  <c r="P319" i="22"/>
  <c r="F76" i="22"/>
  <c r="AJ64" i="22"/>
  <c r="Z51" i="22"/>
  <c r="P268" i="22"/>
  <c r="F33" i="22"/>
  <c r="P707" i="22"/>
  <c r="AU330" i="22"/>
  <c r="AU209" i="22"/>
  <c r="AU160" i="22"/>
  <c r="P315" i="22"/>
  <c r="F68" i="22"/>
  <c r="Z50" i="22"/>
  <c r="P264" i="22"/>
  <c r="AU142" i="22"/>
  <c r="Z63" i="22"/>
  <c r="AU322" i="22"/>
  <c r="F144" i="22"/>
  <c r="P2754" i="22"/>
  <c r="P2751" i="22"/>
  <c r="P2631" i="22"/>
  <c r="P2672" i="22"/>
  <c r="P2640" i="22"/>
  <c r="P2661" i="22"/>
  <c r="P2679" i="22"/>
  <c r="P2846" i="22"/>
  <c r="P248" i="22"/>
  <c r="P253" i="22"/>
  <c r="P230" i="22"/>
  <c r="P2748" i="22"/>
  <c r="P2745" i="22"/>
  <c r="AU628" i="22"/>
  <c r="P2670" i="22"/>
  <c r="P2638" i="22"/>
  <c r="P2657" i="22"/>
  <c r="P2673" i="22"/>
  <c r="F164" i="22"/>
  <c r="P252" i="22"/>
  <c r="P257" i="22"/>
  <c r="P238" i="22"/>
  <c r="AU630" i="22"/>
  <c r="AU586" i="22"/>
  <c r="AU566" i="22"/>
  <c r="AU563" i="22"/>
  <c r="AU558" i="22"/>
  <c r="AU536" i="22"/>
  <c r="AU559" i="22"/>
  <c r="P2773" i="22"/>
  <c r="P2735" i="22"/>
  <c r="P2728" i="22"/>
  <c r="P2719" i="22"/>
  <c r="P2836" i="22"/>
  <c r="P2710" i="22"/>
  <c r="AU84" i="22"/>
  <c r="F34" i="22"/>
  <c r="F151" i="22"/>
  <c r="AU442" i="22"/>
  <c r="P526" i="22"/>
  <c r="AU264" i="22"/>
  <c r="P401" i="22"/>
  <c r="F140" i="22"/>
  <c r="P344" i="22"/>
  <c r="AU139" i="22"/>
  <c r="AJ80" i="22"/>
  <c r="Z68" i="22"/>
  <c r="AU99" i="22"/>
  <c r="P616" i="22"/>
  <c r="P518" i="22"/>
  <c r="P445" i="22"/>
  <c r="P385" i="22"/>
  <c r="AU176" i="22"/>
  <c r="AU159" i="22"/>
  <c r="AJ92" i="22"/>
  <c r="F75" i="22"/>
  <c r="P286" i="22"/>
  <c r="AU91" i="22"/>
  <c r="P263" i="22"/>
  <c r="AU478" i="22"/>
  <c r="AU352" i="22"/>
  <c r="AU219" i="22"/>
  <c r="F114" i="22"/>
  <c r="P308" i="22"/>
  <c r="Z61" i="22"/>
  <c r="F44" i="22"/>
  <c r="P336" i="22"/>
  <c r="AU125" i="22"/>
  <c r="P528" i="22"/>
  <c r="AU179" i="22"/>
  <c r="P647" i="22"/>
  <c r="AU299" i="22"/>
  <c r="P397" i="22"/>
  <c r="AU150" i="22"/>
  <c r="AJ82" i="22"/>
  <c r="AU100" i="22"/>
  <c r="F39" i="22"/>
  <c r="F103" i="22"/>
  <c r="AJ41" i="22"/>
  <c r="AU105" i="22"/>
  <c r="F124" i="22"/>
  <c r="AU332" i="22"/>
  <c r="Z34" i="22"/>
  <c r="P284" i="22"/>
  <c r="AU137" i="22"/>
  <c r="AU412" i="22"/>
  <c r="P2611" i="22"/>
  <c r="P2579" i="22"/>
  <c r="P2546" i="22"/>
  <c r="P2511" i="22"/>
  <c r="P2760" i="22"/>
  <c r="P2753" i="22"/>
  <c r="AU595" i="22"/>
  <c r="P2668" i="22"/>
  <c r="P2636" i="22"/>
  <c r="P2649" i="22"/>
  <c r="P2671" i="22"/>
  <c r="P256" i="22"/>
  <c r="P211" i="22"/>
  <c r="P246" i="22"/>
  <c r="AU651" i="22"/>
  <c r="AU568" i="22"/>
  <c r="AU582" i="22"/>
  <c r="AU547" i="22"/>
  <c r="AU556" i="22"/>
  <c r="AU532" i="22"/>
  <c r="AU535" i="22"/>
  <c r="P2758" i="22"/>
  <c r="P2747" i="22"/>
  <c r="P2675" i="22"/>
  <c r="P2690" i="22"/>
  <c r="P2658" i="22"/>
  <c r="P2626" i="22"/>
  <c r="AU593" i="22"/>
  <c r="P2651" i="22"/>
  <c r="AU638" i="22"/>
  <c r="P243" i="22"/>
  <c r="P215" i="22"/>
  <c r="P254" i="22"/>
  <c r="AU564" i="22"/>
  <c r="AU570" i="22"/>
  <c r="AU589" i="22"/>
  <c r="AU632" i="22"/>
  <c r="P2761" i="22"/>
  <c r="P2686" i="22"/>
  <c r="AU627" i="22"/>
  <c r="P2641" i="22"/>
  <c r="P233" i="22"/>
  <c r="AU583" i="22"/>
  <c r="AU587" i="22"/>
  <c r="AU543" i="22"/>
  <c r="AU546" i="22"/>
  <c r="AU545" i="22"/>
  <c r="P2757" i="22"/>
  <c r="P2684" i="22"/>
  <c r="AU625" i="22"/>
  <c r="P2633" i="22"/>
  <c r="F163" i="22"/>
  <c r="P216" i="22"/>
  <c r="P218" i="22"/>
  <c r="AU578" i="22"/>
  <c r="AU579" i="22"/>
  <c r="AU539" i="22"/>
  <c r="AU544" i="22"/>
  <c r="AU537" i="22"/>
  <c r="P2752" i="22"/>
  <c r="P2674" i="22"/>
  <c r="P2665" i="22"/>
  <c r="P220" i="22"/>
  <c r="P226" i="22"/>
  <c r="AU569" i="22"/>
  <c r="AU634" i="22"/>
  <c r="AU557" i="22"/>
  <c r="AU542" i="22"/>
  <c r="AU555" i="22"/>
  <c r="P2721" i="22"/>
  <c r="P2715" i="22"/>
  <c r="P2724" i="22"/>
  <c r="P2727" i="22"/>
  <c r="P2855" i="22"/>
  <c r="F173" i="22"/>
  <c r="AU263" i="22"/>
  <c r="P356" i="22"/>
  <c r="AU428" i="22"/>
  <c r="AU331" i="22"/>
  <c r="P432" i="22"/>
  <c r="F148" i="22"/>
  <c r="P353" i="22"/>
  <c r="AU141" i="22"/>
  <c r="F85" i="22"/>
  <c r="F67" i="22"/>
  <c r="AJ48" i="22"/>
  <c r="AU366" i="22"/>
  <c r="AU313" i="22"/>
  <c r="P402" i="22"/>
  <c r="F141" i="22"/>
  <c r="F118" i="22"/>
  <c r="AJ90" i="22"/>
  <c r="F73" i="22"/>
  <c r="F56" i="22"/>
  <c r="Z43" i="22"/>
  <c r="AU414" i="22"/>
  <c r="P542" i="22"/>
  <c r="AU235" i="22"/>
  <c r="P339" i="22"/>
  <c r="AU122" i="22"/>
  <c r="F57" i="22"/>
  <c r="AJ36" i="22"/>
  <c r="P318" i="22"/>
  <c r="P548" i="22"/>
  <c r="AU189" i="22"/>
  <c r="AU405" i="22"/>
  <c r="AU287" i="22"/>
  <c r="AU188" i="22"/>
  <c r="P325" i="22"/>
  <c r="AJ63" i="22"/>
  <c r="AJ39" i="22"/>
  <c r="F89" i="22"/>
  <c r="AJ34" i="22"/>
  <c r="P300" i="22"/>
  <c r="P396" i="22"/>
  <c r="AU93" i="22"/>
  <c r="AJ83" i="22"/>
  <c r="AU327" i="22"/>
  <c r="P2603" i="22"/>
  <c r="P2567" i="22"/>
  <c r="P2530" i="22"/>
  <c r="P2489" i="22"/>
  <c r="P2455" i="22"/>
  <c r="P2425" i="22"/>
  <c r="P2391" i="22"/>
  <c r="P2704" i="22"/>
  <c r="P2585" i="22"/>
  <c r="P2539" i="22"/>
  <c r="P2506" i="22"/>
  <c r="P2464" i="22"/>
  <c r="P2424" i="22"/>
  <c r="P2369" i="22"/>
  <c r="P2341" i="22"/>
  <c r="P2307" i="22"/>
  <c r="P2273" i="22"/>
  <c r="P2243" i="22"/>
  <c r="P2209" i="22"/>
  <c r="P2180" i="22"/>
  <c r="P2746" i="22"/>
  <c r="P2653" i="22"/>
  <c r="P2656" i="22"/>
  <c r="P2697" i="22"/>
  <c r="P224" i="22"/>
  <c r="P234" i="22"/>
  <c r="AU565" i="22"/>
  <c r="AU553" i="22"/>
  <c r="AU540" i="22"/>
  <c r="AU529" i="22"/>
  <c r="P2725" i="22"/>
  <c r="P2723" i="22"/>
  <c r="P2736" i="22"/>
  <c r="P2731" i="22"/>
  <c r="P2718" i="22"/>
  <c r="F161" i="22"/>
  <c r="P258" i="22"/>
  <c r="P389" i="22"/>
  <c r="P592" i="22"/>
  <c r="AU325" i="22"/>
  <c r="P427" i="22"/>
  <c r="AU186" i="22"/>
  <c r="P348" i="22"/>
  <c r="F98" i="22"/>
  <c r="P292" i="22"/>
  <c r="P731" i="22"/>
  <c r="AU365" i="22"/>
  <c r="P492" i="22"/>
  <c r="AU212" i="22"/>
  <c r="P364" i="22"/>
  <c r="P341" i="22"/>
  <c r="AU133" i="22"/>
  <c r="F72" i="22"/>
  <c r="F55" i="22"/>
  <c r="AU82" i="22"/>
  <c r="P710" i="22"/>
  <c r="AU353" i="22"/>
  <c r="P390" i="22"/>
  <c r="P337" i="22"/>
  <c r="AJ77" i="22"/>
  <c r="F52" i="22"/>
  <c r="Z33" i="22"/>
  <c r="AJ89" i="22"/>
  <c r="AU359" i="22"/>
  <c r="AU178" i="22"/>
  <c r="P549" i="22"/>
  <c r="P446" i="22"/>
  <c r="P357" i="22"/>
  <c r="P317" i="22"/>
  <c r="AU106" i="22"/>
  <c r="F40" i="22"/>
  <c r="AU148" i="22"/>
  <c r="Z36" i="22"/>
  <c r="AJ76" i="22"/>
  <c r="AU213" i="22"/>
  <c r="AJ51" i="22"/>
  <c r="P312" i="22"/>
  <c r="P2637" i="22"/>
  <c r="P2693" i="22"/>
  <c r="P221" i="22"/>
  <c r="AU581" i="22"/>
  <c r="AU562" i="22"/>
  <c r="P2785" i="22"/>
  <c r="P2720" i="22"/>
  <c r="P2779" i="22"/>
  <c r="P2738" i="22"/>
  <c r="Z58" i="22"/>
  <c r="P456" i="22"/>
  <c r="AU354" i="22"/>
  <c r="P433" i="22"/>
  <c r="P366" i="22"/>
  <c r="F107" i="22"/>
  <c r="AU128" i="22"/>
  <c r="P2639" i="22"/>
  <c r="P2683" i="22"/>
  <c r="P225" i="22"/>
  <c r="AU631" i="22"/>
  <c r="AU560" i="22"/>
  <c r="P2789" i="22"/>
  <c r="P2776" i="22"/>
  <c r="P2841" i="22"/>
  <c r="P2832" i="22"/>
  <c r="P536" i="22"/>
  <c r="Z62" i="22"/>
  <c r="P521" i="22"/>
  <c r="AU343" i="22"/>
  <c r="AU236" i="22"/>
  <c r="F139" i="22"/>
  <c r="AU123" i="22"/>
  <c r="F61" i="22"/>
  <c r="AU370" i="22"/>
  <c r="AU285" i="22"/>
  <c r="F156" i="22"/>
  <c r="F121" i="22"/>
  <c r="AU132" i="22"/>
  <c r="AJ65" i="22"/>
  <c r="F46" i="22"/>
  <c r="AU519" i="22"/>
  <c r="AU283" i="22"/>
  <c r="P363" i="22"/>
  <c r="Z72" i="22"/>
  <c r="F45" i="22"/>
  <c r="F99" i="22"/>
  <c r="AU284" i="22"/>
  <c r="P352" i="22"/>
  <c r="AU302" i="22"/>
  <c r="F131" i="22"/>
  <c r="AU89" i="22"/>
  <c r="F109" i="22"/>
  <c r="AJ44" i="22"/>
  <c r="AU191" i="22"/>
  <c r="AJ54" i="22"/>
  <c r="P394" i="22"/>
  <c r="P2595" i="22"/>
  <c r="P2554" i="22"/>
  <c r="P2507" i="22"/>
  <c r="P2470" i="22"/>
  <c r="P2431" i="22"/>
  <c r="P2396" i="22"/>
  <c r="P2620" i="22"/>
  <c r="P2572" i="22"/>
  <c r="P2525" i="22"/>
  <c r="P2488" i="22"/>
  <c r="P2438" i="22"/>
  <c r="P2373" i="22"/>
  <c r="P2345" i="22"/>
  <c r="P2302" i="22"/>
  <c r="P2268" i="22"/>
  <c r="P2229" i="22"/>
  <c r="P2194" i="22"/>
  <c r="P2154" i="22"/>
  <c r="P2126" i="22"/>
  <c r="P2094" i="22"/>
  <c r="P2062" i="22"/>
  <c r="P2030" i="22"/>
  <c r="P2593" i="22"/>
  <c r="P2531" i="22"/>
  <c r="P2472" i="22"/>
  <c r="P2410" i="22"/>
  <c r="P2357" i="22"/>
  <c r="P2318" i="22"/>
  <c r="P2275" i="22"/>
  <c r="P2235" i="22"/>
  <c r="P2195" i="22"/>
  <c r="P2155" i="22"/>
  <c r="P2621" i="22"/>
  <c r="P2559" i="22"/>
  <c r="P2499" i="22"/>
  <c r="P2439" i="22"/>
  <c r="P2408" i="22"/>
  <c r="P2361" i="22"/>
  <c r="P2316" i="22"/>
  <c r="P2266" i="22"/>
  <c r="P2222" i="22"/>
  <c r="P2172" i="22"/>
  <c r="P2135" i="22"/>
  <c r="P2101" i="22"/>
  <c r="P2059" i="22"/>
  <c r="P2608" i="22"/>
  <c r="P2497" i="22"/>
  <c r="P2403" i="22"/>
  <c r="P2306" i="22"/>
  <c r="P2198" i="22"/>
  <c r="P2111" i="22"/>
  <c r="P2065" i="22"/>
  <c r="P2010" i="22"/>
  <c r="P754" i="22"/>
  <c r="AU524" i="22"/>
  <c r="P691" i="22"/>
  <c r="AU491" i="22"/>
  <c r="AU475" i="22"/>
  <c r="AU459" i="22"/>
  <c r="P627" i="22"/>
  <c r="P610" i="22"/>
  <c r="P597" i="22"/>
  <c r="P2523" i="22"/>
  <c r="P2428" i="22"/>
  <c r="P2333" i="22"/>
  <c r="P2215" i="22"/>
  <c r="P2114" i="22"/>
  <c r="P2044" i="22"/>
  <c r="P2454" i="22"/>
  <c r="P2231" i="22"/>
  <c r="P2050" i="22"/>
  <c r="P775" i="22"/>
  <c r="P732" i="22"/>
  <c r="P703" i="22"/>
  <c r="P681" i="22"/>
  <c r="P662" i="22"/>
  <c r="P636" i="22"/>
  <c r="AU439" i="22"/>
  <c r="P600" i="22"/>
  <c r="AU399" i="22"/>
  <c r="P562" i="22"/>
  <c r="P545" i="22"/>
  <c r="P529" i="22"/>
  <c r="P510" i="22"/>
  <c r="AU312" i="22"/>
  <c r="P480" i="22"/>
  <c r="P461" i="22"/>
  <c r="AU262" i="22"/>
  <c r="P431" i="22"/>
  <c r="AU234" i="22"/>
  <c r="AU218" i="22"/>
  <c r="F158" i="22"/>
  <c r="P376" i="22"/>
  <c r="P2501" i="22"/>
  <c r="P2244" i="22"/>
  <c r="P2177" i="22"/>
  <c r="P774" i="22"/>
  <c r="P734" i="22"/>
  <c r="AU523" i="22"/>
  <c r="AU505" i="22"/>
  <c r="AU482" i="22"/>
  <c r="P643" i="22"/>
  <c r="P626" i="22"/>
  <c r="AU424" i="22"/>
  <c r="AU401" i="22"/>
  <c r="AU391" i="22"/>
  <c r="P559" i="22"/>
  <c r="P2584" i="22"/>
  <c r="P2349" i="22"/>
  <c r="P2242" i="22"/>
  <c r="P2107" i="22"/>
  <c r="P2012" i="22"/>
  <c r="P2002" i="22"/>
  <c r="P1994" i="22"/>
  <c r="P1986" i="22"/>
  <c r="P1978" i="22"/>
  <c r="P1970" i="22"/>
  <c r="P1962" i="22"/>
  <c r="P2377" i="22"/>
  <c r="P2544" i="22"/>
  <c r="P757" i="22"/>
  <c r="AU511" i="22"/>
  <c r="AU470" i="22"/>
  <c r="AU409" i="22"/>
  <c r="AU384" i="22"/>
  <c r="AU358" i="22"/>
  <c r="P512" i="22"/>
  <c r="P2770" i="22"/>
  <c r="P2688" i="22"/>
  <c r="P2647" i="22"/>
  <c r="P2762" i="22"/>
  <c r="P2654" i="22"/>
  <c r="P242" i="22"/>
  <c r="AU580" i="22"/>
  <c r="AU548" i="22"/>
  <c r="AU629" i="22"/>
  <c r="AU590" i="22"/>
  <c r="P2695" i="22"/>
  <c r="P2768" i="22"/>
  <c r="P2764" i="22"/>
  <c r="AU574" i="22"/>
  <c r="AU528" i="22"/>
  <c r="P2777" i="22"/>
  <c r="P2780" i="22"/>
  <c r="P2786" i="22"/>
  <c r="AJ56" i="22"/>
  <c r="P694" i="22"/>
  <c r="P472" i="22"/>
  <c r="AU185" i="22"/>
  <c r="F96" i="22"/>
  <c r="AJ69" i="22"/>
  <c r="P660" i="22"/>
  <c r="P505" i="22"/>
  <c r="AU201" i="22"/>
  <c r="P346" i="22"/>
  <c r="AU126" i="22"/>
  <c r="F59" i="22"/>
  <c r="AJ35" i="22"/>
  <c r="AU361" i="22"/>
  <c r="P378" i="22"/>
  <c r="Z42" i="22"/>
  <c r="P316" i="22"/>
  <c r="P405" i="22"/>
  <c r="AU347" i="22"/>
  <c r="AU221" i="22"/>
  <c r="AJ86" i="22"/>
  <c r="AU92" i="22"/>
  <c r="AU196" i="22"/>
  <c r="P275" i="22"/>
  <c r="P261" i="22"/>
  <c r="P307" i="22"/>
  <c r="P2607" i="22"/>
  <c r="P2558" i="22"/>
  <c r="P2502" i="22"/>
  <c r="P2460" i="22"/>
  <c r="P2416" i="22"/>
  <c r="P2376" i="22"/>
  <c r="P2598" i="22"/>
  <c r="P2536" i="22"/>
  <c r="P2491" i="22"/>
  <c r="P2435" i="22"/>
  <c r="P2366" i="22"/>
  <c r="P2326" i="22"/>
  <c r="P2287" i="22"/>
  <c r="P2248" i="22"/>
  <c r="P2204" i="22"/>
  <c r="P2160" i="22"/>
  <c r="P2121" i="22"/>
  <c r="P2084" i="22"/>
  <c r="P2051" i="22"/>
  <c r="P2618" i="22"/>
  <c r="P2553" i="22"/>
  <c r="P2476" i="22"/>
  <c r="P2429" i="22"/>
  <c r="P2354" i="22"/>
  <c r="P2311" i="22"/>
  <c r="P2261" i="22"/>
  <c r="P2221" i="22"/>
  <c r="P2167" i="22"/>
  <c r="P2112" i="22"/>
  <c r="P2574" i="22"/>
  <c r="P2496" i="22"/>
  <c r="P2433" i="22"/>
  <c r="P2393" i="22"/>
  <c r="P2344" i="22"/>
  <c r="P2279" i="22"/>
  <c r="P2233" i="22"/>
  <c r="P2183" i="22"/>
  <c r="P2128" i="22"/>
  <c r="P2086" i="22"/>
  <c r="P2045" i="22"/>
  <c r="P2561" i="22"/>
  <c r="P2457" i="22"/>
  <c r="P2310" i="22"/>
  <c r="P2227" i="22"/>
  <c r="P2096" i="22"/>
  <c r="P2042" i="22"/>
  <c r="P777" i="22"/>
  <c r="P743" i="22"/>
  <c r="AU514" i="22"/>
  <c r="AU495" i="22"/>
  <c r="AU477" i="22"/>
  <c r="AU457" i="22"/>
  <c r="AU438" i="22"/>
  <c r="AU421" i="22"/>
  <c r="P2578" i="22"/>
  <c r="P2463" i="22"/>
  <c r="P2337" i="22"/>
  <c r="P2230" i="22"/>
  <c r="P2102" i="22"/>
  <c r="P2040" i="22"/>
  <c r="P2388" i="22"/>
  <c r="P2125" i="22"/>
  <c r="P2017" i="22"/>
  <c r="P742" i="22"/>
  <c r="AU521" i="22"/>
  <c r="AU496" i="22"/>
  <c r="AU472" i="22"/>
  <c r="AU448" i="22"/>
  <c r="P615" i="22"/>
  <c r="P591" i="22"/>
  <c r="AU382" i="22"/>
  <c r="AU362" i="22"/>
  <c r="AU342" i="22"/>
  <c r="P507" i="22"/>
  <c r="AU305" i="22"/>
  <c r="AU286" i="22"/>
  <c r="AU267" i="22"/>
  <c r="AU251" i="22"/>
  <c r="P419" i="22"/>
  <c r="P400" i="22"/>
  <c r="F147" i="22"/>
  <c r="P2339" i="22"/>
  <c r="P2203" i="22"/>
  <c r="P2048" i="22"/>
  <c r="P737" i="22"/>
  <c r="P705" i="22"/>
  <c r="AU498" i="22"/>
  <c r="AU474" i="22"/>
  <c r="AU453" i="22"/>
  <c r="AU431" i="22"/>
  <c r="AU406" i="22"/>
  <c r="P576" i="22"/>
  <c r="P556" i="22"/>
  <c r="P2540" i="22"/>
  <c r="P2284" i="22"/>
  <c r="P2185" i="22"/>
  <c r="P2058" i="22"/>
  <c r="P2004" i="22"/>
  <c r="P1995" i="22"/>
  <c r="P1985" i="22"/>
  <c r="P1976" i="22"/>
  <c r="P1967" i="22"/>
  <c r="P2541" i="22"/>
  <c r="P2079" i="22"/>
  <c r="P773" i="22"/>
  <c r="P699" i="22"/>
  <c r="P652" i="22"/>
  <c r="P582" i="22"/>
  <c r="P558" i="22"/>
  <c r="AU345" i="22"/>
  <c r="P498" i="22"/>
  <c r="AU296" i="22"/>
  <c r="AU273" i="22"/>
  <c r="AU255" i="22"/>
  <c r="AU233" i="22"/>
  <c r="AU215" i="22"/>
  <c r="P375" i="22"/>
  <c r="P365" i="22"/>
  <c r="AU173" i="22"/>
  <c r="AU162" i="22"/>
  <c r="F110" i="22"/>
  <c r="AJ98" i="22"/>
  <c r="F92" i="22"/>
  <c r="F84" i="22"/>
  <c r="Z75" i="22"/>
  <c r="AU113" i="22"/>
  <c r="F63" i="22"/>
  <c r="Z54" i="22"/>
  <c r="Z48" i="22"/>
  <c r="AU85" i="22"/>
  <c r="P2220" i="22"/>
  <c r="P729" i="22"/>
  <c r="P687" i="22"/>
  <c r="P2717" i="22"/>
  <c r="P2716" i="22"/>
  <c r="P2782" i="22"/>
  <c r="Z67" i="22"/>
  <c r="AU383" i="22"/>
  <c r="AU229" i="22"/>
  <c r="AU157" i="22"/>
  <c r="P298" i="22"/>
  <c r="P730" i="22"/>
  <c r="P502" i="22"/>
  <c r="F145" i="22"/>
  <c r="AJ127" i="22"/>
  <c r="P296" i="22"/>
  <c r="Z44" i="22"/>
  <c r="P605" i="22"/>
  <c r="AU197" i="22"/>
  <c r="F69" i="22"/>
  <c r="Z40" i="22"/>
  <c r="P682" i="22"/>
  <c r="F127" i="22"/>
  <c r="AU249" i="22"/>
  <c r="F101" i="22"/>
  <c r="AJ52" i="22"/>
  <c r="AU291" i="22"/>
  <c r="AU348" i="22"/>
  <c r="Z45" i="22"/>
  <c r="AU228" i="22"/>
  <c r="P2623" i="22"/>
  <c r="P2571" i="22"/>
  <c r="P2516" i="22"/>
  <c r="P2451" i="22"/>
  <c r="P2406" i="22"/>
  <c r="P2707" i="22"/>
  <c r="P2566" i="22"/>
  <c r="P2509" i="22"/>
  <c r="P2442" i="22"/>
  <c r="P2370" i="22"/>
  <c r="P2322" i="22"/>
  <c r="P2278" i="22"/>
  <c r="P2228" i="22"/>
  <c r="P2181" i="22"/>
  <c r="P2137" i="22"/>
  <c r="P2099" i="22"/>
  <c r="P2052" i="22"/>
  <c r="P2613" i="22"/>
  <c r="P2545" i="22"/>
  <c r="P2466" i="22"/>
  <c r="P2389" i="22"/>
  <c r="P2328" i="22"/>
  <c r="P2265" i="22"/>
  <c r="P2224" i="22"/>
  <c r="P2164" i="22"/>
  <c r="P2616" i="22"/>
  <c r="P2537" i="22"/>
  <c r="P2456" i="22"/>
  <c r="P2413" i="22"/>
  <c r="P2355" i="22"/>
  <c r="P2291" i="22"/>
  <c r="P2226" i="22"/>
  <c r="P2168" i="22"/>
  <c r="P2123" i="22"/>
  <c r="P2063" i="22"/>
  <c r="P2605" i="22"/>
  <c r="P2461" i="22"/>
  <c r="P2320" i="22"/>
  <c r="P2191" i="22"/>
  <c r="P2092" i="22"/>
  <c r="P2019" i="22"/>
  <c r="P759" i="22"/>
  <c r="AU520" i="22"/>
  <c r="AU499" i="22"/>
  <c r="AU479" i="22"/>
  <c r="AU455" i="22"/>
  <c r="P618" i="22"/>
  <c r="P601" i="22"/>
  <c r="P2518" i="22"/>
  <c r="P2363" i="22"/>
  <c r="P2252" i="22"/>
  <c r="P2129" i="22"/>
  <c r="P2703" i="22"/>
  <c r="P2324" i="22"/>
  <c r="P2077" i="22"/>
  <c r="P765" i="22"/>
  <c r="P714" i="22"/>
  <c r="P2733" i="22"/>
  <c r="P2784" i="22"/>
  <c r="P2840" i="22"/>
  <c r="P541" i="22"/>
  <c r="P392" i="22"/>
  <c r="AU153" i="22"/>
  <c r="AJ70" i="22"/>
  <c r="AU468" i="22"/>
  <c r="AU275" i="22"/>
  <c r="P367" i="22"/>
  <c r="AU147" i="22"/>
  <c r="P295" i="22"/>
  <c r="P265" i="22"/>
  <c r="P553" i="22"/>
  <c r="F143" i="22"/>
  <c r="P289" i="22"/>
  <c r="AU76" i="22"/>
  <c r="AU427" i="22"/>
  <c r="AU165" i="22"/>
  <c r="AU227" i="22"/>
  <c r="F100" i="22"/>
  <c r="P272" i="22"/>
  <c r="F38" i="22"/>
  <c r="P535" i="22"/>
  <c r="P274" i="22"/>
  <c r="P452" i="22"/>
  <c r="P2619" i="22"/>
  <c r="P2563" i="22"/>
  <c r="P2498" i="22"/>
  <c r="P2446" i="22"/>
  <c r="P2402" i="22"/>
  <c r="P2617" i="22"/>
  <c r="P2555" i="22"/>
  <c r="P2495" i="22"/>
  <c r="P2441" i="22"/>
  <c r="P2365" i="22"/>
  <c r="P2321" i="22"/>
  <c r="P2272" i="22"/>
  <c r="P2223" i="22"/>
  <c r="P2175" i="22"/>
  <c r="P2132" i="22"/>
  <c r="P2089" i="22"/>
  <c r="P2046" i="22"/>
  <c r="P2610" i="22"/>
  <c r="P2528" i="22"/>
  <c r="P2450" i="22"/>
  <c r="P2386" i="22"/>
  <c r="P2325" i="22"/>
  <c r="P2264" i="22"/>
  <c r="P2218" i="22"/>
  <c r="P2156" i="22"/>
  <c r="P2602" i="22"/>
  <c r="P2532" i="22"/>
  <c r="P2453" i="22"/>
  <c r="P2405" i="22"/>
  <c r="P2347" i="22"/>
  <c r="P2276" i="22"/>
  <c r="P2211" i="22"/>
  <c r="P2165" i="22"/>
  <c r="P2120" i="22"/>
  <c r="P2060" i="22"/>
  <c r="P2592" i="22"/>
  <c r="P2458" i="22"/>
  <c r="P2309" i="22"/>
  <c r="P2178" i="22"/>
  <c r="P2091" i="22"/>
  <c r="P2016" i="22"/>
  <c r="P752" i="22"/>
  <c r="AU518" i="22"/>
  <c r="AU497" i="22"/>
  <c r="AU473" i="22"/>
  <c r="P638" i="22"/>
  <c r="AU433" i="22"/>
  <c r="P599" i="22"/>
  <c r="P2503" i="22"/>
  <c r="P2348" i="22"/>
  <c r="P2237" i="22"/>
  <c r="P2097" i="22"/>
  <c r="P2700" i="22"/>
  <c r="P2295" i="22"/>
  <c r="P2047" i="22"/>
  <c r="P764" i="22"/>
  <c r="P711" i="22"/>
  <c r="P686" i="22"/>
  <c r="P654" i="22"/>
  <c r="AU446" i="22"/>
  <c r="AU418" i="22"/>
  <c r="P572" i="22"/>
  <c r="AU367" i="22"/>
  <c r="AU349" i="22"/>
  <c r="AU324" i="22"/>
  <c r="P487" i="22"/>
  <c r="AU282" i="22"/>
  <c r="AU259" i="22"/>
  <c r="P426" i="22"/>
  <c r="P408" i="22"/>
  <c r="P386" i="22"/>
  <c r="AU190" i="22"/>
  <c r="P2327" i="22"/>
  <c r="P2184" i="22"/>
  <c r="P762" i="22"/>
  <c r="P721" i="22"/>
  <c r="AU508" i="22"/>
  <c r="P664" i="22"/>
  <c r="P637" i="22"/>
  <c r="P612" i="22"/>
  <c r="P584" i="22"/>
  <c r="AU387" i="22"/>
  <c r="P552" i="22"/>
  <c r="P2374" i="22"/>
  <c r="P2216" i="22"/>
  <c r="P2061" i="22"/>
  <c r="P2003" i="22"/>
  <c r="P1992" i="22"/>
  <c r="P1982" i="22"/>
  <c r="P1972" i="22"/>
  <c r="P1961" i="22"/>
  <c r="P2162" i="22"/>
  <c r="P2009" i="22"/>
  <c r="P693" i="22"/>
  <c r="AU454" i="22"/>
  <c r="AU392" i="22"/>
  <c r="P546" i="22"/>
  <c r="AU320" i="22"/>
  <c r="P488" i="22"/>
  <c r="AU274" i="22"/>
  <c r="AU248" i="22"/>
  <c r="AU231" i="22"/>
  <c r="P384" i="22"/>
  <c r="P369" i="22"/>
  <c r="P360" i="22"/>
  <c r="F122" i="22"/>
  <c r="F111" i="22"/>
  <c r="AJ97" i="22"/>
  <c r="AJ88" i="22"/>
  <c r="F81" i="22"/>
  <c r="Z73" i="22"/>
  <c r="AU108" i="22"/>
  <c r="P283" i="22"/>
  <c r="P276" i="22"/>
  <c r="AJ40" i="22"/>
  <c r="P2032" i="22"/>
  <c r="P712" i="22"/>
  <c r="P661" i="22"/>
  <c r="AU426" i="22"/>
  <c r="P585" i="22"/>
  <c r="AU378" i="22"/>
  <c r="P538" i="22"/>
  <c r="P509" i="22"/>
  <c r="P485" i="22"/>
  <c r="AU280" i="22"/>
  <c r="AU265" i="22"/>
  <c r="P771" i="22"/>
  <c r="P1956" i="22"/>
  <c r="P1948" i="22"/>
  <c r="P1940" i="22"/>
  <c r="P1932" i="22"/>
  <c r="P1924" i="22"/>
  <c r="P1916" i="22"/>
  <c r="P1908" i="22"/>
  <c r="P1900" i="22"/>
  <c r="P1892" i="22"/>
  <c r="P1884" i="22"/>
  <c r="P1876" i="22"/>
  <c r="P1868" i="22"/>
  <c r="P1860" i="22"/>
  <c r="P1852" i="22"/>
  <c r="P1844" i="22"/>
  <c r="P1836" i="22"/>
  <c r="P1828" i="22"/>
  <c r="P1820" i="22"/>
  <c r="P1812" i="22"/>
  <c r="P1804" i="22"/>
  <c r="P1796" i="22"/>
  <c r="P2024" i="22"/>
  <c r="P663" i="22"/>
  <c r="P1785" i="22"/>
  <c r="P1777" i="22"/>
  <c r="P1769" i="22"/>
  <c r="P1761" i="22"/>
  <c r="P1753" i="22"/>
  <c r="P1745" i="22"/>
  <c r="P1737" i="22"/>
  <c r="P1729" i="22"/>
  <c r="P1721" i="22"/>
  <c r="P1713" i="22"/>
  <c r="P1705" i="22"/>
  <c r="P1697" i="22"/>
  <c r="P1689" i="22"/>
  <c r="P1681" i="22"/>
  <c r="P1673" i="22"/>
  <c r="P1665" i="22"/>
  <c r="P1657" i="22"/>
  <c r="P1649" i="22"/>
  <c r="P1641" i="22"/>
  <c r="P1633" i="22"/>
  <c r="P1625" i="22"/>
  <c r="P1617" i="22"/>
  <c r="P1609" i="22"/>
  <c r="P1601" i="22"/>
  <c r="P1593" i="22"/>
  <c r="P1585" i="22"/>
  <c r="P1577" i="22"/>
  <c r="P1569" i="22"/>
  <c r="P1561" i="22"/>
  <c r="P1553" i="22"/>
  <c r="P1545" i="22"/>
  <c r="P1537" i="22"/>
  <c r="P1529" i="22"/>
  <c r="P1521" i="22"/>
  <c r="P1513" i="22"/>
  <c r="P1505" i="22"/>
  <c r="P1497" i="22"/>
  <c r="P1489" i="22"/>
  <c r="P1481" i="22"/>
  <c r="P1473" i="22"/>
  <c r="P1465" i="22"/>
  <c r="P1457" i="22"/>
  <c r="P1449" i="22"/>
  <c r="P1441" i="22"/>
  <c r="P1433" i="22"/>
  <c r="P1425" i="22"/>
  <c r="P1417" i="22"/>
  <c r="P1409" i="22"/>
  <c r="P1401" i="22"/>
  <c r="P1393" i="22"/>
  <c r="P1385" i="22"/>
  <c r="P1377" i="22"/>
  <c r="P1369" i="22"/>
  <c r="P1361" i="22"/>
  <c r="P1353" i="22"/>
  <c r="P1345" i="22"/>
  <c r="P1337" i="22"/>
  <c r="P1329" i="22"/>
  <c r="P1321" i="22"/>
  <c r="P1313" i="22"/>
  <c r="P1305" i="22"/>
  <c r="P1297" i="22"/>
  <c r="P1289" i="22"/>
  <c r="P1281" i="22"/>
  <c r="P1273" i="22"/>
  <c r="P1265" i="22"/>
  <c r="P1257" i="22"/>
  <c r="P1249" i="22"/>
  <c r="P1241" i="22"/>
  <c r="P1233" i="22"/>
  <c r="P1225" i="22"/>
  <c r="P1217" i="22"/>
  <c r="P1209" i="22"/>
  <c r="P1201" i="22"/>
  <c r="P1193" i="22"/>
  <c r="P1185" i="22"/>
  <c r="P1177" i="22"/>
  <c r="P1169" i="22"/>
  <c r="P1161" i="22"/>
  <c r="P1153" i="22"/>
  <c r="P1145" i="22"/>
  <c r="P1137" i="22"/>
  <c r="P1129" i="22"/>
  <c r="P1121" i="22"/>
  <c r="P1113" i="22"/>
  <c r="P1105" i="22"/>
  <c r="P1097" i="22"/>
  <c r="P1089" i="22"/>
  <c r="P1081" i="22"/>
  <c r="P1073" i="22"/>
  <c r="P1065" i="22"/>
  <c r="P1057" i="22"/>
  <c r="P1049" i="22"/>
  <c r="P1041" i="22"/>
  <c r="P1033" i="22"/>
  <c r="P1025" i="22"/>
  <c r="P1017" i="22"/>
  <c r="P1009" i="22"/>
  <c r="P1001" i="22"/>
  <c r="P993" i="22"/>
  <c r="P985" i="22"/>
  <c r="P977" i="22"/>
  <c r="P969" i="22"/>
  <c r="P961" i="22"/>
  <c r="P953" i="22"/>
  <c r="P945" i="22"/>
  <c r="P937" i="22"/>
  <c r="P929" i="22"/>
  <c r="P921" i="22"/>
  <c r="P913" i="22"/>
  <c r="P905" i="22"/>
  <c r="P897" i="22"/>
  <c r="P889" i="22"/>
  <c r="P881" i="22"/>
  <c r="P873" i="22"/>
  <c r="P865" i="22"/>
  <c r="P857" i="22"/>
  <c r="P849" i="22"/>
  <c r="P841" i="22"/>
  <c r="P833" i="22"/>
  <c r="P825" i="22"/>
  <c r="P817" i="22"/>
  <c r="P809" i="22"/>
  <c r="P801" i="22"/>
  <c r="P793" i="22"/>
  <c r="P785" i="22"/>
  <c r="P679" i="22"/>
  <c r="F43" i="22"/>
  <c r="AU95" i="22"/>
  <c r="P285" i="22"/>
  <c r="AU111" i="22"/>
  <c r="AU118" i="22"/>
  <c r="F86" i="22"/>
  <c r="AU140" i="22"/>
  <c r="F113" i="22"/>
  <c r="P350" i="22"/>
  <c r="AU181" i="22"/>
  <c r="AU204" i="22"/>
  <c r="P425" i="22"/>
  <c r="P482" i="22"/>
  <c r="P513" i="22"/>
  <c r="AU372" i="22"/>
  <c r="AU407" i="22"/>
  <c r="P720" i="22"/>
  <c r="P228" i="22"/>
  <c r="P2645" i="22"/>
  <c r="P229" i="22"/>
  <c r="AU585" i="22"/>
  <c r="AU552" i="22"/>
  <c r="P2839" i="22"/>
  <c r="P2834" i="22"/>
  <c r="P259" i="22"/>
  <c r="AU144" i="22"/>
  <c r="P499" i="22"/>
  <c r="AU192" i="22"/>
  <c r="F94" i="22"/>
  <c r="P291" i="22"/>
  <c r="P551" i="22"/>
  <c r="AU240" i="22"/>
  <c r="P354" i="22"/>
  <c r="P324" i="22"/>
  <c r="AJ58" i="22"/>
  <c r="F36" i="22"/>
  <c r="P503" i="22"/>
  <c r="F106" i="22"/>
  <c r="P288" i="22"/>
  <c r="P333" i="22"/>
  <c r="P465" i="22"/>
  <c r="P340" i="22"/>
  <c r="P395" i="22"/>
  <c r="AU119" i="22"/>
  <c r="AU78" i="22"/>
  <c r="P267" i="22"/>
  <c r="AU161" i="22"/>
  <c r="Z71" i="22"/>
  <c r="P2599" i="22"/>
  <c r="P2542" i="22"/>
  <c r="P2485" i="22"/>
  <c r="P2440" i="22"/>
  <c r="P2387" i="22"/>
  <c r="P2604" i="22"/>
  <c r="P2549" i="22"/>
  <c r="P2481" i="22"/>
  <c r="P2412" i="22"/>
  <c r="P2356" i="22"/>
  <c r="P2312" i="22"/>
  <c r="P2258" i="22"/>
  <c r="P2214" i="22"/>
  <c r="P2166" i="22"/>
  <c r="P2116" i="22"/>
  <c r="P2078" i="22"/>
  <c r="P2036" i="22"/>
  <c r="P2590" i="22"/>
  <c r="P2508" i="22"/>
  <c r="P2444" i="22"/>
  <c r="P2380" i="22"/>
  <c r="P2303" i="22"/>
  <c r="P2257" i="22"/>
  <c r="P2207" i="22"/>
  <c r="P2143" i="22"/>
  <c r="P2594" i="22"/>
  <c r="P2517" i="22"/>
  <c r="P2434" i="22"/>
  <c r="P2390" i="22"/>
  <c r="P2329" i="22"/>
  <c r="P2262" i="22"/>
  <c r="P2200" i="22"/>
  <c r="P2148" i="22"/>
  <c r="P2109" i="22"/>
  <c r="P2049" i="22"/>
  <c r="P2560" i="22"/>
  <c r="P2419" i="22"/>
  <c r="P2289" i="22"/>
  <c r="P2150" i="22"/>
  <c r="P2085" i="22"/>
  <c r="P783" i="22"/>
  <c r="P745" i="22"/>
  <c r="AU512" i="22"/>
  <c r="AU489" i="22"/>
  <c r="AU469" i="22"/>
  <c r="P634" i="22"/>
  <c r="P613" i="22"/>
  <c r="P2609" i="22"/>
  <c r="P2483" i="22"/>
  <c r="P2334" i="22"/>
  <c r="P2161" i="22"/>
  <c r="P2072" i="22"/>
  <c r="P2557" i="22"/>
  <c r="P2205" i="22"/>
  <c r="P2033" i="22"/>
  <c r="P748" i="22"/>
  <c r="P698" i="22"/>
  <c r="P673" i="22"/>
  <c r="AU464" i="22"/>
  <c r="P628" i="22"/>
  <c r="AU411" i="22"/>
  <c r="AU385" i="22"/>
  <c r="P547" i="22"/>
  <c r="AU340" i="22"/>
  <c r="P504" i="22"/>
  <c r="P484" i="22"/>
  <c r="P459" i="22"/>
  <c r="AU257" i="22"/>
  <c r="P423" i="22"/>
  <c r="P404" i="22"/>
  <c r="AU198" i="22"/>
  <c r="P2581" i="22"/>
  <c r="P2245" i="22"/>
  <c r="P2130" i="22"/>
  <c r="P755" i="22"/>
  <c r="P713" i="22"/>
  <c r="P683" i="22"/>
  <c r="P656" i="22"/>
  <c r="P633" i="22"/>
  <c r="P606" i="22"/>
  <c r="P581" i="22"/>
  <c r="P564" i="22"/>
  <c r="P2589" i="22"/>
  <c r="P2305" i="22"/>
  <c r="P2159" i="22"/>
  <c r="P2023" i="22"/>
  <c r="P2000" i="22"/>
  <c r="P1990" i="22"/>
  <c r="P1980" i="22"/>
  <c r="P1969" i="22"/>
  <c r="P2699" i="22"/>
  <c r="P2027" i="22"/>
  <c r="P741" i="22"/>
  <c r="P684" i="22"/>
  <c r="AU429" i="22"/>
  <c r="P569" i="22"/>
  <c r="P534" i="22"/>
  <c r="AU316" i="22"/>
  <c r="AU295" i="22"/>
  <c r="P449" i="22"/>
  <c r="P430" i="22"/>
  <c r="P410" i="22"/>
  <c r="P381" i="22"/>
  <c r="F142" i="22"/>
  <c r="P358" i="22"/>
  <c r="F117" i="22"/>
  <c r="AU149" i="22"/>
  <c r="AJ95" i="22"/>
  <c r="AU130" i="22"/>
  <c r="AU121" i="22"/>
  <c r="AU115" i="22"/>
  <c r="F64" i="22"/>
  <c r="F54" i="22"/>
  <c r="Z47" i="22"/>
  <c r="P2359" i="22"/>
  <c r="P779" i="22"/>
  <c r="AU517" i="22"/>
  <c r="P655" i="22"/>
  <c r="P608" i="22"/>
  <c r="AU397" i="22"/>
  <c r="AU375" i="22"/>
  <c r="P524" i="22"/>
  <c r="AU318" i="22"/>
  <c r="AU293" i="22"/>
  <c r="P458" i="22"/>
  <c r="P441" i="22"/>
  <c r="P740" i="22"/>
  <c r="P1954" i="22"/>
  <c r="P1946" i="22"/>
  <c r="P1938" i="22"/>
  <c r="P1930" i="22"/>
  <c r="P1922" i="22"/>
  <c r="P1914" i="22"/>
  <c r="P1906" i="22"/>
  <c r="P1898" i="22"/>
  <c r="P1890" i="22"/>
  <c r="P1882" i="22"/>
  <c r="P1874" i="22"/>
  <c r="P1866" i="22"/>
  <c r="P1858" i="22"/>
  <c r="P1850" i="22"/>
  <c r="P1842" i="22"/>
  <c r="P1834" i="22"/>
  <c r="P1826" i="22"/>
  <c r="P1818" i="22"/>
  <c r="P1810" i="22"/>
  <c r="P1802" i="22"/>
  <c r="P1794" i="22"/>
  <c r="P769" i="22"/>
  <c r="P1791" i="22"/>
  <c r="P1783" i="22"/>
  <c r="P1775" i="22"/>
  <c r="P1767" i="22"/>
  <c r="P1759" i="22"/>
  <c r="P1751" i="22"/>
  <c r="P1743" i="22"/>
  <c r="P1735" i="22"/>
  <c r="P1727" i="22"/>
  <c r="P1719" i="22"/>
  <c r="P1711" i="22"/>
  <c r="P1703" i="22"/>
  <c r="P1695" i="22"/>
  <c r="P1687" i="22"/>
  <c r="P1679" i="22"/>
  <c r="P1671" i="22"/>
  <c r="P1663" i="22"/>
  <c r="P1655" i="22"/>
  <c r="P1647" i="22"/>
  <c r="P1639" i="22"/>
  <c r="P1631" i="22"/>
  <c r="P1623" i="22"/>
  <c r="P1615" i="22"/>
  <c r="P1607" i="22"/>
  <c r="P1599" i="22"/>
  <c r="P1591" i="22"/>
  <c r="P1583" i="22"/>
  <c r="P1575" i="22"/>
  <c r="P1567" i="22"/>
  <c r="P1559" i="22"/>
  <c r="P1551" i="22"/>
  <c r="P1543" i="22"/>
  <c r="P1535" i="22"/>
  <c r="P1527" i="22"/>
  <c r="P1519" i="22"/>
  <c r="P1511" i="22"/>
  <c r="P1503" i="22"/>
  <c r="P1495" i="22"/>
  <c r="P1487" i="22"/>
  <c r="P1479" i="22"/>
  <c r="P1471" i="22"/>
  <c r="P1463" i="22"/>
  <c r="P1455" i="22"/>
  <c r="P1447" i="22"/>
  <c r="P1439" i="22"/>
  <c r="P1431" i="22"/>
  <c r="P1423" i="22"/>
  <c r="P1415" i="22"/>
  <c r="P1407" i="22"/>
  <c r="P1399" i="22"/>
  <c r="P1391" i="22"/>
  <c r="P1383" i="22"/>
  <c r="P1375" i="22"/>
  <c r="P1367" i="22"/>
  <c r="P1359" i="22"/>
  <c r="P1351" i="22"/>
  <c r="P1343" i="22"/>
  <c r="P1335" i="22"/>
  <c r="P1327" i="22"/>
  <c r="P1319" i="22"/>
  <c r="P1311" i="22"/>
  <c r="P1303" i="22"/>
  <c r="P1295" i="22"/>
  <c r="P1287" i="22"/>
  <c r="P1279" i="22"/>
  <c r="P1271" i="22"/>
  <c r="P1263" i="22"/>
  <c r="P1255" i="22"/>
  <c r="P1247" i="22"/>
  <c r="P1239" i="22"/>
  <c r="P1231" i="22"/>
  <c r="P1223" i="22"/>
  <c r="P1215" i="22"/>
  <c r="P1207" i="22"/>
  <c r="P1199" i="22"/>
  <c r="P1191" i="22"/>
  <c r="P1183" i="22"/>
  <c r="P1175" i="22"/>
  <c r="P1167" i="22"/>
  <c r="P1159" i="22"/>
  <c r="P1151" i="22"/>
  <c r="P1143" i="22"/>
  <c r="P1135" i="22"/>
  <c r="P1127" i="22"/>
  <c r="P1119" i="22"/>
  <c r="P1111" i="22"/>
  <c r="P1103" i="22"/>
  <c r="P1095" i="22"/>
  <c r="P1087" i="22"/>
  <c r="P1079" i="22"/>
  <c r="P1071" i="22"/>
  <c r="P1063" i="22"/>
  <c r="P1055" i="22"/>
  <c r="P1047" i="22"/>
  <c r="P1039" i="22"/>
  <c r="P1031" i="22"/>
  <c r="P1023" i="22"/>
  <c r="P1015" i="22"/>
  <c r="P1007" i="22"/>
  <c r="P999" i="22"/>
  <c r="P991" i="22"/>
  <c r="P983" i="22"/>
  <c r="P975" i="22"/>
  <c r="P967" i="22"/>
  <c r="P959" i="22"/>
  <c r="P951" i="22"/>
  <c r="P943" i="22"/>
  <c r="P935" i="22"/>
  <c r="P927" i="22"/>
  <c r="P919" i="22"/>
  <c r="P911" i="22"/>
  <c r="P903" i="22"/>
  <c r="P895" i="22"/>
  <c r="P887" i="22"/>
  <c r="P879" i="22"/>
  <c r="P871" i="22"/>
  <c r="P863" i="22"/>
  <c r="P855" i="22"/>
  <c r="P847" i="22"/>
  <c r="P839" i="22"/>
  <c r="P831" i="22"/>
  <c r="P823" i="22"/>
  <c r="P815" i="22"/>
  <c r="P807" i="22"/>
  <c r="P799" i="22"/>
  <c r="P791" i="22"/>
  <c r="P781" i="22"/>
  <c r="AU462" i="22"/>
  <c r="Z32" i="22"/>
  <c r="AU81" i="22"/>
  <c r="AJ43" i="22"/>
  <c r="P281" i="22"/>
  <c r="F62" i="22"/>
  <c r="F71" i="22"/>
  <c r="Z100" i="22"/>
  <c r="AU143" i="22"/>
  <c r="AU170" i="22"/>
  <c r="P370" i="22"/>
  <c r="AU205" i="22"/>
  <c r="AU225" i="22"/>
  <c r="P460" i="22"/>
  <c r="AU303" i="22"/>
  <c r="AU381" i="22"/>
  <c r="AU420" i="22"/>
  <c r="P747" i="22"/>
  <c r="AU635" i="22"/>
  <c r="AU561" i="22"/>
  <c r="P2739" i="22"/>
  <c r="P2778" i="22"/>
  <c r="P736" i="22"/>
  <c r="F152" i="22"/>
  <c r="F87" i="22"/>
  <c r="P531" i="22"/>
  <c r="P379" i="22"/>
  <c r="AJ79" i="22"/>
  <c r="AJ37" i="22"/>
  <c r="P428" i="22"/>
  <c r="F60" i="22"/>
  <c r="P290" i="22"/>
  <c r="AU323" i="22"/>
  <c r="P313" i="22"/>
  <c r="AU112" i="22"/>
  <c r="AU174" i="22"/>
  <c r="P2591" i="22"/>
  <c r="P2520" i="22"/>
  <c r="P2426" i="22"/>
  <c r="P2614" i="22"/>
  <c r="P2519" i="22"/>
  <c r="P2409" i="22"/>
  <c r="P2331" i="22"/>
  <c r="P2249" i="22"/>
  <c r="P2171" i="22"/>
  <c r="P2105" i="22"/>
  <c r="P2035" i="22"/>
  <c r="P2548" i="22"/>
  <c r="P2407" i="22"/>
  <c r="P2315" i="22"/>
  <c r="P2232" i="22"/>
  <c r="P2134" i="22"/>
  <c r="P2551" i="22"/>
  <c r="P2418" i="22"/>
  <c r="P2332" i="22"/>
  <c r="P2239" i="22"/>
  <c r="P2147" i="22"/>
  <c r="P2064" i="22"/>
  <c r="P2515" i="22"/>
  <c r="P2299" i="22"/>
  <c r="P2139" i="22"/>
  <c r="P778" i="22"/>
  <c r="AU522" i="22"/>
  <c r="AU485" i="22"/>
  <c r="AU452" i="22"/>
  <c r="P604" i="22"/>
  <c r="P2459" i="22"/>
  <c r="P2277" i="22"/>
  <c r="P2066" i="22"/>
  <c r="P2270" i="22"/>
  <c r="P782" i="22"/>
  <c r="AU513" i="22"/>
  <c r="P665" i="22"/>
  <c r="P631" i="22"/>
  <c r="P594" i="22"/>
  <c r="AU377" i="22"/>
  <c r="P533" i="22"/>
  <c r="P501" i="22"/>
  <c r="AU292" i="22"/>
  <c r="P447" i="22"/>
  <c r="P421" i="22"/>
  <c r="AU208" i="22"/>
  <c r="F149" i="22"/>
  <c r="P2241" i="22"/>
  <c r="P2053" i="22"/>
  <c r="P722" i="22"/>
  <c r="P680" i="22"/>
  <c r="P648" i="22"/>
  <c r="AU436" i="22"/>
  <c r="AU396" i="22"/>
  <c r="AU371" i="22"/>
  <c r="P2471" i="22"/>
  <c r="P2133" i="22"/>
  <c r="P2007" i="22"/>
  <c r="P1993" i="22"/>
  <c r="P1979" i="22"/>
  <c r="P1965" i="22"/>
  <c r="P2163" i="22"/>
  <c r="P738" i="22"/>
  <c r="P668" i="22"/>
  <c r="P578" i="22"/>
  <c r="AU346" i="22"/>
  <c r="AU309" i="22"/>
  <c r="P462" i="22"/>
  <c r="P429" i="22"/>
  <c r="AU216" i="22"/>
  <c r="AU187" i="22"/>
  <c r="P355" i="22"/>
  <c r="AU156" i="22"/>
  <c r="P327" i="22"/>
  <c r="AJ85" i="22"/>
  <c r="AJ74" i="22"/>
  <c r="AU109" i="22"/>
  <c r="P279" i="22"/>
  <c r="AU88" i="22"/>
  <c r="P2090" i="22"/>
  <c r="P696" i="22"/>
  <c r="AU456" i="22"/>
  <c r="AU404" i="22"/>
  <c r="P544" i="22"/>
  <c r="P517" i="22"/>
  <c r="P486" i="22"/>
  <c r="AU272" i="22"/>
  <c r="P435" i="22"/>
  <c r="P1957" i="22"/>
  <c r="P1945" i="22"/>
  <c r="P1935" i="22"/>
  <c r="P1925" i="22"/>
  <c r="P1913" i="22"/>
  <c r="P1903" i="22"/>
  <c r="P1893" i="22"/>
  <c r="P1881" i="22"/>
  <c r="P1871" i="22"/>
  <c r="P1861" i="22"/>
  <c r="P1849" i="22"/>
  <c r="P1839" i="22"/>
  <c r="P1829" i="22"/>
  <c r="P1817" i="22"/>
  <c r="P1807" i="22"/>
  <c r="P1797" i="22"/>
  <c r="P717" i="22"/>
  <c r="P1788" i="22"/>
  <c r="P1778" i="22"/>
  <c r="P1766" i="22"/>
  <c r="P1756" i="22"/>
  <c r="P1746" i="22"/>
  <c r="P1734" i="22"/>
  <c r="P1724" i="22"/>
  <c r="P1714" i="22"/>
  <c r="P1702" i="22"/>
  <c r="P1692" i="22"/>
  <c r="P1682" i="22"/>
  <c r="P1670" i="22"/>
  <c r="P1660" i="22"/>
  <c r="P1650" i="22"/>
  <c r="P1638" i="22"/>
  <c r="P1628" i="22"/>
  <c r="P1618" i="22"/>
  <c r="P1606" i="22"/>
  <c r="P1596" i="22"/>
  <c r="P1586" i="22"/>
  <c r="P1574" i="22"/>
  <c r="P1564" i="22"/>
  <c r="P1554" i="22"/>
  <c r="P1542" i="22"/>
  <c r="P1532" i="22"/>
  <c r="P1522" i="22"/>
  <c r="P1510" i="22"/>
  <c r="P1500" i="22"/>
  <c r="P1490" i="22"/>
  <c r="P1478" i="22"/>
  <c r="P1468" i="22"/>
  <c r="P1458" i="22"/>
  <c r="P1446" i="22"/>
  <c r="P1436" i="22"/>
  <c r="P1426" i="22"/>
  <c r="P1414" i="22"/>
  <c r="P1404" i="22"/>
  <c r="P1394" i="22"/>
  <c r="P1382" i="22"/>
  <c r="P1372" i="22"/>
  <c r="P1362" i="22"/>
  <c r="P1350" i="22"/>
  <c r="P1340" i="22"/>
  <c r="P1330" i="22"/>
  <c r="P1318" i="22"/>
  <c r="P1308" i="22"/>
  <c r="P1298" i="22"/>
  <c r="AU573" i="22"/>
  <c r="AU551" i="22"/>
  <c r="P2783" i="22"/>
  <c r="P2722" i="22"/>
  <c r="F159" i="22"/>
  <c r="P669" i="22"/>
  <c r="F135" i="22"/>
  <c r="AU117" i="22"/>
  <c r="P530" i="22"/>
  <c r="AU175" i="22"/>
  <c r="AJ75" i="22"/>
  <c r="AJ32" i="22"/>
  <c r="P387" i="22"/>
  <c r="F49" i="22"/>
  <c r="AU423" i="22"/>
  <c r="P495" i="22"/>
  <c r="Z70" i="22"/>
  <c r="P306" i="22"/>
  <c r="AJ99" i="22"/>
  <c r="AJ33" i="22"/>
  <c r="AU314" i="22"/>
  <c r="P2587" i="22"/>
  <c r="P2493" i="22"/>
  <c r="P2421" i="22"/>
  <c r="P2601" i="22"/>
  <c r="P2512" i="22"/>
  <c r="P2399" i="22"/>
  <c r="P2317" i="22"/>
  <c r="P2238" i="22"/>
  <c r="P2153" i="22"/>
  <c r="P2100" i="22"/>
  <c r="P2025" i="22"/>
  <c r="P2513" i="22"/>
  <c r="P2404" i="22"/>
  <c r="P2300" i="22"/>
  <c r="P2225" i="22"/>
  <c r="P2122" i="22"/>
  <c r="P2529" i="22"/>
  <c r="P2417" i="22"/>
  <c r="P2319" i="22"/>
  <c r="P2236" i="22"/>
  <c r="P2144" i="22"/>
  <c r="P2056" i="22"/>
  <c r="P2492" i="22"/>
  <c r="P2288" i="22"/>
  <c r="P2095" i="22"/>
  <c r="P770" i="22"/>
  <c r="AU516" i="22"/>
  <c r="AU483" i="22"/>
  <c r="AU447" i="22"/>
  <c r="AU419" i="22"/>
  <c r="P2437" i="22"/>
  <c r="P2212" i="22"/>
  <c r="P2055" i="22"/>
  <c r="P2202" i="22"/>
  <c r="P772" i="22"/>
  <c r="P695" i="22"/>
  <c r="AU480" i="22"/>
  <c r="P629" i="22"/>
  <c r="AU408" i="22"/>
  <c r="AU374" i="22"/>
  <c r="P532" i="22"/>
  <c r="AU317" i="22"/>
  <c r="AU289" i="22"/>
  <c r="P442" i="22"/>
  <c r="P416" i="22"/>
  <c r="P391" i="22"/>
  <c r="P2586" i="22"/>
  <c r="P2240" i="22"/>
  <c r="P776" i="22"/>
  <c r="P716" i="22"/>
  <c r="P675" i="22"/>
  <c r="AU458" i="22"/>
  <c r="P611" i="22"/>
  <c r="P579" i="22"/>
  <c r="P554" i="22"/>
  <c r="P2342" i="22"/>
  <c r="P2108" i="22"/>
  <c r="P2006" i="22"/>
  <c r="P1991" i="22"/>
  <c r="P1977" i="22"/>
  <c r="P1964" i="22"/>
  <c r="P2080" i="22"/>
  <c r="AU657" i="22"/>
  <c r="P658" i="22"/>
  <c r="P573" i="22"/>
  <c r="AU344" i="22"/>
  <c r="P490" i="22"/>
  <c r="AU268" i="22"/>
  <c r="AU242" i="22"/>
  <c r="AU207" i="22"/>
  <c r="P368" i="22"/>
  <c r="F128" i="22"/>
  <c r="AU155" i="22"/>
  <c r="AJ96" i="22"/>
  <c r="AJ84" i="22"/>
  <c r="Z74" i="22"/>
  <c r="F65" i="22"/>
  <c r="F53" i="22"/>
  <c r="AU87" i="22"/>
  <c r="P2031" i="22"/>
  <c r="AU507" i="22"/>
  <c r="P639" i="22"/>
  <c r="P583" i="22"/>
  <c r="P543" i="22"/>
  <c r="P516" i="22"/>
  <c r="AU294" i="22"/>
  <c r="AU271" i="22"/>
  <c r="P422" i="22"/>
  <c r="P1955" i="22"/>
  <c r="P1944" i="22"/>
  <c r="P1934" i="22"/>
  <c r="P1923" i="22"/>
  <c r="P1912" i="22"/>
  <c r="P1902" i="22"/>
  <c r="P1891" i="22"/>
  <c r="P1880" i="22"/>
  <c r="P1870" i="22"/>
  <c r="P1859" i="22"/>
  <c r="P1848" i="22"/>
  <c r="P1838" i="22"/>
  <c r="P1827" i="22"/>
  <c r="P1816" i="22"/>
  <c r="P1806" i="22"/>
  <c r="P1795" i="22"/>
  <c r="P2652" i="22"/>
  <c r="P2713" i="22"/>
  <c r="AJ50" i="22"/>
  <c r="P451" i="22"/>
  <c r="F88" i="22"/>
  <c r="P506" i="22"/>
  <c r="P335" i="22"/>
  <c r="AU90" i="22"/>
  <c r="P323" i="22"/>
  <c r="P332" i="22"/>
  <c r="AU326" i="22"/>
  <c r="Z57" i="22"/>
  <c r="F47" i="22"/>
  <c r="P555" i="22"/>
  <c r="P342" i="22"/>
  <c r="P2575" i="22"/>
  <c r="P2465" i="22"/>
  <c r="P2367" i="22"/>
  <c r="P2478" i="22"/>
  <c r="P2351" i="22"/>
  <c r="P2253" i="22"/>
  <c r="P2145" i="22"/>
  <c r="P2067" i="22"/>
  <c r="P2568" i="22"/>
  <c r="P2383" i="22"/>
  <c r="P2260" i="22"/>
  <c r="P2152" i="22"/>
  <c r="P2482" i="22"/>
  <c r="P2368" i="22"/>
  <c r="P2251" i="22"/>
  <c r="P2124" i="22"/>
  <c r="P2018" i="22"/>
  <c r="P2330" i="22"/>
  <c r="P2082" i="22"/>
  <c r="P739" i="22"/>
  <c r="AU487" i="22"/>
  <c r="AU441" i="22"/>
  <c r="P2562" i="22"/>
  <c r="P2313" i="22"/>
  <c r="P2570" i="22"/>
  <c r="P2038" i="22"/>
  <c r="P706" i="22"/>
  <c r="P649" i="22"/>
  <c r="P614" i="22"/>
  <c r="P565" i="22"/>
  <c r="AU337" i="22"/>
  <c r="AU301" i="22"/>
  <c r="P450" i="22"/>
  <c r="P412" i="22"/>
  <c r="F154" i="22"/>
  <c r="P2296" i="22"/>
  <c r="P756" i="22"/>
  <c r="P697" i="22"/>
  <c r="AU466" i="22"/>
  <c r="P596" i="22"/>
  <c r="P567" i="22"/>
  <c r="P2486" i="22"/>
  <c r="P2087" i="22"/>
  <c r="P1998" i="22"/>
  <c r="P1981" i="22"/>
  <c r="P1960" i="22"/>
  <c r="P2282" i="22"/>
  <c r="AU486" i="22"/>
  <c r="P560" i="22"/>
  <c r="AU319" i="22"/>
  <c r="P463" i="22"/>
  <c r="AU237" i="22"/>
  <c r="AU195" i="22"/>
  <c r="F133" i="22"/>
  <c r="P334" i="22"/>
  <c r="F93" i="22"/>
  <c r="P303" i="22"/>
  <c r="AJ59" i="22"/>
  <c r="AJ47" i="22"/>
  <c r="P2256" i="22"/>
  <c r="AU492" i="22"/>
  <c r="AU416" i="22"/>
  <c r="P561" i="22"/>
  <c r="P508" i="22"/>
  <c r="P470" i="22"/>
  <c r="P436" i="22"/>
  <c r="P1952" i="22"/>
  <c r="P1939" i="22"/>
  <c r="P1926" i="22"/>
  <c r="P1910" i="22"/>
  <c r="P1896" i="22"/>
  <c r="P1883" i="22"/>
  <c r="P1867" i="22"/>
  <c r="P1854" i="22"/>
  <c r="P1840" i="22"/>
  <c r="P1824" i="22"/>
  <c r="P1811" i="22"/>
  <c r="P1798" i="22"/>
  <c r="P704" i="22"/>
  <c r="P1784" i="22"/>
  <c r="P1772" i="22"/>
  <c r="P1760" i="22"/>
  <c r="P1748" i="22"/>
  <c r="P1736" i="22"/>
  <c r="P1723" i="22"/>
  <c r="P1710" i="22"/>
  <c r="P1699" i="22"/>
  <c r="P1686" i="22"/>
  <c r="P1675" i="22"/>
  <c r="P1662" i="22"/>
  <c r="P1651" i="22"/>
  <c r="P1637" i="22"/>
  <c r="P1626" i="22"/>
  <c r="P1613" i="22"/>
  <c r="P1602" i="22"/>
  <c r="P1589" i="22"/>
  <c r="P1578" i="22"/>
  <c r="P1565" i="22"/>
  <c r="P1552" i="22"/>
  <c r="P2781" i="22"/>
  <c r="P280" i="22"/>
  <c r="P437" i="22"/>
  <c r="F70" i="22"/>
  <c r="AU250" i="22"/>
  <c r="P330" i="22"/>
  <c r="Z31" i="22"/>
  <c r="AJ94" i="22"/>
  <c r="AU138" i="22"/>
  <c r="P478" i="22"/>
  <c r="AJ53" i="22"/>
  <c r="Z66" i="22"/>
  <c r="P2550" i="22"/>
  <c r="P2445" i="22"/>
  <c r="P2588" i="22"/>
  <c r="P2467" i="22"/>
  <c r="P2346" i="22"/>
  <c r="P2234" i="22"/>
  <c r="P2138" i="22"/>
  <c r="P2057" i="22"/>
  <c r="P2490" i="22"/>
  <c r="P2353" i="22"/>
  <c r="P2250" i="22"/>
  <c r="P2119" i="22"/>
  <c r="P2477" i="22"/>
  <c r="P2362" i="22"/>
  <c r="P2201" i="22"/>
  <c r="P2113" i="22"/>
  <c r="P2564" i="22"/>
  <c r="P2274" i="22"/>
  <c r="P2054" i="22"/>
  <c r="P723" i="22"/>
  <c r="AU481" i="22"/>
  <c r="P621" i="22"/>
  <c r="P2535" i="22"/>
  <c r="P2158" i="22"/>
  <c r="P2521" i="22"/>
  <c r="P2029" i="22"/>
  <c r="AU506" i="22"/>
  <c r="P646" i="22"/>
  <c r="AU422" i="22"/>
  <c r="P557" i="22"/>
  <c r="P520" i="22"/>
  <c r="AU298" i="22"/>
  <c r="P440" i="22"/>
  <c r="AU226" i="22"/>
  <c r="AU194" i="22"/>
  <c r="P2213" i="22"/>
  <c r="P753" i="22"/>
  <c r="P692" i="22"/>
  <c r="P640" i="22"/>
  <c r="P595" i="22"/>
  <c r="AU379" i="22"/>
  <c r="P2281" i="22"/>
  <c r="P2070" i="22"/>
  <c r="P1997" i="22"/>
  <c r="P1975" i="22"/>
  <c r="P2510" i="22"/>
  <c r="P2028" i="22"/>
  <c r="P642" i="22"/>
  <c r="AU373" i="22"/>
  <c r="AU311" i="22"/>
  <c r="P448" i="22"/>
  <c r="AU232" i="22"/>
  <c r="P374" i="22"/>
  <c r="F126" i="22"/>
  <c r="P331" i="22"/>
  <c r="F91" i="22"/>
  <c r="AJ73" i="22"/>
  <c r="AU102" i="22"/>
  <c r="AJ46" i="22"/>
  <c r="P767" i="22"/>
  <c r="P671" i="22"/>
  <c r="AU410" i="22"/>
  <c r="AU357" i="22"/>
  <c r="P500" i="22"/>
  <c r="P469" i="22"/>
  <c r="P2600" i="22"/>
  <c r="P1951" i="22"/>
  <c r="P1937" i="22"/>
  <c r="P1921" i="22"/>
  <c r="P1909" i="22"/>
  <c r="P1895" i="22"/>
  <c r="P1879" i="22"/>
  <c r="P1865" i="22"/>
  <c r="P1853" i="22"/>
  <c r="P1837" i="22"/>
  <c r="P1823" i="22"/>
  <c r="P1809" i="22"/>
  <c r="P1793" i="22"/>
  <c r="P676" i="22"/>
  <c r="P1782" i="22"/>
  <c r="P1771" i="22"/>
  <c r="P1758" i="22"/>
  <c r="P1747" i="22"/>
  <c r="P1733" i="22"/>
  <c r="P1722" i="22"/>
  <c r="P1709" i="22"/>
  <c r="P1698" i="22"/>
  <c r="P1685" i="22"/>
  <c r="P1674" i="22"/>
  <c r="P1661" i="22"/>
  <c r="P1648" i="22"/>
  <c r="P1636" i="22"/>
  <c r="P1624" i="22"/>
  <c r="P1612" i="22"/>
  <c r="P1600" i="22"/>
  <c r="P1588" i="22"/>
  <c r="P1576" i="22"/>
  <c r="P1563" i="22"/>
  <c r="P1550" i="22"/>
  <c r="P1539" i="22"/>
  <c r="P1526" i="22"/>
  <c r="P1515" i="22"/>
  <c r="P1502" i="22"/>
  <c r="P1491" i="22"/>
  <c r="P1477" i="22"/>
  <c r="P1466" i="22"/>
  <c r="P1453" i="22"/>
  <c r="P1442" i="22"/>
  <c r="P1429" i="22"/>
  <c r="P1418" i="22"/>
  <c r="P1405" i="22"/>
  <c r="P1392" i="22"/>
  <c r="P1380" i="22"/>
  <c r="P1368" i="22"/>
  <c r="P1356" i="22"/>
  <c r="P1344" i="22"/>
  <c r="P1332" i="22"/>
  <c r="P1320" i="22"/>
  <c r="P1307" i="22"/>
  <c r="P1294" i="22"/>
  <c r="P1284" i="22"/>
  <c r="P1274" i="22"/>
  <c r="P1262" i="22"/>
  <c r="P1252" i="22"/>
  <c r="P1242" i="22"/>
  <c r="P1230" i="22"/>
  <c r="P1220" i="22"/>
  <c r="P1210" i="22"/>
  <c r="P1198" i="22"/>
  <c r="P1188" i="22"/>
  <c r="P1178" i="22"/>
  <c r="P1166" i="22"/>
  <c r="P1156" i="22"/>
  <c r="P1146" i="22"/>
  <c r="P1134" i="22"/>
  <c r="P1124" i="22"/>
  <c r="P1114" i="22"/>
  <c r="P1102" i="22"/>
  <c r="P1092" i="22"/>
  <c r="P1082" i="22"/>
  <c r="P1070" i="22"/>
  <c r="P1060" i="22"/>
  <c r="P1050" i="22"/>
  <c r="P1038" i="22"/>
  <c r="P1028" i="22"/>
  <c r="P1018" i="22"/>
  <c r="P1006" i="22"/>
  <c r="P996" i="22"/>
  <c r="P986" i="22"/>
  <c r="P974" i="22"/>
  <c r="P964" i="22"/>
  <c r="P954" i="22"/>
  <c r="P942" i="22"/>
  <c r="P932" i="22"/>
  <c r="P922" i="22"/>
  <c r="P910" i="22"/>
  <c r="P2642" i="22"/>
  <c r="AU494" i="22"/>
  <c r="AU258" i="22"/>
  <c r="F120" i="22"/>
  <c r="P301" i="22"/>
  <c r="P780" i="22"/>
  <c r="P826" i="22"/>
  <c r="P868" i="22"/>
  <c r="P900" i="22"/>
  <c r="P936" i="22"/>
  <c r="P984" i="22"/>
  <c r="P1034" i="22"/>
  <c r="P1069" i="22"/>
  <c r="P1107" i="22"/>
  <c r="P1142" i="22"/>
  <c r="P1192" i="22"/>
  <c r="P1228" i="22"/>
  <c r="P1253" i="22"/>
  <c r="P1290" i="22"/>
  <c r="P1331" i="22"/>
  <c r="P1373" i="22"/>
  <c r="P1387" i="22"/>
  <c r="P1428" i="22"/>
  <c r="P1470" i="22"/>
  <c r="P1525" i="22"/>
  <c r="P1571" i="22"/>
  <c r="P1620" i="22"/>
  <c r="P1653" i="22"/>
  <c r="P1684" i="22"/>
  <c r="P1732" i="22"/>
  <c r="P1781" i="22"/>
  <c r="P1803" i="22"/>
  <c r="P1862" i="22"/>
  <c r="P1918" i="22"/>
  <c r="P453" i="22"/>
  <c r="AU386" i="22"/>
  <c r="P277" i="22"/>
  <c r="AU131" i="22"/>
  <c r="P411" i="22"/>
  <c r="AU451" i="22"/>
  <c r="P1971" i="22"/>
  <c r="P2612" i="22"/>
  <c r="P726" i="22"/>
  <c r="P383" i="22"/>
  <c r="P477" i="22"/>
  <c r="P641" i="22"/>
  <c r="P2151" i="22"/>
  <c r="AU526" i="22"/>
  <c r="P2422" i="22"/>
  <c r="P2430" i="22"/>
  <c r="P2469" i="22"/>
  <c r="P2186" i="22"/>
  <c r="P2381" i="22"/>
  <c r="P2524" i="22"/>
  <c r="F130" i="22"/>
  <c r="P420" i="22"/>
  <c r="F182" i="22"/>
  <c r="P467" i="22"/>
  <c r="P413" i="22"/>
  <c r="P362" i="22"/>
  <c r="P329" i="22"/>
  <c r="P299" i="22"/>
  <c r="AJ49" i="22"/>
  <c r="AU443" i="22"/>
  <c r="P796" i="22"/>
  <c r="P818" i="22"/>
  <c r="P838" i="22"/>
  <c r="P860" i="22"/>
  <c r="P882" i="22"/>
  <c r="P902" i="22"/>
  <c r="P939" i="22"/>
  <c r="P963" i="22"/>
  <c r="P988" i="22"/>
  <c r="P1024" i="22"/>
  <c r="P1048" i="22"/>
  <c r="P1074" i="22"/>
  <c r="P1098" i="22"/>
  <c r="P1122" i="22"/>
  <c r="P1158" i="22"/>
  <c r="P1182" i="22"/>
  <c r="P1206" i="22"/>
  <c r="P1232" i="22"/>
  <c r="P1268" i="22"/>
  <c r="P1292" i="22"/>
  <c r="P1322" i="22"/>
  <c r="P1348" i="22"/>
  <c r="P1376" i="22"/>
  <c r="P1403" i="22"/>
  <c r="P1432" i="22"/>
  <c r="P1460" i="22"/>
  <c r="P1486" i="22"/>
  <c r="P1516" i="22"/>
  <c r="P1544" i="22"/>
  <c r="P1573" i="22"/>
  <c r="P1608" i="22"/>
  <c r="P1642" i="22"/>
  <c r="P1672" i="22"/>
  <c r="P1706" i="22"/>
  <c r="P1739" i="22"/>
  <c r="P1770" i="22"/>
  <c r="P2076" i="22"/>
  <c r="P1830" i="22"/>
  <c r="P1864" i="22"/>
  <c r="P1904" i="22"/>
  <c r="P1942" i="22"/>
  <c r="AU276" i="22"/>
  <c r="AU393" i="22"/>
  <c r="P2285" i="22"/>
  <c r="AJ72" i="22"/>
  <c r="AU163" i="22"/>
  <c r="AU247" i="22"/>
  <c r="AU364" i="22"/>
  <c r="P2170" i="22"/>
  <c r="P2001" i="22"/>
  <c r="AU376" i="22"/>
  <c r="P672" i="22"/>
  <c r="P2415" i="22"/>
  <c r="AU254" i="22"/>
  <c r="AU355" i="22"/>
  <c r="P670" i="22"/>
  <c r="P2443" i="22"/>
  <c r="P607" i="22"/>
  <c r="P761" i="22"/>
  <c r="P2547" i="22"/>
  <c r="P2301" i="22"/>
  <c r="P2182" i="22"/>
  <c r="P2479" i="22"/>
  <c r="P2199" i="22"/>
  <c r="P2336" i="22"/>
  <c r="P2522" i="22"/>
  <c r="P2538" i="22"/>
  <c r="P310" i="22"/>
  <c r="F31" i="22"/>
  <c r="P406" i="22"/>
  <c r="F42" i="22"/>
  <c r="AU333" i="22"/>
  <c r="AU127" i="22"/>
  <c r="AU450" i="22"/>
  <c r="AJ62" i="22"/>
  <c r="P2842" i="22"/>
  <c r="P2872" i="22"/>
  <c r="F188" i="22"/>
  <c r="P2869" i="22"/>
  <c r="P623" i="22"/>
  <c r="AU368" i="22"/>
  <c r="P497" i="22"/>
  <c r="P466" i="22"/>
  <c r="AU252" i="22"/>
  <c r="AU224" i="22"/>
  <c r="AU200" i="22"/>
  <c r="P361" i="22"/>
  <c r="AJ136" i="22"/>
  <c r="P326" i="22"/>
  <c r="AJ81" i="22"/>
  <c r="AJ71" i="22"/>
  <c r="Z60" i="22"/>
  <c r="F50" i="22"/>
  <c r="Z39" i="22"/>
  <c r="P260" i="22"/>
  <c r="P650" i="22"/>
  <c r="P787" i="22"/>
  <c r="P797" i="22"/>
  <c r="P808" i="22"/>
  <c r="P819" i="22"/>
  <c r="P829" i="22"/>
  <c r="P840" i="22"/>
  <c r="P851" i="22"/>
  <c r="P861" i="22"/>
  <c r="P872" i="22"/>
  <c r="P883" i="22"/>
  <c r="P893" i="22"/>
  <c r="P904" i="22"/>
  <c r="P916" i="22"/>
  <c r="P928" i="22"/>
  <c r="P940" i="22"/>
  <c r="P952" i="22"/>
  <c r="P965" i="22"/>
  <c r="P978" i="22"/>
  <c r="P989" i="22"/>
  <c r="P1002" i="22"/>
  <c r="P1013" i="22"/>
  <c r="P1026" i="22"/>
  <c r="P1037" i="22"/>
  <c r="P1051" i="22"/>
  <c r="P1062" i="22"/>
  <c r="P1075" i="22"/>
  <c r="P1086" i="22"/>
  <c r="P1099" i="22"/>
  <c r="P1110" i="22"/>
  <c r="P1123" i="22"/>
  <c r="P1136" i="22"/>
  <c r="P1148" i="22"/>
  <c r="P1160" i="22"/>
  <c r="P1172" i="22"/>
  <c r="P1184" i="22"/>
  <c r="P1196" i="22"/>
  <c r="P1208" i="22"/>
  <c r="P1221" i="22"/>
  <c r="P1234" i="22"/>
  <c r="P1245" i="22"/>
  <c r="P1258" i="22"/>
  <c r="P1269" i="22"/>
  <c r="P1282" i="22"/>
  <c r="P1293" i="22"/>
  <c r="P1309" i="22"/>
  <c r="P1323" i="22"/>
  <c r="P1336" i="22"/>
  <c r="P1349" i="22"/>
  <c r="P1364" i="22"/>
  <c r="P1378" i="22"/>
  <c r="P1390" i="22"/>
  <c r="P1406" i="22"/>
  <c r="P1420" i="22"/>
  <c r="P1434" i="22"/>
  <c r="P1448" i="22"/>
  <c r="P1461" i="22"/>
  <c r="P1475" i="22"/>
  <c r="P1488" i="22"/>
  <c r="P1504" i="22"/>
  <c r="P1517" i="22"/>
  <c r="P1531" i="22"/>
  <c r="P1546" i="22"/>
  <c r="P1560" i="22"/>
  <c r="P1579" i="22"/>
  <c r="P1594" i="22"/>
  <c r="P1610" i="22"/>
  <c r="P1627" i="22"/>
  <c r="P1643" i="22"/>
  <c r="P1658" i="22"/>
  <c r="P1676" i="22"/>
  <c r="P1691" i="22"/>
  <c r="P1707" i="22"/>
  <c r="P1725" i="22"/>
  <c r="P1740" i="22"/>
  <c r="P1755" i="22"/>
  <c r="P1773" i="22"/>
  <c r="P1789" i="22"/>
  <c r="P2335" i="22"/>
  <c r="P1813" i="22"/>
  <c r="P1831" i="22"/>
  <c r="P1847" i="22"/>
  <c r="P1869" i="22"/>
  <c r="P1887" i="22"/>
  <c r="P1905" i="22"/>
  <c r="P1927" i="22"/>
  <c r="P1943" i="22"/>
  <c r="P2136" i="22"/>
  <c r="P471" i="22"/>
  <c r="P523" i="22"/>
  <c r="AU395" i="22"/>
  <c r="P677" i="22"/>
  <c r="P2352" i="22"/>
  <c r="F58" i="22"/>
  <c r="F78" i="22"/>
  <c r="P322" i="22"/>
  <c r="F123" i="22"/>
  <c r="F153" i="22"/>
  <c r="AU256" i="22"/>
  <c r="P489" i="22"/>
  <c r="P563" i="22"/>
  <c r="P709" i="22"/>
  <c r="P2378" i="22"/>
  <c r="P1983" i="22"/>
  <c r="P2005" i="22"/>
  <c r="P2255" i="22"/>
  <c r="AU389" i="22"/>
  <c r="P624" i="22"/>
  <c r="AU490" i="22"/>
  <c r="P766" i="22"/>
  <c r="P2468" i="22"/>
  <c r="AU214" i="22"/>
  <c r="AU270" i="22"/>
  <c r="AU315" i="22"/>
  <c r="P540" i="22"/>
  <c r="AU432" i="22"/>
  <c r="AU488" i="22"/>
  <c r="P750" i="22"/>
  <c r="P2043" i="22"/>
  <c r="P2338" i="22"/>
  <c r="AU425" i="22"/>
  <c r="AU493" i="22"/>
  <c r="P768" i="22"/>
  <c r="P2259" i="22"/>
  <c r="P2022" i="22"/>
  <c r="P2169" i="22"/>
  <c r="P2304" i="22"/>
  <c r="P2514" i="22"/>
  <c r="P2189" i="22"/>
  <c r="P2343" i="22"/>
  <c r="P2573" i="22"/>
  <c r="P2083" i="22"/>
  <c r="P2208" i="22"/>
  <c r="P2360" i="22"/>
  <c r="P2533" i="22"/>
  <c r="P2411" i="22"/>
  <c r="P2583" i="22"/>
  <c r="F77" i="22"/>
  <c r="AU238" i="22"/>
  <c r="AU77" i="22"/>
  <c r="P347" i="22"/>
  <c r="P273" i="22"/>
  <c r="AU388" i="22"/>
  <c r="AU152" i="22"/>
  <c r="AU96" i="22"/>
  <c r="F134" i="22"/>
  <c r="AJ42" i="22"/>
  <c r="P2788" i="22"/>
  <c r="F194" i="22"/>
  <c r="AU667" i="22"/>
  <c r="P479" i="22"/>
  <c r="P417" i="22"/>
  <c r="AU184" i="22"/>
  <c r="F108" i="22"/>
  <c r="F66" i="22"/>
  <c r="Z41" i="22"/>
  <c r="P262" i="22"/>
  <c r="AU434" i="22"/>
  <c r="P814" i="22"/>
  <c r="P858" i="22"/>
  <c r="P912" i="22"/>
  <c r="P960" i="22"/>
  <c r="P1021" i="22"/>
  <c r="P1083" i="22"/>
  <c r="P1155" i="22"/>
  <c r="P1277" i="22"/>
  <c r="P1498" i="22"/>
  <c r="P1899" i="22"/>
  <c r="P2624" i="22"/>
  <c r="P2870" i="22"/>
  <c r="AU444" i="22"/>
  <c r="P388" i="22"/>
  <c r="P343" i="22"/>
  <c r="P309" i="22"/>
  <c r="AU107" i="22"/>
  <c r="F41" i="22"/>
  <c r="P786" i="22"/>
  <c r="P806" i="22"/>
  <c r="P828" i="22"/>
  <c r="P850" i="22"/>
  <c r="P870" i="22"/>
  <c r="P892" i="22"/>
  <c r="P915" i="22"/>
  <c r="P926" i="22"/>
  <c r="P950" i="22"/>
  <c r="P976" i="22"/>
  <c r="P1000" i="22"/>
  <c r="P1012" i="22"/>
  <c r="P1036" i="22"/>
  <c r="P1061" i="22"/>
  <c r="P1085" i="22"/>
  <c r="P1109" i="22"/>
  <c r="P1133" i="22"/>
  <c r="P1147" i="22"/>
  <c r="P1171" i="22"/>
  <c r="P1195" i="22"/>
  <c r="P1219" i="22"/>
  <c r="P1244" i="22"/>
  <c r="P1256" i="22"/>
  <c r="P1280" i="22"/>
  <c r="P1306" i="22"/>
  <c r="P1334" i="22"/>
  <c r="P1363" i="22"/>
  <c r="P1389" i="22"/>
  <c r="P1419" i="22"/>
  <c r="P1445" i="22"/>
  <c r="P1474" i="22"/>
  <c r="P1501" i="22"/>
  <c r="P1530" i="22"/>
  <c r="P1558" i="22"/>
  <c r="P1592" i="22"/>
  <c r="P1622" i="22"/>
  <c r="P1656" i="22"/>
  <c r="P1690" i="22"/>
  <c r="P1720" i="22"/>
  <c r="P1754" i="22"/>
  <c r="P1787" i="22"/>
  <c r="P1808" i="22"/>
  <c r="P1846" i="22"/>
  <c r="P1886" i="22"/>
  <c r="P1920" i="22"/>
  <c r="P2117" i="22"/>
  <c r="AU334" i="22"/>
  <c r="AU476" i="22"/>
  <c r="P282" i="22"/>
  <c r="P321" i="22"/>
  <c r="F146" i="22"/>
  <c r="AU297" i="22"/>
  <c r="AU502" i="22"/>
  <c r="P1974" i="22"/>
  <c r="P2246" i="22"/>
  <c r="AU437" i="22"/>
  <c r="P751" i="22"/>
  <c r="P393" i="22"/>
  <c r="P494" i="22"/>
  <c r="AU415" i="22"/>
  <c r="P735" i="22"/>
  <c r="P2323" i="22"/>
  <c r="AU471" i="22"/>
  <c r="P2174" i="22"/>
  <c r="P2157" i="22"/>
  <c r="P2474" i="22"/>
  <c r="P2340" i="22"/>
  <c r="P2073" i="22"/>
  <c r="P2401" i="22"/>
  <c r="F129" i="22"/>
  <c r="AJ138" i="22"/>
  <c r="F192" i="22"/>
  <c r="P2873" i="22"/>
  <c r="AU413" i="22"/>
  <c r="AU360" i="22"/>
  <c r="P496" i="22"/>
  <c r="AU278" i="22"/>
  <c r="F155" i="22"/>
  <c r="AU172" i="22"/>
  <c r="F97" i="22"/>
  <c r="AU124" i="22"/>
  <c r="P297" i="22"/>
  <c r="AJ57" i="22"/>
  <c r="F48" i="22"/>
  <c r="AJ38" i="22"/>
  <c r="AJ31" i="22"/>
  <c r="AU500" i="22"/>
  <c r="P788" i="22"/>
  <c r="P798" i="22"/>
  <c r="P810" i="22"/>
  <c r="P820" i="22"/>
  <c r="P830" i="22"/>
  <c r="P842" i="22"/>
  <c r="P852" i="22"/>
  <c r="P862" i="22"/>
  <c r="P874" i="22"/>
  <c r="P884" i="22"/>
  <c r="P894" i="22"/>
  <c r="P906" i="22"/>
  <c r="P917" i="22"/>
  <c r="P930" i="22"/>
  <c r="P941" i="22"/>
  <c r="P955" i="22"/>
  <c r="P966" i="22"/>
  <c r="P979" i="22"/>
  <c r="P990" i="22"/>
  <c r="P1003" i="22"/>
  <c r="P1014" i="22"/>
  <c r="P1027" i="22"/>
  <c r="P1040" i="22"/>
  <c r="P1052" i="22"/>
  <c r="P1064" i="22"/>
  <c r="P1076" i="22"/>
  <c r="P1088" i="22"/>
  <c r="P1100" i="22"/>
  <c r="P1112" i="22"/>
  <c r="P1125" i="22"/>
  <c r="P1138" i="22"/>
  <c r="P1149" i="22"/>
  <c r="P1162" i="22"/>
  <c r="P1173" i="22"/>
  <c r="P1186" i="22"/>
  <c r="P1197" i="22"/>
  <c r="P1211" i="22"/>
  <c r="P1222" i="22"/>
  <c r="P1235" i="22"/>
  <c r="P1246" i="22"/>
  <c r="P1259" i="22"/>
  <c r="P1270" i="22"/>
  <c r="P1283" i="22"/>
  <c r="P1296" i="22"/>
  <c r="P1310" i="22"/>
  <c r="P1324" i="22"/>
  <c r="P1338" i="22"/>
  <c r="P1352" i="22"/>
  <c r="P1365" i="22"/>
  <c r="P1379" i="22"/>
  <c r="P1395" i="22"/>
  <c r="P1408" i="22"/>
  <c r="P1421" i="22"/>
  <c r="P1435" i="22"/>
  <c r="P1450" i="22"/>
  <c r="P1462" i="22"/>
  <c r="P1476" i="22"/>
  <c r="P1492" i="22"/>
  <c r="P1506" i="22"/>
  <c r="P1518" i="22"/>
  <c r="P1533" i="22"/>
  <c r="P1547" i="22"/>
  <c r="P1562" i="22"/>
  <c r="P1580" i="22"/>
  <c r="P1595" i="22"/>
  <c r="P1611" i="22"/>
  <c r="P1629" i="22"/>
  <c r="P1644" i="22"/>
  <c r="P1659" i="22"/>
  <c r="P1677" i="22"/>
  <c r="P1693" i="22"/>
  <c r="P1708" i="22"/>
  <c r="P1726" i="22"/>
  <c r="P1741" i="22"/>
  <c r="P1757" i="22"/>
  <c r="P1774" i="22"/>
  <c r="P1790" i="22"/>
  <c r="P1792" i="22"/>
  <c r="P1814" i="22"/>
  <c r="P1832" i="22"/>
  <c r="P1851" i="22"/>
  <c r="P1872" i="22"/>
  <c r="P1888" i="22"/>
  <c r="P1907" i="22"/>
  <c r="P1928" i="22"/>
  <c r="P1947" i="22"/>
  <c r="P744" i="22"/>
  <c r="P475" i="22"/>
  <c r="AU341" i="22"/>
  <c r="P590" i="22"/>
  <c r="P702" i="22"/>
  <c r="AU83" i="22"/>
  <c r="AU101" i="22"/>
  <c r="F80" i="22"/>
  <c r="AJ100" i="22"/>
  <c r="AU167" i="22"/>
  <c r="P382" i="22"/>
  <c r="P443" i="22"/>
  <c r="AU310" i="22"/>
  <c r="P580" i="22"/>
  <c r="AU527" i="22"/>
  <c r="P2385" i="22"/>
  <c r="P1984" i="22"/>
  <c r="P2008" i="22"/>
  <c r="P2280" i="22"/>
  <c r="P574" i="22"/>
  <c r="P625" i="22"/>
  <c r="P690" i="22"/>
  <c r="P2103" i="22"/>
  <c r="P2526" i="22"/>
  <c r="AU222" i="22"/>
  <c r="P455" i="22"/>
  <c r="AU321" i="22"/>
  <c r="P550" i="22"/>
  <c r="P619" i="22"/>
  <c r="P678" i="22"/>
  <c r="P2014" i="22"/>
  <c r="P2069" i="22"/>
  <c r="P2420" i="22"/>
  <c r="AU430" i="22"/>
  <c r="AU501" i="22"/>
  <c r="P2015" i="22"/>
  <c r="P2271" i="22"/>
  <c r="P2034" i="22"/>
  <c r="P2193" i="22"/>
  <c r="P2358" i="22"/>
  <c r="P2556" i="22"/>
  <c r="P2192" i="22"/>
  <c r="P2350" i="22"/>
  <c r="P2576" i="22"/>
  <c r="P2110" i="22"/>
  <c r="P2219" i="22"/>
  <c r="P2384" i="22"/>
  <c r="P2552" i="22"/>
  <c r="P2436" i="22"/>
  <c r="P2615" i="22"/>
  <c r="AU103" i="22"/>
  <c r="AU202" i="22"/>
  <c r="AU79" i="22"/>
  <c r="P359" i="22"/>
  <c r="AJ61" i="22"/>
  <c r="P653" i="22"/>
  <c r="F125" i="22"/>
  <c r="Z56" i="22"/>
  <c r="P418" i="22"/>
  <c r="P2712" i="22"/>
  <c r="P207" i="22"/>
  <c r="P205" i="22"/>
  <c r="P203" i="22"/>
  <c r="P201" i="22"/>
  <c r="P199" i="22"/>
  <c r="P197" i="22"/>
  <c r="P195" i="22"/>
  <c r="P193" i="22"/>
  <c r="P191" i="22"/>
  <c r="P189" i="22"/>
  <c r="P187" i="22"/>
  <c r="AU75" i="22"/>
  <c r="P208" i="22"/>
  <c r="P206" i="22"/>
  <c r="P204" i="22"/>
  <c r="P202" i="22"/>
  <c r="P200" i="22"/>
  <c r="P198" i="22"/>
  <c r="P196" i="22"/>
  <c r="P194" i="22"/>
  <c r="P192" i="22"/>
  <c r="P190" i="22"/>
  <c r="P188" i="22"/>
  <c r="P186" i="22"/>
  <c r="AU74" i="22"/>
  <c r="P2831" i="22"/>
  <c r="P2829" i="22"/>
  <c r="P2827" i="22"/>
  <c r="P2825" i="22"/>
  <c r="P2797" i="22"/>
  <c r="P2795" i="22"/>
  <c r="P2793" i="22"/>
  <c r="P2791" i="22"/>
  <c r="AU642" i="22"/>
  <c r="P2830" i="22"/>
  <c r="P2828" i="22"/>
  <c r="P2826" i="22"/>
  <c r="P2796" i="22"/>
  <c r="P2794" i="22"/>
  <c r="P2792" i="22"/>
  <c r="P2790" i="22"/>
  <c r="AU641" i="22"/>
  <c r="F166" i="22"/>
  <c r="P2847" i="22"/>
  <c r="AU644" i="22"/>
  <c r="Z150" i="22"/>
  <c r="AU714" i="22"/>
  <c r="AJ190" i="22"/>
  <c r="P2930" i="22"/>
  <c r="C25" i="24"/>
  <c r="C4" i="26"/>
  <c r="C4" i="28"/>
  <c r="C4" i="14"/>
  <c r="C4" i="27"/>
  <c r="C4" i="29"/>
  <c r="C101" i="24"/>
  <c r="C87" i="24"/>
  <c r="C76" i="24"/>
  <c r="C189" i="24"/>
  <c r="C128" i="24"/>
  <c r="C37" i="24"/>
  <c r="C16" i="24"/>
  <c r="C4" i="23"/>
  <c r="C4" i="20"/>
  <c r="C4" i="9"/>
  <c r="C3" i="8"/>
  <c r="S2925" i="22"/>
  <c r="AM122" i="22"/>
  <c r="AX652" i="22"/>
  <c r="AM142" i="22"/>
  <c r="S2876" i="22"/>
  <c r="I174" i="22"/>
  <c r="AM179" i="22"/>
  <c r="AM180" i="22" s="1"/>
  <c r="AX685" i="22"/>
  <c r="S2904" i="22"/>
  <c r="S2910" i="22" s="1"/>
  <c r="C4" i="25"/>
  <c r="AC125" i="22"/>
  <c r="I408" i="22"/>
  <c r="I414" i="22"/>
  <c r="I216" i="22"/>
  <c r="I260" i="22"/>
  <c r="AC95" i="22"/>
  <c r="F40" i="25"/>
  <c r="AX669" i="22"/>
  <c r="AX709" i="22"/>
  <c r="F29" i="29"/>
  <c r="F232" i="23"/>
  <c r="F11" i="29"/>
  <c r="F5" i="29"/>
  <c r="F23" i="29"/>
  <c r="F17" i="29"/>
  <c r="F239" i="23"/>
  <c r="F5" i="21"/>
  <c r="F10" i="28"/>
  <c r="F40" i="27"/>
  <c r="F161" i="24"/>
  <c r="F51" i="20"/>
  <c r="F155" i="20"/>
  <c r="F73" i="9"/>
  <c r="F98" i="20"/>
  <c r="F202" i="9"/>
  <c r="F72" i="9"/>
  <c r="F201" i="24"/>
  <c r="F153" i="20"/>
  <c r="F72" i="20"/>
  <c r="F54" i="20"/>
  <c r="F67" i="24"/>
  <c r="F22" i="20"/>
  <c r="F60" i="20"/>
  <c r="F50" i="20"/>
  <c r="F43" i="20"/>
  <c r="F160" i="23"/>
  <c r="F84" i="20"/>
  <c r="F56" i="20"/>
  <c r="F97" i="20"/>
  <c r="F178" i="20"/>
  <c r="F68" i="8"/>
  <c r="F107" i="8"/>
  <c r="F150" i="20"/>
  <c r="F118" i="20"/>
  <c r="F160" i="20"/>
  <c r="F200" i="8"/>
  <c r="G192" i="9"/>
  <c r="F177" i="20"/>
  <c r="F24" i="20"/>
  <c r="F220" i="20"/>
  <c r="G191" i="20"/>
  <c r="F197" i="9"/>
  <c r="F225" i="20"/>
  <c r="F35" i="20"/>
  <c r="F125" i="20"/>
  <c r="F195" i="23"/>
  <c r="F31" i="20"/>
  <c r="F64" i="20"/>
  <c r="F109" i="20"/>
  <c r="F157" i="20"/>
  <c r="G192" i="23"/>
  <c r="F195" i="8"/>
  <c r="F162" i="8"/>
  <c r="F136" i="20"/>
  <c r="F172" i="20"/>
  <c r="F93" i="8"/>
  <c r="F202" i="23"/>
  <c r="F71" i="20"/>
  <c r="F111" i="20"/>
  <c r="F152" i="20"/>
  <c r="F161" i="23"/>
  <c r="F216" i="20"/>
  <c r="F195" i="9"/>
  <c r="F69" i="8"/>
  <c r="F214" i="20"/>
  <c r="F100" i="8"/>
  <c r="F161" i="20"/>
  <c r="F199" i="24"/>
  <c r="F149" i="20"/>
  <c r="F100" i="9"/>
  <c r="F181" i="20"/>
  <c r="F71" i="23"/>
  <c r="F100" i="24"/>
  <c r="F83" i="20"/>
  <c r="F199" i="20"/>
  <c r="F145" i="20"/>
  <c r="G89" i="8"/>
  <c r="G191" i="9"/>
  <c r="F96" i="20"/>
  <c r="F92" i="8"/>
  <c r="F62" i="20"/>
  <c r="F156" i="20"/>
  <c r="F43" i="8"/>
  <c r="F68" i="9"/>
  <c r="F58" i="20"/>
  <c r="F72" i="8"/>
  <c r="F69" i="9"/>
  <c r="F134" i="20"/>
  <c r="F210" i="20"/>
  <c r="F120" i="20"/>
  <c r="F182" i="20"/>
  <c r="F71" i="24"/>
  <c r="F108" i="20"/>
  <c r="F198" i="20"/>
  <c r="F198" i="9"/>
  <c r="F162" i="24"/>
  <c r="F195" i="20"/>
  <c r="F72" i="24"/>
  <c r="F70" i="8"/>
  <c r="F14" i="20"/>
  <c r="F34" i="20"/>
  <c r="F200" i="24"/>
  <c r="F68" i="24"/>
  <c r="F195" i="24"/>
  <c r="F196" i="24"/>
  <c r="F158" i="20"/>
  <c r="F161" i="9"/>
  <c r="F67" i="20"/>
  <c r="F196" i="20"/>
  <c r="F184" i="20"/>
  <c r="F82" i="8"/>
  <c r="G192" i="20"/>
  <c r="F107" i="20"/>
  <c r="F201" i="20"/>
  <c r="F170" i="20"/>
  <c r="F143" i="20"/>
  <c r="F176" i="20"/>
  <c r="F151" i="20"/>
  <c r="F73" i="20"/>
  <c r="F198" i="23"/>
  <c r="F75" i="20"/>
  <c r="F160" i="24"/>
  <c r="F45" i="20"/>
  <c r="F196" i="23"/>
  <c r="F198" i="24"/>
  <c r="F49" i="20"/>
  <c r="F196" i="9"/>
  <c r="F163" i="24"/>
  <c r="F198" i="8"/>
  <c r="F85" i="20"/>
  <c r="F86" i="20"/>
  <c r="F223" i="20"/>
  <c r="F13" i="20"/>
  <c r="F43" i="9"/>
  <c r="F10" i="20"/>
  <c r="F200" i="9"/>
  <c r="F74" i="20"/>
  <c r="F138" i="20"/>
  <c r="F139" i="20"/>
  <c r="F146" i="20"/>
  <c r="F140" i="20"/>
  <c r="F119" i="20"/>
  <c r="F110" i="20"/>
  <c r="F57" i="20"/>
  <c r="G205" i="8"/>
  <c r="G191" i="8"/>
  <c r="F194" i="24"/>
  <c r="F180" i="20"/>
  <c r="F70" i="23"/>
  <c r="F141" i="20"/>
  <c r="F55" i="20"/>
  <c r="F201" i="8"/>
  <c r="F159" i="20"/>
  <c r="F15" i="20"/>
  <c r="F6" i="20"/>
  <c r="F121" i="20"/>
  <c r="F199" i="9"/>
  <c r="F163" i="9"/>
  <c r="F188" i="20"/>
  <c r="F174" i="20"/>
  <c r="F211" i="20"/>
  <c r="F68" i="20"/>
  <c r="F93" i="20"/>
  <c r="F197" i="20"/>
  <c r="F11" i="20"/>
  <c r="F8" i="20"/>
  <c r="F137" i="20"/>
  <c r="F199" i="8"/>
  <c r="F70" i="24"/>
  <c r="F194" i="8"/>
  <c r="F68" i="23"/>
  <c r="F160" i="9"/>
  <c r="F148" i="20"/>
  <c r="F202" i="24"/>
  <c r="F194" i="20"/>
  <c r="F71" i="8"/>
  <c r="F69" i="24"/>
  <c r="F142" i="20"/>
  <c r="F36" i="20"/>
  <c r="F46" i="20"/>
  <c r="F163" i="23"/>
  <c r="F72" i="23"/>
  <c r="F197" i="24"/>
  <c r="F221" i="20"/>
  <c r="F69" i="23"/>
  <c r="F52" i="20"/>
  <c r="F9" i="20"/>
  <c r="F219" i="20"/>
  <c r="F82" i="20"/>
  <c r="F218" i="20"/>
  <c r="F69" i="20"/>
  <c r="F173" i="20"/>
  <c r="F126" i="20"/>
  <c r="F100" i="23"/>
  <c r="F12" i="20"/>
  <c r="F70" i="20"/>
  <c r="F201" i="9"/>
  <c r="F47" i="20"/>
  <c r="F74" i="8"/>
  <c r="F44" i="20"/>
  <c r="F194" i="9"/>
  <c r="F212" i="20"/>
  <c r="F188" i="9"/>
  <c r="F187" i="20"/>
  <c r="F147" i="20"/>
  <c r="F61" i="20"/>
  <c r="F200" i="23"/>
  <c r="F217" i="20"/>
  <c r="F202" i="20"/>
  <c r="F183" i="20"/>
  <c r="F53" i="20"/>
  <c r="F185" i="20"/>
  <c r="F222" i="20"/>
  <c r="F197" i="23"/>
  <c r="F213" i="20"/>
  <c r="F73" i="24"/>
  <c r="F200" i="20"/>
  <c r="F99" i="20"/>
  <c r="G192" i="24"/>
  <c r="F144" i="20"/>
  <c r="F73" i="8"/>
  <c r="F202" i="8"/>
  <c r="F135" i="20"/>
  <c r="F199" i="23"/>
  <c r="F65" i="20"/>
  <c r="F196" i="8"/>
  <c r="F48" i="20"/>
  <c r="F123" i="20"/>
  <c r="G191" i="23"/>
  <c r="F215" i="20"/>
  <c r="F66" i="20"/>
  <c r="F122" i="20"/>
  <c r="F59" i="20"/>
  <c r="F7" i="20"/>
  <c r="F209" i="20"/>
  <c r="F70" i="9"/>
  <c r="F197" i="8"/>
  <c r="G192" i="8"/>
  <c r="F194" i="23"/>
  <c r="F179" i="20"/>
  <c r="F154" i="20"/>
  <c r="F71" i="9"/>
  <c r="F162" i="23"/>
  <c r="F224" i="20"/>
  <c r="F171" i="20"/>
  <c r="F32" i="20"/>
  <c r="F23" i="20"/>
  <c r="F33" i="20"/>
  <c r="F63" i="20"/>
  <c r="F95" i="20"/>
  <c r="F94" i="20"/>
  <c r="F124" i="20"/>
  <c r="F186" i="20"/>
  <c r="F175" i="20"/>
  <c r="F127" i="20"/>
  <c r="F73" i="23"/>
  <c r="F201" i="23"/>
  <c r="K194" i="8" l="1"/>
  <c r="K368" i="8" s="1"/>
  <c r="F203" i="24"/>
  <c r="G203" i="24" s="1"/>
  <c r="F203" i="23"/>
  <c r="G203" i="23" s="1"/>
  <c r="K194" i="23"/>
  <c r="K380" i="23" s="1"/>
  <c r="F203" i="20"/>
  <c r="G203" i="20" s="1"/>
  <c r="K194" i="20"/>
  <c r="K376" i="20" s="1"/>
  <c r="F203" i="9"/>
  <c r="G203" i="9" s="1"/>
  <c r="K194" i="9"/>
  <c r="K374" i="9" s="1"/>
  <c r="F203" i="8"/>
  <c r="G203" i="8" s="1"/>
  <c r="K81" i="8"/>
  <c r="K92" i="8"/>
  <c r="K10" i="14"/>
  <c r="K51" i="14" s="1"/>
  <c r="K31" i="14"/>
  <c r="K56" i="14" s="1"/>
  <c r="K25" i="14"/>
  <c r="K54" i="14" s="1"/>
  <c r="K3" i="14"/>
  <c r="K39" i="14"/>
  <c r="K60" i="14" s="1"/>
  <c r="K5" i="14"/>
  <c r="K50" i="14" s="1"/>
  <c r="K44" i="14"/>
  <c r="K61" i="14" s="1"/>
  <c r="K20" i="14"/>
  <c r="K53" i="14" s="1"/>
  <c r="K15" i="14"/>
  <c r="K52" i="14" s="1"/>
  <c r="K11" i="29"/>
  <c r="K28" i="29"/>
  <c r="K3" i="29"/>
  <c r="K10" i="29"/>
  <c r="K16" i="29"/>
  <c r="K5" i="29"/>
  <c r="K22" i="29"/>
  <c r="K29" i="29"/>
  <c r="K23" i="29"/>
  <c r="K17" i="29"/>
  <c r="K25" i="28"/>
  <c r="K20" i="28"/>
  <c r="K3" i="28"/>
  <c r="K30" i="28"/>
  <c r="K15" i="28"/>
  <c r="K10" i="28"/>
  <c r="K5" i="28"/>
  <c r="K35" i="28"/>
  <c r="K25" i="27"/>
  <c r="K20" i="27"/>
  <c r="K45" i="27"/>
  <c r="K48" i="27" s="1"/>
  <c r="K35" i="27"/>
  <c r="K10" i="27"/>
  <c r="K3" i="27"/>
  <c r="K15" i="27"/>
  <c r="K5" i="27"/>
  <c r="K30" i="27"/>
  <c r="K40" i="27"/>
  <c r="K25" i="26"/>
  <c r="K20" i="26"/>
  <c r="K35" i="26"/>
  <c r="K10" i="26"/>
  <c r="K3" i="26"/>
  <c r="K5" i="26"/>
  <c r="K30" i="26"/>
  <c r="K15" i="26"/>
  <c r="K40" i="26"/>
  <c r="K169" i="9"/>
  <c r="K354" i="9" s="1"/>
  <c r="K231" i="23"/>
  <c r="K407" i="23" s="1"/>
  <c r="K21" i="23"/>
  <c r="K252" i="23" s="1"/>
  <c r="K106" i="23"/>
  <c r="K312" i="23" s="1"/>
  <c r="K5" i="23"/>
  <c r="K241" i="23" s="1"/>
  <c r="K117" i="23"/>
  <c r="K318" i="23" s="1"/>
  <c r="K92" i="23"/>
  <c r="K303" i="23" s="1"/>
  <c r="K42" i="23"/>
  <c r="K263" i="23" s="1"/>
  <c r="K4" i="23"/>
  <c r="K147" i="23" s="1"/>
  <c r="K133" i="23"/>
  <c r="K329" i="23" s="1"/>
  <c r="K92" i="9"/>
  <c r="K297" i="9" s="1"/>
  <c r="K133" i="9"/>
  <c r="K323" i="9" s="1"/>
  <c r="K208" i="9"/>
  <c r="K383" i="9" s="1"/>
  <c r="C4" i="24"/>
  <c r="K81" i="23"/>
  <c r="K297" i="23" s="1"/>
  <c r="K30" i="23"/>
  <c r="K256" i="23" s="1"/>
  <c r="K208" i="23"/>
  <c r="K389" i="23" s="1"/>
  <c r="K169" i="23"/>
  <c r="K360" i="23" s="1"/>
  <c r="K117" i="20"/>
  <c r="K314" i="20" s="1"/>
  <c r="K92" i="20"/>
  <c r="K299" i="20" s="1"/>
  <c r="K208" i="20"/>
  <c r="K385" i="20" s="1"/>
  <c r="K5" i="20"/>
  <c r="K237" i="20" s="1"/>
  <c r="K4" i="20"/>
  <c r="K51" i="20" s="1"/>
  <c r="K30" i="20"/>
  <c r="K252" i="20" s="1"/>
  <c r="K42" i="20"/>
  <c r="K259" i="20" s="1"/>
  <c r="K21" i="20"/>
  <c r="K248" i="20" s="1"/>
  <c r="K106" i="20"/>
  <c r="K308" i="20" s="1"/>
  <c r="K81" i="20"/>
  <c r="K293" i="20" s="1"/>
  <c r="K169" i="20"/>
  <c r="K356" i="20" s="1"/>
  <c r="K133" i="20"/>
  <c r="K325" i="20" s="1"/>
  <c r="K81" i="9"/>
  <c r="K291" i="9" s="1"/>
  <c r="K5" i="9"/>
  <c r="K235" i="9" s="1"/>
  <c r="K231" i="9"/>
  <c r="K401" i="9" s="1"/>
  <c r="K21" i="9"/>
  <c r="K246" i="9" s="1"/>
  <c r="K42" i="9"/>
  <c r="K257" i="9" s="1"/>
  <c r="K117" i="9"/>
  <c r="K312" i="9" s="1"/>
  <c r="K106" i="9"/>
  <c r="K306" i="9" s="1"/>
  <c r="K3" i="8"/>
  <c r="K51" i="8" s="1"/>
  <c r="K260" i="8" s="1"/>
  <c r="K30" i="8"/>
  <c r="K244" i="8" s="1"/>
  <c r="K133" i="8"/>
  <c r="K317" i="8" s="1"/>
  <c r="K169" i="8"/>
  <c r="K348" i="8" s="1"/>
  <c r="K106" i="8"/>
  <c r="K300" i="8" s="1"/>
  <c r="K21" i="8"/>
  <c r="K240" i="8" s="1"/>
  <c r="K5" i="8"/>
  <c r="K229" i="8" s="1"/>
  <c r="K117" i="8"/>
  <c r="K306" i="8" s="1"/>
  <c r="K42" i="8"/>
  <c r="K251" i="8" s="1"/>
  <c r="K208" i="8"/>
  <c r="K377" i="8" s="1"/>
  <c r="K30" i="9"/>
  <c r="K250" i="9" s="1"/>
  <c r="K4" i="9"/>
  <c r="K71" i="9" s="1"/>
  <c r="F5" i="26"/>
  <c r="K40" i="25"/>
  <c r="K3" i="25"/>
  <c r="K25" i="25"/>
  <c r="K20" i="25"/>
  <c r="K15" i="25"/>
  <c r="K30" i="25"/>
  <c r="K5" i="25"/>
  <c r="K35" i="25"/>
  <c r="K10" i="25"/>
  <c r="G167" i="23"/>
  <c r="F213" i="8"/>
  <c r="F139" i="23"/>
  <c r="F158" i="23"/>
  <c r="F177" i="8"/>
  <c r="F127" i="9"/>
  <c r="F126" i="8"/>
  <c r="F120" i="24"/>
  <c r="F122" i="13"/>
  <c r="F52" i="23"/>
  <c r="F12" i="9"/>
  <c r="F174" i="24"/>
  <c r="F157" i="23"/>
  <c r="F45" i="8"/>
  <c r="F13" i="23"/>
  <c r="F94" i="23"/>
  <c r="F46" i="8"/>
  <c r="G130" i="9"/>
  <c r="F109" i="9"/>
  <c r="F49" i="23"/>
  <c r="F64" i="23"/>
  <c r="G78" i="8"/>
  <c r="F96" i="8"/>
  <c r="F187" i="8"/>
  <c r="F34" i="8"/>
  <c r="F136" i="24"/>
  <c r="F33" i="23"/>
  <c r="F60" i="9"/>
  <c r="F222" i="24"/>
  <c r="F60" i="24"/>
  <c r="F214" i="23"/>
  <c r="F16" i="28"/>
  <c r="G21" i="29"/>
  <c r="F173" i="9"/>
  <c r="F210" i="8"/>
  <c r="F62" i="23"/>
  <c r="F219" i="23"/>
  <c r="F154" i="9"/>
  <c r="F155" i="9"/>
  <c r="F55" i="9"/>
  <c r="F141" i="9"/>
  <c r="F96" i="9"/>
  <c r="F57" i="23"/>
  <c r="F222" i="8"/>
  <c r="F63" i="9"/>
  <c r="F157" i="8"/>
  <c r="F143" i="9"/>
  <c r="F141" i="8"/>
  <c r="F98" i="24"/>
  <c r="F184" i="8"/>
  <c r="F144" i="8"/>
  <c r="F146" i="23"/>
  <c r="F211" i="8"/>
  <c r="F222" i="9"/>
  <c r="F51" i="24"/>
  <c r="F8" i="9"/>
  <c r="F56" i="9"/>
  <c r="F66" i="24"/>
  <c r="F148" i="8"/>
  <c r="F50" i="8"/>
  <c r="G114" i="8"/>
  <c r="F111" i="9"/>
  <c r="F142" i="24"/>
  <c r="F13" i="8"/>
  <c r="F96" i="24"/>
  <c r="F35" i="8"/>
  <c r="F152" i="23"/>
  <c r="F147" i="23"/>
  <c r="F173" i="24"/>
  <c r="F224" i="8"/>
  <c r="F149" i="24"/>
  <c r="F65" i="8"/>
  <c r="F65" i="9"/>
  <c r="F124" i="23"/>
  <c r="F107" i="13"/>
  <c r="F11" i="24"/>
  <c r="F94" i="9"/>
  <c r="F187" i="23"/>
  <c r="F137" i="8"/>
  <c r="F49" i="9"/>
  <c r="F177" i="23"/>
  <c r="F175" i="9"/>
  <c r="F210" i="9"/>
  <c r="F221" i="23"/>
  <c r="F109" i="24"/>
  <c r="F219" i="8"/>
  <c r="F12" i="23"/>
  <c r="F49" i="8"/>
  <c r="F171" i="8"/>
  <c r="F86" i="9"/>
  <c r="F146" i="8"/>
  <c r="F53" i="23"/>
  <c r="F33" i="8"/>
  <c r="F152" i="9"/>
  <c r="F124" i="9"/>
  <c r="F111" i="8"/>
  <c r="G167" i="9"/>
  <c r="F183" i="9"/>
  <c r="F111" i="23"/>
  <c r="F180" i="23"/>
  <c r="F181" i="24"/>
  <c r="F65" i="24"/>
  <c r="F54" i="23"/>
  <c r="F179" i="8"/>
  <c r="F213" i="24"/>
  <c r="G3" i="14"/>
  <c r="F24" i="9"/>
  <c r="F12" i="8"/>
  <c r="F50" i="9"/>
  <c r="F183" i="8"/>
  <c r="F40" i="14"/>
  <c r="F137" i="23"/>
  <c r="F120" i="23"/>
  <c r="G19" i="25"/>
  <c r="F66" i="9"/>
  <c r="F178" i="8"/>
  <c r="F9" i="23"/>
  <c r="F57" i="8"/>
  <c r="F172" i="9"/>
  <c r="F64" i="8"/>
  <c r="F179" i="9"/>
  <c r="F175" i="23"/>
  <c r="F83" i="23"/>
  <c r="F136" i="8"/>
  <c r="G103" i="24"/>
  <c r="F121" i="8"/>
  <c r="F54" i="9"/>
  <c r="F174" i="9"/>
  <c r="F62" i="8"/>
  <c r="F24" i="24"/>
  <c r="F74" i="9"/>
  <c r="F124" i="8"/>
  <c r="F47" i="24"/>
  <c r="F23" i="8"/>
  <c r="F144" i="24"/>
  <c r="F148" i="23"/>
  <c r="F155" i="8"/>
  <c r="F158" i="24"/>
  <c r="F181" i="8"/>
  <c r="F182" i="23"/>
  <c r="F224" i="23"/>
  <c r="F211" i="9"/>
  <c r="F123" i="9"/>
  <c r="F182" i="8"/>
  <c r="F59" i="9"/>
  <c r="F127" i="8"/>
  <c r="F44" i="24"/>
  <c r="F147" i="8"/>
  <c r="F74" i="24"/>
  <c r="F120" i="8"/>
  <c r="F212" i="9"/>
  <c r="F138" i="24"/>
  <c r="F178" i="24"/>
  <c r="F149" i="9"/>
  <c r="F185" i="23"/>
  <c r="F210" i="24"/>
  <c r="F147" i="24"/>
  <c r="F96" i="23"/>
  <c r="F34" i="14"/>
  <c r="F220" i="24"/>
  <c r="F135" i="9"/>
  <c r="F119" i="24"/>
  <c r="F158" i="8"/>
  <c r="F9" i="9"/>
  <c r="F55" i="13"/>
  <c r="F119" i="8"/>
  <c r="F153" i="24"/>
  <c r="G13" i="28"/>
  <c r="F171" i="23"/>
  <c r="F150" i="23"/>
  <c r="F97" i="23"/>
  <c r="F122" i="8"/>
  <c r="F32" i="23"/>
  <c r="F59" i="23"/>
  <c r="G27" i="9"/>
  <c r="F99" i="24"/>
  <c r="F220" i="23"/>
  <c r="F147" i="9"/>
  <c r="F32" i="24"/>
  <c r="F217" i="23"/>
  <c r="F35" i="24"/>
  <c r="F159" i="24"/>
  <c r="F178" i="23"/>
  <c r="F98" i="9"/>
  <c r="F10" i="9"/>
  <c r="F75" i="23"/>
  <c r="F85" i="9"/>
  <c r="F145" i="9"/>
  <c r="F110" i="9"/>
  <c r="F48" i="9"/>
  <c r="F119" i="9"/>
  <c r="F175" i="8"/>
  <c r="F15" i="8"/>
  <c r="F53" i="8"/>
  <c r="F153" i="23"/>
  <c r="F97" i="8"/>
  <c r="F184" i="9"/>
  <c r="F185" i="8"/>
  <c r="F176" i="9"/>
  <c r="F15" i="9"/>
  <c r="F62" i="24"/>
  <c r="F142" i="23"/>
  <c r="F225" i="24"/>
  <c r="F44" i="8"/>
  <c r="F7" i="8"/>
  <c r="F218" i="8"/>
  <c r="F148" i="24"/>
  <c r="F216" i="23"/>
  <c r="F53" i="9"/>
  <c r="F225" i="23"/>
  <c r="F85" i="23"/>
  <c r="F212" i="8"/>
  <c r="F217" i="8"/>
  <c r="F121" i="24"/>
  <c r="F75" i="9"/>
  <c r="F217" i="24"/>
  <c r="F218" i="24"/>
  <c r="F187" i="9"/>
  <c r="F210" i="23"/>
  <c r="F11" i="23"/>
  <c r="F186" i="23"/>
  <c r="F99" i="9"/>
  <c r="F139" i="9"/>
  <c r="F58" i="8"/>
  <c r="F172" i="24"/>
  <c r="F9" i="8"/>
  <c r="F151" i="24"/>
  <c r="F186" i="9"/>
  <c r="F225" i="9"/>
  <c r="F120" i="9"/>
  <c r="F214" i="24"/>
  <c r="F55" i="23"/>
  <c r="F144" i="23"/>
  <c r="F156" i="24"/>
  <c r="G3" i="21"/>
  <c r="F84" i="24"/>
  <c r="F123" i="23"/>
  <c r="F64" i="24"/>
  <c r="F67" i="23"/>
  <c r="F95" i="9"/>
  <c r="F142" i="8"/>
  <c r="G14" i="14"/>
  <c r="F61" i="8"/>
  <c r="F108" i="24"/>
  <c r="F143" i="23"/>
  <c r="F145" i="24"/>
  <c r="F223" i="24"/>
  <c r="F174" i="8"/>
  <c r="F94" i="24"/>
  <c r="F184" i="23"/>
  <c r="F150" i="9"/>
  <c r="F84" i="9"/>
  <c r="F10" i="24"/>
  <c r="F223" i="9"/>
  <c r="F99" i="8"/>
  <c r="F55" i="8"/>
  <c r="F65" i="23"/>
  <c r="F187" i="24"/>
  <c r="G24" i="14"/>
  <c r="F179" i="24"/>
  <c r="F221" i="8"/>
  <c r="F157" i="9"/>
  <c r="F177" i="24"/>
  <c r="F150" i="24"/>
  <c r="F108" i="23"/>
  <c r="F48" i="23"/>
  <c r="F109" i="23"/>
  <c r="F135" i="8"/>
  <c r="F211" i="23"/>
  <c r="F211" i="24"/>
  <c r="F155" i="24"/>
  <c r="F156" i="23"/>
  <c r="F47" i="9"/>
  <c r="F57" i="9"/>
  <c r="F63" i="24"/>
  <c r="F58" i="9"/>
  <c r="F57" i="24"/>
  <c r="F151" i="9"/>
  <c r="F61" i="9"/>
  <c r="F85" i="24"/>
  <c r="F44" i="9"/>
  <c r="F126" i="23"/>
  <c r="F23" i="24"/>
  <c r="F35" i="9"/>
  <c r="F218" i="9"/>
  <c r="F146" i="24"/>
  <c r="F125" i="24"/>
  <c r="F75" i="24"/>
  <c r="F9" i="24"/>
  <c r="F155" i="23"/>
  <c r="F140" i="23"/>
  <c r="F154" i="23"/>
  <c r="F14" i="8"/>
  <c r="F152" i="24"/>
  <c r="F54" i="24"/>
  <c r="F125" i="8"/>
  <c r="F136" i="23"/>
  <c r="F110" i="24"/>
  <c r="F146" i="9"/>
  <c r="F14" i="9"/>
  <c r="F56" i="24"/>
  <c r="F8" i="8"/>
  <c r="F61" i="23"/>
  <c r="G206" i="24"/>
  <c r="F62" i="9"/>
  <c r="F61" i="24"/>
  <c r="F123" i="8"/>
  <c r="F94" i="8"/>
  <c r="F141" i="24"/>
  <c r="F124" i="24"/>
  <c r="F157" i="24"/>
  <c r="F176" i="24"/>
  <c r="F67" i="13"/>
  <c r="F45" i="9"/>
  <c r="F156" i="9"/>
  <c r="F149" i="8"/>
  <c r="F47" i="23"/>
  <c r="F181" i="23"/>
  <c r="F52" i="24"/>
  <c r="F149" i="23"/>
  <c r="F216" i="8"/>
  <c r="F219" i="9"/>
  <c r="F51" i="23"/>
  <c r="F142" i="9"/>
  <c r="F213" i="23"/>
  <c r="F46" i="9"/>
  <c r="F14" i="24"/>
  <c r="G34" i="26"/>
  <c r="F95" i="23"/>
  <c r="F177" i="9"/>
  <c r="F66" i="23"/>
  <c r="F154" i="8"/>
  <c r="F86" i="23"/>
  <c r="F74" i="23"/>
  <c r="G90" i="20"/>
  <c r="F145" i="23"/>
  <c r="F180" i="8"/>
  <c r="F143" i="24"/>
  <c r="F98" i="8"/>
  <c r="F139" i="24"/>
  <c r="F143" i="8"/>
  <c r="F217" i="9"/>
  <c r="F125" i="9"/>
  <c r="F63" i="8"/>
  <c r="F121" i="9"/>
  <c r="F186" i="24"/>
  <c r="F44" i="23"/>
  <c r="F47" i="8"/>
  <c r="F46" i="23"/>
  <c r="F153" i="9"/>
  <c r="F99" i="23"/>
  <c r="F49" i="24"/>
  <c r="F140" i="8"/>
  <c r="F13" i="24"/>
  <c r="F24" i="8"/>
  <c r="F223" i="23"/>
  <c r="F36" i="8"/>
  <c r="F56" i="8"/>
  <c r="F11" i="9"/>
  <c r="F185" i="24"/>
  <c r="F218" i="23"/>
  <c r="F122" i="9"/>
  <c r="F52" i="8"/>
  <c r="F172" i="8"/>
  <c r="F83" i="9"/>
  <c r="F14" i="23"/>
  <c r="F108" i="8"/>
  <c r="F111" i="24"/>
  <c r="F151" i="8"/>
  <c r="F224" i="9"/>
  <c r="F51" i="8"/>
  <c r="F137" i="9"/>
  <c r="F121" i="23"/>
  <c r="F97" i="9"/>
  <c r="F180" i="24"/>
  <c r="F110" i="23"/>
  <c r="F178" i="9"/>
  <c r="G79" i="8"/>
  <c r="F12" i="24"/>
  <c r="F15" i="23"/>
  <c r="F24" i="23"/>
  <c r="F84" i="23"/>
  <c r="F108" i="9"/>
  <c r="F60" i="23"/>
  <c r="F86" i="24"/>
  <c r="F13" i="9"/>
  <c r="F136" i="9"/>
  <c r="F140" i="9"/>
  <c r="F34" i="24"/>
  <c r="F66" i="8"/>
  <c r="F8" i="24"/>
  <c r="F95" i="24"/>
  <c r="F138" i="8"/>
  <c r="F34" i="23"/>
  <c r="F215" i="8"/>
  <c r="F97" i="24"/>
  <c r="F159" i="9"/>
  <c r="F15" i="24"/>
  <c r="F56" i="23"/>
  <c r="F141" i="23"/>
  <c r="F75" i="8"/>
  <c r="F48" i="24"/>
  <c r="F223" i="8"/>
  <c r="F183" i="24"/>
  <c r="F212" i="23"/>
  <c r="F7" i="23"/>
  <c r="F221" i="9"/>
  <c r="F23" i="23"/>
  <c r="F126" i="24"/>
  <c r="F58" i="23"/>
  <c r="F135" i="24"/>
  <c r="F52" i="9"/>
  <c r="F158" i="9"/>
  <c r="F54" i="8"/>
  <c r="F214" i="9"/>
  <c r="F173" i="8"/>
  <c r="F179" i="23"/>
  <c r="F32" i="9"/>
  <c r="F216" i="9"/>
  <c r="F137" i="24"/>
  <c r="F171" i="24"/>
  <c r="F159" i="8"/>
  <c r="F84" i="8"/>
  <c r="F139" i="8"/>
  <c r="F98" i="23"/>
  <c r="F182" i="24"/>
  <c r="F220" i="9"/>
  <c r="F145" i="8"/>
  <c r="F59" i="24"/>
  <c r="F67" i="9"/>
  <c r="F173" i="23"/>
  <c r="F159" i="23"/>
  <c r="F45" i="23"/>
  <c r="F184" i="24"/>
  <c r="F214" i="8"/>
  <c r="F150" i="8"/>
  <c r="F151" i="23"/>
  <c r="F33" i="9"/>
  <c r="F83" i="8"/>
  <c r="F180" i="9"/>
  <c r="F123" i="24"/>
  <c r="F174" i="23"/>
  <c r="F50" i="23"/>
  <c r="F33" i="24"/>
  <c r="F107" i="24"/>
  <c r="F36" i="23"/>
  <c r="F58" i="24"/>
  <c r="F10" i="23"/>
  <c r="F85" i="8"/>
  <c r="F50" i="24"/>
  <c r="F53" i="24"/>
  <c r="F176" i="8"/>
  <c r="F23" i="9"/>
  <c r="F140" i="24"/>
  <c r="F122" i="24"/>
  <c r="F127" i="23"/>
  <c r="F213" i="9"/>
  <c r="F36" i="9"/>
  <c r="F182" i="9"/>
  <c r="F59" i="8"/>
  <c r="F171" i="9"/>
  <c r="F63" i="23"/>
  <c r="F109" i="8"/>
  <c r="F110" i="8"/>
  <c r="F125" i="23"/>
  <c r="F224" i="24"/>
  <c r="F215" i="23"/>
  <c r="F172" i="23"/>
  <c r="F34" i="9"/>
  <c r="F55" i="24"/>
  <c r="F175" i="24"/>
  <c r="F152" i="8"/>
  <c r="F138" i="23"/>
  <c r="G90" i="8"/>
  <c r="F60" i="8"/>
  <c r="F86" i="8"/>
  <c r="F83" i="24"/>
  <c r="F67" i="8"/>
  <c r="F11" i="8"/>
  <c r="F153" i="8"/>
  <c r="F64" i="9"/>
  <c r="F7" i="24"/>
  <c r="G28" i="24"/>
  <c r="F138" i="9"/>
  <c r="F8" i="23"/>
  <c r="F51" i="9"/>
  <c r="F46" i="24"/>
  <c r="F181" i="9"/>
  <c r="F7" i="9"/>
  <c r="F220" i="8"/>
  <c r="F148" i="9"/>
  <c r="F119" i="23"/>
  <c r="F95" i="8"/>
  <c r="F45" i="24"/>
  <c r="F156" i="8"/>
  <c r="F185" i="9"/>
  <c r="F183" i="23"/>
  <c r="F48" i="8"/>
  <c r="F219" i="24"/>
  <c r="F176" i="23"/>
  <c r="F126" i="9"/>
  <c r="F36" i="24"/>
  <c r="F32" i="8"/>
  <c r="F216" i="24"/>
  <c r="F225" i="8"/>
  <c r="F186" i="8"/>
  <c r="F221" i="24"/>
  <c r="F154" i="24"/>
  <c r="F135" i="23"/>
  <c r="F127" i="24"/>
  <c r="F10" i="8"/>
  <c r="F43" i="13"/>
  <c r="F215" i="24"/>
  <c r="F212" i="24"/>
  <c r="F35" i="23"/>
  <c r="F222" i="23"/>
  <c r="F215" i="9"/>
  <c r="F122" i="23"/>
  <c r="F144" i="9"/>
  <c r="K187" i="23" l="1"/>
  <c r="K188" i="23"/>
  <c r="K379" i="23" s="1"/>
  <c r="K187" i="20"/>
  <c r="K188" i="20"/>
  <c r="K375" i="20" s="1"/>
  <c r="K187" i="9"/>
  <c r="K188" i="9"/>
  <c r="K373" i="9" s="1"/>
  <c r="K187" i="8"/>
  <c r="K188" i="8"/>
  <c r="K367" i="8" s="1"/>
  <c r="K162" i="23"/>
  <c r="K163" i="23"/>
  <c r="K359" i="23" s="1"/>
  <c r="K162" i="20"/>
  <c r="K163" i="20"/>
  <c r="K355" i="20" s="1"/>
  <c r="K162" i="9"/>
  <c r="K352" i="9" s="1"/>
  <c r="K163" i="9"/>
  <c r="K353" i="9" s="1"/>
  <c r="K162" i="8"/>
  <c r="K163" i="8"/>
  <c r="K347" i="8" s="1"/>
  <c r="K161" i="23"/>
  <c r="K357" i="23" s="1"/>
  <c r="K358" i="23"/>
  <c r="K161" i="20"/>
  <c r="K353" i="20" s="1"/>
  <c r="K354" i="20"/>
  <c r="K161" i="9"/>
  <c r="K351" i="9" s="1"/>
  <c r="K161" i="8"/>
  <c r="K345" i="8" s="1"/>
  <c r="K346" i="8"/>
  <c r="K160" i="23"/>
  <c r="K356" i="23" s="1"/>
  <c r="K160" i="20"/>
  <c r="K352" i="20" s="1"/>
  <c r="K160" i="9"/>
  <c r="K350" i="9" s="1"/>
  <c r="K160" i="8"/>
  <c r="K344" i="8" s="1"/>
  <c r="K159" i="23"/>
  <c r="K355" i="23" s="1"/>
  <c r="K159" i="20"/>
  <c r="K351" i="20" s="1"/>
  <c r="K159" i="9"/>
  <c r="K349" i="9" s="1"/>
  <c r="K159" i="8"/>
  <c r="K99" i="23"/>
  <c r="K100" i="23"/>
  <c r="K311" i="23" s="1"/>
  <c r="K100" i="20"/>
  <c r="K307" i="20" s="1"/>
  <c r="K99" i="20"/>
  <c r="K100" i="9"/>
  <c r="K305" i="9" s="1"/>
  <c r="K99" i="9"/>
  <c r="F101" i="8"/>
  <c r="K99" i="8"/>
  <c r="K298" i="8" s="1"/>
  <c r="K100" i="8"/>
  <c r="K299" i="8" s="1"/>
  <c r="K195" i="20"/>
  <c r="K377" i="20" s="1"/>
  <c r="K198" i="20"/>
  <c r="K380" i="20" s="1"/>
  <c r="K201" i="8"/>
  <c r="K375" i="8" s="1"/>
  <c r="K199" i="20"/>
  <c r="K381" i="20" s="1"/>
  <c r="K202" i="8"/>
  <c r="K376" i="8" s="1"/>
  <c r="K200" i="8"/>
  <c r="K374" i="8" s="1"/>
  <c r="K199" i="8"/>
  <c r="K373" i="8" s="1"/>
  <c r="K198" i="8"/>
  <c r="K372" i="8" s="1"/>
  <c r="K197" i="20"/>
  <c r="K379" i="20" s="1"/>
  <c r="K197" i="8"/>
  <c r="K371" i="8" s="1"/>
  <c r="K195" i="8"/>
  <c r="K369" i="8" s="1"/>
  <c r="K196" i="8"/>
  <c r="K370" i="8" s="1"/>
  <c r="K202" i="20"/>
  <c r="K384" i="20" s="1"/>
  <c r="I122" i="13"/>
  <c r="K194" i="24"/>
  <c r="K368" i="24" s="1"/>
  <c r="K203" i="24"/>
  <c r="K405" i="24" s="1"/>
  <c r="I107" i="13"/>
  <c r="K196" i="23"/>
  <c r="K382" i="23" s="1"/>
  <c r="K202" i="23"/>
  <c r="K388" i="23" s="1"/>
  <c r="K201" i="23"/>
  <c r="K387" i="23" s="1"/>
  <c r="K198" i="23"/>
  <c r="K384" i="23" s="1"/>
  <c r="K195" i="23"/>
  <c r="K381" i="23" s="1"/>
  <c r="K200" i="23"/>
  <c r="K386" i="23" s="1"/>
  <c r="K197" i="23"/>
  <c r="K383" i="23" s="1"/>
  <c r="K199" i="23"/>
  <c r="K385" i="23" s="1"/>
  <c r="K196" i="20"/>
  <c r="K378" i="20" s="1"/>
  <c r="K201" i="20"/>
  <c r="K383" i="20" s="1"/>
  <c r="K200" i="20"/>
  <c r="K382" i="20" s="1"/>
  <c r="K196" i="9"/>
  <c r="K376" i="9" s="1"/>
  <c r="K197" i="9"/>
  <c r="K377" i="9" s="1"/>
  <c r="K202" i="9"/>
  <c r="K382" i="9" s="1"/>
  <c r="K201" i="9"/>
  <c r="K381" i="9" s="1"/>
  <c r="K199" i="9"/>
  <c r="K379" i="9" s="1"/>
  <c r="K200" i="9"/>
  <c r="K380" i="9" s="1"/>
  <c r="K198" i="9"/>
  <c r="K378" i="9" s="1"/>
  <c r="K195" i="9"/>
  <c r="K375" i="9" s="1"/>
  <c r="K73" i="23"/>
  <c r="K294" i="23" s="1"/>
  <c r="K68" i="23"/>
  <c r="K289" i="23" s="1"/>
  <c r="K72" i="23"/>
  <c r="K293" i="23" s="1"/>
  <c r="K70" i="23"/>
  <c r="K291" i="23" s="1"/>
  <c r="K69" i="23"/>
  <c r="K290" i="23" s="1"/>
  <c r="K71" i="23"/>
  <c r="K292" i="23" s="1"/>
  <c r="K73" i="20"/>
  <c r="K69" i="20"/>
  <c r="K286" i="20" s="1"/>
  <c r="K70" i="20"/>
  <c r="K287" i="20" s="1"/>
  <c r="K72" i="20"/>
  <c r="K289" i="20" s="1"/>
  <c r="K71" i="20"/>
  <c r="K288" i="20" s="1"/>
  <c r="K68" i="9"/>
  <c r="K283" i="9" s="1"/>
  <c r="K73" i="9"/>
  <c r="K288" i="9" s="1"/>
  <c r="K72" i="9"/>
  <c r="K287" i="9" s="1"/>
  <c r="K69" i="9"/>
  <c r="K284" i="9" s="1"/>
  <c r="K70" i="9"/>
  <c r="K285" i="9" s="1"/>
  <c r="K74" i="9"/>
  <c r="K289" i="9" s="1"/>
  <c r="K286" i="9"/>
  <c r="K68" i="8"/>
  <c r="K277" i="8" s="1"/>
  <c r="K72" i="8"/>
  <c r="K281" i="8" s="1"/>
  <c r="K73" i="8"/>
  <c r="K282" i="8" s="1"/>
  <c r="K74" i="8"/>
  <c r="K283" i="8" s="1"/>
  <c r="K71" i="8"/>
  <c r="K280" i="8" s="1"/>
  <c r="K69" i="8"/>
  <c r="K278" i="8" s="1"/>
  <c r="K70" i="8"/>
  <c r="K279" i="8" s="1"/>
  <c r="K6" i="20"/>
  <c r="K238" i="20" s="1"/>
  <c r="K144" i="20"/>
  <c r="K336" i="20" s="1"/>
  <c r="K374" i="20"/>
  <c r="K151" i="20"/>
  <c r="K343" i="20" s="1"/>
  <c r="K154" i="20"/>
  <c r="K346" i="20" s="1"/>
  <c r="K32" i="20"/>
  <c r="K74" i="20"/>
  <c r="K291" i="20" s="1"/>
  <c r="K221" i="20"/>
  <c r="K48" i="20"/>
  <c r="K143" i="20"/>
  <c r="K335" i="20" s="1"/>
  <c r="K63" i="20"/>
  <c r="K280" i="20" s="1"/>
  <c r="K142" i="20"/>
  <c r="K334" i="20" s="1"/>
  <c r="K22" i="20"/>
  <c r="K249" i="20" s="1"/>
  <c r="K50" i="20"/>
  <c r="K267" i="20" s="1"/>
  <c r="K145" i="20"/>
  <c r="K337" i="20" s="1"/>
  <c r="K36" i="20"/>
  <c r="K258" i="20" s="1"/>
  <c r="K153" i="20"/>
  <c r="K184" i="9"/>
  <c r="K369" i="9" s="1"/>
  <c r="K86" i="9"/>
  <c r="K111" i="9"/>
  <c r="K311" i="9" s="1"/>
  <c r="K6" i="9"/>
  <c r="K236" i="9" s="1"/>
  <c r="K223" i="9"/>
  <c r="K398" i="9" s="1"/>
  <c r="K135" i="9"/>
  <c r="K325" i="9" s="1"/>
  <c r="K137" i="9"/>
  <c r="K327" i="9" s="1"/>
  <c r="K95" i="9"/>
  <c r="K300" i="9" s="1"/>
  <c r="K10" i="9"/>
  <c r="K175" i="9"/>
  <c r="K15" i="9"/>
  <c r="K245" i="9" s="1"/>
  <c r="K121" i="9"/>
  <c r="K316" i="9" s="1"/>
  <c r="K65" i="9"/>
  <c r="K280" i="9" s="1"/>
  <c r="K50" i="9"/>
  <c r="K265" i="9" s="1"/>
  <c r="K75" i="9"/>
  <c r="K290" i="9" s="1"/>
  <c r="K185" i="9"/>
  <c r="K370" i="9" s="1"/>
  <c r="K143" i="9"/>
  <c r="K108" i="9"/>
  <c r="K308" i="9" s="1"/>
  <c r="K32" i="9"/>
  <c r="K183" i="9"/>
  <c r="K368" i="9" s="1"/>
  <c r="K142" i="9"/>
  <c r="K332" i="9" s="1"/>
  <c r="K138" i="9"/>
  <c r="K328" i="9" s="1"/>
  <c r="K127" i="9"/>
  <c r="K172" i="9"/>
  <c r="K357" i="9" s="1"/>
  <c r="K171" i="9"/>
  <c r="K356" i="9" s="1"/>
  <c r="K176" i="9"/>
  <c r="K361" i="9" s="1"/>
  <c r="K150" i="9"/>
  <c r="K96" i="9"/>
  <c r="K301" i="9" s="1"/>
  <c r="K34" i="9"/>
  <c r="K254" i="9" s="1"/>
  <c r="K178" i="9"/>
  <c r="K363" i="9" s="1"/>
  <c r="K85" i="9"/>
  <c r="K126" i="9"/>
  <c r="K321" i="9" s="1"/>
  <c r="K119" i="9"/>
  <c r="K122" i="9"/>
  <c r="K317" i="9" s="1"/>
  <c r="K61" i="9"/>
  <c r="K276" i="9" s="1"/>
  <c r="K51" i="9"/>
  <c r="K266" i="9" s="1"/>
  <c r="K45" i="9"/>
  <c r="K260" i="9" s="1"/>
  <c r="K304" i="9"/>
  <c r="K82" i="9"/>
  <c r="K292" i="9" s="1"/>
  <c r="K9" i="9"/>
  <c r="K239" i="9" s="1"/>
  <c r="K110" i="9"/>
  <c r="K35" i="9"/>
  <c r="K255" i="9" s="1"/>
  <c r="K186" i="9"/>
  <c r="K222" i="9"/>
  <c r="K397" i="9" s="1"/>
  <c r="K182" i="9"/>
  <c r="K367" i="9" s="1"/>
  <c r="K120" i="9"/>
  <c r="K214" i="9"/>
  <c r="K389" i="9" s="1"/>
  <c r="K174" i="9"/>
  <c r="K359" i="9" s="1"/>
  <c r="K14" i="9"/>
  <c r="K43" i="9"/>
  <c r="K258" i="9" s="1"/>
  <c r="K60" i="9"/>
  <c r="K275" i="9" s="1"/>
  <c r="K59" i="9"/>
  <c r="K274" i="9" s="1"/>
  <c r="K49" i="9"/>
  <c r="K264" i="9" s="1"/>
  <c r="K48" i="9"/>
  <c r="K263" i="9" s="1"/>
  <c r="K372" i="9"/>
  <c r="K218" i="9"/>
  <c r="K393" i="9" s="1"/>
  <c r="K148" i="9"/>
  <c r="K31" i="9"/>
  <c r="K251" i="9" s="1"/>
  <c r="K210" i="9"/>
  <c r="K140" i="9"/>
  <c r="K330" i="9" s="1"/>
  <c r="K149" i="9"/>
  <c r="K339" i="9" s="1"/>
  <c r="K136" i="9"/>
  <c r="K326" i="9" s="1"/>
  <c r="K83" i="9"/>
  <c r="K293" i="9" s="1"/>
  <c r="K141" i="9"/>
  <c r="K331" i="9" s="1"/>
  <c r="K216" i="9"/>
  <c r="K93" i="9"/>
  <c r="K298" i="9" s="1"/>
  <c r="K154" i="9"/>
  <c r="K344" i="9" s="1"/>
  <c r="K67" i="9"/>
  <c r="K282" i="9" s="1"/>
  <c r="K52" i="9"/>
  <c r="K267" i="9" s="1"/>
  <c r="K53" i="9"/>
  <c r="K268" i="9" s="1"/>
  <c r="K24" i="9"/>
  <c r="K249" i="9" s="1"/>
  <c r="K179" i="9"/>
  <c r="K364" i="9" s="1"/>
  <c r="K134" i="9"/>
  <c r="K324" i="9" s="1"/>
  <c r="K153" i="9"/>
  <c r="K343" i="9" s="1"/>
  <c r="K7" i="9"/>
  <c r="K237" i="9" s="1"/>
  <c r="K213" i="9"/>
  <c r="K145" i="9"/>
  <c r="K335" i="9" s="1"/>
  <c r="K220" i="9"/>
  <c r="K147" i="9"/>
  <c r="K337" i="9" s="1"/>
  <c r="K224" i="9"/>
  <c r="K399" i="9" s="1"/>
  <c r="K212" i="9"/>
  <c r="K387" i="9" s="1"/>
  <c r="K8" i="9"/>
  <c r="K238" i="9" s="1"/>
  <c r="K180" i="9"/>
  <c r="K365" i="9" s="1"/>
  <c r="K12" i="9"/>
  <c r="K242" i="9" s="1"/>
  <c r="K156" i="9"/>
  <c r="K346" i="9" s="1"/>
  <c r="K55" i="9"/>
  <c r="K270" i="9" s="1"/>
  <c r="K64" i="9"/>
  <c r="K279" i="9" s="1"/>
  <c r="K44" i="9"/>
  <c r="K259" i="9" s="1"/>
  <c r="K57" i="9"/>
  <c r="K272" i="9" s="1"/>
  <c r="K98" i="9"/>
  <c r="K303" i="9" s="1"/>
  <c r="K221" i="9"/>
  <c r="K118" i="9"/>
  <c r="K313" i="9" s="1"/>
  <c r="K225" i="9"/>
  <c r="K400" i="9" s="1"/>
  <c r="K94" i="9"/>
  <c r="K299" i="9" s="1"/>
  <c r="K144" i="9"/>
  <c r="K334" i="9" s="1"/>
  <c r="K107" i="9"/>
  <c r="K307" i="9" s="1"/>
  <c r="K219" i="9"/>
  <c r="K124" i="9"/>
  <c r="K319" i="9" s="1"/>
  <c r="K36" i="9"/>
  <c r="K256" i="9" s="1"/>
  <c r="K139" i="9"/>
  <c r="K329" i="9" s="1"/>
  <c r="K123" i="9"/>
  <c r="K318" i="9" s="1"/>
  <c r="K125" i="9"/>
  <c r="K320" i="9" s="1"/>
  <c r="K157" i="9"/>
  <c r="K347" i="9" s="1"/>
  <c r="K54" i="9"/>
  <c r="K269" i="9" s="1"/>
  <c r="K22" i="9"/>
  <c r="K247" i="9" s="1"/>
  <c r="K109" i="9"/>
  <c r="K309" i="9" s="1"/>
  <c r="K152" i="9"/>
  <c r="K342" i="9" s="1"/>
  <c r="K209" i="9"/>
  <c r="K384" i="9" s="1"/>
  <c r="K177" i="9"/>
  <c r="K362" i="9" s="1"/>
  <c r="K11" i="9"/>
  <c r="K241" i="9" s="1"/>
  <c r="K217" i="9"/>
  <c r="K392" i="9" s="1"/>
  <c r="K146" i="9"/>
  <c r="K336" i="9" s="1"/>
  <c r="K215" i="9"/>
  <c r="K13" i="9"/>
  <c r="K243" i="9" s="1"/>
  <c r="K211" i="9"/>
  <c r="K386" i="9" s="1"/>
  <c r="K84" i="9"/>
  <c r="K294" i="9" s="1"/>
  <c r="K151" i="9"/>
  <c r="K341" i="9" s="1"/>
  <c r="K155" i="9"/>
  <c r="K345" i="9" s="1"/>
  <c r="K58" i="9"/>
  <c r="K273" i="9" s="1"/>
  <c r="K66" i="9"/>
  <c r="K281" i="9" s="1"/>
  <c r="K46" i="9"/>
  <c r="K261" i="9" s="1"/>
  <c r="K23" i="9"/>
  <c r="K248" i="9" s="1"/>
  <c r="K33" i="9"/>
  <c r="K253" i="9" s="1"/>
  <c r="K181" i="9"/>
  <c r="K366" i="9" s="1"/>
  <c r="K173" i="9"/>
  <c r="K358" i="9" s="1"/>
  <c r="K170" i="9"/>
  <c r="K355" i="9" s="1"/>
  <c r="K97" i="9"/>
  <c r="K302" i="9" s="1"/>
  <c r="K158" i="9"/>
  <c r="K348" i="9" s="1"/>
  <c r="K56" i="9"/>
  <c r="K271" i="9" s="1"/>
  <c r="K47" i="9"/>
  <c r="K262" i="9" s="1"/>
  <c r="K63" i="9"/>
  <c r="K278" i="9" s="1"/>
  <c r="K62" i="9"/>
  <c r="K277" i="9" s="1"/>
  <c r="K75" i="23"/>
  <c r="K296" i="23" s="1"/>
  <c r="K74" i="23"/>
  <c r="K295" i="23" s="1"/>
  <c r="K84" i="20"/>
  <c r="K296" i="20" s="1"/>
  <c r="K182" i="20"/>
  <c r="K369" i="20" s="1"/>
  <c r="K134" i="20"/>
  <c r="K326" i="20" s="1"/>
  <c r="K209" i="20"/>
  <c r="K386" i="20" s="1"/>
  <c r="K31" i="20"/>
  <c r="K253" i="20" s="1"/>
  <c r="K118" i="20"/>
  <c r="K315" i="20" s="1"/>
  <c r="K110" i="20"/>
  <c r="K312" i="20" s="1"/>
  <c r="K224" i="20"/>
  <c r="K401" i="20" s="1"/>
  <c r="K210" i="20"/>
  <c r="K387" i="20" s="1"/>
  <c r="K150" i="20"/>
  <c r="K342" i="20" s="1"/>
  <c r="K107" i="20"/>
  <c r="K309" i="20" s="1"/>
  <c r="K43" i="20"/>
  <c r="K260" i="20" s="1"/>
  <c r="K62" i="20"/>
  <c r="K279" i="20" s="1"/>
  <c r="K68" i="20"/>
  <c r="K285" i="20" s="1"/>
  <c r="K75" i="20"/>
  <c r="K292" i="20" s="1"/>
  <c r="K186" i="20"/>
  <c r="K373" i="20" s="1"/>
  <c r="K223" i="20"/>
  <c r="K185" i="20"/>
  <c r="K372" i="20" s="1"/>
  <c r="K123" i="20"/>
  <c r="K320" i="20" s="1"/>
  <c r="K111" i="20"/>
  <c r="K313" i="20" s="1"/>
  <c r="K225" i="20"/>
  <c r="K402" i="20" s="1"/>
  <c r="K24" i="20"/>
  <c r="K251" i="20" s="1"/>
  <c r="K222" i="20"/>
  <c r="K399" i="20" s="1"/>
  <c r="K217" i="20"/>
  <c r="K394" i="20" s="1"/>
  <c r="K213" i="20"/>
  <c r="K135" i="20"/>
  <c r="K327" i="20" s="1"/>
  <c r="K94" i="20"/>
  <c r="K301" i="20" s="1"/>
  <c r="K155" i="20"/>
  <c r="K347" i="20" s="1"/>
  <c r="K57" i="20"/>
  <c r="K274" i="20" s="1"/>
  <c r="K59" i="20"/>
  <c r="K276" i="20" s="1"/>
  <c r="K82" i="20"/>
  <c r="K294" i="20" s="1"/>
  <c r="K172" i="20"/>
  <c r="K359" i="20" s="1"/>
  <c r="K140" i="20"/>
  <c r="K178" i="20"/>
  <c r="K365" i="20" s="1"/>
  <c r="K7" i="20"/>
  <c r="K239" i="20" s="1"/>
  <c r="K174" i="20"/>
  <c r="K361" i="20" s="1"/>
  <c r="K220" i="20"/>
  <c r="K149" i="20"/>
  <c r="K341" i="20" s="1"/>
  <c r="K173" i="20"/>
  <c r="K360" i="20" s="1"/>
  <c r="K13" i="20"/>
  <c r="K245" i="20" s="1"/>
  <c r="K214" i="20"/>
  <c r="K95" i="20"/>
  <c r="K302" i="20" s="1"/>
  <c r="K156" i="20"/>
  <c r="K64" i="20"/>
  <c r="K281" i="20" s="1"/>
  <c r="K55" i="20"/>
  <c r="K272" i="20" s="1"/>
  <c r="K60" i="20"/>
  <c r="K277" i="20" s="1"/>
  <c r="K183" i="20"/>
  <c r="K370" i="20" s="1"/>
  <c r="K34" i="20"/>
  <c r="K256" i="20" s="1"/>
  <c r="K124" i="20"/>
  <c r="K211" i="20"/>
  <c r="K388" i="20" s="1"/>
  <c r="K35" i="20"/>
  <c r="K257" i="20" s="1"/>
  <c r="K120" i="20"/>
  <c r="K317" i="20" s="1"/>
  <c r="K181" i="20"/>
  <c r="K368" i="20" s="1"/>
  <c r="K184" i="20"/>
  <c r="K371" i="20" s="1"/>
  <c r="K109" i="20"/>
  <c r="K311" i="20" s="1"/>
  <c r="K125" i="20"/>
  <c r="K322" i="20" s="1"/>
  <c r="K212" i="20"/>
  <c r="K141" i="20"/>
  <c r="K333" i="20" s="1"/>
  <c r="K96" i="20"/>
  <c r="K303" i="20" s="1"/>
  <c r="K157" i="20"/>
  <c r="K349" i="20" s="1"/>
  <c r="K290" i="20"/>
  <c r="K44" i="20"/>
  <c r="K261" i="20" s="1"/>
  <c r="K54" i="20"/>
  <c r="K271" i="20" s="1"/>
  <c r="K46" i="20"/>
  <c r="K263" i="20" s="1"/>
  <c r="K85" i="20"/>
  <c r="K147" i="20"/>
  <c r="K339" i="20" s="1"/>
  <c r="K15" i="20"/>
  <c r="K247" i="20" s="1"/>
  <c r="K175" i="20"/>
  <c r="K362" i="20" s="1"/>
  <c r="K23" i="20"/>
  <c r="K250" i="20" s="1"/>
  <c r="K177" i="20"/>
  <c r="K364" i="20" s="1"/>
  <c r="K136" i="20"/>
  <c r="K328" i="20" s="1"/>
  <c r="K33" i="20"/>
  <c r="K255" i="20" s="1"/>
  <c r="K170" i="20"/>
  <c r="K357" i="20" s="1"/>
  <c r="K8" i="20"/>
  <c r="K240" i="20" s="1"/>
  <c r="K176" i="20"/>
  <c r="K363" i="20" s="1"/>
  <c r="K148" i="20"/>
  <c r="K340" i="20" s="1"/>
  <c r="K97" i="20"/>
  <c r="K304" i="20" s="1"/>
  <c r="K158" i="20"/>
  <c r="K350" i="20" s="1"/>
  <c r="K56" i="20"/>
  <c r="K273" i="20" s="1"/>
  <c r="K49" i="20"/>
  <c r="K266" i="20" s="1"/>
  <c r="K65" i="20"/>
  <c r="K282" i="20" s="1"/>
  <c r="K216" i="20"/>
  <c r="K127" i="20"/>
  <c r="K324" i="20" s="1"/>
  <c r="K179" i="20"/>
  <c r="K366" i="20" s="1"/>
  <c r="K86" i="20"/>
  <c r="K298" i="20" s="1"/>
  <c r="K139" i="20"/>
  <c r="K331" i="20" s="1"/>
  <c r="K119" i="20"/>
  <c r="K316" i="20" s="1"/>
  <c r="K215" i="20"/>
  <c r="K392" i="20" s="1"/>
  <c r="K146" i="20"/>
  <c r="K338" i="20" s="1"/>
  <c r="K108" i="20"/>
  <c r="K310" i="20" s="1"/>
  <c r="K180" i="20"/>
  <c r="K367" i="20" s="1"/>
  <c r="K11" i="20"/>
  <c r="K243" i="20" s="1"/>
  <c r="K219" i="20"/>
  <c r="K98" i="20"/>
  <c r="K305" i="20" s="1"/>
  <c r="K52" i="20"/>
  <c r="K269" i="20" s="1"/>
  <c r="K61" i="20"/>
  <c r="K278" i="20" s="1"/>
  <c r="K58" i="20"/>
  <c r="K275" i="20" s="1"/>
  <c r="K66" i="20"/>
  <c r="K283" i="20" s="1"/>
  <c r="K152" i="20"/>
  <c r="K344" i="20" s="1"/>
  <c r="K10" i="20"/>
  <c r="K242" i="20" s="1"/>
  <c r="K14" i="20"/>
  <c r="K246" i="20" s="1"/>
  <c r="K9" i="20"/>
  <c r="K241" i="20" s="1"/>
  <c r="K137" i="20"/>
  <c r="K329" i="20" s="1"/>
  <c r="K218" i="20"/>
  <c r="K395" i="20" s="1"/>
  <c r="K171" i="20"/>
  <c r="K358" i="20" s="1"/>
  <c r="K126" i="20"/>
  <c r="K323" i="20" s="1"/>
  <c r="K12" i="20"/>
  <c r="K244" i="20" s="1"/>
  <c r="K83" i="20"/>
  <c r="K295" i="20" s="1"/>
  <c r="K138" i="20"/>
  <c r="K330" i="20" s="1"/>
  <c r="K122" i="20"/>
  <c r="K319" i="20" s="1"/>
  <c r="K93" i="20"/>
  <c r="K300" i="20" s="1"/>
  <c r="K67" i="20"/>
  <c r="K284" i="20" s="1"/>
  <c r="K47" i="20"/>
  <c r="K264" i="20" s="1"/>
  <c r="K53" i="20"/>
  <c r="K270" i="20" s="1"/>
  <c r="K45" i="20"/>
  <c r="K262" i="20" s="1"/>
  <c r="K121" i="20"/>
  <c r="K318" i="20" s="1"/>
  <c r="K59" i="8"/>
  <c r="K268" i="8" s="1"/>
  <c r="K75" i="8"/>
  <c r="K284" i="8" s="1"/>
  <c r="K58" i="8"/>
  <c r="K267" i="8" s="1"/>
  <c r="K52" i="8"/>
  <c r="K261" i="8" s="1"/>
  <c r="K49" i="8"/>
  <c r="K258" i="8" s="1"/>
  <c r="K67" i="8"/>
  <c r="K276" i="8" s="1"/>
  <c r="K60" i="8"/>
  <c r="K269" i="8" s="1"/>
  <c r="K47" i="8"/>
  <c r="K256" i="8" s="1"/>
  <c r="K54" i="8"/>
  <c r="K263" i="8" s="1"/>
  <c r="K53" i="8"/>
  <c r="K262" i="8" s="1"/>
  <c r="K44" i="8"/>
  <c r="K253" i="8" s="1"/>
  <c r="K45" i="8"/>
  <c r="K254" i="8" s="1"/>
  <c r="K65" i="8"/>
  <c r="K274" i="8" s="1"/>
  <c r="K61" i="8"/>
  <c r="K270" i="8" s="1"/>
  <c r="K57" i="8"/>
  <c r="K266" i="8" s="1"/>
  <c r="K56" i="8"/>
  <c r="K265" i="8" s="1"/>
  <c r="K63" i="8"/>
  <c r="K272" i="8" s="1"/>
  <c r="K55" i="8"/>
  <c r="K264" i="8" s="1"/>
  <c r="K64" i="8"/>
  <c r="K273" i="8" s="1"/>
  <c r="K46" i="8"/>
  <c r="K255" i="8" s="1"/>
  <c r="K50" i="8"/>
  <c r="K259" i="8" s="1"/>
  <c r="K66" i="8"/>
  <c r="K275" i="8" s="1"/>
  <c r="K48" i="8"/>
  <c r="K257" i="8" s="1"/>
  <c r="K43" i="8"/>
  <c r="K252" i="8" s="1"/>
  <c r="K62" i="8"/>
  <c r="K271" i="8" s="1"/>
  <c r="K57" i="23"/>
  <c r="K278" i="23" s="1"/>
  <c r="K66" i="23"/>
  <c r="K287" i="23" s="1"/>
  <c r="K47" i="23"/>
  <c r="K268" i="23" s="1"/>
  <c r="K67" i="23"/>
  <c r="K288" i="23" s="1"/>
  <c r="K50" i="23"/>
  <c r="K271" i="23" s="1"/>
  <c r="K54" i="23"/>
  <c r="K275" i="23" s="1"/>
  <c r="K56" i="23"/>
  <c r="K277" i="23" s="1"/>
  <c r="K48" i="23"/>
  <c r="K269" i="23" s="1"/>
  <c r="K63" i="23"/>
  <c r="K284" i="23" s="1"/>
  <c r="K65" i="23"/>
  <c r="K286" i="23" s="1"/>
  <c r="K44" i="23"/>
  <c r="K265" i="23" s="1"/>
  <c r="K60" i="23"/>
  <c r="K281" i="23" s="1"/>
  <c r="K49" i="23"/>
  <c r="K270" i="23" s="1"/>
  <c r="K55" i="23"/>
  <c r="K276" i="23" s="1"/>
  <c r="K64" i="23"/>
  <c r="K285" i="23" s="1"/>
  <c r="K58" i="23"/>
  <c r="K279" i="23" s="1"/>
  <c r="K62" i="23"/>
  <c r="K283" i="23" s="1"/>
  <c r="K52" i="23"/>
  <c r="K273" i="23" s="1"/>
  <c r="K61" i="23"/>
  <c r="K282" i="23" s="1"/>
  <c r="K43" i="23"/>
  <c r="K264" i="23" s="1"/>
  <c r="K59" i="23"/>
  <c r="K280" i="23" s="1"/>
  <c r="K53" i="23"/>
  <c r="K274" i="23" s="1"/>
  <c r="K46" i="23"/>
  <c r="K267" i="23" s="1"/>
  <c r="K51" i="23"/>
  <c r="K272" i="23" s="1"/>
  <c r="K45" i="23"/>
  <c r="K266" i="23" s="1"/>
  <c r="F39" i="14"/>
  <c r="G16" i="28"/>
  <c r="F87" i="8"/>
  <c r="G87" i="8" s="1"/>
  <c r="G24" i="29"/>
  <c r="F15" i="28"/>
  <c r="K85" i="8"/>
  <c r="K289" i="8" s="1"/>
  <c r="K84" i="8"/>
  <c r="K288" i="8" s="1"/>
  <c r="K83" i="8"/>
  <c r="K287" i="8" s="1"/>
  <c r="K82" i="8"/>
  <c r="K286" i="8" s="1"/>
  <c r="K285" i="8"/>
  <c r="K86" i="8"/>
  <c r="K290" i="8" s="1"/>
  <c r="K93" i="8"/>
  <c r="K292" i="8" s="1"/>
  <c r="K291" i="8"/>
  <c r="K343" i="8"/>
  <c r="K156" i="8"/>
  <c r="K340" i="8" s="1"/>
  <c r="K157" i="23"/>
  <c r="K353" i="23" s="1"/>
  <c r="K158" i="23"/>
  <c r="K154" i="23"/>
  <c r="K350" i="23" s="1"/>
  <c r="K156" i="23"/>
  <c r="K352" i="23" s="1"/>
  <c r="K155" i="23"/>
  <c r="K351" i="23" s="1"/>
  <c r="K348" i="20"/>
  <c r="K157" i="8"/>
  <c r="K341" i="8" s="1"/>
  <c r="K155" i="8"/>
  <c r="K339" i="8" s="1"/>
  <c r="K154" i="8"/>
  <c r="K338" i="8" s="1"/>
  <c r="K158" i="8"/>
  <c r="K342" i="8" s="1"/>
  <c r="K97" i="23"/>
  <c r="K308" i="23" s="1"/>
  <c r="K93" i="23"/>
  <c r="K304" i="23" s="1"/>
  <c r="K95" i="23"/>
  <c r="K306" i="23" s="1"/>
  <c r="K94" i="23"/>
  <c r="K305" i="23" s="1"/>
  <c r="K96" i="23"/>
  <c r="K307" i="23" s="1"/>
  <c r="K310" i="23"/>
  <c r="K98" i="23"/>
  <c r="K309" i="23" s="1"/>
  <c r="K306" i="20"/>
  <c r="K94" i="8"/>
  <c r="K293" i="8" s="1"/>
  <c r="K98" i="8"/>
  <c r="K297" i="8" s="1"/>
  <c r="K96" i="8"/>
  <c r="K295" i="8" s="1"/>
  <c r="K95" i="8"/>
  <c r="K294" i="8" s="1"/>
  <c r="K97" i="8"/>
  <c r="K296" i="8" s="1"/>
  <c r="K186" i="23"/>
  <c r="K377" i="23" s="1"/>
  <c r="K378" i="23"/>
  <c r="K186" i="8"/>
  <c r="K365" i="8" s="1"/>
  <c r="K366" i="8"/>
  <c r="K226" i="24"/>
  <c r="K406" i="24" s="1"/>
  <c r="K112" i="24"/>
  <c r="K401" i="24" s="1"/>
  <c r="K164" i="24"/>
  <c r="K403" i="24" s="1"/>
  <c r="K101" i="24"/>
  <c r="K400" i="24" s="1"/>
  <c r="K189" i="24"/>
  <c r="K404" i="24" s="1"/>
  <c r="K16" i="24"/>
  <c r="K395" i="24" s="1"/>
  <c r="K25" i="24"/>
  <c r="K396" i="24" s="1"/>
  <c r="K87" i="24"/>
  <c r="K399" i="24" s="1"/>
  <c r="K76" i="24"/>
  <c r="K398" i="24" s="1"/>
  <c r="K128" i="24"/>
  <c r="K402" i="24" s="1"/>
  <c r="K37" i="24"/>
  <c r="K397" i="24" s="1"/>
  <c r="K208" i="24"/>
  <c r="K377" i="24" s="1"/>
  <c r="K296" i="9"/>
  <c r="K183" i="8"/>
  <c r="K362" i="8" s="1"/>
  <c r="K34" i="14"/>
  <c r="K59" i="14" s="1"/>
  <c r="K33" i="14"/>
  <c r="K58" i="14" s="1"/>
  <c r="K32" i="14"/>
  <c r="K57" i="14" s="1"/>
  <c r="K26" i="14"/>
  <c r="K55" i="14" s="1"/>
  <c r="K117" i="24"/>
  <c r="K21" i="24"/>
  <c r="K240" i="24" s="1"/>
  <c r="K4" i="24"/>
  <c r="K75" i="24" s="1"/>
  <c r="K169" i="24"/>
  <c r="K348" i="24" s="1"/>
  <c r="K5" i="24"/>
  <c r="K229" i="24" s="1"/>
  <c r="K42" i="24"/>
  <c r="K251" i="24" s="1"/>
  <c r="K30" i="24"/>
  <c r="K244" i="24" s="1"/>
  <c r="K81" i="24"/>
  <c r="K285" i="24" s="1"/>
  <c r="K184" i="23"/>
  <c r="K375" i="23" s="1"/>
  <c r="K210" i="23"/>
  <c r="K391" i="23" s="1"/>
  <c r="K179" i="23"/>
  <c r="K370" i="23" s="1"/>
  <c r="K171" i="23"/>
  <c r="K362" i="23" s="1"/>
  <c r="K265" i="20"/>
  <c r="K268" i="20"/>
  <c r="K333" i="9"/>
  <c r="K182" i="8"/>
  <c r="K361" i="8" s="1"/>
  <c r="K122" i="8"/>
  <c r="K311" i="8" s="1"/>
  <c r="K133" i="24"/>
  <c r="K317" i="24" s="1"/>
  <c r="K106" i="24"/>
  <c r="K300" i="24" s="1"/>
  <c r="K92" i="24"/>
  <c r="K291" i="24" s="1"/>
  <c r="K127" i="23"/>
  <c r="K328" i="23" s="1"/>
  <c r="K122" i="23"/>
  <c r="K323" i="23" s="1"/>
  <c r="K173" i="23"/>
  <c r="K364" i="23" s="1"/>
  <c r="K83" i="23"/>
  <c r="K299" i="23" s="1"/>
  <c r="K137" i="23"/>
  <c r="K333" i="23" s="1"/>
  <c r="K9" i="23"/>
  <c r="K245" i="23" s="1"/>
  <c r="K175" i="23"/>
  <c r="K366" i="23" s="1"/>
  <c r="K216" i="23"/>
  <c r="K183" i="23"/>
  <c r="K374" i="23" s="1"/>
  <c r="K146" i="23"/>
  <c r="K342" i="23" s="1"/>
  <c r="K134" i="23"/>
  <c r="K330" i="23" s="1"/>
  <c r="K136" i="23"/>
  <c r="K332" i="23" s="1"/>
  <c r="K135" i="23"/>
  <c r="K331" i="23" s="1"/>
  <c r="K13" i="23"/>
  <c r="K249" i="23" s="1"/>
  <c r="K123" i="23"/>
  <c r="K324" i="23" s="1"/>
  <c r="K211" i="23"/>
  <c r="K392" i="23" s="1"/>
  <c r="K139" i="23"/>
  <c r="K335" i="23" s="1"/>
  <c r="K141" i="23"/>
  <c r="K337" i="23" s="1"/>
  <c r="K149" i="23"/>
  <c r="K345" i="23" s="1"/>
  <c r="K150" i="23"/>
  <c r="K346" i="23" s="1"/>
  <c r="K151" i="23"/>
  <c r="K347" i="23" s="1"/>
  <c r="K144" i="23"/>
  <c r="K340" i="23" s="1"/>
  <c r="K152" i="23"/>
  <c r="K348" i="23" s="1"/>
  <c r="K148" i="23"/>
  <c r="K344" i="23" s="1"/>
  <c r="K142" i="23"/>
  <c r="K338" i="23" s="1"/>
  <c r="K153" i="23"/>
  <c r="K349" i="23" s="1"/>
  <c r="K140" i="23"/>
  <c r="K336" i="23" s="1"/>
  <c r="K145" i="23"/>
  <c r="K341" i="23" s="1"/>
  <c r="K143" i="23"/>
  <c r="K339" i="23" s="1"/>
  <c r="K138" i="23"/>
  <c r="K334" i="23" s="1"/>
  <c r="K180" i="23"/>
  <c r="K371" i="23" s="1"/>
  <c r="K221" i="23"/>
  <c r="K176" i="23"/>
  <c r="K367" i="23" s="1"/>
  <c r="K108" i="23"/>
  <c r="K314" i="23" s="1"/>
  <c r="K170" i="23"/>
  <c r="K361" i="23" s="1"/>
  <c r="K222" i="23"/>
  <c r="K403" i="23" s="1"/>
  <c r="K111" i="23"/>
  <c r="K317" i="23" s="1"/>
  <c r="K219" i="23"/>
  <c r="K223" i="23"/>
  <c r="K404" i="23" s="1"/>
  <c r="K33" i="23"/>
  <c r="K259" i="23" s="1"/>
  <c r="K178" i="23"/>
  <c r="K369" i="23" s="1"/>
  <c r="K185" i="23"/>
  <c r="K376" i="23" s="1"/>
  <c r="K7" i="23"/>
  <c r="K243" i="23" s="1"/>
  <c r="K12" i="23"/>
  <c r="K248" i="23" s="1"/>
  <c r="K215" i="23"/>
  <c r="K120" i="23"/>
  <c r="K321" i="23" s="1"/>
  <c r="K24" i="23"/>
  <c r="K255" i="23" s="1"/>
  <c r="K220" i="23"/>
  <c r="K6" i="23"/>
  <c r="K242" i="23" s="1"/>
  <c r="K34" i="23"/>
  <c r="K260" i="23" s="1"/>
  <c r="K8" i="23"/>
  <c r="K244" i="23" s="1"/>
  <c r="K86" i="23"/>
  <c r="K302" i="23" s="1"/>
  <c r="K181" i="23"/>
  <c r="K372" i="23" s="1"/>
  <c r="K32" i="23"/>
  <c r="K258" i="23" s="1"/>
  <c r="K110" i="23"/>
  <c r="K316" i="23" s="1"/>
  <c r="K107" i="23"/>
  <c r="K313" i="23" s="1"/>
  <c r="K224" i="23"/>
  <c r="K405" i="23" s="1"/>
  <c r="K124" i="23"/>
  <c r="K325" i="23" s="1"/>
  <c r="K35" i="23"/>
  <c r="K261" i="23" s="1"/>
  <c r="K172" i="23"/>
  <c r="K363" i="23" s="1"/>
  <c r="K218" i="23"/>
  <c r="K31" i="23"/>
  <c r="K257" i="23" s="1"/>
  <c r="K213" i="23"/>
  <c r="K217" i="23"/>
  <c r="K121" i="23"/>
  <c r="K322" i="23" s="1"/>
  <c r="K14" i="23"/>
  <c r="K250" i="23" s="1"/>
  <c r="K209" i="23"/>
  <c r="K390" i="23" s="1"/>
  <c r="K212" i="23"/>
  <c r="K393" i="23" s="1"/>
  <c r="K109" i="23"/>
  <c r="K315" i="23" s="1"/>
  <c r="K11" i="23"/>
  <c r="K247" i="23" s="1"/>
  <c r="K23" i="23"/>
  <c r="K254" i="23" s="1"/>
  <c r="K10" i="23"/>
  <c r="K246" i="23" s="1"/>
  <c r="K15" i="23"/>
  <c r="K251" i="23" s="1"/>
  <c r="K119" i="23"/>
  <c r="K320" i="23" s="1"/>
  <c r="K118" i="23"/>
  <c r="K319" i="23" s="1"/>
  <c r="K343" i="23"/>
  <c r="K85" i="23"/>
  <c r="K301" i="23" s="1"/>
  <c r="K36" i="23"/>
  <c r="K262" i="23" s="1"/>
  <c r="K22" i="23"/>
  <c r="K253" i="23" s="1"/>
  <c r="K214" i="23"/>
  <c r="K125" i="23"/>
  <c r="K326" i="23" s="1"/>
  <c r="K174" i="23"/>
  <c r="K365" i="23" s="1"/>
  <c r="K182" i="23"/>
  <c r="K373" i="23" s="1"/>
  <c r="K126" i="23"/>
  <c r="K327" i="23" s="1"/>
  <c r="K225" i="23"/>
  <c r="K406" i="23" s="1"/>
  <c r="K84" i="23"/>
  <c r="K300" i="23" s="1"/>
  <c r="K177" i="23"/>
  <c r="K368" i="23" s="1"/>
  <c r="K82" i="23"/>
  <c r="K298" i="23" s="1"/>
  <c r="K345" i="20"/>
  <c r="K332" i="20"/>
  <c r="K340" i="9"/>
  <c r="K244" i="9"/>
  <c r="K322" i="9"/>
  <c r="K338" i="9"/>
  <c r="K315" i="9"/>
  <c r="K252" i="9"/>
  <c r="K240" i="9"/>
  <c r="K151" i="8"/>
  <c r="K335" i="8" s="1"/>
  <c r="K138" i="8"/>
  <c r="K322" i="8" s="1"/>
  <c r="K150" i="8"/>
  <c r="K334" i="8" s="1"/>
  <c r="K146" i="8"/>
  <c r="K330" i="8" s="1"/>
  <c r="K152" i="8"/>
  <c r="K336" i="8" s="1"/>
  <c r="K153" i="8"/>
  <c r="K337" i="8" s="1"/>
  <c r="K147" i="8"/>
  <c r="K331" i="8" s="1"/>
  <c r="K35" i="8"/>
  <c r="K249" i="8" s="1"/>
  <c r="K120" i="8"/>
  <c r="K309" i="8" s="1"/>
  <c r="K145" i="8"/>
  <c r="K329" i="8" s="1"/>
  <c r="K144" i="8"/>
  <c r="K328" i="8" s="1"/>
  <c r="K148" i="8"/>
  <c r="K332" i="8" s="1"/>
  <c r="K149" i="8"/>
  <c r="K333" i="8" s="1"/>
  <c r="K137" i="8"/>
  <c r="K321" i="8" s="1"/>
  <c r="K135" i="8"/>
  <c r="K319" i="8" s="1"/>
  <c r="K111" i="8"/>
  <c r="K305" i="8" s="1"/>
  <c r="K212" i="8"/>
  <c r="K381" i="8" s="1"/>
  <c r="K8" i="8"/>
  <c r="K232" i="8" s="1"/>
  <c r="K139" i="8"/>
  <c r="K323" i="8" s="1"/>
  <c r="K31" i="8"/>
  <c r="K245" i="8" s="1"/>
  <c r="K12" i="8"/>
  <c r="K236" i="8" s="1"/>
  <c r="K217" i="8"/>
  <c r="K142" i="8"/>
  <c r="K326" i="8" s="1"/>
  <c r="K141" i="8"/>
  <c r="K325" i="8" s="1"/>
  <c r="K134" i="8"/>
  <c r="K318" i="8" s="1"/>
  <c r="K140" i="8"/>
  <c r="K324" i="8" s="1"/>
  <c r="K143" i="8"/>
  <c r="K327" i="8" s="1"/>
  <c r="K136" i="8"/>
  <c r="K320" i="8" s="1"/>
  <c r="K110" i="8"/>
  <c r="K304" i="8" s="1"/>
  <c r="K179" i="8"/>
  <c r="K358" i="8" s="1"/>
  <c r="K15" i="8"/>
  <c r="K239" i="8" s="1"/>
  <c r="K321" i="20"/>
  <c r="K390" i="20"/>
  <c r="K254" i="20"/>
  <c r="K297" i="20"/>
  <c r="K400" i="20"/>
  <c r="K391" i="20"/>
  <c r="K398" i="20"/>
  <c r="K389" i="20"/>
  <c r="K391" i="9"/>
  <c r="K385" i="9"/>
  <c r="K295" i="9"/>
  <c r="K314" i="9"/>
  <c r="K371" i="9"/>
  <c r="K34" i="8"/>
  <c r="K248" i="8" s="1"/>
  <c r="K180" i="8"/>
  <c r="K359" i="8" s="1"/>
  <c r="K177" i="8"/>
  <c r="K356" i="8" s="1"/>
  <c r="K107" i="8"/>
  <c r="K301" i="8" s="1"/>
  <c r="K209" i="8"/>
  <c r="K378" i="8" s="1"/>
  <c r="K14" i="8"/>
  <c r="K238" i="8" s="1"/>
  <c r="K118" i="8"/>
  <c r="K307" i="8" s="1"/>
  <c r="K121" i="8"/>
  <c r="K310" i="8" s="1"/>
  <c r="K219" i="8"/>
  <c r="K218" i="8"/>
  <c r="K33" i="8"/>
  <c r="K247" i="8" s="1"/>
  <c r="K178" i="8"/>
  <c r="K357" i="8" s="1"/>
  <c r="K23" i="8"/>
  <c r="K242" i="8" s="1"/>
  <c r="K109" i="8"/>
  <c r="K303" i="8" s="1"/>
  <c r="K223" i="8"/>
  <c r="K392" i="8" s="1"/>
  <c r="K126" i="8"/>
  <c r="K315" i="8" s="1"/>
  <c r="K213" i="8"/>
  <c r="K216" i="8"/>
  <c r="K225" i="8"/>
  <c r="K394" i="8" s="1"/>
  <c r="K22" i="8"/>
  <c r="K241" i="8" s="1"/>
  <c r="K220" i="8"/>
  <c r="K11" i="8"/>
  <c r="K235" i="8" s="1"/>
  <c r="K24" i="8"/>
  <c r="K243" i="8" s="1"/>
  <c r="K9" i="8"/>
  <c r="K233" i="8" s="1"/>
  <c r="K123" i="8"/>
  <c r="K312" i="8" s="1"/>
  <c r="K171" i="8"/>
  <c r="K350" i="8" s="1"/>
  <c r="K185" i="8"/>
  <c r="K364" i="8" s="1"/>
  <c r="K224" i="8"/>
  <c r="K393" i="8" s="1"/>
  <c r="K108" i="8"/>
  <c r="K302" i="8" s="1"/>
  <c r="K184" i="8"/>
  <c r="K363" i="8" s="1"/>
  <c r="K124" i="8"/>
  <c r="K313" i="8" s="1"/>
  <c r="K170" i="8"/>
  <c r="K349" i="8" s="1"/>
  <c r="K211" i="8"/>
  <c r="K380" i="8" s="1"/>
  <c r="K222" i="8"/>
  <c r="K391" i="8" s="1"/>
  <c r="K32" i="8"/>
  <c r="K246" i="8" s="1"/>
  <c r="K215" i="8"/>
  <c r="K125" i="8"/>
  <c r="K314" i="8" s="1"/>
  <c r="K174" i="8"/>
  <c r="K353" i="8" s="1"/>
  <c r="K173" i="8"/>
  <c r="K352" i="8" s="1"/>
  <c r="K119" i="8"/>
  <c r="K308" i="8" s="1"/>
  <c r="K127" i="8"/>
  <c r="K316" i="8" s="1"/>
  <c r="K214" i="8"/>
  <c r="K221" i="8"/>
  <c r="K13" i="8"/>
  <c r="K237" i="8" s="1"/>
  <c r="K7" i="8"/>
  <c r="K231" i="8" s="1"/>
  <c r="K175" i="8"/>
  <c r="K354" i="8" s="1"/>
  <c r="K36" i="8"/>
  <c r="K250" i="8" s="1"/>
  <c r="K6" i="8"/>
  <c r="K230" i="8" s="1"/>
  <c r="K210" i="8"/>
  <c r="K379" i="8" s="1"/>
  <c r="K10" i="8"/>
  <c r="K234" i="8" s="1"/>
  <c r="K181" i="8"/>
  <c r="K360" i="8" s="1"/>
  <c r="K172" i="8"/>
  <c r="K351" i="8" s="1"/>
  <c r="K176" i="8"/>
  <c r="K355" i="8" s="1"/>
  <c r="K360" i="9"/>
  <c r="K310" i="9"/>
  <c r="H107" i="13"/>
  <c r="H55" i="13"/>
  <c r="H67" i="13"/>
  <c r="H122" i="13"/>
  <c r="H43" i="13"/>
  <c r="K187" i="24" l="1"/>
  <c r="K188" i="24"/>
  <c r="K367" i="24" s="1"/>
  <c r="K162" i="24"/>
  <c r="K346" i="24" s="1"/>
  <c r="K163" i="24"/>
  <c r="K347" i="24" s="1"/>
  <c r="K161" i="24"/>
  <c r="K345" i="24" s="1"/>
  <c r="K160" i="24"/>
  <c r="K344" i="24" s="1"/>
  <c r="K159" i="24"/>
  <c r="K343" i="24" s="1"/>
  <c r="K99" i="24"/>
  <c r="K298" i="24" s="1"/>
  <c r="K100" i="24"/>
  <c r="K299" i="24" s="1"/>
  <c r="K383" i="8"/>
  <c r="K389" i="8"/>
  <c r="K384" i="8"/>
  <c r="K390" i="8"/>
  <c r="K385" i="8"/>
  <c r="K387" i="8"/>
  <c r="K386" i="8"/>
  <c r="K382" i="8"/>
  <c r="K388" i="8"/>
  <c r="K395" i="9"/>
  <c r="K388" i="9"/>
  <c r="K396" i="9"/>
  <c r="K390" i="9"/>
  <c r="K394" i="9"/>
  <c r="K396" i="20"/>
  <c r="K397" i="20"/>
  <c r="K393" i="20"/>
  <c r="K395" i="23"/>
  <c r="K398" i="23"/>
  <c r="K401" i="23"/>
  <c r="K402" i="23"/>
  <c r="K397" i="23"/>
  <c r="K394" i="23"/>
  <c r="K400" i="23"/>
  <c r="K399" i="23"/>
  <c r="K396" i="23"/>
  <c r="K201" i="24"/>
  <c r="K375" i="24" s="1"/>
  <c r="K200" i="24"/>
  <c r="K374" i="24" s="1"/>
  <c r="K198" i="24"/>
  <c r="K372" i="24" s="1"/>
  <c r="K196" i="24"/>
  <c r="K370" i="24" s="1"/>
  <c r="K199" i="24"/>
  <c r="K373" i="24" s="1"/>
  <c r="K195" i="24"/>
  <c r="K369" i="24" s="1"/>
  <c r="K197" i="24"/>
  <c r="K371" i="24" s="1"/>
  <c r="K202" i="24"/>
  <c r="K376" i="24" s="1"/>
  <c r="K67" i="24"/>
  <c r="K276" i="24" s="1"/>
  <c r="K68" i="24"/>
  <c r="K277" i="24" s="1"/>
  <c r="K71" i="24"/>
  <c r="K280" i="24" s="1"/>
  <c r="K72" i="24"/>
  <c r="K281" i="24" s="1"/>
  <c r="K70" i="24"/>
  <c r="K279" i="24" s="1"/>
  <c r="K73" i="24"/>
  <c r="K282" i="24" s="1"/>
  <c r="K69" i="24"/>
  <c r="K278" i="24" s="1"/>
  <c r="K46" i="24"/>
  <c r="K255" i="24" s="1"/>
  <c r="K74" i="24"/>
  <c r="K283" i="24" s="1"/>
  <c r="K63" i="24"/>
  <c r="K272" i="24" s="1"/>
  <c r="K47" i="24"/>
  <c r="K256" i="24" s="1"/>
  <c r="K64" i="24"/>
  <c r="K273" i="24" s="1"/>
  <c r="K58" i="24"/>
  <c r="K267" i="24" s="1"/>
  <c r="K53" i="24"/>
  <c r="K262" i="24" s="1"/>
  <c r="K51" i="24"/>
  <c r="K260" i="24" s="1"/>
  <c r="K57" i="24"/>
  <c r="K266" i="24" s="1"/>
  <c r="K54" i="24"/>
  <c r="K263" i="24" s="1"/>
  <c r="K44" i="24"/>
  <c r="K253" i="24" s="1"/>
  <c r="K52" i="24"/>
  <c r="K261" i="24" s="1"/>
  <c r="K45" i="24"/>
  <c r="K254" i="24" s="1"/>
  <c r="K59" i="24"/>
  <c r="K268" i="24" s="1"/>
  <c r="K66" i="24"/>
  <c r="K275" i="24" s="1"/>
  <c r="K48" i="24"/>
  <c r="K257" i="24" s="1"/>
  <c r="K60" i="24"/>
  <c r="K269" i="24" s="1"/>
  <c r="K61" i="24"/>
  <c r="K270" i="24" s="1"/>
  <c r="K65" i="24"/>
  <c r="K274" i="24" s="1"/>
  <c r="K43" i="24"/>
  <c r="K252" i="24" s="1"/>
  <c r="K55" i="24"/>
  <c r="K264" i="24" s="1"/>
  <c r="K62" i="24"/>
  <c r="K271" i="24" s="1"/>
  <c r="K50" i="24"/>
  <c r="K259" i="24" s="1"/>
  <c r="K49" i="24"/>
  <c r="K258" i="24" s="1"/>
  <c r="K56" i="24"/>
  <c r="K265" i="24" s="1"/>
  <c r="K154" i="24"/>
  <c r="K338" i="24" s="1"/>
  <c r="K157" i="24"/>
  <c r="K341" i="24" s="1"/>
  <c r="K155" i="24"/>
  <c r="K339" i="24" s="1"/>
  <c r="K156" i="24"/>
  <c r="K340" i="24" s="1"/>
  <c r="K158" i="24"/>
  <c r="K342" i="24" s="1"/>
  <c r="K284" i="24"/>
  <c r="K95" i="24"/>
  <c r="K294" i="24" s="1"/>
  <c r="K94" i="24"/>
  <c r="K293" i="24" s="1"/>
  <c r="K97" i="24"/>
  <c r="K296" i="24" s="1"/>
  <c r="K96" i="24"/>
  <c r="K295" i="24" s="1"/>
  <c r="K93" i="24"/>
  <c r="K292" i="24" s="1"/>
  <c r="K98" i="24"/>
  <c r="K297" i="24" s="1"/>
  <c r="K186" i="24"/>
  <c r="K365" i="24" s="1"/>
  <c r="K366" i="24"/>
  <c r="K120" i="24"/>
  <c r="K309" i="24" s="1"/>
  <c r="K31" i="24"/>
  <c r="K245" i="24" s="1"/>
  <c r="K15" i="24"/>
  <c r="K239" i="24" s="1"/>
  <c r="K174" i="24"/>
  <c r="K353" i="24" s="1"/>
  <c r="K12" i="24"/>
  <c r="K236" i="24" s="1"/>
  <c r="K118" i="24"/>
  <c r="K307" i="24" s="1"/>
  <c r="K153" i="24"/>
  <c r="K337" i="24" s="1"/>
  <c r="K109" i="24"/>
  <c r="K303" i="24" s="1"/>
  <c r="K13" i="24"/>
  <c r="K237" i="24" s="1"/>
  <c r="K222" i="24"/>
  <c r="K391" i="24" s="1"/>
  <c r="K150" i="24"/>
  <c r="K334" i="24" s="1"/>
  <c r="K11" i="24"/>
  <c r="K235" i="24" s="1"/>
  <c r="K24" i="24"/>
  <c r="K243" i="24" s="1"/>
  <c r="K151" i="24"/>
  <c r="K335" i="24" s="1"/>
  <c r="K225" i="24"/>
  <c r="K394" i="24" s="1"/>
  <c r="K6" i="24"/>
  <c r="K230" i="24" s="1"/>
  <c r="K148" i="24"/>
  <c r="K332" i="24" s="1"/>
  <c r="K173" i="24"/>
  <c r="K352" i="24" s="1"/>
  <c r="K220" i="24"/>
  <c r="K144" i="24"/>
  <c r="K328" i="24" s="1"/>
  <c r="K32" i="24"/>
  <c r="K246" i="24" s="1"/>
  <c r="K176" i="24"/>
  <c r="K355" i="24" s="1"/>
  <c r="K215" i="24"/>
  <c r="K8" i="24"/>
  <c r="K232" i="24" s="1"/>
  <c r="K147" i="24"/>
  <c r="K331" i="24" s="1"/>
  <c r="K14" i="24"/>
  <c r="K238" i="24" s="1"/>
  <c r="K223" i="24"/>
  <c r="K392" i="24" s="1"/>
  <c r="K182" i="24"/>
  <c r="K361" i="24" s="1"/>
  <c r="K143" i="24"/>
  <c r="K327" i="24" s="1"/>
  <c r="K7" i="24"/>
  <c r="K231" i="24" s="1"/>
  <c r="K152" i="24"/>
  <c r="K336" i="24" s="1"/>
  <c r="K138" i="24"/>
  <c r="K322" i="24" s="1"/>
  <c r="K9" i="24"/>
  <c r="K233" i="24" s="1"/>
  <c r="K185" i="24"/>
  <c r="K364" i="24" s="1"/>
  <c r="K34" i="24"/>
  <c r="K248" i="24" s="1"/>
  <c r="K146" i="24"/>
  <c r="K330" i="24" s="1"/>
  <c r="K221" i="24"/>
  <c r="K108" i="24"/>
  <c r="K302" i="24" s="1"/>
  <c r="K306" i="24"/>
  <c r="K119" i="24"/>
  <c r="K308" i="24" s="1"/>
  <c r="K82" i="24"/>
  <c r="K286" i="24" s="1"/>
  <c r="K85" i="24"/>
  <c r="K289" i="24" s="1"/>
  <c r="K84" i="24"/>
  <c r="K288" i="24" s="1"/>
  <c r="K83" i="24"/>
  <c r="K287" i="24" s="1"/>
  <c r="K86" i="24"/>
  <c r="K290" i="24" s="1"/>
  <c r="K125" i="24"/>
  <c r="K314" i="24" s="1"/>
  <c r="K23" i="24"/>
  <c r="K242" i="24" s="1"/>
  <c r="K219" i="24"/>
  <c r="K122" i="24"/>
  <c r="K311" i="24" s="1"/>
  <c r="K211" i="24"/>
  <c r="K380" i="24" s="1"/>
  <c r="K110" i="24"/>
  <c r="K304" i="24" s="1"/>
  <c r="K123" i="24"/>
  <c r="K312" i="24" s="1"/>
  <c r="K181" i="24"/>
  <c r="K360" i="24" s="1"/>
  <c r="K178" i="24"/>
  <c r="K357" i="24" s="1"/>
  <c r="K126" i="24"/>
  <c r="K315" i="24" s="1"/>
  <c r="K10" i="24"/>
  <c r="K234" i="24" s="1"/>
  <c r="K224" i="24"/>
  <c r="K214" i="24"/>
  <c r="K209" i="24"/>
  <c r="K378" i="24" s="1"/>
  <c r="K107" i="24"/>
  <c r="K301" i="24" s="1"/>
  <c r="K180" i="24"/>
  <c r="K359" i="24" s="1"/>
  <c r="K175" i="24"/>
  <c r="K354" i="24" s="1"/>
  <c r="K135" i="24"/>
  <c r="K319" i="24" s="1"/>
  <c r="K134" i="24"/>
  <c r="K318" i="24" s="1"/>
  <c r="K136" i="24"/>
  <c r="K320" i="24" s="1"/>
  <c r="K137" i="24"/>
  <c r="K321" i="24" s="1"/>
  <c r="K177" i="24"/>
  <c r="K356" i="24" s="1"/>
  <c r="K210" i="24"/>
  <c r="K379" i="24" s="1"/>
  <c r="K22" i="24"/>
  <c r="K241" i="24" s="1"/>
  <c r="K216" i="24"/>
  <c r="K213" i="24"/>
  <c r="K217" i="24"/>
  <c r="K179" i="24"/>
  <c r="K358" i="24" s="1"/>
  <c r="K127" i="24"/>
  <c r="K316" i="24" s="1"/>
  <c r="K35" i="24"/>
  <c r="K249" i="24" s="1"/>
  <c r="K170" i="24"/>
  <c r="K349" i="24" s="1"/>
  <c r="K171" i="24"/>
  <c r="K350" i="24" s="1"/>
  <c r="K184" i="24"/>
  <c r="K363" i="24" s="1"/>
  <c r="K172" i="24"/>
  <c r="K351" i="24" s="1"/>
  <c r="K121" i="24"/>
  <c r="K310" i="24" s="1"/>
  <c r="K36" i="24"/>
  <c r="K250" i="24" s="1"/>
  <c r="K218" i="24"/>
  <c r="K212" i="24"/>
  <c r="K381" i="24" s="1"/>
  <c r="K141" i="24"/>
  <c r="K325" i="24" s="1"/>
  <c r="K149" i="24"/>
  <c r="K333" i="24" s="1"/>
  <c r="K140" i="24"/>
  <c r="K324" i="24" s="1"/>
  <c r="K139" i="24"/>
  <c r="K323" i="24" s="1"/>
  <c r="K145" i="24"/>
  <c r="K329" i="24" s="1"/>
  <c r="K142" i="24"/>
  <c r="K326" i="24" s="1"/>
  <c r="K183" i="24"/>
  <c r="K362" i="24" s="1"/>
  <c r="K33" i="24"/>
  <c r="K247" i="24" s="1"/>
  <c r="K111" i="24"/>
  <c r="K305" i="24" s="1"/>
  <c r="K124" i="24"/>
  <c r="K313" i="24" s="1"/>
  <c r="K354" i="23"/>
  <c r="K387" i="24" l="1"/>
  <c r="K390" i="24"/>
  <c r="K383" i="24"/>
  <c r="K389" i="24"/>
  <c r="K386" i="24"/>
  <c r="K382" i="24"/>
  <c r="K388" i="24"/>
  <c r="K385" i="24"/>
  <c r="K384" i="24"/>
  <c r="K393" i="24"/>
  <c r="E7" i="13"/>
  <c r="F117" i="24"/>
  <c r="G18" i="14"/>
  <c r="F208" i="8"/>
  <c r="F42" i="9"/>
  <c r="F21" i="25"/>
  <c r="G40" i="24"/>
  <c r="G14" i="28"/>
  <c r="G39" i="23"/>
  <c r="G8" i="27"/>
  <c r="G104" i="20"/>
  <c r="G19" i="27"/>
  <c r="G166" i="20"/>
  <c r="F169" i="9"/>
  <c r="G39" i="20"/>
  <c r="H40" i="25"/>
  <c r="G206" i="23"/>
  <c r="G30" i="14"/>
  <c r="G79" i="20"/>
  <c r="G19" i="28"/>
  <c r="F31" i="9"/>
  <c r="G18" i="9"/>
  <c r="G205" i="20"/>
  <c r="F45" i="14"/>
  <c r="F36" i="26"/>
  <c r="F21" i="24"/>
  <c r="G27" i="20"/>
  <c r="F169" i="20"/>
  <c r="G29" i="14"/>
  <c r="G27" i="23"/>
  <c r="G39" i="27"/>
  <c r="G79" i="24"/>
  <c r="G167" i="20"/>
  <c r="F43" i="24"/>
  <c r="F6" i="23"/>
  <c r="F5" i="8"/>
  <c r="G28" i="23"/>
  <c r="F21" i="14"/>
  <c r="G205" i="9"/>
  <c r="G3" i="9"/>
  <c r="G115" i="23"/>
  <c r="G131" i="9"/>
  <c r="F6" i="9"/>
  <c r="G34" i="28"/>
  <c r="G38" i="26"/>
  <c r="G3" i="24"/>
  <c r="F31" i="24"/>
  <c r="G15" i="29"/>
  <c r="G33" i="28"/>
  <c r="F30" i="23"/>
  <c r="F26" i="28"/>
  <c r="G3" i="28"/>
  <c r="G33" i="27"/>
  <c r="G28" i="29"/>
  <c r="G3" i="27"/>
  <c r="F7" i="13"/>
  <c r="F82" i="23"/>
  <c r="G40" i="8"/>
  <c r="G167" i="8"/>
  <c r="F82" i="9"/>
  <c r="G79" i="23"/>
  <c r="G39" i="25"/>
  <c r="H88" i="13"/>
  <c r="F134" i="9"/>
  <c r="F118" i="24"/>
  <c r="F31" i="8"/>
  <c r="G34" i="25"/>
  <c r="G205" i="24"/>
  <c r="G39" i="26"/>
  <c r="F32" i="14"/>
  <c r="G3" i="23"/>
  <c r="F11" i="26"/>
  <c r="G40" i="23"/>
  <c r="G166" i="24"/>
  <c r="G40" i="20"/>
  <c r="G2" i="26"/>
  <c r="G23" i="28"/>
  <c r="G22" i="29"/>
  <c r="F81" i="23"/>
  <c r="F92" i="23"/>
  <c r="G89" i="23"/>
  <c r="G78" i="20"/>
  <c r="G34" i="27"/>
  <c r="G19" i="26"/>
  <c r="G103" i="23"/>
  <c r="G130" i="24"/>
  <c r="F169" i="8"/>
  <c r="F169" i="24"/>
  <c r="G29" i="25"/>
  <c r="G115" i="20"/>
  <c r="G16" i="29"/>
  <c r="F22" i="23"/>
  <c r="G90" i="23"/>
  <c r="F92" i="9"/>
  <c r="F41" i="26"/>
  <c r="G27" i="29"/>
  <c r="G18" i="8"/>
  <c r="F208" i="20"/>
  <c r="F11" i="14"/>
  <c r="G18" i="27"/>
  <c r="F8" i="13"/>
  <c r="G103" i="8"/>
  <c r="G29" i="27"/>
  <c r="G206" i="8"/>
  <c r="F81" i="9"/>
  <c r="G24" i="27"/>
  <c r="F27" i="14"/>
  <c r="F169" i="23"/>
  <c r="F208" i="24"/>
  <c r="F88" i="13"/>
  <c r="F21" i="23"/>
  <c r="F42" i="23"/>
  <c r="H231" i="9"/>
  <c r="G38" i="27"/>
  <c r="F30" i="8"/>
  <c r="G40" i="9"/>
  <c r="F35" i="14"/>
  <c r="G29" i="28"/>
  <c r="F133" i="24"/>
  <c r="G131" i="23"/>
  <c r="G8" i="25"/>
  <c r="F134" i="24"/>
  <c r="F170" i="8"/>
  <c r="G78" i="9"/>
  <c r="G115" i="24"/>
  <c r="G38" i="25"/>
  <c r="F209" i="8"/>
  <c r="F106" i="20"/>
  <c r="F81" i="24"/>
  <c r="G131" i="8"/>
  <c r="F106" i="8"/>
  <c r="G78" i="24"/>
  <c r="F21" i="9"/>
  <c r="F5" i="23"/>
  <c r="G33" i="25"/>
  <c r="G103" i="20"/>
  <c r="G28" i="20"/>
  <c r="G166" i="23"/>
  <c r="F22" i="8"/>
  <c r="G2" i="29"/>
  <c r="G24" i="26"/>
  <c r="F133" i="9"/>
  <c r="F21" i="28"/>
  <c r="F31" i="26"/>
  <c r="F31" i="25"/>
  <c r="G18" i="23"/>
  <c r="G39" i="9"/>
  <c r="G230" i="20"/>
  <c r="F170" i="24"/>
  <c r="G104" i="8"/>
  <c r="F11" i="25"/>
  <c r="G104" i="9"/>
  <c r="F233" i="20"/>
  <c r="G130" i="8"/>
  <c r="G166" i="8"/>
  <c r="F36" i="28"/>
  <c r="F134" i="23"/>
  <c r="G19" i="9"/>
  <c r="F16" i="25"/>
  <c r="G103" i="9"/>
  <c r="G10" i="29"/>
  <c r="F209" i="24"/>
  <c r="F22" i="9"/>
  <c r="F117" i="9"/>
  <c r="G13" i="26"/>
  <c r="F33" i="14"/>
  <c r="G39" i="8"/>
  <c r="G3" i="20"/>
  <c r="G19" i="8"/>
  <c r="G18" i="25"/>
  <c r="F36" i="25"/>
  <c r="G2" i="25"/>
  <c r="G13" i="27"/>
  <c r="G236" i="23"/>
  <c r="F107" i="23"/>
  <c r="G2" i="23"/>
  <c r="G9" i="29"/>
  <c r="G39" i="24"/>
  <c r="G23" i="26"/>
  <c r="G2" i="24"/>
  <c r="G28" i="8"/>
  <c r="G13" i="14"/>
  <c r="F42" i="24"/>
  <c r="G167" i="24"/>
  <c r="G14" i="25"/>
  <c r="F106" i="9"/>
  <c r="G237" i="23"/>
  <c r="F6" i="8"/>
  <c r="F86" i="13"/>
  <c r="F31" i="27"/>
  <c r="G8" i="28"/>
  <c r="F36" i="27"/>
  <c r="G115" i="8"/>
  <c r="F46" i="27"/>
  <c r="G9" i="14"/>
  <c r="G104" i="24"/>
  <c r="G3" i="8"/>
  <c r="F31" i="23"/>
  <c r="G23" i="14"/>
  <c r="F21" i="8"/>
  <c r="F21" i="20"/>
  <c r="F26" i="25"/>
  <c r="F117" i="20"/>
  <c r="G13" i="25"/>
  <c r="F231" i="9"/>
  <c r="G8" i="14"/>
  <c r="F6" i="24"/>
  <c r="G43" i="14"/>
  <c r="G19" i="24"/>
  <c r="G89" i="24"/>
  <c r="G205" i="23"/>
  <c r="G90" i="9"/>
  <c r="F110" i="13"/>
  <c r="G79" i="9"/>
  <c r="G3" i="25"/>
  <c r="F118" i="23"/>
  <c r="G2" i="8"/>
  <c r="G114" i="24"/>
  <c r="G89" i="9"/>
  <c r="F208" i="23"/>
  <c r="F11" i="27"/>
  <c r="F5" i="9"/>
  <c r="G166" i="9"/>
  <c r="G229" i="9"/>
  <c r="F30" i="9"/>
  <c r="G23" i="27"/>
  <c r="G229" i="23"/>
  <c r="F209" i="23"/>
  <c r="G206" i="20"/>
  <c r="G42" i="14"/>
  <c r="G19" i="14"/>
  <c r="F82" i="24"/>
  <c r="G27" i="24"/>
  <c r="G44" i="27"/>
  <c r="G9" i="28"/>
  <c r="G23" i="25"/>
  <c r="G43" i="27"/>
  <c r="G2" i="20"/>
  <c r="G130" i="23"/>
  <c r="F133" i="20"/>
  <c r="H45" i="27"/>
  <c r="F6" i="28"/>
  <c r="F31" i="28"/>
  <c r="F22" i="24"/>
  <c r="G114" i="9"/>
  <c r="F93" i="24"/>
  <c r="G9" i="25"/>
  <c r="G230" i="23"/>
  <c r="G2" i="27"/>
  <c r="F170" i="23"/>
  <c r="F42" i="20"/>
  <c r="G24" i="25"/>
  <c r="G8" i="26"/>
  <c r="G131" i="20"/>
  <c r="F16" i="27"/>
  <c r="G115" i="9"/>
  <c r="F42" i="8"/>
  <c r="F5" i="24"/>
  <c r="F117" i="23"/>
  <c r="G38" i="14"/>
  <c r="G18" i="28"/>
  <c r="G2" i="9"/>
  <c r="F107" i="9"/>
  <c r="G28" i="9"/>
  <c r="F21" i="26"/>
  <c r="F208" i="9"/>
  <c r="F6" i="27"/>
  <c r="G24" i="28"/>
  <c r="G28" i="27"/>
  <c r="F43" i="23"/>
  <c r="F92" i="24"/>
  <c r="G28" i="28"/>
  <c r="F6" i="14"/>
  <c r="G78" i="23"/>
  <c r="G19" i="23"/>
  <c r="G231" i="20"/>
  <c r="F92" i="20"/>
  <c r="G28" i="26"/>
  <c r="G89" i="20"/>
  <c r="F30" i="24"/>
  <c r="F106" i="24"/>
  <c r="G3" i="26"/>
  <c r="G131" i="24"/>
  <c r="G2" i="28"/>
  <c r="G14" i="26"/>
  <c r="G206" i="9"/>
  <c r="G114" i="20"/>
  <c r="G2" i="14"/>
  <c r="F133" i="23"/>
  <c r="F26" i="27"/>
  <c r="F81" i="20"/>
  <c r="F170" i="9"/>
  <c r="G27" i="8"/>
  <c r="G18" i="24"/>
  <c r="F133" i="8"/>
  <c r="G14" i="27"/>
  <c r="F118" i="8"/>
  <c r="F6" i="25"/>
  <c r="F30" i="20"/>
  <c r="G28" i="25"/>
  <c r="G130" i="20"/>
  <c r="F93" i="9"/>
  <c r="G18" i="26"/>
  <c r="F30" i="13"/>
  <c r="G9" i="27"/>
  <c r="G114" i="23"/>
  <c r="G33" i="26"/>
  <c r="F134" i="8"/>
  <c r="G228" i="9"/>
  <c r="F21" i="27"/>
  <c r="F23" i="13"/>
  <c r="F118" i="9"/>
  <c r="G104" i="23"/>
  <c r="G37" i="14"/>
  <c r="F209" i="9"/>
  <c r="F16" i="14"/>
  <c r="G29" i="26"/>
  <c r="G90" i="24"/>
  <c r="F111" i="13"/>
  <c r="F106" i="23"/>
  <c r="G9" i="26"/>
  <c r="G2" i="21"/>
  <c r="F117" i="8"/>
  <c r="F5" i="20"/>
  <c r="G19" i="20"/>
  <c r="F26" i="26"/>
  <c r="G3" i="29"/>
  <c r="G18" i="20"/>
  <c r="F125" i="13"/>
  <c r="F93" i="23"/>
  <c r="F16" i="26"/>
  <c r="F189" i="24" l="1"/>
  <c r="F189" i="23"/>
  <c r="F189" i="20"/>
  <c r="F189" i="9"/>
  <c r="G189" i="9" s="1"/>
  <c r="F189" i="8"/>
  <c r="G189" i="8" s="1"/>
  <c r="F164" i="24"/>
  <c r="G164" i="24" s="1"/>
  <c r="F164" i="23"/>
  <c r="F164" i="20"/>
  <c r="G164" i="20" s="1"/>
  <c r="F164" i="9"/>
  <c r="F164" i="8"/>
  <c r="G164" i="8" s="1"/>
  <c r="F101" i="24"/>
  <c r="G101" i="24" s="1"/>
  <c r="F101" i="23"/>
  <c r="F101" i="20"/>
  <c r="G101" i="20" s="1"/>
  <c r="F101" i="9"/>
  <c r="G101" i="9" s="1"/>
  <c r="F76" i="23"/>
  <c r="F37" i="8"/>
  <c r="G37" i="8" s="1"/>
  <c r="F76" i="8"/>
  <c r="G76" i="8" s="1"/>
  <c r="G30" i="29"/>
  <c r="G36" i="27"/>
  <c r="F16" i="9"/>
  <c r="F10" i="25"/>
  <c r="G101" i="8"/>
  <c r="G6" i="27"/>
  <c r="G46" i="27"/>
  <c r="F234" i="20"/>
  <c r="G234" i="20" s="1"/>
  <c r="F226" i="20"/>
  <c r="G226" i="20" s="1"/>
  <c r="F128" i="8"/>
  <c r="G36" i="25"/>
  <c r="G26" i="26"/>
  <c r="F128" i="9"/>
  <c r="F25" i="28"/>
  <c r="F20" i="26"/>
  <c r="F20" i="27"/>
  <c r="F87" i="23"/>
  <c r="G87" i="23" s="1"/>
  <c r="F15" i="25"/>
  <c r="F30" i="26"/>
  <c r="F10" i="14"/>
  <c r="G41" i="27"/>
  <c r="G11" i="25"/>
  <c r="G16" i="14"/>
  <c r="G21" i="14"/>
  <c r="F40" i="26"/>
  <c r="F31" i="14"/>
  <c r="F25" i="8"/>
  <c r="G25" i="8" s="1"/>
  <c r="F112" i="8"/>
  <c r="F35" i="27"/>
  <c r="F16" i="8"/>
  <c r="G16" i="8" s="1"/>
  <c r="F25" i="14"/>
  <c r="G35" i="14"/>
  <c r="F35" i="28"/>
  <c r="G11" i="26"/>
  <c r="G11" i="14"/>
  <c r="F35" i="26"/>
  <c r="G11" i="27"/>
  <c r="G21" i="27"/>
  <c r="F87" i="24"/>
  <c r="F15" i="27"/>
  <c r="F15" i="26"/>
  <c r="F20" i="14"/>
  <c r="F128" i="23"/>
  <c r="F76" i="20"/>
  <c r="F30" i="28"/>
  <c r="G239" i="23"/>
  <c r="F87" i="9"/>
  <c r="G31" i="28"/>
  <c r="G232" i="23"/>
  <c r="G6" i="29"/>
  <c r="G16" i="27"/>
  <c r="G18" i="29"/>
  <c r="G31" i="25"/>
  <c r="I45" i="27"/>
  <c r="J45" i="27" s="1"/>
  <c r="J48" i="27" s="1"/>
  <c r="G26" i="28"/>
  <c r="G16" i="26"/>
  <c r="F44" i="14"/>
  <c r="F25" i="26"/>
  <c r="G31" i="27"/>
  <c r="F16" i="23"/>
  <c r="G16" i="23" s="1"/>
  <c r="F112" i="23"/>
  <c r="F226" i="24"/>
  <c r="G226" i="24" s="1"/>
  <c r="F25" i="27"/>
  <c r="F10" i="27"/>
  <c r="G41" i="25"/>
  <c r="H41" i="25" s="1"/>
  <c r="F226" i="23"/>
  <c r="F10" i="26"/>
  <c r="F5" i="27"/>
  <c r="F232" i="9"/>
  <c r="F5" i="25"/>
  <c r="G21" i="25"/>
  <c r="F20" i="25"/>
  <c r="F16" i="24"/>
  <c r="G16" i="24" s="1"/>
  <c r="G6" i="26"/>
  <c r="F112" i="20"/>
  <c r="G112" i="20" s="1"/>
  <c r="G6" i="28"/>
  <c r="G26" i="25"/>
  <c r="F5" i="14"/>
  <c r="G12" i="29"/>
  <c r="F30" i="27"/>
  <c r="F15" i="14"/>
  <c r="G6" i="21"/>
  <c r="F25" i="9"/>
  <c r="G27" i="14"/>
  <c r="G16" i="25"/>
  <c r="F76" i="24"/>
  <c r="G76" i="24" s="1"/>
  <c r="I231" i="9"/>
  <c r="J231" i="9" s="1"/>
  <c r="J246" i="9" s="1"/>
  <c r="F5" i="28"/>
  <c r="G31" i="26"/>
  <c r="G6" i="14"/>
  <c r="G45" i="14"/>
  <c r="F226" i="9"/>
  <c r="F128" i="24"/>
  <c r="G128" i="24" s="1"/>
  <c r="F30" i="25"/>
  <c r="F35" i="25"/>
  <c r="F37" i="20"/>
  <c r="F37" i="9"/>
  <c r="G40" i="14"/>
  <c r="G36" i="28"/>
  <c r="F37" i="23"/>
  <c r="G21" i="26"/>
  <c r="F37" i="24"/>
  <c r="G37" i="24" s="1"/>
  <c r="F20" i="28"/>
  <c r="F25" i="24"/>
  <c r="G6" i="25"/>
  <c r="F87" i="20"/>
  <c r="F112" i="24"/>
  <c r="F16" i="20"/>
  <c r="F45" i="27"/>
  <c r="F25" i="23"/>
  <c r="F112" i="9"/>
  <c r="G36" i="26"/>
  <c r="G21" i="28"/>
  <c r="F25" i="25"/>
  <c r="G26" i="27"/>
  <c r="F226" i="8"/>
  <c r="F25" i="20"/>
  <c r="G11" i="28"/>
  <c r="G41" i="26"/>
  <c r="F128" i="20"/>
  <c r="I40" i="25"/>
  <c r="J40" i="25" s="1"/>
  <c r="F76" i="9"/>
  <c r="H86" i="13"/>
  <c r="F118" i="13"/>
  <c r="F60" i="13"/>
  <c r="F52" i="13"/>
  <c r="F101" i="13"/>
  <c r="H39" i="13"/>
  <c r="F50" i="13"/>
  <c r="H115" i="13"/>
  <c r="H125" i="13"/>
  <c r="F20" i="13"/>
  <c r="F13" i="13"/>
  <c r="F93" i="13"/>
  <c r="F114" i="13"/>
  <c r="H17" i="13"/>
  <c r="F57" i="13"/>
  <c r="F25" i="13"/>
  <c r="H58" i="13"/>
  <c r="F113" i="13"/>
  <c r="F64" i="13"/>
  <c r="F106" i="13"/>
  <c r="F34" i="13"/>
  <c r="H23" i="13"/>
  <c r="F33" i="13"/>
  <c r="F27" i="13"/>
  <c r="F31" i="13"/>
  <c r="F108" i="13"/>
  <c r="H38" i="13"/>
  <c r="H110" i="13"/>
  <c r="F115" i="13"/>
  <c r="H12" i="13"/>
  <c r="H26" i="13"/>
  <c r="F83" i="13"/>
  <c r="H28" i="13"/>
  <c r="F89" i="13"/>
  <c r="H18" i="13"/>
  <c r="H84" i="13"/>
  <c r="F98" i="13"/>
  <c r="H62" i="13"/>
  <c r="H123" i="13"/>
  <c r="F53" i="13"/>
  <c r="F59" i="13"/>
  <c r="F91" i="13"/>
  <c r="H60" i="13"/>
  <c r="H29" i="13"/>
  <c r="F82" i="13"/>
  <c r="H11" i="13"/>
  <c r="H96" i="13"/>
  <c r="F29" i="13"/>
  <c r="H22" i="13"/>
  <c r="F48" i="13"/>
  <c r="F9" i="13"/>
  <c r="H24" i="13"/>
  <c r="F32" i="13"/>
  <c r="H25" i="13"/>
  <c r="H91" i="13"/>
  <c r="F15" i="13"/>
  <c r="F85" i="13"/>
  <c r="F51" i="13"/>
  <c r="F96" i="13"/>
  <c r="H94" i="13"/>
  <c r="F68" i="13"/>
  <c r="F16" i="13"/>
  <c r="H14" i="13"/>
  <c r="F87" i="13"/>
  <c r="H92" i="13"/>
  <c r="F49" i="13"/>
  <c r="H57" i="13"/>
  <c r="H93" i="13"/>
  <c r="F28" i="13"/>
  <c r="F95" i="13"/>
  <c r="F6" i="13"/>
  <c r="F22" i="13"/>
  <c r="H21" i="13"/>
  <c r="F117" i="13"/>
  <c r="H7" i="13"/>
  <c r="H41" i="13"/>
  <c r="H35" i="13"/>
  <c r="H112" i="13"/>
  <c r="F54" i="13"/>
  <c r="F121" i="13"/>
  <c r="F39" i="13"/>
  <c r="F62" i="13"/>
  <c r="F99" i="13"/>
  <c r="H15" i="13"/>
  <c r="F44" i="13"/>
  <c r="H95" i="13"/>
  <c r="H89" i="13"/>
  <c r="H119" i="13"/>
  <c r="H66" i="13"/>
  <c r="F123" i="13"/>
  <c r="F18" i="13"/>
  <c r="H19" i="13"/>
  <c r="F24" i="13"/>
  <c r="F26" i="13"/>
  <c r="F102" i="13"/>
  <c r="F112" i="13"/>
  <c r="H16" i="13"/>
  <c r="H61" i="13"/>
  <c r="F61" i="13"/>
  <c r="F97" i="13"/>
  <c r="H101" i="13"/>
  <c r="H54" i="13"/>
  <c r="F38" i="13"/>
  <c r="H20" i="13"/>
  <c r="F90" i="13"/>
  <c r="F10" i="13"/>
  <c r="H114" i="13"/>
  <c r="H111" i="13"/>
  <c r="F63" i="13"/>
  <c r="H30" i="13"/>
  <c r="F45" i="13"/>
  <c r="F65" i="13"/>
  <c r="R7" i="13"/>
  <c r="H10" i="13"/>
  <c r="F42" i="13"/>
  <c r="H9" i="13"/>
  <c r="F66" i="13"/>
  <c r="H50" i="13"/>
  <c r="F19" i="13"/>
  <c r="F12" i="13"/>
  <c r="F40" i="13"/>
  <c r="H13" i="13"/>
  <c r="H27" i="13"/>
  <c r="F84" i="13"/>
  <c r="H117" i="13"/>
  <c r="H44" i="13"/>
  <c r="F46" i="13"/>
  <c r="F116" i="13"/>
  <c r="H87" i="13"/>
  <c r="F21" i="13"/>
  <c r="F11" i="13"/>
  <c r="F120" i="13"/>
  <c r="F94" i="13"/>
  <c r="F92" i="13"/>
  <c r="H97" i="13"/>
  <c r="F119" i="13"/>
  <c r="F37" i="13"/>
  <c r="F47" i="13"/>
  <c r="H83" i="13"/>
  <c r="F17" i="13"/>
  <c r="F56" i="13"/>
  <c r="H90" i="13"/>
  <c r="F41" i="13"/>
  <c r="F58" i="13"/>
  <c r="F36" i="13"/>
  <c r="H85" i="13"/>
  <c r="F103" i="13"/>
  <c r="F104" i="13"/>
  <c r="H8" i="13"/>
  <c r="H120" i="13"/>
  <c r="F35" i="13"/>
  <c r="F14" i="13"/>
  <c r="H31" i="13"/>
  <c r="H82" i="13"/>
  <c r="F105" i="13"/>
  <c r="I41" i="25" l="1"/>
  <c r="H46" i="27"/>
  <c r="I46" i="27" s="1"/>
  <c r="J6" i="13"/>
  <c r="F74" i="13"/>
  <c r="D75" i="13" s="1"/>
  <c r="G87" i="9"/>
  <c r="G25" i="20"/>
  <c r="G25" i="9"/>
  <c r="G76" i="9"/>
  <c r="G112" i="8"/>
  <c r="G16" i="9"/>
  <c r="G226" i="8"/>
  <c r="G128" i="9"/>
  <c r="G112" i="9"/>
  <c r="G164" i="23"/>
  <c r="G37" i="9"/>
  <c r="G16" i="20"/>
  <c r="G87" i="24"/>
  <c r="G25" i="23"/>
  <c r="G189" i="20"/>
  <c r="G164" i="9"/>
  <c r="G128" i="23"/>
  <c r="G226" i="9"/>
  <c r="G101" i="23"/>
  <c r="G76" i="20"/>
  <c r="G112" i="24"/>
  <c r="G87" i="20"/>
  <c r="G189" i="23"/>
  <c r="G112" i="23"/>
  <c r="G226" i="23"/>
  <c r="G25" i="24"/>
  <c r="G37" i="23"/>
  <c r="G128" i="20"/>
  <c r="G232" i="9"/>
  <c r="H232" i="9" s="1"/>
  <c r="I232" i="9" s="1"/>
  <c r="G189" i="24"/>
  <c r="G37" i="20"/>
  <c r="G128" i="8"/>
  <c r="H105" i="13"/>
  <c r="H6" i="13"/>
  <c r="H103" i="13"/>
  <c r="H47" i="13"/>
  <c r="H56" i="13"/>
  <c r="H45" i="13"/>
  <c r="R6" i="13"/>
  <c r="H63" i="13"/>
  <c r="H42" i="13"/>
  <c r="H64" i="13"/>
  <c r="R82" i="13"/>
  <c r="H49" i="13"/>
  <c r="H33" i="13"/>
  <c r="H37" i="13"/>
  <c r="H116" i="13"/>
  <c r="H59" i="13"/>
  <c r="H36" i="13"/>
  <c r="H53" i="13"/>
  <c r="H68" i="13"/>
  <c r="H51" i="13"/>
  <c r="H40" i="13"/>
  <c r="H99" i="13"/>
  <c r="H32" i="13"/>
  <c r="H48" i="13"/>
  <c r="H121" i="13"/>
  <c r="H106" i="13"/>
  <c r="H34" i="13"/>
  <c r="D83" i="13"/>
  <c r="H102" i="13"/>
  <c r="H118" i="13"/>
  <c r="H104" i="13"/>
  <c r="H98" i="13"/>
  <c r="H46" i="13"/>
  <c r="H52" i="13"/>
  <c r="H108" i="13"/>
  <c r="H113" i="13"/>
  <c r="A112" i="30" l="1"/>
  <c r="A576" i="30" s="1"/>
  <c r="E83" i="13"/>
  <c r="J82" i="13"/>
  <c r="H5" i="27"/>
  <c r="H6" i="27" l="1"/>
  <c r="I5" i="27"/>
  <c r="J5" i="27" s="1"/>
  <c r="D84" i="13"/>
  <c r="R83" i="13"/>
  <c r="A113" i="30" l="1"/>
  <c r="J83" i="13"/>
  <c r="E84" i="13"/>
  <c r="J49" i="27"/>
  <c r="K49" i="27" s="1"/>
  <c r="I6" i="27"/>
  <c r="H5" i="28"/>
  <c r="A577" i="30" l="1"/>
  <c r="H6" i="28"/>
  <c r="I5" i="28"/>
  <c r="J5" i="28" s="1"/>
  <c r="R84" i="13"/>
  <c r="D85" i="13"/>
  <c r="A163" i="30" l="1"/>
  <c r="E85" i="13"/>
  <c r="J84" i="13"/>
  <c r="J43" i="28"/>
  <c r="K43" i="28" s="1"/>
  <c r="I6" i="28"/>
  <c r="H10" i="27"/>
  <c r="A937" i="30" l="1"/>
  <c r="I10" i="27"/>
  <c r="J10" i="27" s="1"/>
  <c r="J50" i="27" s="1"/>
  <c r="K50" i="27" s="1"/>
  <c r="H11" i="27"/>
  <c r="R85" i="13"/>
  <c r="D86" i="13"/>
  <c r="A114" i="30" l="1"/>
  <c r="A578" i="30" s="1"/>
  <c r="J85" i="13"/>
  <c r="E86" i="13"/>
  <c r="I11" i="27"/>
  <c r="H10" i="28"/>
  <c r="I10" i="28" l="1"/>
  <c r="J10" i="28" s="1"/>
  <c r="H11" i="28"/>
  <c r="I11" i="28" s="1"/>
  <c r="D87" i="13"/>
  <c r="R86" i="13"/>
  <c r="A164" i="30" l="1"/>
  <c r="J86" i="13"/>
  <c r="E87" i="13"/>
  <c r="J44" i="28"/>
  <c r="K44" i="28" s="1"/>
  <c r="H15" i="27"/>
  <c r="A938" i="30" l="1"/>
  <c r="H16" i="27"/>
  <c r="I16" i="27" s="1"/>
  <c r="I15" i="27"/>
  <c r="J15" i="27" s="1"/>
  <c r="R87" i="13"/>
  <c r="D88" i="13"/>
  <c r="A115" i="30" l="1"/>
  <c r="E88" i="13"/>
  <c r="J87" i="13"/>
  <c r="J51" i="27"/>
  <c r="K51" i="27" s="1"/>
  <c r="H15" i="28"/>
  <c r="I15" i="28" l="1"/>
  <c r="J15" i="28" s="1"/>
  <c r="J45" i="28" s="1"/>
  <c r="K45" i="28" s="1"/>
  <c r="H16" i="28"/>
  <c r="I16" i="28" s="1"/>
  <c r="A579" i="30"/>
  <c r="D89" i="13"/>
  <c r="R88" i="13"/>
  <c r="E89" i="13" l="1"/>
  <c r="J88" i="13"/>
  <c r="A165" i="30"/>
  <c r="A939" i="30" s="1"/>
  <c r="H20" i="27"/>
  <c r="H21" i="27" l="1"/>
  <c r="I21" i="27" s="1"/>
  <c r="I20" i="27"/>
  <c r="J20" i="27" s="1"/>
  <c r="D90" i="13"/>
  <c r="R89" i="13"/>
  <c r="H20" i="28"/>
  <c r="A116" i="30" l="1"/>
  <c r="J89" i="13"/>
  <c r="E90" i="13"/>
  <c r="J52" i="27"/>
  <c r="K52" i="27" s="1"/>
  <c r="H21" i="28"/>
  <c r="I21" i="28" s="1"/>
  <c r="I20" i="28"/>
  <c r="J20" i="28" s="1"/>
  <c r="D91" i="13"/>
  <c r="R90" i="13"/>
  <c r="A580" i="30" l="1"/>
  <c r="A166" i="30"/>
  <c r="E91" i="13"/>
  <c r="J90" i="13"/>
  <c r="J46" i="28"/>
  <c r="K46" i="28" s="1"/>
  <c r="H30" i="27"/>
  <c r="A940" i="30" l="1"/>
  <c r="I30" i="27"/>
  <c r="J30" i="27" s="1"/>
  <c r="H31" i="27"/>
  <c r="D92" i="13"/>
  <c r="R91" i="13"/>
  <c r="A117" i="30" l="1"/>
  <c r="J91" i="13"/>
  <c r="E92" i="13"/>
  <c r="I31" i="27"/>
  <c r="J54" i="27"/>
  <c r="K54" i="27" s="1"/>
  <c r="H30" i="28"/>
  <c r="I30" i="28" l="1"/>
  <c r="J30" i="28" s="1"/>
  <c r="H31" i="28"/>
  <c r="R92" i="13"/>
  <c r="D93" i="13"/>
  <c r="A167" i="30" l="1"/>
  <c r="E93" i="13"/>
  <c r="J92" i="13"/>
  <c r="J48" i="28"/>
  <c r="K48" i="28" s="1"/>
  <c r="I31" i="28"/>
  <c r="H25" i="27"/>
  <c r="H26" i="27" l="1"/>
  <c r="I25" i="27"/>
  <c r="J25" i="27" s="1"/>
  <c r="J53" i="27" s="1"/>
  <c r="K53" i="27" s="1"/>
  <c r="A581" i="30" s="1"/>
  <c r="R93" i="13"/>
  <c r="D94" i="13"/>
  <c r="A118" i="30" l="1"/>
  <c r="A582" i="30" s="1"/>
  <c r="E94" i="13"/>
  <c r="J93" i="13"/>
  <c r="I26" i="27"/>
  <c r="H25" i="28"/>
  <c r="I25" i="28" l="1"/>
  <c r="J25" i="28" s="1"/>
  <c r="H26" i="28"/>
  <c r="D95" i="13"/>
  <c r="R94" i="13"/>
  <c r="A168" i="30" l="1"/>
  <c r="A942" i="30" s="1"/>
  <c r="E95" i="13"/>
  <c r="J94" i="13"/>
  <c r="I26" i="28"/>
  <c r="J47" i="28"/>
  <c r="K47" i="28" s="1"/>
  <c r="A941" i="30" s="1"/>
  <c r="H35" i="27"/>
  <c r="H36" i="27" l="1"/>
  <c r="I35" i="27"/>
  <c r="J35" i="27" s="1"/>
  <c r="R95" i="13"/>
  <c r="D96" i="13"/>
  <c r="A119" i="30" l="1"/>
  <c r="J95" i="13"/>
  <c r="E96" i="13"/>
  <c r="J55" i="27"/>
  <c r="K55" i="27" s="1"/>
  <c r="I36" i="27"/>
  <c r="H35" i="28"/>
  <c r="H36" i="28" l="1"/>
  <c r="I36" i="28" s="1"/>
  <c r="I35" i="28"/>
  <c r="J35" i="28" s="1"/>
  <c r="J49" i="28" s="1"/>
  <c r="K49" i="28" s="1"/>
  <c r="A583" i="30"/>
  <c r="D97" i="13"/>
  <c r="R96" i="13"/>
  <c r="A169" i="30" l="1"/>
  <c r="A943" i="30" s="1"/>
  <c r="E97" i="13"/>
  <c r="J96" i="13"/>
  <c r="H5" i="23"/>
  <c r="I5" i="23" l="1"/>
  <c r="J5" i="23" s="1"/>
  <c r="J241" i="23" s="1"/>
  <c r="H6" i="23"/>
  <c r="H7" i="23" s="1"/>
  <c r="H8" i="23" s="1"/>
  <c r="H9" i="23" s="1"/>
  <c r="R97" i="13"/>
  <c r="I8" i="23" l="1"/>
  <c r="I6" i="23"/>
  <c r="A142" i="30"/>
  <c r="A764" i="30" s="1"/>
  <c r="I7" i="23"/>
  <c r="H10" i="23"/>
  <c r="I9" i="23"/>
  <c r="A761" i="30" l="1"/>
  <c r="A768" i="30"/>
  <c r="A760" i="30"/>
  <c r="A765" i="30"/>
  <c r="A763" i="30"/>
  <c r="A769" i="30"/>
  <c r="A766" i="30"/>
  <c r="A767" i="30"/>
  <c r="A762" i="30"/>
  <c r="A759" i="30"/>
  <c r="I10" i="23"/>
  <c r="H11" i="23"/>
  <c r="H12" i="23" l="1"/>
  <c r="I11" i="23"/>
  <c r="I12" i="23" l="1"/>
  <c r="H13" i="23"/>
  <c r="I13" i="23" l="1"/>
  <c r="H14" i="23"/>
  <c r="H15" i="23" l="1"/>
  <c r="I14" i="23"/>
  <c r="H16" i="23" l="1"/>
  <c r="I15" i="23"/>
  <c r="D98" i="13"/>
  <c r="J97" i="13" l="1"/>
  <c r="E98" i="13"/>
  <c r="I16" i="23"/>
  <c r="H21" i="23"/>
  <c r="I21" i="23" l="1"/>
  <c r="J21" i="23" s="1"/>
  <c r="H22" i="23"/>
  <c r="H23" i="23" s="1"/>
  <c r="R98" i="13"/>
  <c r="A143" i="30" l="1"/>
  <c r="J242" i="23"/>
  <c r="I22" i="23"/>
  <c r="I23" i="23"/>
  <c r="H24" i="23"/>
  <c r="A770" i="30" l="1"/>
  <c r="A773" i="30"/>
  <c r="A771" i="30"/>
  <c r="A772" i="30"/>
  <c r="I24" i="23"/>
  <c r="H25" i="23"/>
  <c r="D99" i="13"/>
  <c r="E99" i="13" l="1"/>
  <c r="J98" i="13"/>
  <c r="I25" i="23"/>
  <c r="H30" i="23"/>
  <c r="I30" i="23" l="1"/>
  <c r="J30" i="23" s="1"/>
  <c r="H31" i="23"/>
  <c r="H32" i="23" s="1"/>
  <c r="I32" i="23" s="1"/>
  <c r="R99" i="13"/>
  <c r="A144" i="30" l="1"/>
  <c r="I31" i="23"/>
  <c r="H33" i="23"/>
  <c r="I33" i="23" s="1"/>
  <c r="J243" i="23"/>
  <c r="A778" i="30" l="1"/>
  <c r="A777" i="30"/>
  <c r="A776" i="30"/>
  <c r="A780" i="30"/>
  <c r="A779" i="30"/>
  <c r="A775" i="30"/>
  <c r="A774" i="30"/>
  <c r="H34" i="23"/>
  <c r="I34" i="23" s="1"/>
  <c r="H35" i="23" l="1"/>
  <c r="H36" i="23" s="1"/>
  <c r="I35" i="23" l="1"/>
  <c r="I36" i="23"/>
  <c r="H37" i="23"/>
  <c r="D100" i="13"/>
  <c r="J99" i="13" l="1"/>
  <c r="E100" i="13"/>
  <c r="I37" i="23"/>
  <c r="H42" i="23"/>
  <c r="H43" i="23" l="1"/>
  <c r="I43" i="23" s="1"/>
  <c r="I42" i="23"/>
  <c r="J42" i="23" s="1"/>
  <c r="J244" i="23" s="1"/>
  <c r="H44" i="23" l="1"/>
  <c r="H45" i="23" s="1"/>
  <c r="I44" i="23" l="1"/>
  <c r="H46" i="23"/>
  <c r="I45" i="23"/>
  <c r="I46" i="23" l="1"/>
  <c r="H47" i="23"/>
  <c r="H48" i="23" l="1"/>
  <c r="I47" i="23"/>
  <c r="H49" i="23" l="1"/>
  <c r="I48" i="23"/>
  <c r="H50" i="23" l="1"/>
  <c r="I49" i="23"/>
  <c r="I50" i="23" l="1"/>
  <c r="H51" i="23"/>
  <c r="H52" i="23" l="1"/>
  <c r="I51" i="23"/>
  <c r="H53" i="23" l="1"/>
  <c r="I52" i="23"/>
  <c r="H54" i="23" l="1"/>
  <c r="I53" i="23"/>
  <c r="I54" i="23" l="1"/>
  <c r="H55" i="23"/>
  <c r="I55" i="23" l="1"/>
  <c r="H56" i="23"/>
  <c r="I56" i="23" l="1"/>
  <c r="H57" i="23"/>
  <c r="I57" i="23" l="1"/>
  <c r="H58" i="23"/>
  <c r="H59" i="23" l="1"/>
  <c r="I58" i="23"/>
  <c r="I59" i="23" l="1"/>
  <c r="H60" i="23"/>
  <c r="I60" i="23" l="1"/>
  <c r="H61" i="23"/>
  <c r="I61" i="23" l="1"/>
  <c r="H62" i="23"/>
  <c r="I62" i="23" l="1"/>
  <c r="H63" i="23"/>
  <c r="H64" i="23" l="1"/>
  <c r="I63" i="23"/>
  <c r="H65" i="23" l="1"/>
  <c r="I64" i="23"/>
  <c r="H66" i="23" l="1"/>
  <c r="I65" i="23"/>
  <c r="H67" i="23" l="1"/>
  <c r="H68" i="23" s="1"/>
  <c r="I66" i="23"/>
  <c r="I68" i="23" l="1"/>
  <c r="H69" i="23"/>
  <c r="I67" i="23"/>
  <c r="H70" i="23" l="1"/>
  <c r="I69" i="23"/>
  <c r="H71" i="23" l="1"/>
  <c r="I70" i="23"/>
  <c r="I71" i="23" l="1"/>
  <c r="H72" i="23"/>
  <c r="H73" i="23" l="1"/>
  <c r="I73" i="23" s="1"/>
  <c r="I72" i="23"/>
  <c r="H74" i="23" l="1"/>
  <c r="I74" i="23" l="1"/>
  <c r="H75" i="23"/>
  <c r="H76" i="23" s="1"/>
  <c r="I76" i="23" s="1"/>
  <c r="I75" i="23" l="1"/>
  <c r="J86" i="8" l="1"/>
  <c r="J94" i="8" l="1"/>
  <c r="F100" i="13"/>
  <c r="F128" i="13" l="1"/>
  <c r="G76" i="23"/>
  <c r="H100" i="13"/>
  <c r="R100" i="13"/>
  <c r="A145" i="30" l="1"/>
  <c r="H128" i="13"/>
  <c r="D101" i="13"/>
  <c r="A810" i="30" l="1"/>
  <c r="A802" i="30"/>
  <c r="A794" i="30"/>
  <c r="A786" i="30"/>
  <c r="A809" i="30"/>
  <c r="A801" i="30"/>
  <c r="A793" i="30"/>
  <c r="A785" i="30"/>
  <c r="A808" i="30"/>
  <c r="A800" i="30"/>
  <c r="A792" i="30"/>
  <c r="A784" i="30"/>
  <c r="A814" i="30"/>
  <c r="A806" i="30"/>
  <c r="A798" i="30"/>
  <c r="A790" i="30"/>
  <c r="A782" i="30"/>
  <c r="A813" i="30"/>
  <c r="A805" i="30"/>
  <c r="A797" i="30"/>
  <c r="A789" i="30"/>
  <c r="A781" i="30"/>
  <c r="A811" i="30"/>
  <c r="A803" i="30"/>
  <c r="A795" i="30"/>
  <c r="A787" i="30"/>
  <c r="A783" i="30"/>
  <c r="A812" i="30"/>
  <c r="A807" i="30"/>
  <c r="A804" i="30"/>
  <c r="A791" i="30"/>
  <c r="A799" i="30"/>
  <c r="A796" i="30"/>
  <c r="A788" i="30"/>
  <c r="J100" i="13"/>
  <c r="E101" i="13"/>
  <c r="H81" i="23"/>
  <c r="I81" i="23" l="1"/>
  <c r="J81" i="23" s="1"/>
  <c r="J245" i="23" s="1"/>
  <c r="H82" i="23"/>
  <c r="H83" i="23" s="1"/>
  <c r="R101" i="13"/>
  <c r="A146" i="30" l="1"/>
  <c r="I82" i="23"/>
  <c r="H84" i="23"/>
  <c r="I83" i="23"/>
  <c r="A818" i="30" l="1"/>
  <c r="A817" i="30"/>
  <c r="A816" i="30"/>
  <c r="A819" i="30"/>
  <c r="A815" i="30"/>
  <c r="A820" i="30"/>
  <c r="I84" i="23"/>
  <c r="H85" i="23"/>
  <c r="H86" i="23" l="1"/>
  <c r="I85" i="23"/>
  <c r="H87" i="23" l="1"/>
  <c r="I86" i="23"/>
  <c r="D102" i="13"/>
  <c r="E102" i="13" l="1"/>
  <c r="J101" i="13"/>
  <c r="I87" i="23"/>
  <c r="H92" i="23"/>
  <c r="I92" i="23" l="1"/>
  <c r="J92" i="23" s="1"/>
  <c r="J246" i="23" s="1"/>
  <c r="H93" i="23"/>
  <c r="H94" i="23" s="1"/>
  <c r="R102" i="13"/>
  <c r="A147" i="30" l="1"/>
  <c r="A829" i="30" s="1"/>
  <c r="I93" i="23"/>
  <c r="H95" i="23"/>
  <c r="I94" i="23"/>
  <c r="A826" i="30" l="1"/>
  <c r="A825" i="30"/>
  <c r="A824" i="30"/>
  <c r="A822" i="30"/>
  <c r="A821" i="30"/>
  <c r="A827" i="30"/>
  <c r="A823" i="30"/>
  <c r="A828" i="30"/>
  <c r="I95" i="23"/>
  <c r="H96" i="23"/>
  <c r="I96" i="23" l="1"/>
  <c r="H97" i="23"/>
  <c r="H98" i="23" l="1"/>
  <c r="H99" i="23" s="1"/>
  <c r="H100" i="23" s="1"/>
  <c r="I97" i="23"/>
  <c r="H101" i="23" l="1"/>
  <c r="I100" i="23"/>
  <c r="I98" i="23"/>
  <c r="I99" i="23" l="1"/>
  <c r="D103" i="13"/>
  <c r="E103" i="13" l="1"/>
  <c r="J102" i="13"/>
  <c r="I101" i="23"/>
  <c r="H106" i="23"/>
  <c r="I106" i="23" l="1"/>
  <c r="J106" i="23" s="1"/>
  <c r="J247" i="23" s="1"/>
  <c r="H107" i="23"/>
  <c r="H108" i="23" s="1"/>
  <c r="R103" i="13"/>
  <c r="A148" i="30" l="1"/>
  <c r="I107" i="23"/>
  <c r="H109" i="23"/>
  <c r="I108" i="23"/>
  <c r="A835" i="30" l="1"/>
  <c r="A834" i="30"/>
  <c r="A833" i="30"/>
  <c r="A831" i="30"/>
  <c r="A830" i="30"/>
  <c r="A832" i="30"/>
  <c r="I109" i="23"/>
  <c r="H110" i="23"/>
  <c r="H111" i="23" l="1"/>
  <c r="I110" i="23"/>
  <c r="H112" i="23" l="1"/>
  <c r="I111" i="23"/>
  <c r="D104" i="13"/>
  <c r="E104" i="13" l="1"/>
  <c r="J103" i="13"/>
  <c r="I112" i="23"/>
  <c r="H117" i="23"/>
  <c r="H118" i="23" l="1"/>
  <c r="H119" i="23" s="1"/>
  <c r="I117" i="23"/>
  <c r="J117" i="23" s="1"/>
  <c r="J248" i="23" s="1"/>
  <c r="R104" i="13"/>
  <c r="A149" i="30" l="1"/>
  <c r="I118" i="23"/>
  <c r="H120" i="23"/>
  <c r="I119" i="23"/>
  <c r="A843" i="30" l="1"/>
  <c r="A842" i="30"/>
  <c r="A841" i="30"/>
  <c r="A839" i="30"/>
  <c r="A846" i="30"/>
  <c r="A838" i="30"/>
  <c r="A844" i="30"/>
  <c r="A836" i="30"/>
  <c r="A845" i="30"/>
  <c r="A840" i="30"/>
  <c r="A837" i="30"/>
  <c r="I120" i="23"/>
  <c r="H121" i="23"/>
  <c r="H122" i="23" l="1"/>
  <c r="I121" i="23"/>
  <c r="I122" i="23" l="1"/>
  <c r="H123" i="23"/>
  <c r="H124" i="23" l="1"/>
  <c r="I123" i="23"/>
  <c r="I124" i="23" l="1"/>
  <c r="H125" i="23"/>
  <c r="H126" i="23" l="1"/>
  <c r="I125" i="23"/>
  <c r="H127" i="23" l="1"/>
  <c r="I126" i="23"/>
  <c r="H128" i="23" l="1"/>
  <c r="I127" i="23"/>
  <c r="D105" i="13"/>
  <c r="E105" i="13" l="1"/>
  <c r="J104" i="13"/>
  <c r="I128" i="23"/>
  <c r="H133" i="23"/>
  <c r="H134" i="23" l="1"/>
  <c r="H135" i="23" s="1"/>
  <c r="I133" i="23"/>
  <c r="J133" i="23" s="1"/>
  <c r="J249" i="23" s="1"/>
  <c r="R105" i="13"/>
  <c r="A150" i="30" l="1"/>
  <c r="I134" i="23"/>
  <c r="H136" i="23"/>
  <c r="I135" i="23"/>
  <c r="A876" i="30" l="1"/>
  <c r="A877" i="30"/>
  <c r="A874" i="30"/>
  <c r="A875" i="30"/>
  <c r="A867" i="30"/>
  <c r="A859" i="30"/>
  <c r="A851" i="30"/>
  <c r="A866" i="30"/>
  <c r="A858" i="30"/>
  <c r="A850" i="30"/>
  <c r="A873" i="30"/>
  <c r="A865" i="30"/>
  <c r="A857" i="30"/>
  <c r="A849" i="30"/>
  <c r="A871" i="30"/>
  <c r="A863" i="30"/>
  <c r="A855" i="30"/>
  <c r="A847" i="30"/>
  <c r="A870" i="30"/>
  <c r="A862" i="30"/>
  <c r="A854" i="30"/>
  <c r="A868" i="30"/>
  <c r="A860" i="30"/>
  <c r="A852" i="30"/>
  <c r="A848" i="30"/>
  <c r="A872" i="30"/>
  <c r="A869" i="30"/>
  <c r="A856" i="30"/>
  <c r="A864" i="30"/>
  <c r="A861" i="30"/>
  <c r="A853" i="30"/>
  <c r="I136" i="23"/>
  <c r="H137" i="23"/>
  <c r="H138" i="23" l="1"/>
  <c r="I137" i="23"/>
  <c r="I138" i="23" l="1"/>
  <c r="H139" i="23"/>
  <c r="I139" i="23" l="1"/>
  <c r="H140" i="23"/>
  <c r="I140" i="23" l="1"/>
  <c r="H141" i="23"/>
  <c r="H142" i="23" l="1"/>
  <c r="I141" i="23"/>
  <c r="H143" i="23" l="1"/>
  <c r="I142" i="23"/>
  <c r="I143" i="23" l="1"/>
  <c r="H144" i="23"/>
  <c r="I144" i="23" l="1"/>
  <c r="H145" i="23"/>
  <c r="I145" i="23" l="1"/>
  <c r="H146" i="23"/>
  <c r="H147" i="23" l="1"/>
  <c r="I146" i="23"/>
  <c r="H148" i="23" l="1"/>
  <c r="I147" i="23"/>
  <c r="I148" i="23" l="1"/>
  <c r="H149" i="23"/>
  <c r="H150" i="23" l="1"/>
  <c r="I149" i="23"/>
  <c r="H151" i="23" l="1"/>
  <c r="I150" i="23"/>
  <c r="H152" i="23" l="1"/>
  <c r="I151" i="23"/>
  <c r="I152" i="23" l="1"/>
  <c r="H153" i="23"/>
  <c r="H154" i="23" l="1"/>
  <c r="I153" i="23"/>
  <c r="H155" i="23" l="1"/>
  <c r="I154" i="23"/>
  <c r="I155" i="23" l="1"/>
  <c r="H156" i="23"/>
  <c r="I156" i="23" l="1"/>
  <c r="H157" i="23"/>
  <c r="I157" i="23" l="1"/>
  <c r="H158" i="23"/>
  <c r="H159" i="23" s="1"/>
  <c r="H160" i="23" s="1"/>
  <c r="H161" i="23" s="1"/>
  <c r="H162" i="23" s="1"/>
  <c r="H163" i="23" s="1"/>
  <c r="H164" i="23" l="1"/>
  <c r="I163" i="23"/>
  <c r="I162" i="23"/>
  <c r="I161" i="23"/>
  <c r="I160" i="23"/>
  <c r="I158" i="23"/>
  <c r="I159" i="23" l="1"/>
  <c r="D106" i="13"/>
  <c r="E106" i="13" l="1"/>
  <c r="J105" i="13"/>
  <c r="I164" i="23"/>
  <c r="H169" i="23"/>
  <c r="H170" i="23" l="1"/>
  <c r="H171" i="23" s="1"/>
  <c r="I169" i="23"/>
  <c r="J169" i="23" s="1"/>
  <c r="R106" i="13"/>
  <c r="A151" i="30" l="1"/>
  <c r="I170" i="23"/>
  <c r="J250" i="23"/>
  <c r="H172" i="23"/>
  <c r="I171" i="23"/>
  <c r="A879" i="30" l="1"/>
  <c r="A898" i="30"/>
  <c r="A896" i="30"/>
  <c r="A888" i="30"/>
  <c r="A880" i="30"/>
  <c r="A895" i="30"/>
  <c r="A887" i="30"/>
  <c r="A878" i="30"/>
  <c r="A894" i="30"/>
  <c r="A886" i="30"/>
  <c r="A892" i="30"/>
  <c r="A884" i="30"/>
  <c r="A891" i="30"/>
  <c r="A883" i="30"/>
  <c r="A897" i="30"/>
  <c r="A889" i="30"/>
  <c r="A881" i="30"/>
  <c r="A885" i="30"/>
  <c r="A882" i="30"/>
  <c r="A893" i="30"/>
  <c r="A890" i="30"/>
  <c r="I172" i="23"/>
  <c r="H173" i="23"/>
  <c r="H174" i="23" l="1"/>
  <c r="I173" i="23"/>
  <c r="I174" i="23" l="1"/>
  <c r="H175" i="23"/>
  <c r="I175" i="23" l="1"/>
  <c r="H176" i="23"/>
  <c r="I176" i="23" l="1"/>
  <c r="H177" i="23"/>
  <c r="I177" i="23" l="1"/>
  <c r="H178" i="23"/>
  <c r="H179" i="23" l="1"/>
  <c r="I178" i="23"/>
  <c r="I179" i="23" l="1"/>
  <c r="H180" i="23"/>
  <c r="I180" i="23" l="1"/>
  <c r="H181" i="23"/>
  <c r="H182" i="23" l="1"/>
  <c r="I181" i="23"/>
  <c r="H183" i="23" l="1"/>
  <c r="I182" i="23"/>
  <c r="I183" i="23" l="1"/>
  <c r="H184" i="23"/>
  <c r="I184" i="23" l="1"/>
  <c r="H185" i="23"/>
  <c r="H186" i="23" l="1"/>
  <c r="H187" i="23" s="1"/>
  <c r="H188" i="23" s="1"/>
  <c r="I185" i="23"/>
  <c r="H189" i="23" l="1"/>
  <c r="I188" i="23"/>
  <c r="I186" i="23"/>
  <c r="I187" i="23" l="1"/>
  <c r="D107" i="13"/>
  <c r="E107" i="13" l="1"/>
  <c r="I189" i="23"/>
  <c r="H194" i="23"/>
  <c r="H195" i="23" l="1"/>
  <c r="H196" i="23" s="1"/>
  <c r="H197" i="23" s="1"/>
  <c r="H198" i="23" s="1"/>
  <c r="H199" i="23" s="1"/>
  <c r="H200" i="23" s="1"/>
  <c r="H201" i="23" s="1"/>
  <c r="H202" i="23" s="1"/>
  <c r="H203" i="23" s="1"/>
  <c r="I194" i="23"/>
  <c r="J194" i="23" s="1"/>
  <c r="D108" i="13"/>
  <c r="R107" i="13"/>
  <c r="A152" i="30" l="1"/>
  <c r="I195" i="23"/>
  <c r="J106" i="13"/>
  <c r="E108" i="13"/>
  <c r="I196" i="23"/>
  <c r="H208" i="23"/>
  <c r="A905" i="30" l="1"/>
  <c r="A904" i="30"/>
  <c r="A903" i="30"/>
  <c r="A901" i="30"/>
  <c r="A900" i="30"/>
  <c r="A906" i="30"/>
  <c r="A907" i="30"/>
  <c r="A902" i="30"/>
  <c r="A899" i="30"/>
  <c r="I208" i="23"/>
  <c r="J208" i="23" s="1"/>
  <c r="J251" i="23" s="1"/>
  <c r="H209" i="23"/>
  <c r="I198" i="23"/>
  <c r="I203" i="23"/>
  <c r="I197" i="23"/>
  <c r="R108" i="13"/>
  <c r="A153" i="30" l="1"/>
  <c r="H210" i="23"/>
  <c r="I209" i="23"/>
  <c r="I199" i="23"/>
  <c r="A921" i="30" l="1"/>
  <c r="A913" i="30"/>
  <c r="A920" i="30"/>
  <c r="A912" i="30"/>
  <c r="A919" i="30"/>
  <c r="A911" i="30"/>
  <c r="A925" i="30"/>
  <c r="A917" i="30"/>
  <c r="A909" i="30"/>
  <c r="A924" i="30"/>
  <c r="A916" i="30"/>
  <c r="A908" i="30"/>
  <c r="A922" i="30"/>
  <c r="A914" i="30"/>
  <c r="A918" i="30"/>
  <c r="A915" i="30"/>
  <c r="A923" i="30"/>
  <c r="A910" i="30"/>
  <c r="I210" i="23"/>
  <c r="H211" i="23"/>
  <c r="I200" i="23"/>
  <c r="I211" i="23" l="1"/>
  <c r="H212" i="23"/>
  <c r="I201" i="23"/>
  <c r="I202" i="23"/>
  <c r="H213" i="23" l="1"/>
  <c r="I212" i="23"/>
  <c r="H214" i="23" l="1"/>
  <c r="I213" i="23"/>
  <c r="I214" i="23" l="1"/>
  <c r="H215" i="23"/>
  <c r="I215" i="23" l="1"/>
  <c r="H216" i="23"/>
  <c r="H217" i="23" l="1"/>
  <c r="I216" i="23"/>
  <c r="I217" i="23" l="1"/>
  <c r="H218" i="23"/>
  <c r="H219" i="23" l="1"/>
  <c r="I218" i="23"/>
  <c r="H220" i="23" l="1"/>
  <c r="I219" i="23"/>
  <c r="H221" i="23" l="1"/>
  <c r="I220" i="23"/>
  <c r="I221" i="23" l="1"/>
  <c r="H222" i="23"/>
  <c r="H223" i="23" l="1"/>
  <c r="I222" i="23"/>
  <c r="I223" i="23" l="1"/>
  <c r="H224" i="23"/>
  <c r="H225" i="23" l="1"/>
  <c r="I224" i="23"/>
  <c r="H226" i="23" l="1"/>
  <c r="I225" i="23"/>
  <c r="D109" i="13"/>
  <c r="J108" i="13" l="1"/>
  <c r="J107" i="13"/>
  <c r="E109" i="13"/>
  <c r="I226" i="23"/>
  <c r="H23" i="29"/>
  <c r="H24" i="29" l="1"/>
  <c r="I23" i="29"/>
  <c r="J23" i="29" s="1"/>
  <c r="J36" i="29" s="1"/>
  <c r="K36" i="29" s="1"/>
  <c r="R109" i="13"/>
  <c r="D110" i="13"/>
  <c r="A95" i="30" l="1"/>
  <c r="A1145" i="30" s="1"/>
  <c r="E110" i="13"/>
  <c r="J109" i="13"/>
  <c r="I24" i="29"/>
  <c r="H231" i="23"/>
  <c r="I231" i="23" l="1"/>
  <c r="J231" i="23" s="1"/>
  <c r="J253" i="23" s="1"/>
  <c r="H232" i="23"/>
  <c r="I232" i="23" s="1"/>
  <c r="R110" i="13"/>
  <c r="D111" i="13"/>
  <c r="E111" i="13" l="1"/>
  <c r="J110" i="13"/>
  <c r="A155" i="30"/>
  <c r="A929" i="30" s="1"/>
  <c r="H238" i="23"/>
  <c r="I238" i="23" l="1"/>
  <c r="J238" i="23" s="1"/>
  <c r="H239" i="23"/>
  <c r="I239" i="23" s="1"/>
  <c r="R111" i="13"/>
  <c r="D112" i="13"/>
  <c r="J111" i="13" l="1"/>
  <c r="E112" i="13"/>
  <c r="A157" i="30"/>
  <c r="A931" i="30" s="1"/>
  <c r="J255" i="23"/>
  <c r="H5" i="24"/>
  <c r="H6" i="24" l="1"/>
  <c r="H7" i="24" s="1"/>
  <c r="I7" i="24" s="1"/>
  <c r="I5" i="24"/>
  <c r="J5" i="24" s="1"/>
  <c r="R112" i="13"/>
  <c r="H8" i="24" l="1"/>
  <c r="I8" i="24" s="1"/>
  <c r="I6" i="24"/>
  <c r="A175" i="30"/>
  <c r="A955" i="30" s="1"/>
  <c r="J229" i="24"/>
  <c r="H9" i="24" l="1"/>
  <c r="H10" i="24" s="1"/>
  <c r="A959" i="30"/>
  <c r="A1118" i="30"/>
  <c r="A952" i="30"/>
  <c r="A960" i="30"/>
  <c r="A954" i="30"/>
  <c r="A957" i="30"/>
  <c r="A953" i="30"/>
  <c r="A956" i="30"/>
  <c r="A958" i="30"/>
  <c r="A951" i="30"/>
  <c r="A961" i="30"/>
  <c r="I9" i="24" l="1"/>
  <c r="H11" i="24"/>
  <c r="I10" i="24"/>
  <c r="H12" i="24" l="1"/>
  <c r="I11" i="24"/>
  <c r="I12" i="24" l="1"/>
  <c r="H13" i="24"/>
  <c r="I13" i="24" l="1"/>
  <c r="H14" i="24"/>
  <c r="H15" i="24" l="1"/>
  <c r="I14" i="24"/>
  <c r="H16" i="24" l="1"/>
  <c r="I15" i="24"/>
  <c r="D113" i="13"/>
  <c r="J112" i="13" l="1"/>
  <c r="E113" i="13"/>
  <c r="I16" i="24"/>
  <c r="H21" i="24"/>
  <c r="H22" i="24" l="1"/>
  <c r="H23" i="24" s="1"/>
  <c r="I21" i="24"/>
  <c r="J21" i="24" s="1"/>
  <c r="J230" i="24" s="1"/>
  <c r="R113" i="13"/>
  <c r="A176" i="30" l="1"/>
  <c r="I22" i="24"/>
  <c r="H24" i="24"/>
  <c r="I23" i="24"/>
  <c r="A1119" i="30" l="1"/>
  <c r="A964" i="30"/>
  <c r="A963" i="30"/>
  <c r="A965" i="30"/>
  <c r="A962" i="30"/>
  <c r="H25" i="24"/>
  <c r="I24" i="24"/>
  <c r="D114" i="13"/>
  <c r="E114" i="13" l="1"/>
  <c r="J113" i="13"/>
  <c r="I25" i="24"/>
  <c r="H30" i="24"/>
  <c r="H31" i="24" l="1"/>
  <c r="H32" i="24" s="1"/>
  <c r="I30" i="24"/>
  <c r="J30" i="24" s="1"/>
  <c r="J231" i="24" s="1"/>
  <c r="R114" i="13"/>
  <c r="A177" i="30" l="1"/>
  <c r="I31" i="24"/>
  <c r="I32" i="24"/>
  <c r="H33" i="24"/>
  <c r="A968" i="30" l="1"/>
  <c r="A967" i="30"/>
  <c r="A966" i="30"/>
  <c r="A972" i="30"/>
  <c r="A971" i="30"/>
  <c r="A1120" i="30"/>
  <c r="A969" i="30"/>
  <c r="A970" i="30"/>
  <c r="H34" i="24"/>
  <c r="I33" i="24"/>
  <c r="H35" i="24" l="1"/>
  <c r="I34" i="24"/>
  <c r="I35" i="24" l="1"/>
  <c r="H36" i="24"/>
  <c r="H37" i="24" l="1"/>
  <c r="I36" i="24"/>
  <c r="D115" i="13"/>
  <c r="J114" i="13" l="1"/>
  <c r="E115" i="13"/>
  <c r="I37" i="24"/>
  <c r="H42" i="24"/>
  <c r="I42" i="24" l="1"/>
  <c r="J42" i="24" s="1"/>
  <c r="H43" i="24"/>
  <c r="H44" i="24" s="1"/>
  <c r="H45" i="24" s="1"/>
  <c r="R115" i="13"/>
  <c r="I43" i="24" l="1"/>
  <c r="I44" i="24"/>
  <c r="A178" i="30"/>
  <c r="A1000" i="30" s="1"/>
  <c r="J232" i="24"/>
  <c r="I45" i="24"/>
  <c r="H46" i="24"/>
  <c r="A978" i="30" l="1"/>
  <c r="A981" i="30"/>
  <c r="A1121" i="30"/>
  <c r="A989" i="30"/>
  <c r="A994" i="30"/>
  <c r="A1005" i="30"/>
  <c r="A986" i="30"/>
  <c r="A977" i="30"/>
  <c r="A1003" i="30"/>
  <c r="A980" i="30"/>
  <c r="A996" i="30"/>
  <c r="A997" i="30"/>
  <c r="A1004" i="30"/>
  <c r="A985" i="30"/>
  <c r="A995" i="30"/>
  <c r="A993" i="30"/>
  <c r="A990" i="30"/>
  <c r="A973" i="30"/>
  <c r="A1001" i="30"/>
  <c r="A998" i="30"/>
  <c r="A979" i="30"/>
  <c r="A983" i="30"/>
  <c r="A975" i="30"/>
  <c r="A974" i="30"/>
  <c r="A988" i="30"/>
  <c r="A999" i="30"/>
  <c r="A976" i="30"/>
  <c r="A984" i="30"/>
  <c r="A1002" i="30"/>
  <c r="A987" i="30"/>
  <c r="A982" i="30"/>
  <c r="A992" i="30"/>
  <c r="A1006" i="30"/>
  <c r="A991" i="30"/>
  <c r="I46" i="24"/>
  <c r="H47" i="24"/>
  <c r="H48" i="24" l="1"/>
  <c r="I47" i="24"/>
  <c r="I48" i="24" l="1"/>
  <c r="H49" i="24"/>
  <c r="I49" i="24" l="1"/>
  <c r="H50" i="24"/>
  <c r="I50" i="24" l="1"/>
  <c r="H51" i="24"/>
  <c r="I51" i="24" l="1"/>
  <c r="H52" i="24"/>
  <c r="H53" i="24" l="1"/>
  <c r="I52" i="24"/>
  <c r="I53" i="24" l="1"/>
  <c r="H54" i="24"/>
  <c r="H55" i="24" l="1"/>
  <c r="I54" i="24"/>
  <c r="H56" i="24" l="1"/>
  <c r="I55" i="24"/>
  <c r="I56" i="24" l="1"/>
  <c r="H57" i="24"/>
  <c r="I57" i="24" l="1"/>
  <c r="H58" i="24"/>
  <c r="H59" i="24" l="1"/>
  <c r="I58" i="24"/>
  <c r="H60" i="24" l="1"/>
  <c r="I59" i="24"/>
  <c r="I60" i="24" l="1"/>
  <c r="H61" i="24"/>
  <c r="I61" i="24" l="1"/>
  <c r="H62" i="24"/>
  <c r="H63" i="24" l="1"/>
  <c r="I62" i="24"/>
  <c r="H64" i="24" l="1"/>
  <c r="I63" i="24"/>
  <c r="I64" i="24" l="1"/>
  <c r="H65" i="24"/>
  <c r="I65" i="24" l="1"/>
  <c r="H66" i="24"/>
  <c r="H67" i="24" l="1"/>
  <c r="I66" i="24"/>
  <c r="I67" i="24" l="1"/>
  <c r="H68" i="24"/>
  <c r="H69" i="24" l="1"/>
  <c r="I68" i="24"/>
  <c r="H70" i="24" l="1"/>
  <c r="I69" i="24"/>
  <c r="H71" i="24" l="1"/>
  <c r="I70" i="24"/>
  <c r="H72" i="24" l="1"/>
  <c r="I71" i="24"/>
  <c r="I72" i="24" l="1"/>
  <c r="H73" i="24"/>
  <c r="H74" i="24" l="1"/>
  <c r="I73" i="24"/>
  <c r="H75" i="24" l="1"/>
  <c r="I74" i="24"/>
  <c r="H76" i="24" l="1"/>
  <c r="I75" i="24"/>
  <c r="D116" i="13"/>
  <c r="E116" i="13" l="1"/>
  <c r="J115" i="13"/>
  <c r="I76" i="24"/>
  <c r="H81" i="24"/>
  <c r="H82" i="24" l="1"/>
  <c r="H83" i="24" s="1"/>
  <c r="I81" i="24"/>
  <c r="J81" i="24" s="1"/>
  <c r="J233" i="24" s="1"/>
  <c r="R116" i="13"/>
  <c r="A179" i="30" l="1"/>
  <c r="I82" i="24"/>
  <c r="H84" i="24"/>
  <c r="I83" i="24"/>
  <c r="A1008" i="30" l="1"/>
  <c r="A1007" i="30"/>
  <c r="A1012" i="30"/>
  <c r="A1122" i="30"/>
  <c r="A1011" i="30"/>
  <c r="A1009" i="30"/>
  <c r="A1010" i="30"/>
  <c r="I84" i="24"/>
  <c r="H85" i="24"/>
  <c r="H86" i="24" l="1"/>
  <c r="I85" i="24"/>
  <c r="I86" i="24" l="1"/>
  <c r="H87" i="24"/>
  <c r="D117" i="13"/>
  <c r="J116" i="13" l="1"/>
  <c r="E117" i="13"/>
  <c r="I87" i="24"/>
  <c r="H92" i="24"/>
  <c r="I92" i="24" l="1"/>
  <c r="J92" i="24" s="1"/>
  <c r="J234" i="24" s="1"/>
  <c r="H93" i="24"/>
  <c r="H94" i="24" s="1"/>
  <c r="R117" i="13"/>
  <c r="A180" i="30" l="1"/>
  <c r="A1021" i="30" s="1"/>
  <c r="I93" i="24"/>
  <c r="H95" i="24"/>
  <c r="I94" i="24"/>
  <c r="A1016" i="30" l="1"/>
  <c r="A1015" i="30"/>
  <c r="A1014" i="30"/>
  <c r="A1123" i="30"/>
  <c r="A1020" i="30"/>
  <c r="A1019" i="30"/>
  <c r="A1017" i="30"/>
  <c r="A1018" i="30"/>
  <c r="A1013" i="30"/>
  <c r="H96" i="24"/>
  <c r="I95" i="24"/>
  <c r="I96" i="24" l="1"/>
  <c r="H97" i="24"/>
  <c r="I97" i="24" l="1"/>
  <c r="H98" i="24"/>
  <c r="H99" i="24" s="1"/>
  <c r="H100" i="24" s="1"/>
  <c r="H101" i="24" l="1"/>
  <c r="I100" i="24"/>
  <c r="I98" i="24"/>
  <c r="I99" i="24" l="1"/>
  <c r="D118" i="13"/>
  <c r="J117" i="13" l="1"/>
  <c r="E118" i="13"/>
  <c r="I101" i="24"/>
  <c r="H106" i="24"/>
  <c r="H107" i="24" l="1"/>
  <c r="H108" i="24" s="1"/>
  <c r="I106" i="24"/>
  <c r="J106" i="24" s="1"/>
  <c r="R118" i="13"/>
  <c r="A181" i="30" l="1"/>
  <c r="I107" i="24"/>
  <c r="J235" i="24"/>
  <c r="I108" i="24"/>
  <c r="H109" i="24"/>
  <c r="A1025" i="30" l="1"/>
  <c r="A1024" i="30"/>
  <c r="A1023" i="30"/>
  <c r="A1026" i="30"/>
  <c r="A1027" i="30"/>
  <c r="A1124" i="30"/>
  <c r="A1022" i="30"/>
  <c r="H110" i="24"/>
  <c r="I109" i="24"/>
  <c r="H111" i="24" l="1"/>
  <c r="I110" i="24"/>
  <c r="I111" i="24" l="1"/>
  <c r="H112" i="24"/>
  <c r="D119" i="13"/>
  <c r="J118" i="13" l="1"/>
  <c r="E119" i="13"/>
  <c r="I112" i="24"/>
  <c r="H117" i="24"/>
  <c r="I117" i="24" l="1"/>
  <c r="J117" i="24" s="1"/>
  <c r="J236" i="24" s="1"/>
  <c r="H118" i="24"/>
  <c r="I118" i="24" s="1"/>
  <c r="R119" i="13"/>
  <c r="A182" i="30" l="1"/>
  <c r="H119" i="24"/>
  <c r="I119" i="24" s="1"/>
  <c r="A1033" i="30" l="1"/>
  <c r="A1032" i="30"/>
  <c r="A1125" i="30"/>
  <c r="A1031" i="30"/>
  <c r="A1037" i="30"/>
  <c r="A1029" i="30"/>
  <c r="A1036" i="30"/>
  <c r="A1028" i="30"/>
  <c r="A1034" i="30"/>
  <c r="A1030" i="30"/>
  <c r="A1038" i="30"/>
  <c r="A1035" i="30"/>
  <c r="H120" i="24"/>
  <c r="H121" i="24" s="1"/>
  <c r="I120" i="24" l="1"/>
  <c r="H122" i="24"/>
  <c r="I121" i="24"/>
  <c r="I122" i="24" l="1"/>
  <c r="H123" i="24"/>
  <c r="H124" i="24" l="1"/>
  <c r="I123" i="24"/>
  <c r="I124" i="24" l="1"/>
  <c r="H125" i="24"/>
  <c r="I125" i="24" l="1"/>
  <c r="H126" i="24"/>
  <c r="H127" i="24" l="1"/>
  <c r="I126" i="24"/>
  <c r="H128" i="24" l="1"/>
  <c r="I127" i="24"/>
  <c r="D120" i="13"/>
  <c r="J119" i="13" l="1"/>
  <c r="E120" i="13"/>
  <c r="I128" i="24"/>
  <c r="H133" i="24"/>
  <c r="H134" i="24" l="1"/>
  <c r="H135" i="24" s="1"/>
  <c r="I133" i="24"/>
  <c r="J133" i="24" s="1"/>
  <c r="R120" i="13"/>
  <c r="A183" i="30" l="1"/>
  <c r="I134" i="24"/>
  <c r="J237" i="24"/>
  <c r="H136" i="24"/>
  <c r="I135" i="24"/>
  <c r="A1068" i="30" l="1"/>
  <c r="A1069" i="30"/>
  <c r="A1066" i="30"/>
  <c r="A1067" i="30"/>
  <c r="A1065" i="30"/>
  <c r="A1057" i="30"/>
  <c r="A1049" i="30"/>
  <c r="A1041" i="30"/>
  <c r="A1126" i="30"/>
  <c r="A1064" i="30"/>
  <c r="A1056" i="30"/>
  <c r="A1048" i="30"/>
  <c r="A1040" i="30"/>
  <c r="A1063" i="30"/>
  <c r="A1055" i="30"/>
  <c r="A1047" i="30"/>
  <c r="A1039" i="30"/>
  <c r="A1061" i="30"/>
  <c r="A1053" i="30"/>
  <c r="A1045" i="30"/>
  <c r="A1060" i="30"/>
  <c r="A1052" i="30"/>
  <c r="A1044" i="30"/>
  <c r="A1058" i="30"/>
  <c r="A1050" i="30"/>
  <c r="A1042" i="30"/>
  <c r="A1062" i="30"/>
  <c r="A1059" i="30"/>
  <c r="A1054" i="30"/>
  <c r="A1051" i="30"/>
  <c r="A1046" i="30"/>
  <c r="A1043" i="30"/>
  <c r="H137" i="24"/>
  <c r="I136" i="24"/>
  <c r="H138" i="24" l="1"/>
  <c r="I137" i="24"/>
  <c r="H139" i="24" l="1"/>
  <c r="I138" i="24"/>
  <c r="I139" i="24" l="1"/>
  <c r="H140" i="24"/>
  <c r="I140" i="24" l="1"/>
  <c r="H141" i="24"/>
  <c r="H142" i="24" l="1"/>
  <c r="I141" i="24"/>
  <c r="H143" i="24" l="1"/>
  <c r="I142" i="24"/>
  <c r="H144" i="24" l="1"/>
  <c r="I143" i="24"/>
  <c r="H145" i="24" l="1"/>
  <c r="I144" i="24"/>
  <c r="I145" i="24" l="1"/>
  <c r="H146" i="24"/>
  <c r="H147" i="24" l="1"/>
  <c r="I146" i="24"/>
  <c r="H148" i="24" l="1"/>
  <c r="I147" i="24"/>
  <c r="I148" i="24" l="1"/>
  <c r="H149" i="24"/>
  <c r="H150" i="24" l="1"/>
  <c r="I149" i="24"/>
  <c r="H151" i="24" l="1"/>
  <c r="I150" i="24"/>
  <c r="H152" i="24" l="1"/>
  <c r="I151" i="24"/>
  <c r="H153" i="24" l="1"/>
  <c r="I152" i="24"/>
  <c r="H154" i="24" l="1"/>
  <c r="I153" i="24"/>
  <c r="H155" i="24" l="1"/>
  <c r="I154" i="24"/>
  <c r="I155" i="24" l="1"/>
  <c r="H156" i="24"/>
  <c r="I156" i="24" l="1"/>
  <c r="H157" i="24"/>
  <c r="H158" i="24" l="1"/>
  <c r="H159" i="24" s="1"/>
  <c r="H160" i="24" s="1"/>
  <c r="H161" i="24" s="1"/>
  <c r="H162" i="24" s="1"/>
  <c r="H163" i="24" s="1"/>
  <c r="I157" i="24"/>
  <c r="I163" i="24" l="1"/>
  <c r="H164" i="24"/>
  <c r="I162" i="24"/>
  <c r="I161" i="24"/>
  <c r="I160" i="24"/>
  <c r="I158" i="24"/>
  <c r="I159" i="24" l="1"/>
  <c r="D121" i="13"/>
  <c r="J120" i="13" l="1"/>
  <c r="E121" i="13"/>
  <c r="I164" i="24"/>
  <c r="H169" i="24"/>
  <c r="H170" i="24" l="1"/>
  <c r="I170" i="24" s="1"/>
  <c r="I169" i="24"/>
  <c r="J169" i="24" s="1"/>
  <c r="R121" i="13"/>
  <c r="A184" i="30" l="1"/>
  <c r="H171" i="24"/>
  <c r="I171" i="24" s="1"/>
  <c r="J238" i="24"/>
  <c r="A1071" i="30" l="1"/>
  <c r="A1090" i="30"/>
  <c r="A1127" i="30"/>
  <c r="A1086" i="30"/>
  <c r="A1078" i="30"/>
  <c r="A1085" i="30"/>
  <c r="A1077" i="30"/>
  <c r="A1084" i="30"/>
  <c r="A1076" i="30"/>
  <c r="A1082" i="30"/>
  <c r="A1074" i="30"/>
  <c r="A1089" i="30"/>
  <c r="A1081" i="30"/>
  <c r="A1073" i="30"/>
  <c r="A1087" i="30"/>
  <c r="A1079" i="30"/>
  <c r="A1070" i="30"/>
  <c r="A1088" i="30"/>
  <c r="A1083" i="30"/>
  <c r="A1075" i="30"/>
  <c r="A1072" i="30"/>
  <c r="A1080" i="30"/>
  <c r="H172" i="24"/>
  <c r="I172" i="24" s="1"/>
  <c r="H173" i="24" l="1"/>
  <c r="H174" i="24" s="1"/>
  <c r="I173" i="24" l="1"/>
  <c r="I174" i="24"/>
  <c r="H175" i="24"/>
  <c r="H176" i="24" l="1"/>
  <c r="I175" i="24"/>
  <c r="H177" i="24" l="1"/>
  <c r="I176" i="24"/>
  <c r="H178" i="24" l="1"/>
  <c r="I177" i="24"/>
  <c r="H179" i="24" l="1"/>
  <c r="I178" i="24"/>
  <c r="H180" i="24" l="1"/>
  <c r="I179" i="24"/>
  <c r="H181" i="24" l="1"/>
  <c r="I180" i="24"/>
  <c r="H182" i="24" l="1"/>
  <c r="I181" i="24"/>
  <c r="I182" i="24" l="1"/>
  <c r="H183" i="24"/>
  <c r="I183" i="24" l="1"/>
  <c r="H184" i="24"/>
  <c r="I184" i="24" l="1"/>
  <c r="H185" i="24"/>
  <c r="H186" i="24" l="1"/>
  <c r="H187" i="24" s="1"/>
  <c r="H188" i="24" s="1"/>
  <c r="I185" i="24"/>
  <c r="I188" i="24" l="1"/>
  <c r="H189" i="24"/>
  <c r="I186" i="24"/>
  <c r="I187" i="24" l="1"/>
  <c r="D122" i="13"/>
  <c r="E122" i="13" l="1"/>
  <c r="I189" i="24"/>
  <c r="H194" i="24"/>
  <c r="H195" i="24" l="1"/>
  <c r="H196" i="24" s="1"/>
  <c r="H197" i="24" s="1"/>
  <c r="H198" i="24" s="1"/>
  <c r="H199" i="24" s="1"/>
  <c r="H200" i="24" s="1"/>
  <c r="H201" i="24" s="1"/>
  <c r="H202" i="24" s="1"/>
  <c r="H203" i="24" s="1"/>
  <c r="I194" i="24"/>
  <c r="J194" i="24" s="1"/>
  <c r="D123" i="13"/>
  <c r="R122" i="13"/>
  <c r="A185" i="30" l="1"/>
  <c r="I195" i="24"/>
  <c r="J121" i="13"/>
  <c r="E123" i="13"/>
  <c r="I196" i="24"/>
  <c r="H208" i="24"/>
  <c r="A1095" i="30" l="1"/>
  <c r="A1094" i="30"/>
  <c r="A1093" i="30"/>
  <c r="A1099" i="30"/>
  <c r="A1091" i="30"/>
  <c r="A1098" i="30"/>
  <c r="A1128" i="30"/>
  <c r="A1096" i="30"/>
  <c r="A1097" i="30"/>
  <c r="A1092" i="30"/>
  <c r="H209" i="24"/>
  <c r="H210" i="24" s="1"/>
  <c r="I210" i="24" s="1"/>
  <c r="I208" i="24"/>
  <c r="J208" i="24" s="1"/>
  <c r="J239" i="24" s="1"/>
  <c r="I203" i="24"/>
  <c r="I197" i="24"/>
  <c r="I198" i="24"/>
  <c r="R123" i="13"/>
  <c r="A186" i="30" l="1"/>
  <c r="H211" i="24"/>
  <c r="I211" i="24" s="1"/>
  <c r="I209" i="24"/>
  <c r="I199" i="24"/>
  <c r="A1111" i="30" l="1"/>
  <c r="A1103" i="30"/>
  <c r="A1110" i="30"/>
  <c r="A1102" i="30"/>
  <c r="A1117" i="30"/>
  <c r="A1109" i="30"/>
  <c r="A1101" i="30"/>
  <c r="A1115" i="30"/>
  <c r="A1107" i="30"/>
  <c r="A1114" i="30"/>
  <c r="A1106" i="30"/>
  <c r="A1112" i="30"/>
  <c r="A1104" i="30"/>
  <c r="A1100" i="30"/>
  <c r="A1129" i="30"/>
  <c r="A1116" i="30"/>
  <c r="A1113" i="30"/>
  <c r="A1108" i="30"/>
  <c r="A1105" i="30"/>
  <c r="H212" i="24"/>
  <c r="H213" i="24" s="1"/>
  <c r="I213" i="24" s="1"/>
  <c r="I200" i="24"/>
  <c r="H214" i="24" l="1"/>
  <c r="H215" i="24" s="1"/>
  <c r="I212" i="24"/>
  <c r="I201" i="24"/>
  <c r="I202" i="24"/>
  <c r="I214" i="24" l="1"/>
  <c r="I215" i="24"/>
  <c r="H216" i="24"/>
  <c r="H217" i="24" l="1"/>
  <c r="I216" i="24"/>
  <c r="H65" i="13"/>
  <c r="H218" i="24" l="1"/>
  <c r="I217" i="24"/>
  <c r="H74" i="13"/>
  <c r="H219" i="24" l="1"/>
  <c r="I218" i="24"/>
  <c r="H220" i="24" l="1"/>
  <c r="I219" i="24"/>
  <c r="H221" i="24" l="1"/>
  <c r="I220" i="24"/>
  <c r="I221" i="24" l="1"/>
  <c r="H222" i="24"/>
  <c r="I222" i="24" l="1"/>
  <c r="H223" i="24"/>
  <c r="H224" i="24" l="1"/>
  <c r="I223" i="24"/>
  <c r="H225" i="24" l="1"/>
  <c r="I224" i="24"/>
  <c r="I225" i="24" l="1"/>
  <c r="H226" i="24"/>
  <c r="D124" i="13"/>
  <c r="J122" i="13" l="1"/>
  <c r="E124" i="13"/>
  <c r="J123" i="13"/>
  <c r="I226" i="24"/>
  <c r="H29" i="29"/>
  <c r="I29" i="29" l="1"/>
  <c r="J29" i="29" s="1"/>
  <c r="J37" i="29" s="1"/>
  <c r="K37" i="29" s="1"/>
  <c r="H30" i="29"/>
  <c r="R124" i="13"/>
  <c r="D125" i="13"/>
  <c r="A96" i="30" l="1"/>
  <c r="A1146" i="30" s="1"/>
  <c r="B67" i="5"/>
  <c r="C67" i="5" s="1"/>
  <c r="J124" i="13"/>
  <c r="D130" i="13"/>
  <c r="D131" i="13" s="1"/>
  <c r="E125" i="13"/>
  <c r="I30" i="29"/>
  <c r="H40" i="27"/>
  <c r="B69" i="5" l="1"/>
  <c r="C69" i="5" s="1"/>
  <c r="I40" i="27"/>
  <c r="J40" i="27" s="1"/>
  <c r="H41" i="27"/>
  <c r="R125" i="13"/>
  <c r="D126" i="13"/>
  <c r="A121" i="30" l="1"/>
  <c r="B71" i="5"/>
  <c r="C71" i="5" s="1"/>
  <c r="J125" i="13"/>
  <c r="J128" i="13" s="1"/>
  <c r="J131" i="13" s="1"/>
  <c r="E126" i="13"/>
  <c r="I41" i="27"/>
  <c r="J57" i="27"/>
  <c r="K57" i="27" s="1"/>
  <c r="A585" i="30" l="1"/>
  <c r="D8" i="13" l="1"/>
  <c r="H5" i="26"/>
  <c r="H6" i="26" l="1"/>
  <c r="I6" i="26" s="1"/>
  <c r="I5" i="26"/>
  <c r="J5" i="26" s="1"/>
  <c r="E8" i="13"/>
  <c r="J7" i="13"/>
  <c r="R8" i="13"/>
  <c r="A102" i="30" l="1"/>
  <c r="J43" i="26"/>
  <c r="K43" i="26" s="1"/>
  <c r="A566" i="30" l="1"/>
  <c r="D9" i="13" l="1"/>
  <c r="H5" i="25"/>
  <c r="H6" i="25" l="1"/>
  <c r="I6" i="25" s="1"/>
  <c r="I5" i="25"/>
  <c r="J5" i="25" s="1"/>
  <c r="E9" i="13"/>
  <c r="J8" i="13"/>
  <c r="R9" i="13"/>
  <c r="A56" i="30" l="1"/>
  <c r="J46" i="25"/>
  <c r="K46" i="25" s="1"/>
  <c r="A382" i="30" l="1"/>
  <c r="D10" i="13" l="1"/>
  <c r="H5" i="14"/>
  <c r="H6" i="14" l="1"/>
  <c r="I6" i="14" s="1"/>
  <c r="I5" i="14"/>
  <c r="J5" i="14" s="1"/>
  <c r="E10" i="13"/>
  <c r="J9" i="13"/>
  <c r="R10" i="13"/>
  <c r="A26" i="30" l="1"/>
  <c r="A194" i="30" s="1"/>
  <c r="J50" i="14"/>
  <c r="D11" i="13"/>
  <c r="H10" i="26"/>
  <c r="H11" i="26" l="1"/>
  <c r="I11" i="26" s="1"/>
  <c r="I10" i="26"/>
  <c r="J10" i="26" s="1"/>
  <c r="E11" i="13"/>
  <c r="J10" i="13"/>
  <c r="R11" i="13"/>
  <c r="A103" i="30" l="1"/>
  <c r="J44" i="26"/>
  <c r="K44" i="26" s="1"/>
  <c r="D12" i="13"/>
  <c r="H10" i="25"/>
  <c r="I10" i="25" l="1"/>
  <c r="J10" i="25" s="1"/>
  <c r="H11" i="25"/>
  <c r="I11" i="25" s="1"/>
  <c r="J11" i="13"/>
  <c r="E12" i="13"/>
  <c r="A567" i="30"/>
  <c r="R12" i="13"/>
  <c r="A57" i="30" l="1"/>
  <c r="J47" i="25"/>
  <c r="K47" i="25" s="1"/>
  <c r="D13" i="13"/>
  <c r="H10" i="14"/>
  <c r="I10" i="14" l="1"/>
  <c r="J10" i="14" s="1"/>
  <c r="H11" i="14"/>
  <c r="I11" i="14" s="1"/>
  <c r="E13" i="13"/>
  <c r="J12" i="13"/>
  <c r="A383" i="30"/>
  <c r="R13" i="13"/>
  <c r="D14" i="13"/>
  <c r="H15" i="26"/>
  <c r="I15" i="26" l="1"/>
  <c r="J15" i="26" s="1"/>
  <c r="H16" i="26"/>
  <c r="I16" i="26" s="1"/>
  <c r="E14" i="13"/>
  <c r="J13" i="13"/>
  <c r="A27" i="30"/>
  <c r="A195" i="30" s="1"/>
  <c r="J51" i="14"/>
  <c r="R14" i="13"/>
  <c r="A104" i="30" l="1"/>
  <c r="J45" i="26"/>
  <c r="K45" i="26" s="1"/>
  <c r="D15" i="13"/>
  <c r="H15" i="25"/>
  <c r="I15" i="25" l="1"/>
  <c r="J15" i="25" s="1"/>
  <c r="H16" i="25"/>
  <c r="I16" i="25" s="1"/>
  <c r="E15" i="13"/>
  <c r="J14" i="13"/>
  <c r="A568" i="30"/>
  <c r="R15" i="13"/>
  <c r="A58" i="30" l="1"/>
  <c r="J48" i="25"/>
  <c r="K48" i="25" s="1"/>
  <c r="D16" i="13"/>
  <c r="H15" i="14"/>
  <c r="H16" i="14" l="1"/>
  <c r="I16" i="14" s="1"/>
  <c r="I15" i="14"/>
  <c r="J15" i="14" s="1"/>
  <c r="E16" i="13"/>
  <c r="J15" i="13"/>
  <c r="A384" i="30"/>
  <c r="R16" i="13"/>
  <c r="D17" i="13"/>
  <c r="H20" i="26"/>
  <c r="I20" i="26" l="1"/>
  <c r="J20" i="26" s="1"/>
  <c r="H21" i="26"/>
  <c r="I21" i="26" s="1"/>
  <c r="E17" i="13"/>
  <c r="J16" i="13"/>
  <c r="A28" i="30"/>
  <c r="A196" i="30" s="1"/>
  <c r="J52" i="14"/>
  <c r="R17" i="13"/>
  <c r="A105" i="30" l="1"/>
  <c r="J46" i="26"/>
  <c r="K46" i="26" s="1"/>
  <c r="D18" i="13"/>
  <c r="H20" i="25"/>
  <c r="I20" i="25" l="1"/>
  <c r="J20" i="25" s="1"/>
  <c r="H21" i="25"/>
  <c r="I21" i="25" s="1"/>
  <c r="J17" i="13"/>
  <c r="E18" i="13"/>
  <c r="A569" i="30"/>
  <c r="R18" i="13"/>
  <c r="D19" i="13"/>
  <c r="H20" i="14"/>
  <c r="I20" i="14" l="1"/>
  <c r="J20" i="14" s="1"/>
  <c r="H21" i="14"/>
  <c r="I21" i="14" s="1"/>
  <c r="E19" i="13"/>
  <c r="J18" i="13"/>
  <c r="A59" i="30"/>
  <c r="J49" i="25"/>
  <c r="K49" i="25" s="1"/>
  <c r="R19" i="13"/>
  <c r="A29" i="30" l="1"/>
  <c r="A197" i="30" s="1"/>
  <c r="A385" i="30"/>
  <c r="J53" i="14"/>
  <c r="D20" i="13"/>
  <c r="H30" i="26"/>
  <c r="H31" i="26" l="1"/>
  <c r="I31" i="26" s="1"/>
  <c r="I30" i="26"/>
  <c r="J30" i="26" s="1"/>
  <c r="E20" i="13"/>
  <c r="J19" i="13"/>
  <c r="R20" i="13"/>
  <c r="D21" i="13"/>
  <c r="H30" i="25"/>
  <c r="I30" i="25" l="1"/>
  <c r="J30" i="25" s="1"/>
  <c r="H31" i="25"/>
  <c r="I31" i="25" s="1"/>
  <c r="J20" i="13"/>
  <c r="E21" i="13"/>
  <c r="A106" i="30"/>
  <c r="J48" i="26"/>
  <c r="K48" i="26" s="1"/>
  <c r="R21" i="13"/>
  <c r="A61" i="30" l="1"/>
  <c r="J51" i="25"/>
  <c r="K51" i="25" s="1"/>
  <c r="D22" i="13"/>
  <c r="H31" i="14"/>
  <c r="H32" i="14" l="1"/>
  <c r="I31" i="14"/>
  <c r="J31" i="14" s="1"/>
  <c r="J21" i="13"/>
  <c r="E22" i="13"/>
  <c r="A387" i="30"/>
  <c r="R22" i="13"/>
  <c r="A30" i="30" l="1"/>
  <c r="J55" i="14"/>
  <c r="I32" i="14"/>
  <c r="H33" i="14"/>
  <c r="A198" i="30" l="1"/>
  <c r="A199" i="30"/>
  <c r="I33" i="14"/>
  <c r="H34" i="14"/>
  <c r="H35" i="14" l="1"/>
  <c r="I35" i="14" s="1"/>
  <c r="I34" i="14"/>
  <c r="D23" i="13"/>
  <c r="H39" i="14"/>
  <c r="H40" i="14" l="1"/>
  <c r="I40" i="14" s="1"/>
  <c r="I39" i="14"/>
  <c r="J39" i="14" s="1"/>
  <c r="J56" i="14" s="1"/>
  <c r="E23" i="13"/>
  <c r="J22" i="13"/>
  <c r="R23" i="13"/>
  <c r="D24" i="13"/>
  <c r="H25" i="26"/>
  <c r="A31" i="30" l="1"/>
  <c r="A201" i="30" s="1"/>
  <c r="I25" i="26"/>
  <c r="J25" i="26" s="1"/>
  <c r="H26" i="26"/>
  <c r="I26" i="26" s="1"/>
  <c r="E24" i="13"/>
  <c r="J23" i="13"/>
  <c r="R24" i="13"/>
  <c r="A202" i="30" l="1"/>
  <c r="A203" i="30"/>
  <c r="A200" i="30"/>
  <c r="A107" i="30"/>
  <c r="A571" i="30" s="1"/>
  <c r="J47" i="26"/>
  <c r="K47" i="26" s="1"/>
  <c r="A570" i="30" s="1"/>
  <c r="D25" i="13"/>
  <c r="H25" i="25"/>
  <c r="H26" i="25" l="1"/>
  <c r="I26" i="25" s="1"/>
  <c r="I25" i="25"/>
  <c r="J25" i="25" s="1"/>
  <c r="J24" i="13"/>
  <c r="E25" i="13"/>
  <c r="R25" i="13"/>
  <c r="D26" i="13"/>
  <c r="H25" i="14"/>
  <c r="H26" i="14" l="1"/>
  <c r="I25" i="14"/>
  <c r="J25" i="14" s="1"/>
  <c r="J25" i="13"/>
  <c r="E26" i="13"/>
  <c r="A60" i="30"/>
  <c r="J50" i="25"/>
  <c r="K50" i="25" s="1"/>
  <c r="R26" i="13"/>
  <c r="A386" i="30" l="1"/>
  <c r="A32" i="30"/>
  <c r="A204" i="30" s="1"/>
  <c r="J54" i="14"/>
  <c r="I26" i="14"/>
  <c r="H27" i="14"/>
  <c r="I27" i="14" s="1"/>
  <c r="D27" i="13" l="1"/>
  <c r="H35" i="26"/>
  <c r="H36" i="26" l="1"/>
  <c r="I36" i="26" s="1"/>
  <c r="I35" i="26"/>
  <c r="J35" i="26" s="1"/>
  <c r="E27" i="13"/>
  <c r="J26" i="13"/>
  <c r="R27" i="13"/>
  <c r="A108" i="30" l="1"/>
  <c r="J49" i="26"/>
  <c r="K49" i="26" s="1"/>
  <c r="D28" i="13"/>
  <c r="H35" i="25"/>
  <c r="I35" i="25" l="1"/>
  <c r="J35" i="25" s="1"/>
  <c r="H36" i="25"/>
  <c r="I36" i="25" s="1"/>
  <c r="J27" i="13"/>
  <c r="E28" i="13"/>
  <c r="A572" i="30"/>
  <c r="R28" i="13"/>
  <c r="D29" i="13"/>
  <c r="H44" i="14"/>
  <c r="H45" i="14" l="1"/>
  <c r="I45" i="14" s="1"/>
  <c r="I44" i="14"/>
  <c r="J44" i="14" s="1"/>
  <c r="E29" i="13"/>
  <c r="J28" i="13"/>
  <c r="A62" i="30"/>
  <c r="J52" i="25"/>
  <c r="K52" i="25" s="1"/>
  <c r="R29" i="13"/>
  <c r="A33" i="30" l="1"/>
  <c r="A205" i="30" s="1"/>
  <c r="J57" i="14"/>
  <c r="A388" i="30"/>
  <c r="D30" i="13"/>
  <c r="H5" i="21"/>
  <c r="H6" i="21" l="1"/>
  <c r="I6" i="21" s="1"/>
  <c r="I5" i="21"/>
  <c r="J5" i="21" s="1"/>
  <c r="E30" i="13"/>
  <c r="J29" i="13"/>
  <c r="R30" i="13"/>
  <c r="A85" i="30" l="1"/>
  <c r="A1135" i="30" s="1"/>
  <c r="D31" i="13"/>
  <c r="H40" i="26"/>
  <c r="H41" i="26" l="1"/>
  <c r="I41" i="26" s="1"/>
  <c r="I40" i="26"/>
  <c r="J40" i="26" s="1"/>
  <c r="E31" i="13"/>
  <c r="J30" i="13"/>
  <c r="R31" i="13"/>
  <c r="A110" i="30" l="1"/>
  <c r="J51" i="26"/>
  <c r="K51" i="26" s="1"/>
  <c r="D32" i="13"/>
  <c r="H5" i="20"/>
  <c r="I5" i="20" l="1"/>
  <c r="J5" i="20" s="1"/>
  <c r="H6" i="20"/>
  <c r="J31" i="13"/>
  <c r="E32" i="13"/>
  <c r="A574" i="30"/>
  <c r="R32" i="13"/>
  <c r="A127" i="30" l="1"/>
  <c r="H7" i="20"/>
  <c r="I6" i="20"/>
  <c r="J237" i="20"/>
  <c r="I7" i="20" l="1"/>
  <c r="H8" i="20"/>
  <c r="A598" i="30"/>
  <c r="A601" i="30"/>
  <c r="A593" i="30"/>
  <c r="A594" i="30"/>
  <c r="A600" i="30"/>
  <c r="A599" i="30"/>
  <c r="A592" i="30"/>
  <c r="A596" i="30"/>
  <c r="A597" i="30"/>
  <c r="A591" i="30"/>
  <c r="A595" i="30"/>
  <c r="I8" i="20" l="1"/>
  <c r="H9" i="20"/>
  <c r="H10" i="20" l="1"/>
  <c r="I9" i="20"/>
  <c r="H11" i="20" l="1"/>
  <c r="I10" i="20"/>
  <c r="H12" i="20" l="1"/>
  <c r="I11" i="20"/>
  <c r="I12" i="20" l="1"/>
  <c r="H13" i="20"/>
  <c r="I13" i="20" l="1"/>
  <c r="H14" i="20"/>
  <c r="H15" i="20" l="1"/>
  <c r="I14" i="20"/>
  <c r="H16" i="20" l="1"/>
  <c r="I16" i="20" s="1"/>
  <c r="I15" i="20"/>
  <c r="D33" i="13"/>
  <c r="H21" i="20"/>
  <c r="H22" i="20" l="1"/>
  <c r="I21" i="20"/>
  <c r="J21" i="20" s="1"/>
  <c r="J32" i="13"/>
  <c r="E33" i="13"/>
  <c r="R33" i="13"/>
  <c r="A128" i="30" l="1"/>
  <c r="J238" i="20"/>
  <c r="H23" i="20"/>
  <c r="I22" i="20"/>
  <c r="H24" i="20" l="1"/>
  <c r="I23" i="20"/>
  <c r="A603" i="30"/>
  <c r="A605" i="30"/>
  <c r="A604" i="30"/>
  <c r="A602" i="30"/>
  <c r="H25" i="20" l="1"/>
  <c r="I25" i="20" s="1"/>
  <c r="I24" i="20"/>
  <c r="D34" i="13"/>
  <c r="H30" i="20"/>
  <c r="H31" i="20" l="1"/>
  <c r="I30" i="20"/>
  <c r="J30" i="20" s="1"/>
  <c r="J33" i="13"/>
  <c r="E34" i="13"/>
  <c r="R34" i="13"/>
  <c r="A129" i="30" l="1"/>
  <c r="J239" i="20"/>
  <c r="H32" i="20"/>
  <c r="I31" i="20"/>
  <c r="A607" i="30" l="1"/>
  <c r="A608" i="30"/>
  <c r="A611" i="30"/>
  <c r="A610" i="30"/>
  <c r="A609" i="30"/>
  <c r="A612" i="30"/>
  <c r="A606" i="30"/>
  <c r="I32" i="20"/>
  <c r="H33" i="20"/>
  <c r="I33" i="20" l="1"/>
  <c r="H34" i="20"/>
  <c r="H35" i="20" l="1"/>
  <c r="I34" i="20"/>
  <c r="H36" i="20" l="1"/>
  <c r="I35" i="20"/>
  <c r="I36" i="20" l="1"/>
  <c r="H37" i="20"/>
  <c r="I37" i="20" s="1"/>
  <c r="D35" i="13" l="1"/>
  <c r="H233" i="20"/>
  <c r="H234" i="20" l="1"/>
  <c r="I234" i="20" s="1"/>
  <c r="I233" i="20"/>
  <c r="J233" i="20" s="1"/>
  <c r="J34" i="13"/>
  <c r="E35" i="13"/>
  <c r="R35" i="13"/>
  <c r="A140" i="30" l="1"/>
  <c r="A927" i="30" s="1"/>
  <c r="J249" i="20"/>
  <c r="D36" i="13"/>
  <c r="H42" i="20"/>
  <c r="I42" i="20" l="1"/>
  <c r="J42" i="20" s="1"/>
  <c r="H43" i="20"/>
  <c r="J35" i="13"/>
  <c r="E36" i="13"/>
  <c r="R36" i="13"/>
  <c r="A130" i="30" l="1"/>
  <c r="H44" i="20"/>
  <c r="I43" i="20"/>
  <c r="J240" i="20"/>
  <c r="I44" i="20" l="1"/>
  <c r="H45" i="20"/>
  <c r="A637" i="30"/>
  <c r="A616" i="30"/>
  <c r="A626" i="30"/>
  <c r="A639" i="30"/>
  <c r="A645" i="30"/>
  <c r="A633" i="30"/>
  <c r="A614" i="30"/>
  <c r="A646" i="30"/>
  <c r="A624" i="30"/>
  <c r="A631" i="30"/>
  <c r="A620" i="30"/>
  <c r="A622" i="30"/>
  <c r="A630" i="30"/>
  <c r="A615" i="30"/>
  <c r="A613" i="30"/>
  <c r="A617" i="30"/>
  <c r="A627" i="30"/>
  <c r="A643" i="30"/>
  <c r="A625" i="30"/>
  <c r="A635" i="30"/>
  <c r="A619" i="30"/>
  <c r="A641" i="30"/>
  <c r="A623" i="30"/>
  <c r="A632" i="30"/>
  <c r="A618" i="30"/>
  <c r="A640" i="30"/>
  <c r="A636" i="30"/>
  <c r="A629" i="30"/>
  <c r="A642" i="30"/>
  <c r="A628" i="30"/>
  <c r="A634" i="30"/>
  <c r="A644" i="30"/>
  <c r="A621" i="30"/>
  <c r="A638" i="30"/>
  <c r="H46" i="20" l="1"/>
  <c r="I45" i="20"/>
  <c r="I46" i="20" l="1"/>
  <c r="H47" i="20"/>
  <c r="H48" i="20" l="1"/>
  <c r="I47" i="20"/>
  <c r="I48" i="20" l="1"/>
  <c r="H49" i="20"/>
  <c r="I49" i="20" l="1"/>
  <c r="H50" i="20"/>
  <c r="H51" i="20" l="1"/>
  <c r="I50" i="20"/>
  <c r="H52" i="20" l="1"/>
  <c r="I51" i="20"/>
  <c r="I52" i="20" l="1"/>
  <c r="H53" i="20"/>
  <c r="I53" i="20" l="1"/>
  <c r="H54" i="20"/>
  <c r="H55" i="20" l="1"/>
  <c r="I54" i="20"/>
  <c r="H56" i="20" l="1"/>
  <c r="I55" i="20"/>
  <c r="I56" i="20" l="1"/>
  <c r="H57" i="20"/>
  <c r="H58" i="20" l="1"/>
  <c r="I57" i="20"/>
  <c r="I58" i="20" l="1"/>
  <c r="H59" i="20"/>
  <c r="H60" i="20" l="1"/>
  <c r="I59" i="20"/>
  <c r="I60" i="20" l="1"/>
  <c r="H61" i="20"/>
  <c r="I61" i="20" l="1"/>
  <c r="H62" i="20"/>
  <c r="I62" i="20" l="1"/>
  <c r="H63" i="20"/>
  <c r="I63" i="20" l="1"/>
  <c r="H64" i="20"/>
  <c r="H65" i="20" l="1"/>
  <c r="I64" i="20"/>
  <c r="I65" i="20" l="1"/>
  <c r="H66" i="20"/>
  <c r="H67" i="20" l="1"/>
  <c r="I66" i="20"/>
  <c r="H68" i="20" l="1"/>
  <c r="I67" i="20"/>
  <c r="H69" i="20" l="1"/>
  <c r="I68" i="20"/>
  <c r="I69" i="20" l="1"/>
  <c r="H70" i="20"/>
  <c r="H71" i="20" l="1"/>
  <c r="I70" i="20"/>
  <c r="H72" i="20" l="1"/>
  <c r="I71" i="20"/>
  <c r="I72" i="20" l="1"/>
  <c r="H73" i="20"/>
  <c r="H74" i="20" l="1"/>
  <c r="I73" i="20"/>
  <c r="I74" i="20" l="1"/>
  <c r="H75" i="20"/>
  <c r="H76" i="20" l="1"/>
  <c r="I76" i="20" s="1"/>
  <c r="I75" i="20"/>
  <c r="D37" i="13"/>
  <c r="H81" i="20"/>
  <c r="H82" i="20" l="1"/>
  <c r="H83" i="20" s="1"/>
  <c r="I81" i="20"/>
  <c r="J81" i="20" s="1"/>
  <c r="J241" i="20" s="1"/>
  <c r="J36" i="13"/>
  <c r="E37" i="13"/>
  <c r="R37" i="13"/>
  <c r="I82" i="20" l="1"/>
  <c r="A131" i="30"/>
  <c r="A651" i="30" s="1"/>
  <c r="I83" i="20"/>
  <c r="H84" i="20"/>
  <c r="A647" i="30" l="1"/>
  <c r="A648" i="30"/>
  <c r="A652" i="30"/>
  <c r="A650" i="30"/>
  <c r="A649" i="30"/>
  <c r="I84" i="20"/>
  <c r="H85" i="20"/>
  <c r="H86" i="20" l="1"/>
  <c r="I85" i="20"/>
  <c r="I86" i="20" l="1"/>
  <c r="H87" i="20"/>
  <c r="I87" i="20" s="1"/>
  <c r="D38" i="13"/>
  <c r="H92" i="20"/>
  <c r="H93" i="20" l="1"/>
  <c r="I92" i="20"/>
  <c r="J92" i="20" s="1"/>
  <c r="J37" i="13"/>
  <c r="E38" i="13"/>
  <c r="R38" i="13"/>
  <c r="A132" i="30" l="1"/>
  <c r="J242" i="20"/>
  <c r="I93" i="20"/>
  <c r="H94" i="20"/>
  <c r="A661" i="30" l="1"/>
  <c r="A653" i="30"/>
  <c r="A655" i="30"/>
  <c r="A657" i="30"/>
  <c r="A656" i="30"/>
  <c r="A660" i="30"/>
  <c r="A654" i="30"/>
  <c r="A658" i="30"/>
  <c r="A659" i="30"/>
  <c r="I94" i="20"/>
  <c r="H95" i="20"/>
  <c r="I95" i="20" l="1"/>
  <c r="H96" i="20"/>
  <c r="H97" i="20" l="1"/>
  <c r="I96" i="20"/>
  <c r="I97" i="20" l="1"/>
  <c r="H98" i="20"/>
  <c r="H99" i="20" l="1"/>
  <c r="I98" i="20"/>
  <c r="H100" i="20" l="1"/>
  <c r="I99" i="20"/>
  <c r="H101" i="20" l="1"/>
  <c r="I101" i="20" s="1"/>
  <c r="I100" i="20"/>
  <c r="D39" i="13"/>
  <c r="H106" i="20"/>
  <c r="H107" i="20" l="1"/>
  <c r="I106" i="20"/>
  <c r="J106" i="20" s="1"/>
  <c r="E39" i="13"/>
  <c r="J38" i="13"/>
  <c r="R39" i="13"/>
  <c r="A133" i="30" l="1"/>
  <c r="J243" i="20"/>
  <c r="H108" i="20"/>
  <c r="I107" i="20"/>
  <c r="I108" i="20" l="1"/>
  <c r="H109" i="20"/>
  <c r="A665" i="30"/>
  <c r="A667" i="30"/>
  <c r="A662" i="30"/>
  <c r="A663" i="30"/>
  <c r="A666" i="30"/>
  <c r="A664" i="30"/>
  <c r="I109" i="20" l="1"/>
  <c r="H110" i="20"/>
  <c r="I110" i="20" l="1"/>
  <c r="H111" i="20"/>
  <c r="I111" i="20" l="1"/>
  <c r="H112" i="20"/>
  <c r="I112" i="20" s="1"/>
  <c r="D40" i="13"/>
  <c r="H117" i="20"/>
  <c r="I117" i="20" l="1"/>
  <c r="J117" i="20" s="1"/>
  <c r="H118" i="20"/>
  <c r="J39" i="13"/>
  <c r="E40" i="13"/>
  <c r="R40" i="13"/>
  <c r="A134" i="30" l="1"/>
  <c r="H119" i="20"/>
  <c r="I118" i="20"/>
  <c r="J244" i="20"/>
  <c r="I119" i="20" l="1"/>
  <c r="H120" i="20"/>
  <c r="A671" i="30"/>
  <c r="A675" i="30"/>
  <c r="A678" i="30"/>
  <c r="A670" i="30"/>
  <c r="A672" i="30"/>
  <c r="A669" i="30"/>
  <c r="A674" i="30"/>
  <c r="A676" i="30"/>
  <c r="A673" i="30"/>
  <c r="A668" i="30"/>
  <c r="A677" i="30"/>
  <c r="I120" i="20" l="1"/>
  <c r="H121" i="20"/>
  <c r="H122" i="20" l="1"/>
  <c r="I121" i="20"/>
  <c r="I122" i="20" l="1"/>
  <c r="H123" i="20"/>
  <c r="I123" i="20" l="1"/>
  <c r="H124" i="20"/>
  <c r="I124" i="20" l="1"/>
  <c r="H125" i="20"/>
  <c r="I125" i="20" l="1"/>
  <c r="H126" i="20"/>
  <c r="I126" i="20" l="1"/>
  <c r="H127" i="20"/>
  <c r="H128" i="20" l="1"/>
  <c r="I128" i="20" s="1"/>
  <c r="I127" i="20"/>
  <c r="D41" i="13" l="1"/>
  <c r="H133" i="20"/>
  <c r="H134" i="20" l="1"/>
  <c r="I133" i="20"/>
  <c r="J133" i="20" s="1"/>
  <c r="J40" i="13"/>
  <c r="E41" i="13"/>
  <c r="R41" i="13"/>
  <c r="A135" i="30" l="1"/>
  <c r="J245" i="20"/>
  <c r="I134" i="20"/>
  <c r="H135" i="20"/>
  <c r="H136" i="20" l="1"/>
  <c r="I135" i="20"/>
  <c r="A709" i="30"/>
  <c r="A695" i="30"/>
  <c r="A682" i="30"/>
  <c r="A691" i="30"/>
  <c r="A687" i="30"/>
  <c r="A705" i="30"/>
  <c r="A683" i="30"/>
  <c r="A679" i="30"/>
  <c r="A692" i="30"/>
  <c r="A693" i="30"/>
  <c r="A686" i="30"/>
  <c r="A698" i="30"/>
  <c r="A704" i="30"/>
  <c r="A706" i="30"/>
  <c r="A703" i="30"/>
  <c r="A701" i="30"/>
  <c r="A684" i="30"/>
  <c r="A690" i="30"/>
  <c r="A685" i="30"/>
  <c r="A689" i="30"/>
  <c r="A708" i="30"/>
  <c r="A700" i="30"/>
  <c r="A707" i="30"/>
  <c r="A702" i="30"/>
  <c r="A696" i="30"/>
  <c r="A680" i="30"/>
  <c r="A699" i="30"/>
  <c r="A681" i="30"/>
  <c r="A688" i="30"/>
  <c r="A694" i="30"/>
  <c r="A697" i="30"/>
  <c r="H137" i="20" l="1"/>
  <c r="I136" i="20"/>
  <c r="H138" i="20" l="1"/>
  <c r="I137" i="20"/>
  <c r="H139" i="20" l="1"/>
  <c r="I138" i="20"/>
  <c r="I139" i="20" l="1"/>
  <c r="H140" i="20"/>
  <c r="H141" i="20" l="1"/>
  <c r="I140" i="20"/>
  <c r="I141" i="20" l="1"/>
  <c r="H142" i="20"/>
  <c r="H143" i="20" l="1"/>
  <c r="I142" i="20"/>
  <c r="H144" i="20" l="1"/>
  <c r="I143" i="20"/>
  <c r="I144" i="20" l="1"/>
  <c r="H145" i="20"/>
  <c r="H146" i="20" l="1"/>
  <c r="I145" i="20"/>
  <c r="I146" i="20" l="1"/>
  <c r="H147" i="20"/>
  <c r="H148" i="20" l="1"/>
  <c r="I147" i="20"/>
  <c r="I148" i="20" l="1"/>
  <c r="H149" i="20"/>
  <c r="H150" i="20" l="1"/>
  <c r="I149" i="20"/>
  <c r="H151" i="20" l="1"/>
  <c r="I150" i="20"/>
  <c r="H152" i="20" l="1"/>
  <c r="I151" i="20"/>
  <c r="H153" i="20" l="1"/>
  <c r="I152" i="20"/>
  <c r="I153" i="20" l="1"/>
  <c r="H154" i="20"/>
  <c r="H155" i="20" l="1"/>
  <c r="I154" i="20"/>
  <c r="I155" i="20" l="1"/>
  <c r="H156" i="20"/>
  <c r="H157" i="20" l="1"/>
  <c r="I156" i="20"/>
  <c r="H158" i="20" l="1"/>
  <c r="I157" i="20"/>
  <c r="H159" i="20" l="1"/>
  <c r="I158" i="20"/>
  <c r="H160" i="20" l="1"/>
  <c r="I159" i="20"/>
  <c r="H161" i="20" l="1"/>
  <c r="I160" i="20"/>
  <c r="H162" i="20" l="1"/>
  <c r="I161" i="20"/>
  <c r="H163" i="20" l="1"/>
  <c r="I162" i="20"/>
  <c r="H164" i="20" l="1"/>
  <c r="I164" i="20" s="1"/>
  <c r="I163" i="20"/>
  <c r="D42" i="13"/>
  <c r="H169" i="20"/>
  <c r="I169" i="20" l="1"/>
  <c r="J169" i="20" s="1"/>
  <c r="H170" i="20"/>
  <c r="E42" i="13"/>
  <c r="J41" i="13"/>
  <c r="R42" i="13"/>
  <c r="A136" i="30" l="1"/>
  <c r="H171" i="20"/>
  <c r="I170" i="20"/>
  <c r="J246" i="20"/>
  <c r="I171" i="20" l="1"/>
  <c r="H172" i="20"/>
  <c r="A712" i="30"/>
  <c r="A729" i="30"/>
  <c r="A714" i="30"/>
  <c r="A717" i="30"/>
  <c r="A725" i="30"/>
  <c r="A724" i="30"/>
  <c r="A728" i="30"/>
  <c r="A718" i="30"/>
  <c r="A721" i="30"/>
  <c r="A710" i="30"/>
  <c r="A716" i="30"/>
  <c r="A720" i="30"/>
  <c r="A719" i="30"/>
  <c r="A726" i="30"/>
  <c r="A713" i="30"/>
  <c r="A722" i="30"/>
  <c r="A711" i="30"/>
  <c r="A727" i="30"/>
  <c r="A730" i="30"/>
  <c r="A715" i="30"/>
  <c r="A723" i="30"/>
  <c r="I172" i="20" l="1"/>
  <c r="H173" i="20"/>
  <c r="H174" i="20" l="1"/>
  <c r="I173" i="20"/>
  <c r="I174" i="20" l="1"/>
  <c r="H175" i="20"/>
  <c r="H176" i="20" l="1"/>
  <c r="I175" i="20"/>
  <c r="H177" i="20" l="1"/>
  <c r="I176" i="20"/>
  <c r="I177" i="20" l="1"/>
  <c r="H178" i="20"/>
  <c r="H179" i="20" l="1"/>
  <c r="I178" i="20"/>
  <c r="I179" i="20" l="1"/>
  <c r="H180" i="20"/>
  <c r="I180" i="20" l="1"/>
  <c r="H181" i="20"/>
  <c r="H182" i="20" l="1"/>
  <c r="I181" i="20"/>
  <c r="I182" i="20" l="1"/>
  <c r="H183" i="20"/>
  <c r="H184" i="20" l="1"/>
  <c r="I183" i="20"/>
  <c r="I184" i="20" l="1"/>
  <c r="H185" i="20"/>
  <c r="I185" i="20" l="1"/>
  <c r="H186" i="20"/>
  <c r="H187" i="20" l="1"/>
  <c r="I186" i="20"/>
  <c r="H188" i="20" l="1"/>
  <c r="I187" i="20"/>
  <c r="H189" i="20" l="1"/>
  <c r="I189" i="20" s="1"/>
  <c r="I188" i="20"/>
  <c r="D43" i="13"/>
  <c r="H194" i="20"/>
  <c r="H195" i="20" l="1"/>
  <c r="I194" i="20"/>
  <c r="J194" i="20" s="1"/>
  <c r="J42" i="13"/>
  <c r="E43" i="13"/>
  <c r="R43" i="13"/>
  <c r="A137" i="30" l="1"/>
  <c r="I195" i="20"/>
  <c r="H196" i="20"/>
  <c r="H197" i="20" l="1"/>
  <c r="I196" i="20"/>
  <c r="A731" i="30"/>
  <c r="A737" i="30"/>
  <c r="A734" i="30"/>
  <c r="A739" i="30"/>
  <c r="A733" i="30"/>
  <c r="A732" i="30"/>
  <c r="A736" i="30"/>
  <c r="A738" i="30"/>
  <c r="A735" i="30"/>
  <c r="H198" i="20" l="1"/>
  <c r="I197" i="20"/>
  <c r="H199" i="20" l="1"/>
  <c r="I198" i="20"/>
  <c r="H200" i="20" l="1"/>
  <c r="I199" i="20"/>
  <c r="I200" i="20" l="1"/>
  <c r="H201" i="20"/>
  <c r="I201" i="20" l="1"/>
  <c r="H202" i="20"/>
  <c r="H203" i="20" l="1"/>
  <c r="I202" i="20"/>
  <c r="D44" i="13"/>
  <c r="H208" i="20"/>
  <c r="H209" i="20" l="1"/>
  <c r="I208" i="20"/>
  <c r="J208" i="20" s="1"/>
  <c r="E44" i="13"/>
  <c r="J43" i="13"/>
  <c r="I203" i="20"/>
  <c r="R44" i="13"/>
  <c r="A138" i="30" l="1"/>
  <c r="H210" i="20"/>
  <c r="I209" i="20"/>
  <c r="J247" i="20"/>
  <c r="I210" i="20" l="1"/>
  <c r="H211" i="20"/>
  <c r="A740" i="30"/>
  <c r="A747" i="30"/>
  <c r="A756" i="30"/>
  <c r="A750" i="30"/>
  <c r="A742" i="30"/>
  <c r="A746" i="30"/>
  <c r="A755" i="30"/>
  <c r="A741" i="30"/>
  <c r="A754" i="30"/>
  <c r="A753" i="30"/>
  <c r="A752" i="30"/>
  <c r="A751" i="30"/>
  <c r="A745" i="30"/>
  <c r="A744" i="30"/>
  <c r="A749" i="30"/>
  <c r="A748" i="30"/>
  <c r="A743" i="30"/>
  <c r="A757" i="30"/>
  <c r="H212" i="20" l="1"/>
  <c r="I211" i="20"/>
  <c r="I212" i="20" l="1"/>
  <c r="H213" i="20"/>
  <c r="H214" i="20" l="1"/>
  <c r="I213" i="20"/>
  <c r="I214" i="20" l="1"/>
  <c r="H215" i="20"/>
  <c r="I215" i="20" l="1"/>
  <c r="H216" i="20"/>
  <c r="I216" i="20" l="1"/>
  <c r="H217" i="20"/>
  <c r="H218" i="20" l="1"/>
  <c r="I217" i="20"/>
  <c r="I218" i="20" l="1"/>
  <c r="H219" i="20"/>
  <c r="H220" i="20" l="1"/>
  <c r="I219" i="20"/>
  <c r="H221" i="20" l="1"/>
  <c r="I220" i="20"/>
  <c r="H222" i="20" l="1"/>
  <c r="I221" i="20"/>
  <c r="I222" i="20" l="1"/>
  <c r="H223" i="20"/>
  <c r="H224" i="20" l="1"/>
  <c r="I223" i="20"/>
  <c r="I224" i="20" l="1"/>
  <c r="H225" i="20"/>
  <c r="I225" i="20" l="1"/>
  <c r="H226" i="20"/>
  <c r="D45" i="13"/>
  <c r="H5" i="9"/>
  <c r="I5" i="9" l="1"/>
  <c r="J5" i="9" s="1"/>
  <c r="H6" i="9"/>
  <c r="J44" i="13"/>
  <c r="E45" i="13"/>
  <c r="I226" i="20"/>
  <c r="R45" i="13"/>
  <c r="A68" i="30" l="1"/>
  <c r="H7" i="9"/>
  <c r="I6" i="9"/>
  <c r="J235" i="9"/>
  <c r="I7" i="9" l="1"/>
  <c r="H8" i="9"/>
  <c r="A394" i="30"/>
  <c r="A397" i="30"/>
  <c r="A398" i="30"/>
  <c r="A401" i="30"/>
  <c r="A395" i="30"/>
  <c r="A400" i="30"/>
  <c r="A403" i="30"/>
  <c r="A404" i="30"/>
  <c r="A399" i="30"/>
  <c r="A402" i="30"/>
  <c r="A396" i="30"/>
  <c r="H9" i="9" l="1"/>
  <c r="I8" i="9"/>
  <c r="I9" i="9" l="1"/>
  <c r="H10" i="9"/>
  <c r="H11" i="9" l="1"/>
  <c r="I10" i="9"/>
  <c r="I11" i="9" l="1"/>
  <c r="H12" i="9"/>
  <c r="I12" i="9" l="1"/>
  <c r="H13" i="9"/>
  <c r="H14" i="9" l="1"/>
  <c r="I13" i="9"/>
  <c r="H15" i="9" l="1"/>
  <c r="I14" i="9"/>
  <c r="H16" i="9" l="1"/>
  <c r="I15" i="9"/>
  <c r="D46" i="13"/>
  <c r="H21" i="9"/>
  <c r="I21" i="9" l="1"/>
  <c r="J21" i="9" s="1"/>
  <c r="H22" i="9"/>
  <c r="E46" i="13"/>
  <c r="J45" i="13"/>
  <c r="I16" i="9"/>
  <c r="R46" i="13"/>
  <c r="A69" i="30" l="1"/>
  <c r="J236" i="9"/>
  <c r="H23" i="9"/>
  <c r="I22" i="9"/>
  <c r="H24" i="9" l="1"/>
  <c r="I23" i="9"/>
  <c r="A407" i="30"/>
  <c r="A405" i="30"/>
  <c r="A406" i="30"/>
  <c r="A408" i="30"/>
  <c r="I24" i="9" l="1"/>
  <c r="H25" i="9"/>
  <c r="D47" i="13"/>
  <c r="H30" i="9"/>
  <c r="I30" i="9" l="1"/>
  <c r="J30" i="9" s="1"/>
  <c r="H31" i="9"/>
  <c r="E47" i="13"/>
  <c r="J46" i="13"/>
  <c r="I25" i="9"/>
  <c r="R47" i="13"/>
  <c r="A70" i="30" l="1"/>
  <c r="J237" i="9"/>
  <c r="I31" i="9"/>
  <c r="H32" i="9"/>
  <c r="H33" i="9" l="1"/>
  <c r="I32" i="9"/>
  <c r="A411" i="30"/>
  <c r="A414" i="30"/>
  <c r="A409" i="30"/>
  <c r="A415" i="30"/>
  <c r="A413" i="30"/>
  <c r="A410" i="30"/>
  <c r="A412" i="30"/>
  <c r="H34" i="9" l="1"/>
  <c r="I33" i="9"/>
  <c r="H35" i="9" l="1"/>
  <c r="I34" i="9"/>
  <c r="I35" i="9" l="1"/>
  <c r="H36" i="9"/>
  <c r="I36" i="9" l="1"/>
  <c r="H37" i="9"/>
  <c r="D48" i="13"/>
  <c r="H42" i="9"/>
  <c r="H43" i="9" l="1"/>
  <c r="I42" i="9"/>
  <c r="J42" i="9" s="1"/>
  <c r="J47" i="13"/>
  <c r="E48" i="13"/>
  <c r="I37" i="9"/>
  <c r="R48" i="13"/>
  <c r="A71" i="30" l="1"/>
  <c r="J238" i="9"/>
  <c r="I43" i="9"/>
  <c r="H44" i="9"/>
  <c r="H45" i="9" l="1"/>
  <c r="I44" i="9"/>
  <c r="A443" i="30"/>
  <c r="A448" i="30"/>
  <c r="A449" i="30"/>
  <c r="A441" i="30"/>
  <c r="A427" i="30"/>
  <c r="A421" i="30"/>
  <c r="A439" i="30"/>
  <c r="A445" i="30"/>
  <c r="A434" i="30"/>
  <c r="A435" i="30"/>
  <c r="A437" i="30"/>
  <c r="A440" i="30"/>
  <c r="A446" i="30"/>
  <c r="A417" i="30"/>
  <c r="A444" i="30"/>
  <c r="A438" i="30"/>
  <c r="A426" i="30"/>
  <c r="A420" i="30"/>
  <c r="A428" i="30"/>
  <c r="A416" i="30"/>
  <c r="A422" i="30"/>
  <c r="A423" i="30"/>
  <c r="A432" i="30"/>
  <c r="A425" i="30"/>
  <c r="A447" i="30"/>
  <c r="A424" i="30"/>
  <c r="A419" i="30"/>
  <c r="A418" i="30"/>
  <c r="A436" i="30"/>
  <c r="A431" i="30"/>
  <c r="A442" i="30"/>
  <c r="A433" i="30"/>
  <c r="A429" i="30"/>
  <c r="A430" i="30"/>
  <c r="H46" i="9" l="1"/>
  <c r="I45" i="9"/>
  <c r="H47" i="9" l="1"/>
  <c r="I46" i="9"/>
  <c r="I47" i="9" l="1"/>
  <c r="H48" i="9"/>
  <c r="H49" i="9" l="1"/>
  <c r="I48" i="9"/>
  <c r="H50" i="9" l="1"/>
  <c r="I49" i="9"/>
  <c r="I50" i="9" l="1"/>
  <c r="H51" i="9"/>
  <c r="I51" i="9" l="1"/>
  <c r="H52" i="9"/>
  <c r="I52" i="9" l="1"/>
  <c r="H53" i="9"/>
  <c r="H54" i="9" l="1"/>
  <c r="I53" i="9"/>
  <c r="I54" i="9" l="1"/>
  <c r="H55" i="9"/>
  <c r="H56" i="9" l="1"/>
  <c r="I55" i="9"/>
  <c r="I56" i="9" l="1"/>
  <c r="H57" i="9"/>
  <c r="H58" i="9" l="1"/>
  <c r="I57" i="9"/>
  <c r="H59" i="9" l="1"/>
  <c r="I58" i="9"/>
  <c r="H60" i="9" l="1"/>
  <c r="I59" i="9"/>
  <c r="H61" i="9" l="1"/>
  <c r="I60" i="9"/>
  <c r="H62" i="9" l="1"/>
  <c r="I61" i="9"/>
  <c r="H63" i="9" l="1"/>
  <c r="I62" i="9"/>
  <c r="H64" i="9" l="1"/>
  <c r="I63" i="9"/>
  <c r="I64" i="9" l="1"/>
  <c r="H65" i="9"/>
  <c r="H66" i="9" l="1"/>
  <c r="I65" i="9"/>
  <c r="H67" i="9" l="1"/>
  <c r="I66" i="9"/>
  <c r="H68" i="9" l="1"/>
  <c r="I67" i="9"/>
  <c r="H69" i="9" l="1"/>
  <c r="I68" i="9"/>
  <c r="I69" i="9" l="1"/>
  <c r="H70" i="9"/>
  <c r="I70" i="9" l="1"/>
  <c r="H71" i="9"/>
  <c r="I71" i="9" l="1"/>
  <c r="H72" i="9"/>
  <c r="I72" i="9" l="1"/>
  <c r="H73" i="9"/>
  <c r="H74" i="9" l="1"/>
  <c r="I73" i="9"/>
  <c r="H75" i="9" l="1"/>
  <c r="I74" i="9"/>
  <c r="I75" i="9" l="1"/>
  <c r="H76" i="9"/>
  <c r="D49" i="13"/>
  <c r="H81" i="9"/>
  <c r="H82" i="9" l="1"/>
  <c r="I81" i="9"/>
  <c r="J81" i="9" s="1"/>
  <c r="J48" i="13"/>
  <c r="E49" i="13"/>
  <c r="I76" i="9"/>
  <c r="R49" i="13"/>
  <c r="A72" i="30" l="1"/>
  <c r="J239" i="9"/>
  <c r="I82" i="9"/>
  <c r="H83" i="9"/>
  <c r="H84" i="9" l="1"/>
  <c r="I83" i="9"/>
  <c r="A452" i="30"/>
  <c r="A454" i="30"/>
  <c r="A453" i="30"/>
  <c r="A450" i="30"/>
  <c r="A455" i="30"/>
  <c r="A451" i="30"/>
  <c r="I84" i="9" l="1"/>
  <c r="H85" i="9"/>
  <c r="H86" i="9" l="1"/>
  <c r="I85" i="9"/>
  <c r="H87" i="9" l="1"/>
  <c r="I86" i="9"/>
  <c r="D50" i="13"/>
  <c r="H92" i="9"/>
  <c r="H93" i="9" l="1"/>
  <c r="I92" i="9"/>
  <c r="J92" i="9" s="1"/>
  <c r="J49" i="13"/>
  <c r="E50" i="13"/>
  <c r="I87" i="9"/>
  <c r="R50" i="13"/>
  <c r="A73" i="30" l="1"/>
  <c r="J240" i="9"/>
  <c r="I93" i="9"/>
  <c r="H94" i="9"/>
  <c r="I94" i="9" l="1"/>
  <c r="H95" i="9"/>
  <c r="A456" i="30"/>
  <c r="A461" i="30"/>
  <c r="A462" i="30"/>
  <c r="A463" i="30"/>
  <c r="A464" i="30"/>
  <c r="A458" i="30"/>
  <c r="A460" i="30"/>
  <c r="A459" i="30"/>
  <c r="A457" i="30"/>
  <c r="H96" i="9" l="1"/>
  <c r="I95" i="9"/>
  <c r="H97" i="9" l="1"/>
  <c r="I96" i="9"/>
  <c r="H98" i="9" l="1"/>
  <c r="I97" i="9"/>
  <c r="I98" i="9" l="1"/>
  <c r="H99" i="9"/>
  <c r="H100" i="9" l="1"/>
  <c r="I99" i="9"/>
  <c r="I100" i="9" l="1"/>
  <c r="H101" i="9"/>
  <c r="D51" i="13"/>
  <c r="H106" i="9"/>
  <c r="H107" i="9" l="1"/>
  <c r="I106" i="9"/>
  <c r="J106" i="9" s="1"/>
  <c r="E51" i="13"/>
  <c r="J50" i="13"/>
  <c r="I101" i="9"/>
  <c r="R51" i="13"/>
  <c r="A74" i="30" l="1"/>
  <c r="J241" i="9"/>
  <c r="I107" i="9"/>
  <c r="H108" i="9"/>
  <c r="H109" i="9" l="1"/>
  <c r="I108" i="9"/>
  <c r="A468" i="30"/>
  <c r="A465" i="30"/>
  <c r="A467" i="30"/>
  <c r="A470" i="30"/>
  <c r="A469" i="30"/>
  <c r="A466" i="30"/>
  <c r="I109" i="9" l="1"/>
  <c r="H110" i="9"/>
  <c r="H111" i="9" l="1"/>
  <c r="I110" i="9"/>
  <c r="I111" i="9" l="1"/>
  <c r="H112" i="9"/>
  <c r="D52" i="13"/>
  <c r="H117" i="9"/>
  <c r="I117" i="9" l="1"/>
  <c r="J117" i="9" s="1"/>
  <c r="H118" i="9"/>
  <c r="E52" i="13"/>
  <c r="J51" i="13"/>
  <c r="I112" i="9"/>
  <c r="R52" i="13"/>
  <c r="A75" i="30" l="1"/>
  <c r="I118" i="9"/>
  <c r="H119" i="9"/>
  <c r="J242" i="9"/>
  <c r="H120" i="9" l="1"/>
  <c r="I119" i="9"/>
  <c r="A478" i="30"/>
  <c r="A479" i="30"/>
  <c r="A472" i="30"/>
  <c r="A475" i="30"/>
  <c r="A473" i="30"/>
  <c r="A471" i="30"/>
  <c r="A480" i="30"/>
  <c r="A477" i="30"/>
  <c r="A476" i="30"/>
  <c r="A481" i="30"/>
  <c r="A474" i="30"/>
  <c r="I120" i="9" l="1"/>
  <c r="H121" i="9"/>
  <c r="H122" i="9" l="1"/>
  <c r="I121" i="9"/>
  <c r="H123" i="9" l="1"/>
  <c r="I122" i="9"/>
  <c r="I123" i="9" l="1"/>
  <c r="H124" i="9"/>
  <c r="I124" i="9" l="1"/>
  <c r="H125" i="9"/>
  <c r="I125" i="9" l="1"/>
  <c r="H126" i="9"/>
  <c r="I126" i="9" l="1"/>
  <c r="H127" i="9"/>
  <c r="H128" i="9" l="1"/>
  <c r="I127" i="9"/>
  <c r="D53" i="13"/>
  <c r="H133" i="9"/>
  <c r="H134" i="9" l="1"/>
  <c r="I133" i="9"/>
  <c r="J133" i="9" s="1"/>
  <c r="J52" i="13"/>
  <c r="E53" i="13"/>
  <c r="I128" i="9"/>
  <c r="R53" i="13"/>
  <c r="A76" i="30" l="1"/>
  <c r="J243" i="9"/>
  <c r="I134" i="9"/>
  <c r="H135" i="9"/>
  <c r="H136" i="9" l="1"/>
  <c r="I135" i="9"/>
  <c r="A505" i="30"/>
  <c r="A508" i="30"/>
  <c r="A503" i="30"/>
  <c r="A488" i="30"/>
  <c r="A500" i="30"/>
  <c r="A492" i="30"/>
  <c r="A482" i="30"/>
  <c r="A486" i="30"/>
  <c r="A495" i="30"/>
  <c r="A494" i="30"/>
  <c r="A507" i="30"/>
  <c r="A509" i="30"/>
  <c r="A512" i="30"/>
  <c r="A493" i="30"/>
  <c r="A487" i="30"/>
  <c r="A504" i="30"/>
  <c r="A498" i="30"/>
  <c r="A496" i="30"/>
  <c r="A506" i="30"/>
  <c r="A510" i="30"/>
  <c r="A491" i="30"/>
  <c r="A497" i="30"/>
  <c r="A483" i="30"/>
  <c r="A499" i="30"/>
  <c r="A490" i="30"/>
  <c r="A511" i="30"/>
  <c r="A502" i="30"/>
  <c r="A489" i="30"/>
  <c r="A485" i="30"/>
  <c r="A501" i="30"/>
  <c r="A484" i="30"/>
  <c r="I136" i="9" l="1"/>
  <c r="H137" i="9"/>
  <c r="H138" i="9" l="1"/>
  <c r="I137" i="9"/>
  <c r="H139" i="9" l="1"/>
  <c r="I138" i="9"/>
  <c r="H140" i="9" l="1"/>
  <c r="I139" i="9"/>
  <c r="I140" i="9" l="1"/>
  <c r="H141" i="9"/>
  <c r="I141" i="9" l="1"/>
  <c r="H142" i="9"/>
  <c r="H143" i="9" l="1"/>
  <c r="I142" i="9"/>
  <c r="H144" i="9" l="1"/>
  <c r="I143" i="9"/>
  <c r="H145" i="9" l="1"/>
  <c r="I144" i="9"/>
  <c r="I145" i="9" l="1"/>
  <c r="H146" i="9"/>
  <c r="H147" i="9" l="1"/>
  <c r="I146" i="9"/>
  <c r="H148" i="9" l="1"/>
  <c r="I147" i="9"/>
  <c r="H149" i="9" l="1"/>
  <c r="I148" i="9"/>
  <c r="H150" i="9" l="1"/>
  <c r="I149" i="9"/>
  <c r="I150" i="9" l="1"/>
  <c r="H151" i="9"/>
  <c r="I151" i="9" l="1"/>
  <c r="H152" i="9"/>
  <c r="H153" i="9" l="1"/>
  <c r="I152" i="9"/>
  <c r="I153" i="9" l="1"/>
  <c r="H154" i="9"/>
  <c r="H155" i="9" l="1"/>
  <c r="I154" i="9"/>
  <c r="I155" i="9" l="1"/>
  <c r="H156" i="9"/>
  <c r="I156" i="9" l="1"/>
  <c r="H157" i="9"/>
  <c r="H158" i="9" l="1"/>
  <c r="I157" i="9"/>
  <c r="H159" i="9" l="1"/>
  <c r="I158" i="9"/>
  <c r="H160" i="9" l="1"/>
  <c r="I159" i="9"/>
  <c r="I160" i="9" l="1"/>
  <c r="H161" i="9"/>
  <c r="H162" i="9" l="1"/>
  <c r="I161" i="9"/>
  <c r="H163" i="9" l="1"/>
  <c r="I162" i="9"/>
  <c r="H164" i="9" l="1"/>
  <c r="I163" i="9"/>
  <c r="D54" i="13"/>
  <c r="H169" i="9"/>
  <c r="I169" i="9" l="1"/>
  <c r="J169" i="9" s="1"/>
  <c r="H170" i="9"/>
  <c r="J53" i="13"/>
  <c r="E54" i="13"/>
  <c r="I164" i="9"/>
  <c r="R54" i="13"/>
  <c r="A77" i="30" l="1"/>
  <c r="J244" i="9"/>
  <c r="H171" i="9"/>
  <c r="I170" i="9"/>
  <c r="I171" i="9" l="1"/>
  <c r="H172" i="9"/>
  <c r="A515" i="30"/>
  <c r="A527" i="30"/>
  <c r="A525" i="30"/>
  <c r="A533" i="30"/>
  <c r="A521" i="30"/>
  <c r="A516" i="30"/>
  <c r="A532" i="30"/>
  <c r="A520" i="30"/>
  <c r="A530" i="30"/>
  <c r="A524" i="30"/>
  <c r="A519" i="30"/>
  <c r="A522" i="30"/>
  <c r="A526" i="30"/>
  <c r="A529" i="30"/>
  <c r="A523" i="30"/>
  <c r="A514" i="30"/>
  <c r="A528" i="30"/>
  <c r="A518" i="30"/>
  <c r="A531" i="30"/>
  <c r="A517" i="30"/>
  <c r="A513" i="30"/>
  <c r="I172" i="9" l="1"/>
  <c r="H173" i="9"/>
  <c r="I173" i="9" l="1"/>
  <c r="H174" i="9"/>
  <c r="I174" i="9" l="1"/>
  <c r="H175" i="9"/>
  <c r="I175" i="9" l="1"/>
  <c r="H176" i="9"/>
  <c r="H177" i="9" l="1"/>
  <c r="I176" i="9"/>
  <c r="H178" i="9" l="1"/>
  <c r="I177" i="9"/>
  <c r="H179" i="9" l="1"/>
  <c r="I178" i="9"/>
  <c r="H180" i="9" l="1"/>
  <c r="I179" i="9"/>
  <c r="I180" i="9" l="1"/>
  <c r="H181" i="9"/>
  <c r="H182" i="9" l="1"/>
  <c r="I181" i="9"/>
  <c r="I182" i="9" l="1"/>
  <c r="H183" i="9"/>
  <c r="H184" i="9" l="1"/>
  <c r="I183" i="9"/>
  <c r="I184" i="9" l="1"/>
  <c r="H185" i="9"/>
  <c r="H186" i="9" l="1"/>
  <c r="I185" i="9"/>
  <c r="I186" i="9" l="1"/>
  <c r="H187" i="9"/>
  <c r="H188" i="9" l="1"/>
  <c r="I187" i="9"/>
  <c r="H189" i="9" l="1"/>
  <c r="I188" i="9"/>
  <c r="D55" i="13"/>
  <c r="H194" i="9"/>
  <c r="H195" i="9" l="1"/>
  <c r="I194" i="9"/>
  <c r="J194" i="9" s="1"/>
  <c r="J54" i="13"/>
  <c r="E55" i="13"/>
  <c r="I189" i="9"/>
  <c r="R55" i="13"/>
  <c r="A78" i="30" l="1"/>
  <c r="H196" i="9"/>
  <c r="I195" i="9"/>
  <c r="I196" i="9" l="1"/>
  <c r="H197" i="9"/>
  <c r="A538" i="30"/>
  <c r="A536" i="30"/>
  <c r="A540" i="30"/>
  <c r="A537" i="30"/>
  <c r="A542" i="30"/>
  <c r="A535" i="30"/>
  <c r="A534" i="30"/>
  <c r="A539" i="30"/>
  <c r="A541" i="30"/>
  <c r="I197" i="9" l="1"/>
  <c r="H198" i="9"/>
  <c r="H199" i="9" l="1"/>
  <c r="I198" i="9"/>
  <c r="I199" i="9" l="1"/>
  <c r="H200" i="9"/>
  <c r="I200" i="9" l="1"/>
  <c r="H201" i="9"/>
  <c r="H202" i="9" l="1"/>
  <c r="I201" i="9"/>
  <c r="H203" i="9" l="1"/>
  <c r="I202" i="9"/>
  <c r="D56" i="13"/>
  <c r="H208" i="9"/>
  <c r="H209" i="9" l="1"/>
  <c r="I208" i="9"/>
  <c r="J208" i="9" s="1"/>
  <c r="E56" i="13"/>
  <c r="J55" i="13"/>
  <c r="I203" i="9"/>
  <c r="R56" i="13"/>
  <c r="A79" i="30" l="1"/>
  <c r="J245" i="9"/>
  <c r="I209" i="9"/>
  <c r="H210" i="9"/>
  <c r="A543" i="30" l="1"/>
  <c r="A550" i="30"/>
  <c r="A558" i="30"/>
  <c r="A545" i="30"/>
  <c r="A556" i="30"/>
  <c r="A547" i="30"/>
  <c r="A551" i="30"/>
  <c r="A555" i="30"/>
  <c r="A548" i="30"/>
  <c r="A560" i="30"/>
  <c r="A559" i="30"/>
  <c r="A552" i="30"/>
  <c r="A557" i="30"/>
  <c r="A546" i="30"/>
  <c r="A554" i="30"/>
  <c r="A549" i="30"/>
  <c r="A544" i="30"/>
  <c r="A553" i="30"/>
  <c r="H211" i="9"/>
  <c r="I210" i="9"/>
  <c r="H212" i="9" l="1"/>
  <c r="I211" i="9"/>
  <c r="I212" i="9" l="1"/>
  <c r="H213" i="9"/>
  <c r="H214" i="9" l="1"/>
  <c r="I213" i="9"/>
  <c r="H215" i="9" l="1"/>
  <c r="I214" i="9"/>
  <c r="I215" i="9" l="1"/>
  <c r="H216" i="9"/>
  <c r="I216" i="9" l="1"/>
  <c r="H217" i="9"/>
  <c r="H218" i="9" l="1"/>
  <c r="I217" i="9"/>
  <c r="H219" i="9" l="1"/>
  <c r="I218" i="9"/>
  <c r="I219" i="9" l="1"/>
  <c r="H220" i="9"/>
  <c r="I220" i="9" l="1"/>
  <c r="H221" i="9"/>
  <c r="I221" i="9" l="1"/>
  <c r="H222" i="9"/>
  <c r="H223" i="9" l="1"/>
  <c r="I222" i="9"/>
  <c r="I223" i="9" l="1"/>
  <c r="H224" i="9"/>
  <c r="I224" i="9" l="1"/>
  <c r="H225" i="9"/>
  <c r="H226" i="9" l="1"/>
  <c r="I225" i="9"/>
  <c r="D57" i="13"/>
  <c r="H5" i="8"/>
  <c r="I5" i="8" l="1"/>
  <c r="J5" i="8" s="1"/>
  <c r="H6" i="8"/>
  <c r="E57" i="13"/>
  <c r="J56" i="13"/>
  <c r="I226" i="9"/>
  <c r="R57" i="13"/>
  <c r="A39" i="30" l="1"/>
  <c r="I6" i="8"/>
  <c r="H7" i="8"/>
  <c r="J229" i="8"/>
  <c r="H8" i="8" l="1"/>
  <c r="I7" i="8"/>
  <c r="A213" i="30"/>
  <c r="A211" i="30"/>
  <c r="A215" i="30"/>
  <c r="A219" i="30"/>
  <c r="A221" i="30"/>
  <c r="A214" i="30"/>
  <c r="A218" i="30"/>
  <c r="A217" i="30"/>
  <c r="A220" i="30"/>
  <c r="A216" i="30"/>
  <c r="A212" i="30"/>
  <c r="H9" i="8" l="1"/>
  <c r="I8" i="8"/>
  <c r="H10" i="8" l="1"/>
  <c r="I9" i="8"/>
  <c r="I10" i="8" l="1"/>
  <c r="H11" i="8"/>
  <c r="I11" i="8" l="1"/>
  <c r="H12" i="8"/>
  <c r="H13" i="8" l="1"/>
  <c r="I12" i="8"/>
  <c r="H14" i="8" l="1"/>
  <c r="I13" i="8"/>
  <c r="H15" i="8" l="1"/>
  <c r="I14" i="8"/>
  <c r="H16" i="8" l="1"/>
  <c r="I15" i="8"/>
  <c r="D58" i="13"/>
  <c r="H21" i="8"/>
  <c r="H22" i="8" l="1"/>
  <c r="I21" i="8"/>
  <c r="J21" i="8" s="1"/>
  <c r="J57" i="13"/>
  <c r="E58" i="13"/>
  <c r="I16" i="8"/>
  <c r="R58" i="13"/>
  <c r="A40" i="30" l="1"/>
  <c r="J230" i="8"/>
  <c r="H23" i="8"/>
  <c r="I22" i="8"/>
  <c r="I23" i="8" l="1"/>
  <c r="H24" i="8"/>
  <c r="A224" i="30"/>
  <c r="A222" i="30"/>
  <c r="A223" i="30"/>
  <c r="A225" i="30"/>
  <c r="H25" i="8" l="1"/>
  <c r="I24" i="8"/>
  <c r="D59" i="13"/>
  <c r="H30" i="8"/>
  <c r="H31" i="8" l="1"/>
  <c r="I30" i="8"/>
  <c r="J30" i="8" s="1"/>
  <c r="E59" i="13"/>
  <c r="J58" i="13"/>
  <c r="I25" i="8"/>
  <c r="R59" i="13"/>
  <c r="A41" i="30" l="1"/>
  <c r="J231" i="8"/>
  <c r="H32" i="8"/>
  <c r="I31" i="8"/>
  <c r="H33" i="8" l="1"/>
  <c r="I32" i="8"/>
  <c r="A231" i="30"/>
  <c r="A228" i="30"/>
  <c r="A227" i="30"/>
  <c r="A226" i="30"/>
  <c r="A230" i="30"/>
  <c r="A229" i="30"/>
  <c r="A232" i="30"/>
  <c r="I33" i="8" l="1"/>
  <c r="H34" i="8"/>
  <c r="H35" i="8" l="1"/>
  <c r="I34" i="8"/>
  <c r="H36" i="8" l="1"/>
  <c r="I35" i="8"/>
  <c r="H37" i="8" l="1"/>
  <c r="I36" i="8"/>
  <c r="D60" i="13"/>
  <c r="H42" i="8"/>
  <c r="H43" i="8" l="1"/>
  <c r="I42" i="8"/>
  <c r="J42" i="8" s="1"/>
  <c r="E60" i="13"/>
  <c r="J59" i="13"/>
  <c r="I37" i="8"/>
  <c r="R60" i="13"/>
  <c r="A42" i="30" l="1"/>
  <c r="J232" i="8"/>
  <c r="H44" i="8"/>
  <c r="I43" i="8"/>
  <c r="I44" i="8" l="1"/>
  <c r="H45" i="8"/>
  <c r="A252" i="30"/>
  <c r="A264" i="30"/>
  <c r="A257" i="30"/>
  <c r="A244" i="30"/>
  <c r="A261" i="30"/>
  <c r="A262" i="30"/>
  <c r="A250" i="30"/>
  <c r="A253" i="30"/>
  <c r="A243" i="30"/>
  <c r="A234" i="30"/>
  <c r="A251" i="30"/>
  <c r="A240" i="30"/>
  <c r="A263" i="30"/>
  <c r="A239" i="30"/>
  <c r="A238" i="30"/>
  <c r="A241" i="30"/>
  <c r="A258" i="30"/>
  <c r="A235" i="30"/>
  <c r="A248" i="30"/>
  <c r="A237" i="30"/>
  <c r="A265" i="30"/>
  <c r="A246" i="30"/>
  <c r="A259" i="30"/>
  <c r="A233" i="30"/>
  <c r="A255" i="30"/>
  <c r="A260" i="30"/>
  <c r="A266" i="30"/>
  <c r="A254" i="30"/>
  <c r="A236" i="30"/>
  <c r="A249" i="30"/>
  <c r="A245" i="30"/>
  <c r="A242" i="30"/>
  <c r="A256" i="30"/>
  <c r="A247" i="30"/>
  <c r="I45" i="8" l="1"/>
  <c r="H46" i="8"/>
  <c r="H47" i="8" l="1"/>
  <c r="I46" i="8"/>
  <c r="H48" i="8" l="1"/>
  <c r="I47" i="8"/>
  <c r="H49" i="8" l="1"/>
  <c r="I48" i="8"/>
  <c r="H50" i="8" l="1"/>
  <c r="I49" i="8"/>
  <c r="H51" i="8" l="1"/>
  <c r="I50" i="8"/>
  <c r="I51" i="8" l="1"/>
  <c r="H52" i="8"/>
  <c r="I52" i="8" l="1"/>
  <c r="H53" i="8"/>
  <c r="H54" i="8" l="1"/>
  <c r="I53" i="8"/>
  <c r="H55" i="8" l="1"/>
  <c r="I54" i="8"/>
  <c r="H56" i="8" l="1"/>
  <c r="I55" i="8"/>
  <c r="I56" i="8" l="1"/>
  <c r="H57" i="8"/>
  <c r="H58" i="8" l="1"/>
  <c r="I57" i="8"/>
  <c r="H59" i="8" l="1"/>
  <c r="I58" i="8"/>
  <c r="H60" i="8" l="1"/>
  <c r="I59" i="8"/>
  <c r="I60" i="8" l="1"/>
  <c r="H61" i="8"/>
  <c r="I61" i="8" l="1"/>
  <c r="H62" i="8"/>
  <c r="H63" i="8" l="1"/>
  <c r="I62" i="8"/>
  <c r="I63" i="8" l="1"/>
  <c r="H64" i="8"/>
  <c r="H65" i="8" l="1"/>
  <c r="I64" i="8"/>
  <c r="H66" i="8" l="1"/>
  <c r="I65" i="8"/>
  <c r="I66" i="8" l="1"/>
  <c r="H67" i="8"/>
  <c r="H68" i="8" l="1"/>
  <c r="I67" i="8"/>
  <c r="H69" i="8" l="1"/>
  <c r="I68" i="8"/>
  <c r="H70" i="8" l="1"/>
  <c r="I69" i="8"/>
  <c r="H71" i="8" l="1"/>
  <c r="I70" i="8"/>
  <c r="I71" i="8" l="1"/>
  <c r="H72" i="8"/>
  <c r="I72" i="8" l="1"/>
  <c r="H73" i="8"/>
  <c r="H74" i="8" l="1"/>
  <c r="I73" i="8"/>
  <c r="H75" i="8" l="1"/>
  <c r="I74" i="8"/>
  <c r="H76" i="8" l="1"/>
  <c r="I75" i="8"/>
  <c r="D61" i="13"/>
  <c r="H81" i="8"/>
  <c r="H82" i="8" l="1"/>
  <c r="I81" i="8"/>
  <c r="J81" i="8" s="1"/>
  <c r="J60" i="13"/>
  <c r="E61" i="13"/>
  <c r="I76" i="8"/>
  <c r="R61" i="13"/>
  <c r="A43" i="30" l="1"/>
  <c r="J233" i="8"/>
  <c r="I82" i="8"/>
  <c r="H83" i="8"/>
  <c r="I83" i="8" l="1"/>
  <c r="H84" i="8"/>
  <c r="A272" i="30"/>
  <c r="A267" i="30"/>
  <c r="A268" i="30"/>
  <c r="A270" i="30"/>
  <c r="A269" i="30"/>
  <c r="A271" i="30"/>
  <c r="H85" i="8" l="1"/>
  <c r="I84" i="8"/>
  <c r="H86" i="8" l="1"/>
  <c r="I85" i="8"/>
  <c r="I86" i="8" l="1"/>
  <c r="H87" i="8"/>
  <c r="D62" i="13"/>
  <c r="H92" i="8"/>
  <c r="I92" i="8" l="1"/>
  <c r="J92" i="8" s="1"/>
  <c r="H93" i="8"/>
  <c r="E62" i="13"/>
  <c r="J61" i="13"/>
  <c r="I87" i="8"/>
  <c r="R62" i="13"/>
  <c r="A44" i="30" l="1"/>
  <c r="H94" i="8"/>
  <c r="I93" i="8"/>
  <c r="J234" i="8"/>
  <c r="H95" i="8" l="1"/>
  <c r="I94" i="8"/>
  <c r="A277" i="30"/>
  <c r="A276" i="30"/>
  <c r="A281" i="30"/>
  <c r="A280" i="30"/>
  <c r="A278" i="30"/>
  <c r="A274" i="30"/>
  <c r="A279" i="30"/>
  <c r="A275" i="30"/>
  <c r="A273" i="30"/>
  <c r="I95" i="8" l="1"/>
  <c r="H96" i="8"/>
  <c r="H97" i="8" l="1"/>
  <c r="I96" i="8"/>
  <c r="H98" i="8" l="1"/>
  <c r="I97" i="8"/>
  <c r="H99" i="8" l="1"/>
  <c r="I98" i="8"/>
  <c r="H100" i="8" l="1"/>
  <c r="I99" i="8"/>
  <c r="H101" i="8" l="1"/>
  <c r="I100" i="8"/>
  <c r="D63" i="13"/>
  <c r="H106" i="8"/>
  <c r="I106" i="8" l="1"/>
  <c r="J106" i="8" s="1"/>
  <c r="H107" i="8"/>
  <c r="E63" i="13"/>
  <c r="J62" i="13"/>
  <c r="I101" i="8"/>
  <c r="R63" i="13"/>
  <c r="A45" i="30" l="1"/>
  <c r="J235" i="8"/>
  <c r="H108" i="8"/>
  <c r="I107" i="8"/>
  <c r="I108" i="8" l="1"/>
  <c r="H109" i="8"/>
  <c r="A284" i="30"/>
  <c r="A283" i="30"/>
  <c r="A286" i="30"/>
  <c r="A285" i="30"/>
  <c r="A282" i="30"/>
  <c r="A287" i="30"/>
  <c r="H110" i="8" l="1"/>
  <c r="I109" i="8"/>
  <c r="I110" i="8" l="1"/>
  <c r="H111" i="8"/>
  <c r="H112" i="8" l="1"/>
  <c r="I111" i="8"/>
  <c r="D64" i="13"/>
  <c r="H117" i="8"/>
  <c r="I117" i="8" l="1"/>
  <c r="J117" i="8" s="1"/>
  <c r="H118" i="8"/>
  <c r="J63" i="13"/>
  <c r="E64" i="13"/>
  <c r="I112" i="8"/>
  <c r="R64" i="13"/>
  <c r="A46" i="30" l="1"/>
  <c r="I118" i="8"/>
  <c r="H119" i="8"/>
  <c r="J236" i="8"/>
  <c r="H120" i="8" l="1"/>
  <c r="I119" i="8"/>
  <c r="A290" i="30"/>
  <c r="A296" i="30"/>
  <c r="A293" i="30"/>
  <c r="A295" i="30"/>
  <c r="A297" i="30"/>
  <c r="A298" i="30"/>
  <c r="A288" i="30"/>
  <c r="A292" i="30"/>
  <c r="A289" i="30"/>
  <c r="A294" i="30"/>
  <c r="A291" i="30"/>
  <c r="I120" i="8" l="1"/>
  <c r="H121" i="8"/>
  <c r="I121" i="8" l="1"/>
  <c r="H122" i="8"/>
  <c r="I122" i="8" l="1"/>
  <c r="H123" i="8"/>
  <c r="I123" i="8" l="1"/>
  <c r="H124" i="8"/>
  <c r="H125" i="8" l="1"/>
  <c r="I124" i="8"/>
  <c r="H126" i="8" l="1"/>
  <c r="I125" i="8"/>
  <c r="I126" i="8" l="1"/>
  <c r="H127" i="8"/>
  <c r="I127" i="8" l="1"/>
  <c r="H128" i="8"/>
  <c r="D65" i="13"/>
  <c r="H133" i="8"/>
  <c r="H134" i="8" l="1"/>
  <c r="I133" i="8"/>
  <c r="J133" i="8" s="1"/>
  <c r="J64" i="13"/>
  <c r="E65" i="13"/>
  <c r="I128" i="8"/>
  <c r="R65" i="13"/>
  <c r="A47" i="30" l="1"/>
  <c r="J237" i="8"/>
  <c r="I134" i="8"/>
  <c r="H135" i="8"/>
  <c r="I135" i="8" l="1"/>
  <c r="H136" i="8"/>
  <c r="A317" i="30"/>
  <c r="A300" i="30"/>
  <c r="A318" i="30"/>
  <c r="A329" i="30"/>
  <c r="A322" i="30"/>
  <c r="A328" i="30"/>
  <c r="A307" i="30"/>
  <c r="A314" i="30"/>
  <c r="A305" i="30"/>
  <c r="A325" i="30"/>
  <c r="A316" i="30"/>
  <c r="A312" i="30"/>
  <c r="A303" i="30"/>
  <c r="A315" i="30"/>
  <c r="A320" i="30"/>
  <c r="A311" i="30"/>
  <c r="A326" i="30"/>
  <c r="A321" i="30"/>
  <c r="A324" i="30"/>
  <c r="A319" i="30"/>
  <c r="A308" i="30"/>
  <c r="A327" i="30"/>
  <c r="A304" i="30"/>
  <c r="A302" i="30"/>
  <c r="A309" i="30"/>
  <c r="A306" i="30"/>
  <c r="A310" i="30"/>
  <c r="A313" i="30"/>
  <c r="A301" i="30"/>
  <c r="A299" i="30"/>
  <c r="A323" i="30"/>
  <c r="H137" i="8" l="1"/>
  <c r="I136" i="8"/>
  <c r="I137" i="8" l="1"/>
  <c r="H138" i="8"/>
  <c r="I138" i="8" l="1"/>
  <c r="H139" i="8"/>
  <c r="H140" i="8" l="1"/>
  <c r="I139" i="8"/>
  <c r="H141" i="8" l="1"/>
  <c r="I140" i="8"/>
  <c r="H142" i="8" l="1"/>
  <c r="I141" i="8"/>
  <c r="I142" i="8" l="1"/>
  <c r="H143" i="8"/>
  <c r="I143" i="8" l="1"/>
  <c r="H144" i="8"/>
  <c r="H145" i="8" l="1"/>
  <c r="I144" i="8"/>
  <c r="H146" i="8" l="1"/>
  <c r="I145" i="8"/>
  <c r="H147" i="8" l="1"/>
  <c r="I146" i="8"/>
  <c r="I147" i="8" l="1"/>
  <c r="H148" i="8"/>
  <c r="I148" i="8" l="1"/>
  <c r="H149" i="8"/>
  <c r="I149" i="8" l="1"/>
  <c r="H150" i="8"/>
  <c r="H151" i="8" l="1"/>
  <c r="I150" i="8"/>
  <c r="I151" i="8" l="1"/>
  <c r="H152" i="8"/>
  <c r="H153" i="8" l="1"/>
  <c r="I152" i="8"/>
  <c r="I153" i="8" l="1"/>
  <c r="H154" i="8"/>
  <c r="H155" i="8" l="1"/>
  <c r="I154" i="8"/>
  <c r="I155" i="8" l="1"/>
  <c r="H156" i="8"/>
  <c r="H157" i="8" l="1"/>
  <c r="I156" i="8"/>
  <c r="I157" i="8" l="1"/>
  <c r="H158" i="8"/>
  <c r="H159" i="8" l="1"/>
  <c r="I158" i="8"/>
  <c r="I159" i="8" l="1"/>
  <c r="H160" i="8"/>
  <c r="H161" i="8" l="1"/>
  <c r="I160" i="8"/>
  <c r="H162" i="8" l="1"/>
  <c r="I161" i="8"/>
  <c r="H163" i="8" l="1"/>
  <c r="I162" i="8"/>
  <c r="I163" i="8" l="1"/>
  <c r="H164" i="8"/>
  <c r="D66" i="13"/>
  <c r="H169" i="8"/>
  <c r="I169" i="8" l="1"/>
  <c r="J169" i="8" s="1"/>
  <c r="H170" i="8"/>
  <c r="J65" i="13"/>
  <c r="E66" i="13"/>
  <c r="I164" i="8"/>
  <c r="R66" i="13"/>
  <c r="A48" i="30" l="1"/>
  <c r="I170" i="8"/>
  <c r="H171" i="8"/>
  <c r="J238" i="8"/>
  <c r="A333" i="30" l="1"/>
  <c r="A332" i="30"/>
  <c r="A343" i="30"/>
  <c r="A340" i="30"/>
  <c r="A346" i="30"/>
  <c r="A335" i="30"/>
  <c r="A330" i="30"/>
  <c r="A345" i="30"/>
  <c r="A342" i="30"/>
  <c r="A331" i="30"/>
  <c r="A338" i="30"/>
  <c r="A349" i="30"/>
  <c r="A348" i="30"/>
  <c r="A344" i="30"/>
  <c r="A334" i="30"/>
  <c r="A336" i="30"/>
  <c r="A341" i="30"/>
  <c r="A339" i="30"/>
  <c r="A337" i="30"/>
  <c r="A347" i="30"/>
  <c r="I171" i="8"/>
  <c r="H172" i="8"/>
  <c r="H173" i="8" l="1"/>
  <c r="I172" i="8"/>
  <c r="H174" i="8" l="1"/>
  <c r="I173" i="8"/>
  <c r="I174" i="8" l="1"/>
  <c r="H175" i="8"/>
  <c r="I175" i="8" l="1"/>
  <c r="H176" i="8"/>
  <c r="I176" i="8" l="1"/>
  <c r="H177" i="8"/>
  <c r="I177" i="8" l="1"/>
  <c r="H178" i="8"/>
  <c r="H179" i="8" l="1"/>
  <c r="I178" i="8"/>
  <c r="I179" i="8" l="1"/>
  <c r="H180" i="8"/>
  <c r="I180" i="8" l="1"/>
  <c r="H181" i="8"/>
  <c r="I181" i="8" l="1"/>
  <c r="H182" i="8"/>
  <c r="I182" i="8" l="1"/>
  <c r="H183" i="8"/>
  <c r="I183" i="8" l="1"/>
  <c r="H184" i="8"/>
  <c r="I184" i="8" l="1"/>
  <c r="H185" i="8"/>
  <c r="H186" i="8" l="1"/>
  <c r="I185" i="8"/>
  <c r="H187" i="8" l="1"/>
  <c r="I186" i="8"/>
  <c r="I187" i="8" l="1"/>
  <c r="H188" i="8"/>
  <c r="H189" i="8" l="1"/>
  <c r="I188" i="8"/>
  <c r="D67" i="13"/>
  <c r="H194" i="8"/>
  <c r="H195" i="8" l="1"/>
  <c r="I194" i="8"/>
  <c r="J194" i="8" s="1"/>
  <c r="J66" i="13"/>
  <c r="E67" i="13"/>
  <c r="I189" i="8"/>
  <c r="R67" i="13"/>
  <c r="A49" i="30" l="1"/>
  <c r="H196" i="8"/>
  <c r="I195" i="8"/>
  <c r="H197" i="8" l="1"/>
  <c r="I196" i="8"/>
  <c r="A356" i="30"/>
  <c r="A352" i="30"/>
  <c r="A350" i="30"/>
  <c r="A353" i="30"/>
  <c r="A358" i="30"/>
  <c r="A357" i="30"/>
  <c r="A354" i="30"/>
  <c r="A355" i="30"/>
  <c r="A351" i="30"/>
  <c r="I197" i="8" l="1"/>
  <c r="H198" i="8"/>
  <c r="H199" i="8" l="1"/>
  <c r="I198" i="8"/>
  <c r="I199" i="8" l="1"/>
  <c r="H200" i="8"/>
  <c r="H201" i="8" l="1"/>
  <c r="I200" i="8"/>
  <c r="I201" i="8" l="1"/>
  <c r="H202" i="8"/>
  <c r="I202" i="8" l="1"/>
  <c r="H203" i="8"/>
  <c r="D68" i="13"/>
  <c r="H208" i="8"/>
  <c r="H209" i="8" l="1"/>
  <c r="I208" i="8"/>
  <c r="J208" i="8" s="1"/>
  <c r="J67" i="13"/>
  <c r="E68" i="13"/>
  <c r="I203" i="8"/>
  <c r="R68" i="13"/>
  <c r="A50" i="30" l="1"/>
  <c r="J239" i="8"/>
  <c r="H210" i="8"/>
  <c r="I209" i="8"/>
  <c r="A363" i="30" l="1"/>
  <c r="A369" i="30"/>
  <c r="A376" i="30"/>
  <c r="A365" i="30"/>
  <c r="A370" i="30"/>
  <c r="A373" i="30"/>
  <c r="A367" i="30"/>
  <c r="A366" i="30"/>
  <c r="A360" i="30"/>
  <c r="A362" i="30"/>
  <c r="A361" i="30"/>
  <c r="A375" i="30"/>
  <c r="A359" i="30"/>
  <c r="A368" i="30"/>
  <c r="A364" i="30"/>
  <c r="A371" i="30"/>
  <c r="A374" i="30"/>
  <c r="A372" i="30"/>
  <c r="H211" i="8"/>
  <c r="I210" i="8"/>
  <c r="H212" i="8" l="1"/>
  <c r="I211" i="8"/>
  <c r="H213" i="8" l="1"/>
  <c r="I212" i="8"/>
  <c r="I213" i="8" l="1"/>
  <c r="H214" i="8"/>
  <c r="I214" i="8" l="1"/>
  <c r="H215" i="8"/>
  <c r="I215" i="8" l="1"/>
  <c r="H216" i="8"/>
  <c r="I216" i="8" l="1"/>
  <c r="H217" i="8"/>
  <c r="I217" i="8" l="1"/>
  <c r="H218" i="8"/>
  <c r="I218" i="8" l="1"/>
  <c r="H219" i="8"/>
  <c r="H220" i="8" l="1"/>
  <c r="I219" i="8"/>
  <c r="H221" i="8" l="1"/>
  <c r="I220" i="8"/>
  <c r="I221" i="8" l="1"/>
  <c r="H222" i="8"/>
  <c r="H223" i="8" l="1"/>
  <c r="I222" i="8"/>
  <c r="H224" i="8" l="1"/>
  <c r="I223" i="8"/>
  <c r="H225" i="8" l="1"/>
  <c r="I224" i="8"/>
  <c r="I225" i="8" l="1"/>
  <c r="H226" i="8"/>
  <c r="D69" i="13"/>
  <c r="H5" i="29"/>
  <c r="H6" i="29" l="1"/>
  <c r="I5" i="29"/>
  <c r="J5" i="29" s="1"/>
  <c r="E69" i="13"/>
  <c r="J68" i="13"/>
  <c r="I226" i="8"/>
  <c r="R69" i="13"/>
  <c r="D70" i="13"/>
  <c r="H11" i="29"/>
  <c r="H12" i="29" l="1"/>
  <c r="I11" i="29"/>
  <c r="J11" i="29" s="1"/>
  <c r="E70" i="13"/>
  <c r="J69" i="13"/>
  <c r="A92" i="30"/>
  <c r="I6" i="29"/>
  <c r="J33" i="29"/>
  <c r="K33" i="29" s="1"/>
  <c r="D71" i="13"/>
  <c r="R70" i="13"/>
  <c r="H17" i="29"/>
  <c r="H18" i="29" l="1"/>
  <c r="I17" i="29"/>
  <c r="J17" i="29" s="1"/>
  <c r="A93" i="30"/>
  <c r="J70" i="13"/>
  <c r="E71" i="13"/>
  <c r="J34" i="29"/>
  <c r="K34" i="29" s="1"/>
  <c r="A1142" i="30"/>
  <c r="I12" i="29"/>
  <c r="D72" i="13"/>
  <c r="R71" i="13"/>
  <c r="A94" i="30" l="1"/>
  <c r="J71" i="13"/>
  <c r="J74" i="13" s="1"/>
  <c r="E72" i="13"/>
  <c r="A1143" i="30"/>
  <c r="J35" i="29"/>
  <c r="K35" i="29" s="1"/>
  <c r="I18" i="29"/>
  <c r="A1144" i="3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B9" authorId="0" shapeId="0" xr:uid="{00000000-0006-0000-0000-000001000000}">
      <text>
        <r>
          <rPr>
            <b/>
            <sz val="9"/>
            <color indexed="81"/>
            <rFont val="Tahoma"/>
            <family val="2"/>
          </rPr>
          <t>Gingerich, Scot:</t>
        </r>
        <r>
          <rPr>
            <sz val="9"/>
            <color indexed="81"/>
            <rFont val="Tahoma"/>
            <family val="2"/>
          </rPr>
          <t xml:space="preserve">
Name is a lookup from the ID</t>
        </r>
      </text>
    </comment>
    <comment ref="B24" authorId="0" shapeId="0" xr:uid="{00000000-0006-0000-0000-000002000000}">
      <text>
        <r>
          <rPr>
            <b/>
            <sz val="9"/>
            <color indexed="81"/>
            <rFont val="Tahoma"/>
            <family val="2"/>
          </rPr>
          <t>Gingerich, Scot:</t>
        </r>
        <r>
          <rPr>
            <sz val="9"/>
            <color indexed="81"/>
            <rFont val="Tahoma"/>
            <family val="2"/>
          </rPr>
          <t xml:space="preserve">
Name is a lookup from the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Gingerich, Scot</author>
    <author>Virkus, Mark</author>
  </authors>
  <commentList>
    <comment ref="M3" authorId="0" shapeId="0" xr:uid="{00000000-0006-0000-0300-000001000000}">
      <text>
        <r>
          <rPr>
            <b/>
            <sz val="9"/>
            <color indexed="81"/>
            <rFont val="Tahoma"/>
            <family val="2"/>
          </rPr>
          <t>Gingerich, Scot:</t>
        </r>
        <r>
          <rPr>
            <sz val="9"/>
            <color indexed="81"/>
            <rFont val="Tahoma"/>
            <family val="2"/>
          </rPr>
          <t xml:space="preserve">
Copy address, then paste by value in this column.</t>
        </r>
      </text>
    </comment>
    <comment ref="K10" authorId="0" shapeId="0" xr:uid="{00000000-0006-0000-0300-000002000000}">
      <text>
        <r>
          <rPr>
            <b/>
            <sz val="9"/>
            <color indexed="81"/>
            <rFont val="Tahoma"/>
            <family val="2"/>
          </rPr>
          <t>Gingerich, Scot:</t>
        </r>
        <r>
          <rPr>
            <sz val="9"/>
            <color indexed="81"/>
            <rFont val="Tahoma"/>
            <family val="2"/>
          </rPr>
          <t xml:space="preserve">
Text sections need to be aligned on 16 byte boundaries(?).
Occasionally get alignment warnings if set to less than 16.</t>
        </r>
      </text>
    </comment>
    <comment ref="I15" authorId="0" shapeId="0" xr:uid="{00000000-0006-0000-0300-000003000000}">
      <text>
        <r>
          <rPr>
            <b/>
            <sz val="9"/>
            <color indexed="81"/>
            <rFont val="Tahoma"/>
            <family val="2"/>
          </rPr>
          <t>Gingerich, Scot:</t>
        </r>
        <r>
          <rPr>
            <sz val="9"/>
            <color indexed="81"/>
            <rFont val="Tahoma"/>
            <family val="2"/>
          </rPr>
          <t xml:space="preserve">
Actual size is zero, but need to force size so section gets allocated.  Otherwise the linker creates one and assigns its own sector and name.</t>
        </r>
      </text>
    </comment>
    <comment ref="I30" authorId="1" shapeId="0" xr:uid="{00000000-0006-0000-0300-000004000000}">
      <text>
        <r>
          <rPr>
            <b/>
            <sz val="9"/>
            <color indexed="81"/>
            <rFont val="Tahoma"/>
            <family val="2"/>
          </rPr>
          <t>Virkus, Mark:</t>
        </r>
        <r>
          <rPr>
            <sz val="9"/>
            <color indexed="81"/>
            <rFont val="Tahoma"/>
            <family val="2"/>
          </rPr>
          <t xml:space="preserve">
Pad with 1280 when importing an unsteered map
</t>
        </r>
      </text>
    </comment>
    <comment ref="M79" authorId="0" shapeId="0" xr:uid="{00000000-0006-0000-0300-000005000000}">
      <text>
        <r>
          <rPr>
            <b/>
            <sz val="9"/>
            <color indexed="81"/>
            <rFont val="Tahoma"/>
            <family val="2"/>
          </rPr>
          <t>Gingerich, Scot:</t>
        </r>
        <r>
          <rPr>
            <sz val="9"/>
            <color indexed="81"/>
            <rFont val="Tahoma"/>
            <family val="2"/>
          </rPr>
          <t xml:space="preserve">
Copy address, then paste by value in this column.</t>
        </r>
      </text>
    </comment>
    <comment ref="A125" authorId="0" shapeId="0" xr:uid="{00000000-0006-0000-0300-000006000000}">
      <text>
        <r>
          <rPr>
            <b/>
            <sz val="9"/>
            <color indexed="81"/>
            <rFont val="Tahoma"/>
            <family val="2"/>
          </rPr>
          <t>Gingerich, Scot:</t>
        </r>
        <r>
          <rPr>
            <sz val="9"/>
            <color indexed="81"/>
            <rFont val="Tahoma"/>
            <family val="2"/>
          </rPr>
          <t xml:space="preserve">
This MUST be placed after the last used RAM address.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Gingerich, Scot</author>
  </authors>
  <commentList>
    <comment ref="AB113" authorId="0" shapeId="0" xr:uid="{00000000-0006-0000-0600-000001000000}">
      <text>
        <r>
          <rPr>
            <b/>
            <sz val="9"/>
            <color indexed="81"/>
            <rFont val="Tahoma"/>
            <family val="2"/>
          </rPr>
          <t>Gingerich, Scot:</t>
        </r>
        <r>
          <rPr>
            <sz val="9"/>
            <color indexed="81"/>
            <rFont val="Tahoma"/>
            <family val="2"/>
          </rPr>
          <t xml:space="preserve">
Put this here since macros place this in the first valid location it finds AND there are no other string DINIT's</t>
        </r>
      </text>
    </comment>
    <comment ref="N2901" authorId="0" shapeId="0" xr:uid="{00000000-0006-0000-0600-000002000000}">
      <text>
        <r>
          <rPr>
            <b/>
            <sz val="9"/>
            <color indexed="81"/>
            <rFont val="Tahoma"/>
            <family val="2"/>
          </rPr>
          <t>Gingerich, Scot:</t>
        </r>
        <r>
          <rPr>
            <sz val="9"/>
            <color indexed="81"/>
            <rFont val="Tahoma"/>
            <family val="2"/>
          </rPr>
          <t xml:space="preserve">
Actual size is zero for each object.  Need to have some size here so section gets allocated instead of orphaned.</t>
        </r>
      </text>
    </comment>
  </commentList>
</comments>
</file>

<file path=xl/sharedStrings.xml><?xml version="1.0" encoding="utf-8"?>
<sst xmlns="http://schemas.openxmlformats.org/spreadsheetml/2006/main" count="44500" uniqueCount="4700">
  <si>
    <t>.text</t>
  </si>
  <si>
    <t>0x2e</t>
  </si>
  <si>
    <t>support.o</t>
  </si>
  <si>
    <t>[6]</t>
  </si>
  <si>
    <t>0x64</t>
  </si>
  <si>
    <t>boot.o</t>
  </si>
  <si>
    <t>0x1c</t>
  </si>
  <si>
    <t>comp.o</t>
  </si>
  <si>
    <t>init_hw.o</t>
  </si>
  <si>
    <t>[3]</t>
  </si>
  <si>
    <t>0x1a</t>
  </si>
  <si>
    <t>xsnprout.o</t>
  </si>
  <si>
    <t>[4]</t>
  </si>
  <si>
    <t>0xc</t>
  </si>
  <si>
    <t>cstartup_M.o</t>
  </si>
  <si>
    <t>[7]</t>
  </si>
  <si>
    <t>0x5f8</t>
  </si>
  <si>
    <t>bsp_cm.o</t>
  </si>
  <si>
    <t>init_gpio.o</t>
  </si>
  <si>
    <t>0x314</t>
  </si>
  <si>
    <t>int.o</t>
  </si>
  <si>
    <t>0x6</t>
  </si>
  <si>
    <t>ABImemclr.o</t>
  </si>
  <si>
    <t>0xa</t>
  </si>
  <si>
    <t>xsprout.o</t>
  </si>
  <si>
    <t>task.o</t>
  </si>
  <si>
    <t>0x1e</t>
  </si>
  <si>
    <t>xsscin.o</t>
  </si>
  <si>
    <t>klog.o</t>
  </si>
  <si>
    <t>0x112</t>
  </si>
  <si>
    <t>queue.o</t>
  </si>
  <si>
    <t>0x22</t>
  </si>
  <si>
    <t>zero_init3.o</t>
  </si>
  <si>
    <t>fpinit_M.o</t>
  </si>
  <si>
    <t>[5]</t>
  </si>
  <si>
    <t>cmain.o</t>
  </si>
  <si>
    <t>pwr_last_gasp.o</t>
  </si>
  <si>
    <t>[1]</t>
  </si>
  <si>
    <t>0x10e</t>
  </si>
  <si>
    <t>hwtimer.o</t>
  </si>
  <si>
    <t>0x66</t>
  </si>
  <si>
    <t>ABImemset.o</t>
  </si>
  <si>
    <t>0x4a0</t>
  </si>
  <si>
    <t>lwsem.o</t>
  </si>
  <si>
    <t>0x2c</t>
  </si>
  <si>
    <t>k_assert.o</t>
  </si>
  <si>
    <t>0x2</t>
  </si>
  <si>
    <t>stack_de.o</t>
  </si>
  <si>
    <t>0x2a</t>
  </si>
  <si>
    <t>strncmp.o</t>
  </si>
  <si>
    <t>0x1dc</t>
  </si>
  <si>
    <t>sched.o</t>
  </si>
  <si>
    <t>0xa4</t>
  </si>
  <si>
    <t>stack_bu.o</t>
  </si>
  <si>
    <t>0x5a</t>
  </si>
  <si>
    <t>io_spr.o</t>
  </si>
  <si>
    <t>strcat.o</t>
  </si>
  <si>
    <t>0x36</t>
  </si>
  <si>
    <t>strlen.o</t>
  </si>
  <si>
    <t>0x4e</t>
  </si>
  <si>
    <t>FltToDbl.o</t>
  </si>
  <si>
    <t>0x1a2</t>
  </si>
  <si>
    <t>DblMul.o</t>
  </si>
  <si>
    <t>0x58</t>
  </si>
  <si>
    <t>DblToI32.o</t>
  </si>
  <si>
    <t>0x28</t>
  </si>
  <si>
    <t>io_pntf.o</t>
  </si>
  <si>
    <t>0x30</t>
  </si>
  <si>
    <t>I32ToDbl.o</t>
  </si>
  <si>
    <t>0x256</t>
  </si>
  <si>
    <t>DblDiv.o</t>
  </si>
  <si>
    <t>0x90</t>
  </si>
  <si>
    <t>DblToFlt.o</t>
  </si>
  <si>
    <t>0x110</t>
  </si>
  <si>
    <t>lwlog.o</t>
  </si>
  <si>
    <t>data_init.o</t>
  </si>
  <si>
    <t>0x24</t>
  </si>
  <si>
    <t>mqx_main.o</t>
  </si>
  <si>
    <t>0x4</t>
  </si>
  <si>
    <t>exit.o</t>
  </si>
  <si>
    <t>Semaphore.o</t>
  </si>
  <si>
    <t>rand.o</t>
  </si>
  <si>
    <t>DBG_SerialDebug.o</t>
  </si>
  <si>
    <t>Task.o</t>
  </si>
  <si>
    <t>0x8a</t>
  </si>
  <si>
    <t>TickTime.o</t>
  </si>
  <si>
    <t>mode_config.o</t>
  </si>
  <si>
    <t>HEEP_util.o</t>
  </si>
  <si>
    <t>time.o</t>
  </si>
  <si>
    <t>0x4c</t>
  </si>
  <si>
    <t>dvr_sharedMem.o</t>
  </si>
  <si>
    <t>MAC.o</t>
  </si>
  <si>
    <t>buffer.o</t>
  </si>
  <si>
    <t>time_util.o</t>
  </si>
  <si>
    <t>0x132</t>
  </si>
  <si>
    <t>I64DivMod.o</t>
  </si>
  <si>
    <t>byteswap.o</t>
  </si>
  <si>
    <t>pack.o</t>
  </si>
  <si>
    <t>pwr_config.o</t>
  </si>
  <si>
    <t>ADC.o</t>
  </si>
  <si>
    <t>ABImemclr4.o</t>
  </si>
  <si>
    <t>0x950</t>
  </si>
  <si>
    <t>io_dopr.o</t>
  </si>
  <si>
    <t>0x40</t>
  </si>
  <si>
    <t>io_ghand.o</t>
  </si>
  <si>
    <t>psp_tiad.o</t>
  </si>
  <si>
    <t>mqx.o</t>
  </si>
  <si>
    <t>cexit.o</t>
  </si>
  <si>
    <t>0xe8</t>
  </si>
  <si>
    <t>DblAdd.o</t>
  </si>
  <si>
    <t>DblCmpLe.o</t>
  </si>
  <si>
    <t>0x180</t>
  </si>
  <si>
    <t>DblSub.o</t>
  </si>
  <si>
    <t>DblCmpGe.o</t>
  </si>
  <si>
    <t>0x19c</t>
  </si>
  <si>
    <t>MessageQ.o</t>
  </si>
  <si>
    <t>0xdc</t>
  </si>
  <si>
    <t>Mutex.o</t>
  </si>
  <si>
    <t>file_io.o</t>
  </si>
  <si>
    <t>0x20</t>
  </si>
  <si>
    <t>io_fputs.o</t>
  </si>
  <si>
    <t>io_vpr.o</t>
  </si>
  <si>
    <t>0x76</t>
  </si>
  <si>
    <t>ABImemcpy_unaligned.o</t>
  </si>
  <si>
    <t>0x44</t>
  </si>
  <si>
    <t>strcpy_unaligned.o</t>
  </si>
  <si>
    <t>0x8</t>
  </si>
  <si>
    <t>abs.o</t>
  </si>
  <si>
    <t>0x8c0</t>
  </si>
  <si>
    <t>pow.o</t>
  </si>
  <si>
    <t>timer_util.o</t>
  </si>
  <si>
    <t>DBG_CommandLine.o</t>
  </si>
  <si>
    <t>serl_pol_kuart.o</t>
  </si>
  <si>
    <t>stack_check.o</t>
  </si>
  <si>
    <t>LED.o</t>
  </si>
  <si>
    <t>ALRM_Handler.o</t>
  </si>
  <si>
    <t>EVL_event_log.o</t>
  </si>
  <si>
    <t>dtls.o</t>
  </si>
  <si>
    <t>STACK.o</t>
  </si>
  <si>
    <t>0x60</t>
  </si>
  <si>
    <t>psp_msti.o</t>
  </si>
  <si>
    <t>0x68</t>
  </si>
  <si>
    <t>psp_mstiq.o</t>
  </si>
  <si>
    <t>0x54</t>
  </si>
  <si>
    <t>0x3e</t>
  </si>
  <si>
    <t>psp_tisu.o</t>
  </si>
  <si>
    <t>psp_tims.o</t>
  </si>
  <si>
    <t>0x48</t>
  </si>
  <si>
    <t>psp_tise.o</t>
  </si>
  <si>
    <t>psp_tius.o</t>
  </si>
  <si>
    <t>0x78</t>
  </si>
  <si>
    <t>psp_tkti.o</t>
  </si>
  <si>
    <t>psp_tinm.o</t>
  </si>
  <si>
    <t>0x26</t>
  </si>
  <si>
    <t>psp_tiol.o</t>
  </si>
  <si>
    <t>0x62</t>
  </si>
  <si>
    <t>memcmp_unaligned.o</t>
  </si>
  <si>
    <t>MAC_FrameManagement.o</t>
  </si>
  <si>
    <t>MAC_PacketManagement.o</t>
  </si>
  <si>
    <t>PHY.o</t>
  </si>
  <si>
    <t>MAC_FrameEncoder.o</t>
  </si>
  <si>
    <t>CRC.o</t>
  </si>
  <si>
    <t>time_sys.o</t>
  </si>
  <si>
    <t>RTC.o</t>
  </si>
  <si>
    <t>I64DivZer.o</t>
  </si>
  <si>
    <t>0x14</t>
  </si>
  <si>
    <t>adc_mk24.o</t>
  </si>
  <si>
    <t>0x3a8</t>
  </si>
  <si>
    <t>lwadc_kadc.o</t>
  </si>
  <si>
    <t>0x3a</t>
  </si>
  <si>
    <t>ABImemset48.o</t>
  </si>
  <si>
    <t>0xac</t>
  </si>
  <si>
    <t>sc_irdyq.o</t>
  </si>
  <si>
    <t>init_bsp.o</t>
  </si>
  <si>
    <t>[8]</t>
  </si>
  <si>
    <t>Queue.o</t>
  </si>
  <si>
    <t>mutex.o</t>
  </si>
  <si>
    <t>partitions.o</t>
  </si>
  <si>
    <t>crc32.o</t>
  </si>
  <si>
    <t>io_write.o</t>
  </si>
  <si>
    <t>0x42</t>
  </si>
  <si>
    <t>xdnorm.o</t>
  </si>
  <si>
    <t>0x7e</t>
  </si>
  <si>
    <t>xdint.o</t>
  </si>
  <si>
    <t>DblCmpEq.o</t>
  </si>
  <si>
    <t>errno.o</t>
  </si>
  <si>
    <t>xlog.o</t>
  </si>
  <si>
    <t>0x2c6</t>
  </si>
  <si>
    <t>xexp.o</t>
  </si>
  <si>
    <t>io_fgets.o</t>
  </si>
  <si>
    <t>0x38</t>
  </si>
  <si>
    <t>io_fflsh.o</t>
  </si>
  <si>
    <t>strcasecmp.o</t>
  </si>
  <si>
    <t>dfw_interface.o</t>
  </si>
  <si>
    <t>0x21c</t>
  </si>
  <si>
    <t>dfwtd_config.o</t>
  </si>
  <si>
    <t>atoi.o</t>
  </si>
  <si>
    <t>strtoul.o</t>
  </si>
  <si>
    <t>STRT_Startup.o</t>
  </si>
  <si>
    <t>dvr_extflash.o</t>
  </si>
  <si>
    <t>0x6c</t>
  </si>
  <si>
    <t>strncpy_unaligned.o</t>
  </si>
  <si>
    <t>0x10</t>
  </si>
  <si>
    <t>io_sscan.o</t>
  </si>
  <si>
    <t>ecc108_apps.o</t>
  </si>
  <si>
    <t>ecc108_mqx.o</t>
  </si>
  <si>
    <t>time_DST.o</t>
  </si>
  <si>
    <t>strcmp_unaligned.o</t>
  </si>
  <si>
    <t>atol.o</t>
  </si>
  <si>
    <t>0x364</t>
  </si>
  <si>
    <t>OR_MR_Handler.o</t>
  </si>
  <si>
    <t>0x5c</t>
  </si>
  <si>
    <t>0x12</t>
  </si>
  <si>
    <t>log10.o</t>
  </si>
  <si>
    <t>intf_cim_cmd.o</t>
  </si>
  <si>
    <t>ID_intervalTask.o</t>
  </si>
  <si>
    <t>hmc_mtr_info.o</t>
  </si>
  <si>
    <t>hmc_ds.o</t>
  </si>
  <si>
    <t>historyd.o</t>
  </si>
  <si>
    <t>hmc_eng.o</t>
  </si>
  <si>
    <t>pwr_task.o</t>
  </si>
  <si>
    <t>APP_MSG_Handler.o</t>
  </si>
  <si>
    <t>demand.o</t>
  </si>
  <si>
    <t>SELF_test.o</t>
  </si>
  <si>
    <t>si446x_api_lib.o</t>
  </si>
  <si>
    <t>0x184</t>
  </si>
  <si>
    <t>smtd_config.o</t>
  </si>
  <si>
    <t>ed_config.o</t>
  </si>
  <si>
    <t>dfw_app.o</t>
  </si>
  <si>
    <t>version.o</t>
  </si>
  <si>
    <t>0xa8</t>
  </si>
  <si>
    <t>BSP_aclara.o</t>
  </si>
  <si>
    <t>COMM.o</t>
  </si>
  <si>
    <t>SM.o</t>
  </si>
  <si>
    <t>strtok.o</t>
  </si>
  <si>
    <t>radio.o</t>
  </si>
  <si>
    <t>serl_mk24.o</t>
  </si>
  <si>
    <t>0x34</t>
  </si>
  <si>
    <t>sprintf.o</t>
  </si>
  <si>
    <t>Event.o</t>
  </si>
  <si>
    <t>memory.o</t>
  </si>
  <si>
    <t>[9]</t>
  </si>
  <si>
    <t>ssl.o</t>
  </si>
  <si>
    <t>random.o</t>
  </si>
  <si>
    <t>MFG_Port.o</t>
  </si>
  <si>
    <t>asn.o</t>
  </si>
  <si>
    <t>strncat.o</t>
  </si>
  <si>
    <t>quicksession.o</t>
  </si>
  <si>
    <t>MFG_Dtls.o</t>
  </si>
  <si>
    <t>eng_res.o</t>
  </si>
  <si>
    <t>0x8c</t>
  </si>
  <si>
    <t>psp_mat1.o</t>
  </si>
  <si>
    <t>psp_mat3.o</t>
  </si>
  <si>
    <t>0x98</t>
  </si>
  <si>
    <t>psp_mat2.o</t>
  </si>
  <si>
    <t>psp_seti.o</t>
  </si>
  <si>
    <t>BUF_MemoryBuffers.o</t>
  </si>
  <si>
    <t>0x306</t>
  </si>
  <si>
    <t>powf.o</t>
  </si>
  <si>
    <t>rs.o</t>
  </si>
  <si>
    <t>ABImemmove_unaligned.o</t>
  </si>
  <si>
    <t>0xe4</t>
  </si>
  <si>
    <t>crc_kn.o</t>
  </si>
  <si>
    <t>ABIassert.o</t>
  </si>
  <si>
    <t>krtc.o</t>
  </si>
  <si>
    <t>psp_iinit.o</t>
  </si>
  <si>
    <t>int_vtab.o</t>
  </si>
  <si>
    <t>0x74</t>
  </si>
  <si>
    <t>dma.o</t>
  </si>
  <si>
    <t>io_init.o</t>
  </si>
  <si>
    <t>0x1cc</t>
  </si>
  <si>
    <t>serl_int_kuart.o</t>
  </si>
  <si>
    <t>0x448</t>
  </si>
  <si>
    <t>adc.o</t>
  </si>
  <si>
    <t>i2c_int_ki2c.o</t>
  </si>
  <si>
    <t>0x50</t>
  </si>
  <si>
    <t>io_sinit.o</t>
  </si>
  <si>
    <t>WDOG.o</t>
  </si>
  <si>
    <t>xtls.o</t>
  </si>
  <si>
    <t>xdtest.o</t>
  </si>
  <si>
    <t>0x118</t>
  </si>
  <si>
    <t>xdscale.o</t>
  </si>
  <si>
    <t>io_fgetl.o</t>
  </si>
  <si>
    <t>0xd2</t>
  </si>
  <si>
    <t>io_fseek.o</t>
  </si>
  <si>
    <t>tolower.o</t>
  </si>
  <si>
    <t>dfw_pckt.o</t>
  </si>
  <si>
    <t>sscanf.o</t>
  </si>
  <si>
    <t>snprintf.o</t>
  </si>
  <si>
    <t>xstoul.o</t>
  </si>
  <si>
    <t>0xf4</t>
  </si>
  <si>
    <t>virgin_device.o</t>
  </si>
  <si>
    <t>IDL_IdleProcess.o</t>
  </si>
  <si>
    <t>nvic.o</t>
  </si>
  <si>
    <t>spi_mstr.o</t>
  </si>
  <si>
    <t>sys_clock.o</t>
  </si>
  <si>
    <t>invert_bits.o</t>
  </si>
  <si>
    <t>io_scanl.o</t>
  </si>
  <si>
    <t>ecc108_i2c.o</t>
  </si>
  <si>
    <t>ecc108_comm.o</t>
  </si>
  <si>
    <t>ecc108_comm_marshaling.o</t>
  </si>
  <si>
    <t>sha256.o</t>
  </si>
  <si>
    <t>cert-builder.o</t>
  </si>
  <si>
    <t>io_fopen.o</t>
  </si>
  <si>
    <t>io_ioctl.o</t>
  </si>
  <si>
    <t>io_fclos.o</t>
  </si>
  <si>
    <t>0x56</t>
  </si>
  <si>
    <t>io_read.o</t>
  </si>
  <si>
    <t>object_list.o</t>
  </si>
  <si>
    <t>sys_busy.o</t>
  </si>
  <si>
    <t>I64Shl.o</t>
  </si>
  <si>
    <t>hmc_start.o</t>
  </si>
  <si>
    <t>pwr_restore.o</t>
  </si>
  <si>
    <t>RG_MD_Handler.o</t>
  </si>
  <si>
    <t>io_fprt.o</t>
  </si>
  <si>
    <t>radio_hal.o</t>
  </si>
  <si>
    <t>radio_comm.o</t>
  </si>
  <si>
    <t>aes.o</t>
  </si>
  <si>
    <t>ecc.o</t>
  </si>
  <si>
    <t>strspn.o</t>
  </si>
  <si>
    <t>strcspn.o</t>
  </si>
  <si>
    <t>lwgpio_kgpio.o</t>
  </si>
  <si>
    <t>ascii.o</t>
  </si>
  <si>
    <t>io_fputc.o</t>
  </si>
  <si>
    <t>log10f.o</t>
  </si>
  <si>
    <t>0xdae</t>
  </si>
  <si>
    <t>xprintffull.o</t>
  </si>
  <si>
    <t>0x414</t>
  </si>
  <si>
    <t>lwevent.o</t>
  </si>
  <si>
    <t>internal.o</t>
  </si>
  <si>
    <t>logging.o</t>
  </si>
  <si>
    <t>wc_port.o</t>
  </si>
  <si>
    <t>0x1f4</t>
  </si>
  <si>
    <t>coding.o</t>
  </si>
  <si>
    <t>0x800</t>
  </si>
  <si>
    <t>md5.o</t>
  </si>
  <si>
    <t>UART.o</t>
  </si>
  <si>
    <t>io_shand.o</t>
  </si>
  <si>
    <t>0x16</t>
  </si>
  <si>
    <t>strnlen.o</t>
  </si>
  <si>
    <t>strtoull.o</t>
  </si>
  <si>
    <t>hmc_app.o</t>
  </si>
  <si>
    <t>tfm.o</t>
  </si>
  <si>
    <t>sha.o</t>
  </si>
  <si>
    <t>serl_int.o</t>
  </si>
  <si>
    <t>xfdnorm.o</t>
  </si>
  <si>
    <t>xfdint.o</t>
  </si>
  <si>
    <t>xflog.o</t>
  </si>
  <si>
    <t>xfexp.o</t>
  </si>
  <si>
    <t>abort.o</t>
  </si>
  <si>
    <t>int_inst.o</t>
  </si>
  <si>
    <t>0x788</t>
  </si>
  <si>
    <t>adc_kadc.o</t>
  </si>
  <si>
    <t>0x73a</t>
  </si>
  <si>
    <t>adt_kpdb.o</t>
  </si>
  <si>
    <t>io_inst.o</t>
  </si>
  <si>
    <t>0x12a</t>
  </si>
  <si>
    <t>i2c_int.o</t>
  </si>
  <si>
    <t>0x434</t>
  </si>
  <si>
    <t>i2c_pol_ki2c.o</t>
  </si>
  <si>
    <t>i2c_mk24.o</t>
  </si>
  <si>
    <t>io_fgetc.o</t>
  </si>
  <si>
    <t>io_fung.o</t>
  </si>
  <si>
    <t>0xb60</t>
  </si>
  <si>
    <t>xscanffull.o</t>
  </si>
  <si>
    <t>memchr.o</t>
  </si>
  <si>
    <t>hmc_finish.o</t>
  </si>
  <si>
    <t>endpt_cim_cmd.o</t>
  </si>
  <si>
    <t>strchr.o</t>
  </si>
  <si>
    <t>0xe</t>
  </si>
  <si>
    <t>div.o</t>
  </si>
  <si>
    <t>tls.o</t>
  </si>
  <si>
    <t>keys.o</t>
  </si>
  <si>
    <t>hash.o</t>
  </si>
  <si>
    <t>strstr.o</t>
  </si>
  <si>
    <t>dh.o</t>
  </si>
  <si>
    <t>0x1b4</t>
  </si>
  <si>
    <t>xstoull.o</t>
  </si>
  <si>
    <t>hmc_prot.o</t>
  </si>
  <si>
    <t>strpbrk.o</t>
  </si>
  <si>
    <t>taskq.o</t>
  </si>
  <si>
    <t>0xc8</t>
  </si>
  <si>
    <t>xfdscale.o</t>
  </si>
  <si>
    <t>0xee</t>
  </si>
  <si>
    <t>io_instx.o</t>
  </si>
  <si>
    <t>0xa2</t>
  </si>
  <si>
    <t>xstoll.o</t>
  </si>
  <si>
    <t>0x168</t>
  </si>
  <si>
    <t>xstold.o</t>
  </si>
  <si>
    <t>hmac.o</t>
  </si>
  <si>
    <t>hmc_msg.o</t>
  </si>
  <si>
    <t>0x120</t>
  </si>
  <si>
    <t>xstopfx.o</t>
  </si>
  <si>
    <t>xstoflt.o</t>
  </si>
  <si>
    <t>idletask.o</t>
  </si>
  <si>
    <t>0x200</t>
  </si>
  <si>
    <t>xdtento.o</t>
  </si>
  <si>
    <t>xstoxflt.o</t>
  </si>
  <si>
    <t>0x84</t>
  </si>
  <si>
    <t>crc16_m.o</t>
  </si>
  <si>
    <t>xdunscal.o</t>
  </si>
  <si>
    <t>dvr_banked.o</t>
  </si>
  <si>
    <t>dvr_cache.o</t>
  </si>
  <si>
    <t>dvr_sectPreErase.o</t>
  </si>
  <si>
    <t>hmc_request.o</t>
  </si>
  <si>
    <t>hmc_snapshot.o</t>
  </si>
  <si>
    <t>IF_intFlash.o</t>
  </si>
  <si>
    <t>0x70</t>
  </si>
  <si>
    <t>RG_CF_Handler.o</t>
  </si>
  <si>
    <t>vbat_reg.o</t>
  </si>
  <si>
    <t>hwtimer_systick.o</t>
  </si>
  <si>
    <t>hwtimer_kinetis.o</t>
  </si>
  <si>
    <t>inittask.o</t>
  </si>
  <si>
    <t>0x88</t>
  </si>
  <si>
    <t>int_xcpt.o</t>
  </si>
  <si>
    <t>0x710</t>
  </si>
  <si>
    <t>edma.o</t>
  </si>
  <si>
    <t>0x80</t>
  </si>
  <si>
    <t>edma_kinetis.o</t>
  </si>
  <si>
    <t>KERNEL</t>
  </si>
  <si>
    <t>dispatch.o</t>
  </si>
  <si>
    <t>.rodata</t>
  </si>
  <si>
    <t>const</t>
  </si>
  <si>
    <t>radio_config_normal.o</t>
  </si>
  <si>
    <t>radio_config_2GFSK_BER.o</t>
  </si>
  <si>
    <t>radio_config_PN9.o</t>
  </si>
  <si>
    <t>radio_config_cw.o</t>
  </si>
  <si>
    <t>radio_config_4GFSK_BER.o</t>
  </si>
  <si>
    <t>0x1a8</t>
  </si>
  <si>
    <t>0x178</t>
  </si>
  <si>
    <t>0x160</t>
  </si>
  <si>
    <t>0xd0</t>
  </si>
  <si>
    <t>0xb4</t>
  </si>
  <si>
    <t>init_sci.o</t>
  </si>
  <si>
    <t>mqx_init.o</t>
  </si>
  <si>
    <t>0x3c</t>
  </si>
  <si>
    <t>init_adc.o</t>
  </si>
  <si>
    <t>0x18</t>
  </si>
  <si>
    <t>hmc_tsk_lst.o</t>
  </si>
  <si>
    <t>init_dma.o</t>
  </si>
  <si>
    <t>init_lwadc.o</t>
  </si>
  <si>
    <t>init_i2c.o</t>
  </si>
  <si>
    <t>0x1</t>
  </si>
  <si>
    <t>0x0</t>
  </si>
  <si>
    <t>0x3</t>
  </si>
  <si>
    <t>Section</t>
  </si>
  <si>
    <t>Address</t>
  </si>
  <si>
    <t>Size</t>
  </si>
  <si>
    <t>Initializer bytes</t>
  </si>
  <si>
    <t>ro code</t>
  </si>
  <si>
    <t>Section placements</t>
  </si>
  <si>
    <t>A1:</t>
  </si>
  <si>
    <t>0x00000000</t>
  </si>
  <si>
    <t>CFMPROTROM</t>
  </si>
  <si>
    <t>P1:</t>
  </si>
  <si>
    <t>P2:</t>
  </si>
  <si>
    <t>KERNEL_DATA</t>
  </si>
  <si>
    <t>placed at/in</t>
  </si>
  <si>
    <t>{ ro section .intvec, block CFMPROTROM };</t>
  </si>
  <si>
    <t>{ block TEXTSECTION, ro };</t>
  </si>
  <si>
    <t>{ rw, last block KERNEL_DATA };</t>
  </si>
  <si>
    <t>0x00000000-0x0007ffff</t>
  </si>
  <si>
    <t>0x1fff0000-0x2002fff0</t>
  </si>
  <si>
    <t>Directive</t>
  </si>
  <si>
    <t>Section names included</t>
  </si>
  <si>
    <t>.intvec, .cfmconfig</t>
  </si>
  <si>
    <t>Block Name</t>
  </si>
  <si>
    <t>TEXTSECTION</t>
  </si>
  <si>
    <t>.text, Veneer, KERNEL, .rodata, .iar.init_table, Initializer bytes</t>
  </si>
  <si>
    <t>P2 mid-1</t>
  </si>
  <si>
    <t>.data</t>
  </si>
  <si>
    <t>__DLIB_PERTHREAD</t>
  </si>
  <si>
    <t>.bss</t>
  </si>
  <si>
    <t>.noinit</t>
  </si>
  <si>
    <t>KERNEL_DATA, KERNEL_DATA-1, .kernel_data</t>
  </si>
  <si>
    <t>.data, .textrw, __DLIB_PERTHREAD, .bss, .noinit</t>
  </si>
  <si>
    <t>inited</t>
  </si>
  <si>
    <t>0x1fff0018</t>
  </si>
  <si>
    <t>0x1fff0020</t>
  </si>
  <si>
    <t>zero</t>
  </si>
  <si>
    <t>0x280</t>
  </si>
  <si>
    <t>0x644</t>
  </si>
  <si>
    <t>0x16c</t>
  </si>
  <si>
    <t>0x404</t>
  </si>
  <si>
    <t>uninit</t>
  </si>
  <si>
    <t>0x400</t>
  </si>
  <si>
    <t>kernel_symbols.o</t>
  </si>
  <si>
    <t>0x14000000</t>
  </si>
  <si>
    <t>0x1000</t>
  </si>
  <si>
    <t>Vector table</t>
  </si>
  <si>
    <t>.intvec</t>
  </si>
  <si>
    <t>Flash Cfg/Prot</t>
  </si>
  <si>
    <t>.cfmprot</t>
  </si>
  <si>
    <t>Security certificate</t>
  </si>
  <si>
    <t>Swap Indicator</t>
  </si>
  <si>
    <t>Data memory only</t>
  </si>
  <si>
    <t>.text etc.</t>
  </si>
  <si>
    <t>Swap use only</t>
  </si>
  <si>
    <t>Pgm Accl. RAM</t>
  </si>
  <si>
    <t>RAM Bank 1</t>
  </si>
  <si>
    <t>RAM Bank 0</t>
  </si>
  <si>
    <t>External RAM</t>
  </si>
  <si>
    <t>Frodo Only</t>
  </si>
  <si>
    <t>0x7DBE0</t>
  </si>
  <si>
    <t>0xFF0</t>
  </si>
  <si>
    <t>Bank 0/1</t>
  </si>
  <si>
    <t>Bank 2/3</t>
  </si>
  <si>
    <t>Avail. Flash</t>
  </si>
  <si>
    <t>0x10000</t>
  </si>
  <si>
    <t>0x100000</t>
  </si>
  <si>
    <t>K22</t>
  </si>
  <si>
    <t>0x30000</t>
  </si>
  <si>
    <t>K24/K64</t>
  </si>
  <si>
    <t>Minimum Memory Map Requirements</t>
  </si>
  <si>
    <t>Program Flash</t>
  </si>
  <si>
    <t>General Purpose RAM</t>
  </si>
  <si>
    <t>External SDRAM</t>
  </si>
  <si>
    <t>Program Flash Acceleration RAM</t>
  </si>
  <si>
    <t>[2]</t>
  </si>
  <si>
    <t>bsp.a</t>
  </si>
  <si>
    <t>dl7M_tln.a</t>
  </si>
  <si>
    <t>m7M_tls.a</t>
  </si>
  <si>
    <t>psp.a</t>
  </si>
  <si>
    <t>rt7M_tl.a</t>
  </si>
  <si>
    <t>shb_l.a</t>
  </si>
  <si>
    <t>K22/K24/K64</t>
  </si>
  <si>
    <t>% pad</t>
  </si>
  <si>
    <t>utils</t>
  </si>
  <si>
    <t>dfw</t>
  </si>
  <si>
    <t>driver</t>
  </si>
  <si>
    <t>stack</t>
  </si>
  <si>
    <t>OS_API</t>
  </si>
  <si>
    <t>radio</t>
  </si>
  <si>
    <t>security</t>
  </si>
  <si>
    <t>AclaraBSP</t>
  </si>
  <si>
    <t>HMC</t>
  </si>
  <si>
    <t>Common</t>
  </si>
  <si>
    <t>MTU_Common</t>
  </si>
  <si>
    <t>App</t>
  </si>
  <si>
    <t>BSP</t>
  </si>
  <si>
    <t>PSP</t>
  </si>
  <si>
    <t>wolfSSL-Lib_MTU</t>
  </si>
  <si>
    <t>bytes</t>
  </si>
  <si>
    <t>0x00000400</t>
  </si>
  <si>
    <t>0x00000410</t>
  </si>
  <si>
    <t>0x0007E000</t>
  </si>
  <si>
    <t>0x0007F000</t>
  </si>
  <si>
    <t>0x0007F010</t>
  </si>
  <si>
    <t>0x00080000</t>
  </si>
  <si>
    <t>0x00080400</t>
  </si>
  <si>
    <t>0x00080410</t>
  </si>
  <si>
    <t>0x000FE000</t>
  </si>
  <si>
    <t>0x000FF000</t>
  </si>
  <si>
    <t>0x000FF010</t>
  </si>
  <si>
    <t>0x1FFF0000</t>
  </si>
  <si>
    <t>0x20000000</t>
  </si>
  <si>
    <t>0x60000000</t>
  </si>
  <si>
    <t>Start of usable ROM Space</t>
  </si>
  <si>
    <t>dl7M_tln</t>
  </si>
  <si>
    <t>m7M_tls</t>
  </si>
  <si>
    <t>rt7M_tl</t>
  </si>
  <si>
    <t>shb_l</t>
  </si>
  <si>
    <t>*</t>
  </si>
  <si>
    <t>pad</t>
  </si>
  <si>
    <t>Start of usable RAM space</t>
  </si>
  <si>
    <t>bcd.o</t>
  </si>
  <si>
    <t>bit_util.o</t>
  </si>
  <si>
    <t>rng.o</t>
  </si>
  <si>
    <t>alarm_task.o</t>
  </si>
  <si>
    <t>exe_list.o</t>
  </si>
  <si>
    <t>mem_chk.o</t>
  </si>
  <si>
    <t>runTimeInit.o</t>
  </si>
  <si>
    <t>hmc_demand.o</t>
  </si>
  <si>
    <t>hmc_diags.o</t>
  </si>
  <si>
    <t>hmc_mtr_lp.o</t>
  </si>
  <si>
    <t>hmc_seq_id.o</t>
  </si>
  <si>
    <t>hmc_sync.o</t>
  </si>
  <si>
    <t>hmc_time.o</t>
  </si>
  <si>
    <t xml:space="preserve">ro data section .rodata object </t>
  </si>
  <si>
    <t xml:space="preserve">rw data section .data object </t>
  </si>
  <si>
    <t>_CONST</t>
  </si>
  <si>
    <t>_INIT</t>
  </si>
  <si>
    <t>dec</t>
  </si>
  <si>
    <t>hex</t>
  </si>
  <si>
    <t>_DINIT</t>
  </si>
  <si>
    <t>.map ID</t>
  </si>
  <si>
    <t>Name</t>
  </si>
  <si>
    <t>_BSS</t>
  </si>
  <si>
    <t xml:space="preserve">rw data section .bss object </t>
  </si>
  <si>
    <t>_TEXT</t>
  </si>
  <si>
    <t xml:space="preserve">ro data section *_init object </t>
  </si>
  <si>
    <t xml:space="preserve">ro code section .text object </t>
  </si>
  <si>
    <t>APP_RO</t>
  </si>
  <si>
    <t>APP_RW</t>
  </si>
  <si>
    <t>APP_NOINIT</t>
  </si>
  <si>
    <t>This is to place uninitialized (persistent) RAM data</t>
  </si>
  <si>
    <t>This is to place ROM functions that are copied to RAM</t>
  </si>
  <si>
    <t>This is to place functions in RAM that are copied from ROM</t>
  </si>
  <si>
    <t>DLIB</t>
  </si>
  <si>
    <t>IAR</t>
  </si>
  <si>
    <t xml:space="preserve">ro data section .iar.init_table object * </t>
  </si>
  <si>
    <t>Source file</t>
  </si>
  <si>
    <t>Logical Group</t>
  </si>
  <si>
    <t>Group name</t>
  </si>
  <si>
    <t>.const</t>
  </si>
  <si>
    <t>%</t>
  </si>
  <si>
    <t>Act.</t>
  </si>
  <si>
    <t>Desired</t>
  </si>
  <si>
    <t>Align.</t>
  </si>
  <si>
    <t>.dinit</t>
  </si>
  <si>
    <t>.init</t>
  </si>
  <si>
    <t>0x00</t>
  </si>
  <si>
    <t>placeholder</t>
  </si>
  <si>
    <t>utils_TEXT</t>
  </si>
  <si>
    <t>dfw_TEXT</t>
  </si>
  <si>
    <t>driver_TEXT</t>
  </si>
  <si>
    <t>stack_TEXT</t>
  </si>
  <si>
    <t>OS_API_TEXT</t>
  </si>
  <si>
    <t>radio_TEXT</t>
  </si>
  <si>
    <t>security_TEXT</t>
  </si>
  <si>
    <t>AclaraBSP_TEXT</t>
  </si>
  <si>
    <t>Common_TEXT</t>
  </si>
  <si>
    <t>HMC_TEXT</t>
  </si>
  <si>
    <t>MTU_Common_TEXT</t>
  </si>
  <si>
    <t>utils_CONST</t>
  </si>
  <si>
    <t>dfw_CONST</t>
  </si>
  <si>
    <t>driver_CONST</t>
  </si>
  <si>
    <t>OS_API_CONST</t>
  </si>
  <si>
    <t>radio_CONST</t>
  </si>
  <si>
    <t>security_CONST</t>
  </si>
  <si>
    <t>AclaraBSP_CONST</t>
  </si>
  <si>
    <t>Common_CONST</t>
  </si>
  <si>
    <t>HMC_CONST</t>
  </si>
  <si>
    <t>MTU_Common_CONST</t>
  </si>
  <si>
    <t>stack_CONST</t>
  </si>
  <si>
    <t>utils_DINIT</t>
  </si>
  <si>
    <t>dfw_DINIT</t>
  </si>
  <si>
    <t>driver_DINIT</t>
  </si>
  <si>
    <t>stack_DINIT</t>
  </si>
  <si>
    <t>OS_API_DINIT</t>
  </si>
  <si>
    <t>radio_DINIT</t>
  </si>
  <si>
    <t>security_DINIT</t>
  </si>
  <si>
    <t>AclaraBSP_DINIT</t>
  </si>
  <si>
    <t>Common_DINIT</t>
  </si>
  <si>
    <t>HMC_DINIT</t>
  </si>
  <si>
    <t>MTU_Common_DINIT</t>
  </si>
  <si>
    <t>End of usable ROM Space</t>
  </si>
  <si>
    <t>utils_INIT</t>
  </si>
  <si>
    <t>dfw_INIT</t>
  </si>
  <si>
    <t>driver_INIT</t>
  </si>
  <si>
    <t>stack_INIT</t>
  </si>
  <si>
    <t>OS_API_INIT</t>
  </si>
  <si>
    <t>radio_INIT</t>
  </si>
  <si>
    <t>security_INIT</t>
  </si>
  <si>
    <t>AclaraBSP_INIT</t>
  </si>
  <si>
    <t>Common_INIT</t>
  </si>
  <si>
    <t>HMC_INIT</t>
  </si>
  <si>
    <t>MTU_Common_INIT</t>
  </si>
  <si>
    <t>pad%</t>
  </si>
  <si>
    <t>utils_BSS</t>
  </si>
  <si>
    <t>dfw_BSS</t>
  </si>
  <si>
    <t>driver_BSS</t>
  </si>
  <si>
    <t>stack_BSS</t>
  </si>
  <si>
    <t>OS_API_BSS</t>
  </si>
  <si>
    <t>radio_BSS</t>
  </si>
  <si>
    <t>security_BSS</t>
  </si>
  <si>
    <t>AclaraBSP_BSS</t>
  </si>
  <si>
    <t>Common_BSS</t>
  </si>
  <si>
    <t>HMC_BSS</t>
  </si>
  <si>
    <t>MTU_Common_BSS</t>
  </si>
  <si>
    <t>End of usable RAM Space</t>
  </si>
  <si>
    <t>KERNEL_TEXT</t>
  </si>
  <si>
    <t>dl7M_tln_TEXT</t>
  </si>
  <si>
    <t>dl7M_tln_TEXT_end</t>
  </si>
  <si>
    <t>m7M_tls_TEXT_end</t>
  </si>
  <si>
    <t>PSP_TEXT_end</t>
  </si>
  <si>
    <t>rt7M_tl_TEXT_end</t>
  </si>
  <si>
    <t>shb_l_TEXT_end</t>
  </si>
  <si>
    <t>KERNEL_TEXT_end</t>
  </si>
  <si>
    <t>m7M_tls_TEXT</t>
  </si>
  <si>
    <t>rt7M_tl_TEXT</t>
  </si>
  <si>
    <t>shb_l_TEXT</t>
  </si>
  <si>
    <t>BSP_TEXT</t>
  </si>
  <si>
    <t>PSP_TEXT</t>
  </si>
  <si>
    <t>BSP_TEXT_end</t>
  </si>
  <si>
    <t>This is the ASM code from dispatch.S in the PSP.  Place anywhere in ROM</t>
  </si>
  <si>
    <t>dl7M_tln_CONST</t>
  </si>
  <si>
    <t>m7M_tls_CONST</t>
  </si>
  <si>
    <t>rt7M_tl_CONST</t>
  </si>
  <si>
    <t>shb_l_CONST</t>
  </si>
  <si>
    <t>BSP_CONST</t>
  </si>
  <si>
    <t>PSP_CONST</t>
  </si>
  <si>
    <t>BSP_CONST_end</t>
  </si>
  <si>
    <t>m7M_tls_CONST_end</t>
  </si>
  <si>
    <t>PSP_CONST_end</t>
  </si>
  <si>
    <t>rt7M_tl_CONST_end</t>
  </si>
  <si>
    <t>shb_l_CONST_end</t>
  </si>
  <si>
    <t>dl7M_tln_CONST_end</t>
  </si>
  <si>
    <t>dl7M_tln_DINIT</t>
  </si>
  <si>
    <t>m7M_tls_DINIT</t>
  </si>
  <si>
    <t>rt7M_tl_DINIT</t>
  </si>
  <si>
    <t>shb_l_DINIT</t>
  </si>
  <si>
    <t>BSP_DINIT</t>
  </si>
  <si>
    <t>PSP_DINIT</t>
  </si>
  <si>
    <t>BSP_DINIT_end</t>
  </si>
  <si>
    <t>dl7M_tln_DINIT_end</t>
  </si>
  <si>
    <t>m7M_tls_DINIT_end</t>
  </si>
  <si>
    <t>PSP_DINIT_end</t>
  </si>
  <si>
    <t>rt7M_tl_DINIT_end</t>
  </si>
  <si>
    <t>shb_l_DINIT_end</t>
  </si>
  <si>
    <t>DLIB_DINIT</t>
  </si>
  <si>
    <t>DLIB_DINIT_end</t>
  </si>
  <si>
    <t>dl7M_tln_INIT</t>
  </si>
  <si>
    <t>m7M_tls_INIT</t>
  </si>
  <si>
    <t>rt7M_tl_INIT</t>
  </si>
  <si>
    <t>shb_l_INIT</t>
  </si>
  <si>
    <t>BSP_INIT</t>
  </si>
  <si>
    <t>PSP_INIT</t>
  </si>
  <si>
    <t>dl7M_tln_BSS</t>
  </si>
  <si>
    <t>m7M_tls_BSS</t>
  </si>
  <si>
    <t>rt7M_tl_BSS</t>
  </si>
  <si>
    <t>shb_l_BSS</t>
  </si>
  <si>
    <t>BSP_BSS</t>
  </si>
  <si>
    <t>PSP_BSS</t>
  </si>
  <si>
    <t>App_DINIT_end</t>
  </si>
  <si>
    <t>App_INIT_end</t>
  </si>
  <si>
    <t>BSP_INIT_end</t>
  </si>
  <si>
    <t>dl7M_tln_INIT_end</t>
  </si>
  <si>
    <t>m7M_tls_INIT_end</t>
  </si>
  <si>
    <t>PSP_INIT_end</t>
  </si>
  <si>
    <t>rt7M_tl_INIT_end</t>
  </si>
  <si>
    <t>shb_l_INIT_end</t>
  </si>
  <si>
    <t>KERNEL_DATA_INIT</t>
  </si>
  <si>
    <t>KERNEL_DATA_INIT_end</t>
  </si>
  <si>
    <t>App_BSS_end</t>
  </si>
  <si>
    <t>BSP_BSS_end</t>
  </si>
  <si>
    <t>dl7M_tln_BSS_end</t>
  </si>
  <si>
    <t>m7M_tls_BSS_end</t>
  </si>
  <si>
    <t>PSP_BSS_end</t>
  </si>
  <si>
    <t>rt7M_tl_BSS_end</t>
  </si>
  <si>
    <t>shb_l_BSS_end</t>
  </si>
  <si>
    <t>Must be placed at the end of the used RAM (MQX uses remaining RAM for its heap)</t>
  </si>
  <si>
    <t>0x5e</t>
  </si>
  <si>
    <t>Init bytes</t>
  </si>
  <si>
    <t>CommandLine_INIT</t>
  </si>
  <si>
    <t>CommandLine_BSS</t>
  </si>
  <si>
    <t>Notes</t>
  </si>
  <si>
    <t>DLIB_INIT_end</t>
  </si>
  <si>
    <t>NOTES:</t>
  </si>
  <si>
    <t>DLIB_INIT</t>
  </si>
  <si>
    <t>RAM Space</t>
  </si>
  <si>
    <t>Flash Space</t>
  </si>
  <si>
    <t>Flash Begin:</t>
  </si>
  <si>
    <t>Flash End:</t>
  </si>
  <si>
    <t>RAM Begin:</t>
  </si>
  <si>
    <t>RAM End:</t>
  </si>
  <si>
    <t>Runtime C lib</t>
  </si>
  <si>
    <t>math C lib</t>
  </si>
  <si>
    <t>string C Lib</t>
  </si>
  <si>
    <t>Assert/exit Clib</t>
  </si>
  <si>
    <t>SSL Lib</t>
  </si>
  <si>
    <t>MQX Lib</t>
  </si>
  <si>
    <t>MQX BSP Lib</t>
  </si>
  <si>
    <t>Not Used</t>
  </si>
  <si>
    <t>Application</t>
  </si>
  <si>
    <t>ID</t>
  </si>
  <si>
    <t>Description</t>
  </si>
  <si>
    <t>Grouping by Desired Location</t>
  </si>
  <si>
    <t>0xa0</t>
  </si>
  <si>
    <t>No pad space allocated</t>
  </si>
  <si>
    <t>Desired or more pad space allocated</t>
  </si>
  <si>
    <t>Less than zero pad space allocated (next section overlaps this section)</t>
  </si>
  <si>
    <t>Less than desired pad space allocated, but not zero</t>
  </si>
  <si>
    <t>Partition Cache RAM</t>
  </si>
  <si>
    <t>APP_RO_TEXT</t>
  </si>
  <si>
    <t>APP_RW_TEXT</t>
  </si>
  <si>
    <t xml:space="preserve">section .bss object </t>
  </si>
  <si>
    <t>IAR_DINIT</t>
  </si>
  <si>
    <t>wolfSSL_Lib_MTU_DINIT</t>
  </si>
  <si>
    <t>wolfSSL_Lib_MTU_CONST</t>
  </si>
  <si>
    <t>wolfSSL_Lib_MTU_TEXT</t>
  </si>
  <si>
    <t>wolfSSL_Lib_MTU.a</t>
  </si>
  <si>
    <t>wolfSSL_Lib_MTU_DINIT_end</t>
  </si>
  <si>
    <t>wolfSSL_Lib_MTU_CONST_end</t>
  </si>
  <si>
    <t>wolfSSL_Lib_MTU_TEXT_end</t>
  </si>
  <si>
    <t>wolfSSL_Lib_MTU_INIT_end</t>
  </si>
  <si>
    <t>wolfSSL_Lib_MTU_BSS_end</t>
  </si>
  <si>
    <t>wolfSSL_Lib_MTU_INIT</t>
  </si>
  <si>
    <t>wolfSSL_Lib_MTU_BSS</t>
  </si>
  <si>
    <t>App Code</t>
  </si>
  <si>
    <t>App Init</t>
  </si>
  <si>
    <t>App Const</t>
  </si>
  <si>
    <t>Lib Dinit</t>
  </si>
  <si>
    <t>App Dinit</t>
  </si>
  <si>
    <t>Lib Code</t>
  </si>
  <si>
    <t>Lib Const</t>
  </si>
  <si>
    <t>Lib Init</t>
  </si>
  <si>
    <t>App BSS</t>
  </si>
  <si>
    <t>Lib BSS</t>
  </si>
  <si>
    <t>CommandLine_TEXT</t>
  </si>
  <si>
    <t>CommandLine_CONST</t>
  </si>
  <si>
    <t>CommandLine_DINIT</t>
  </si>
  <si>
    <t>CommandLine</t>
  </si>
  <si>
    <t>CommandLine_TEXT_end</t>
  </si>
  <si>
    <t>CommandLine_CONST_end</t>
  </si>
  <si>
    <t>CommandLine_DINIT_end</t>
  </si>
  <si>
    <t>CommandLine_INIT_end</t>
  </si>
  <si>
    <t>CommandLine_BSS_end</t>
  </si>
  <si>
    <t>IAR_DINIT_end</t>
  </si>
  <si>
    <t>APP_RO_TEXT_end</t>
  </si>
  <si>
    <t>APP_RW_TEXT_end</t>
  </si>
  <si>
    <t>APP_NOINIT_end</t>
  </si>
  <si>
    <t>0x0007E000 is the absolute address used by ecc108 and not managed by the linker script</t>
  </si>
  <si>
    <t>0x14000000 used by dvr_sharedMem.o is the accelerated program memory and not managed by the linker script</t>
  </si>
  <si>
    <t>App Code_start</t>
  </si>
  <si>
    <t>x</t>
  </si>
  <si>
    <t>App Code_end</t>
  </si>
  <si>
    <t>Lib Code_start</t>
  </si>
  <si>
    <t>Lib Code_end</t>
  </si>
  <si>
    <t>CommandLine_start</t>
  </si>
  <si>
    <t>CommandLine_end</t>
  </si>
  <si>
    <t>App Const_start</t>
  </si>
  <si>
    <t>Lib Const_start</t>
  </si>
  <si>
    <t>Lib Const_end</t>
  </si>
  <si>
    <t>App Init_start</t>
  </si>
  <si>
    <t>App DINIT_start</t>
  </si>
  <si>
    <t>APP_RO_TEXT_start</t>
  </si>
  <si>
    <t>Lib Dinit_start</t>
  </si>
  <si>
    <t>Lib Dinit_end</t>
  </si>
  <si>
    <t>App DINIT_end</t>
  </si>
  <si>
    <t>App Init_end</t>
  </si>
  <si>
    <t>APP_RW_TEXT_start</t>
  </si>
  <si>
    <t>Lib Init_start</t>
  </si>
  <si>
    <t>App BSS_start</t>
  </si>
  <si>
    <t>App Bss_end</t>
  </si>
  <si>
    <t>App Noinit_start</t>
  </si>
  <si>
    <t>App Noinit_end</t>
  </si>
  <si>
    <t>Lib BSS_start</t>
  </si>
  <si>
    <t>Lib BSS_end</t>
  </si>
  <si>
    <t>App noinit</t>
  </si>
  <si>
    <t>For code copied to RAM</t>
  </si>
  <si>
    <t>For code executed in RAM</t>
  </si>
  <si>
    <t>For partition cache in RAM</t>
  </si>
  <si>
    <t>Flash</t>
  </si>
  <si>
    <t>RAM</t>
  </si>
  <si>
    <t>This is the IAR DINIT &amp; Init initializers</t>
  </si>
  <si>
    <t>This is the IAR DINIT &amp; Init initializers that are allocated, but require no space(?)</t>
  </si>
  <si>
    <t>Linker Gen_end</t>
  </si>
  <si>
    <t>Linker Gen_start</t>
  </si>
  <si>
    <t>Linker Gen</t>
  </si>
  <si>
    <t>IAR Lib Init data</t>
  </si>
  <si>
    <t>This is the Flash command routine copied from ROM and executed in RAM</t>
  </si>
  <si>
    <t>Lock?</t>
  </si>
  <si>
    <t>Locked</t>
  </si>
  <si>
    <t>Addr</t>
  </si>
  <si>
    <t>{</t>
  </si>
  <si>
    <t>}</t>
  </si>
  <si>
    <t>/* ================================================================================================================== */</t>
  </si>
  <si>
    <t>if (STEER_LIB_TEXT==1)</t>
  </si>
  <si>
    <t>if (STEER_APP_TEXT==1)</t>
  </si>
  <si>
    <t>if (STEER_LIB_CONST==1)</t>
  </si>
  <si>
    <t>if (STEER_APP_CONST==1)</t>
  </si>
  <si>
    <t>if (STEER_COMPILER_GEN==1)</t>
  </si>
  <si>
    <t>if (STEER_LIB_INIT==1)</t>
  </si>
  <si>
    <t>if (STEER_APP_INIT==1)</t>
  </si>
  <si>
    <t>if (STEER_LIB_BSS==1)</t>
  </si>
  <si>
    <t>if (STEER_APP_BSS==1)</t>
  </si>
  <si>
    <t>min</t>
  </si>
  <si>
    <t>RAM_Start</t>
  </si>
  <si>
    <t>RAM_end</t>
  </si>
  <si>
    <t>Flash_end</t>
  </si>
  <si>
    <t>Flash_Start</t>
  </si>
  <si>
    <t>align</t>
  </si>
  <si>
    <t>Column offset</t>
  </si>
  <si>
    <t>On "App Grouping" tab arrange groups from least to most likely to change</t>
  </si>
  <si>
    <t>/*  Object Location by section ====================================================================================== */</t>
  </si>
  <si>
    <t>/*  Object Placement by section ===================================================================================== */</t>
  </si>
  <si>
    <t>/* Current method - Allows each block to be initialized to zero as a whole</t>
  </si>
  <si>
    <t xml:space="preserve">   Initial method (similar to other placement methods) - Caused gaps in the zero initializer */</t>
  </si>
  <si>
    <t>define symbol STEER_LIB_TEXT=1;</t>
  </si>
  <si>
    <t>define symbol STEER_APP_TEXT=1;</t>
  </si>
  <si>
    <t>define symbol STEER_LIB_CONST=1;</t>
  </si>
  <si>
    <t>define symbol STEER_APP_CONST=1;</t>
  </si>
  <si>
    <t>define symbol STEER_LIB_INIT=1;</t>
  </si>
  <si>
    <t>define symbol STEER_APP_INIT=1;</t>
  </si>
  <si>
    <t>define symbol STEER_LIB_BSS=1;</t>
  </si>
  <si>
    <t>define symbol STEER_APP_BSS=1;</t>
  </si>
  <si>
    <t>define symbol STEER_COMPILER_GEN=1;</t>
  </si>
  <si>
    <t>/*   Sections commented out because zero size is causing warnings/errors ============================================ */</t>
  </si>
  <si>
    <t>Totals</t>
  </si>
  <si>
    <t>Free/Pad space</t>
  </si>
  <si>
    <t>&lt;-- RAM Pad allocation</t>
  </si>
  <si>
    <t>MQX Heap space</t>
  </si>
  <si>
    <t>&lt;-- Free RAM space</t>
  </si>
  <si>
    <t>&lt;-- Total Free and Pad space</t>
  </si>
  <si>
    <t>From debugger MQX/Lightweight Memory Pools</t>
  </si>
  <si>
    <t>Start:</t>
  </si>
  <si>
    <t>End:</t>
  </si>
  <si>
    <t>Size:</t>
  </si>
  <si>
    <t>Highest:</t>
  </si>
  <si>
    <t>Free RAM (min):</t>
  </si>
  <si>
    <t>Used RAM (max):</t>
  </si>
  <si>
    <t>Used befor MemPool:</t>
  </si>
  <si>
    <t>Start of Kernel Data (size shown in .map is essentially a placeholder so MQX can locate its address)</t>
  </si>
  <si>
    <t>Kernel data size</t>
  </si>
  <si>
    <t>Kernel lwmem pool start</t>
  </si>
  <si>
    <t>lwmem Pool struct size</t>
  </si>
  <si>
    <t>lwmem Pool data start</t>
  </si>
  <si>
    <t>MQX 4.2 - should only change if version changes</t>
  </si>
  <si>
    <t>MQX 4.1 &amp; 4.2 - should only change if version changes</t>
  </si>
  <si>
    <t>0x2002FFF0</t>
  </si>
  <si>
    <t>0x1FFF7400</t>
  </si>
  <si>
    <t>0x00038BF0</t>
  </si>
  <si>
    <t>0x2000f443</t>
  </si>
  <si>
    <t>NOTE: Need to update Memory Map tab for latest MQX Memory Pool Info</t>
  </si>
  <si>
    <t>Initial Setup Procedure</t>
  </si>
  <si>
    <t>Update Procedure</t>
  </si>
  <si>
    <t>LINKER_STEERING_ENABLED macro in the Linker script file enables or disables all of the steering.  Individual sections can also be enabled or disabled.</t>
  </si>
  <si>
    <t>The linker script file is in the Project directory.  A simple method to open within the IDE is to click the plus next to the Output directory and .out file in the workspace, then scroll down to and double click the .icf file (it is the only one with the text like file icon).</t>
  </si>
  <si>
    <t>MIMT_info.o</t>
  </si>
  <si>
    <t>Open .map file of the build, go to end of file then copy or ensure module ID (e.g. [2]) to/with entries on the "Overall" tab.  These should rarely change.  The PLACEMENT SUMMARY near beginning of map file should be consistent with the ones on the "Overall" tab (not used anywhere in the script, but good to know it hasn't changed).</t>
  </si>
  <si>
    <t>Ensure "Memory Map" tab still reflects the device memory ranges.  Updates to the debugger info and below on this tab are made after all adjustments all completed.</t>
  </si>
  <si>
    <t>If new or removed files are encountered, modify by either cutting below insertion/deletion point and pasting or selecting columns in a row, then right click and select insert, shift cells down.  Do NOT insert an entire row in the spreadsheet.  This will insure the array lookups in formulas remain correct.  The INDIRECT references may need to be adjusted.  A good check is to look at the GlobalPlcmnt tab where a reference is incorrect.</t>
  </si>
  <si>
    <t>The .map output does not always report pad space between .text modules.  It is unclear why it needs to pad since all instructions are half-word aligned (2 bytes).  This means the reported size may be less than the required size.  Possible workaround is to use the ceiling(cell,4) to round up modulo 4 every modules size to ensure there is at least some pad space between them.</t>
  </si>
  <si>
    <t>define symbol LINKER_STEERING_ENABLED=1;</t>
  </si>
  <si>
    <t>if (LINKER_STEERING_ENABLED==1)</t>
  </si>
  <si>
    <t>} // End of if (LINKER_STEERING_ENABLED==1)</t>
  </si>
  <si>
    <t>_start</t>
  </si>
  <si>
    <t>_end</t>
  </si>
  <si>
    <t>atoll.o</t>
  </si>
  <si>
    <t>0x5a4</t>
  </si>
  <si>
    <t>0x510</t>
  </si>
  <si>
    <t>0xc4</t>
  </si>
  <si>
    <t>0x472</t>
  </si>
  <si>
    <t>.textrw</t>
  </si>
  <si>
    <t>.kernel_data</t>
  </si>
  <si>
    <t>(wolfSSL-Lib_MTU.a)</t>
  </si>
  <si>
    <t>.iar.init_table</t>
  </si>
  <si>
    <t>-Linkercreated-</t>
  </si>
  <si>
    <t>[xx]</t>
  </si>
  <si>
    <t>0x4da</t>
  </si>
  <si>
    <t>appRO</t>
  </si>
  <si>
    <t>App Const_end</t>
  </si>
  <si>
    <t>0x6e</t>
  </si>
  <si>
    <t>ceil.o</t>
  </si>
  <si>
    <t>round.o</t>
  </si>
  <si>
    <t>log2.o</t>
  </si>
  <si>
    <t>Linked bootloader image</t>
  </si>
  <si>
    <t>Bootloader</t>
  </si>
  <si>
    <t>bootloader</t>
  </si>
  <si>
    <t>[10]</t>
  </si>
  <si>
    <t xml:space="preserve"> wolfSSL-Lib_MTU.a</t>
  </si>
  <si>
    <t>string C lib</t>
  </si>
  <si>
    <t>0x1fff0000</t>
  </si>
  <si>
    <t>Start</t>
  </si>
  <si>
    <t>Module</t>
  </si>
  <si>
    <t>Project</t>
  </si>
  <si>
    <t>lib init_end</t>
  </si>
  <si>
    <t>Previous</t>
  </si>
  <si>
    <t>.boot</t>
  </si>
  <si>
    <t>0x4000</t>
  </si>
  <si>
    <t>bootLoader.bin</t>
  </si>
  <si>
    <t>0x00004000</t>
  </si>
  <si>
    <t>vectors.o</t>
  </si>
  <si>
    <t>BOOT_end</t>
  </si>
  <si>
    <t>bootloader.bin</t>
  </si>
  <si>
    <t>BSP_VECT</t>
  </si>
  <si>
    <t>BSP_VECT_CONST</t>
  </si>
  <si>
    <t>BSP_VECT_CONST_end</t>
  </si>
  <si>
    <t>APP_BOOT_CONST</t>
  </si>
  <si>
    <t>APP_BOOT</t>
  </si>
  <si>
    <t>Start of usable ROM Space 2</t>
  </si>
  <si>
    <t>End of usable ROM Space 2</t>
  </si>
  <si>
    <t>0x000FAFFF</t>
  </si>
  <si>
    <t>Start of usable ROM Space 1</t>
  </si>
  <si>
    <t>End of usable ROM Space 1</t>
  </si>
  <si>
    <t>K24</t>
  </si>
  <si>
    <t>} // End of if (TARGET == APP)</t>
  </si>
  <si>
    <t>if (TARGET == APP)</t>
  </si>
  <si>
    <t>Start of Bootloader ROM Space</t>
  </si>
  <si>
    <t>End of Bootloader ROM Space</t>
  </si>
  <si>
    <t>0x00003FFF</t>
  </si>
  <si>
    <t>Start of Security NV Space</t>
  </si>
  <si>
    <t>End of Security NV Space</t>
  </si>
  <si>
    <t>0x0007EFFF</t>
  </si>
  <si>
    <t>Start of swap ROM Space 1</t>
  </si>
  <si>
    <t>End of swap ROM Space 1</t>
  </si>
  <si>
    <t>Start of BL Backup ROM Space</t>
  </si>
  <si>
    <t>End of BL Backup ROM Space</t>
  </si>
  <si>
    <t>0x000FB000</t>
  </si>
  <si>
    <t>0x000FEFFF</t>
  </si>
  <si>
    <t>Start of DFWInfo NV Space</t>
  </si>
  <si>
    <t>End of DFWInfo NV Space</t>
  </si>
  <si>
    <t>0x000FFFFF</t>
  </si>
  <si>
    <t>Start of DFW Image ROM Space</t>
  </si>
  <si>
    <t>End of DFW Image ROM Space</t>
  </si>
  <si>
    <t>Start of Int ect ROM Space</t>
  </si>
  <si>
    <t>End of Int ect ROM Space</t>
  </si>
  <si>
    <t>0x000003FF</t>
  </si>
  <si>
    <t>Start of Flash Config ROM Space</t>
  </si>
  <si>
    <t>End of Flash Config ROM Space</t>
  </si>
  <si>
    <t>0x0000040F</t>
  </si>
  <si>
    <t>K64</t>
  </si>
  <si>
    <t>IntVect</t>
  </si>
  <si>
    <t>BL IntVect</t>
  </si>
  <si>
    <t>Flash Config</t>
  </si>
  <si>
    <t>Flash Config(BL)</t>
  </si>
  <si>
    <t>Security</t>
  </si>
  <si>
    <t>Swap Bank 1</t>
  </si>
  <si>
    <t>DFW Image</t>
  </si>
  <si>
    <t>BL Backup</t>
  </si>
  <si>
    <t>Swap Bank 2</t>
  </si>
  <si>
    <t>DFW-BL Info(old swap)</t>
  </si>
  <si>
    <t>0x0007FFFF</t>
  </si>
  <si>
    <t>0x0007e790</t>
  </si>
  <si>
    <t>lz77_init.o</t>
  </si>
  <si>
    <t>Code</t>
  </si>
  <si>
    <t>(__DLIB_PERTHREAD)</t>
  </si>
  <si>
    <t>The .intvec and FLASH config (CFMPROTROM section) is managed by the bootloader linker script.</t>
  </si>
  <si>
    <t>This is the Bootloader space (allocated space only, actual space used is in bootloader .map)</t>
  </si>
  <si>
    <t>[1] Count</t>
  </si>
  <si>
    <t>[10] Count</t>
  </si>
  <si>
    <t>[4] Count</t>
  </si>
  <si>
    <t>[7] Count</t>
  </si>
  <si>
    <t>[8] Count</t>
  </si>
  <si>
    <t>[5] Count</t>
  </si>
  <si>
    <t>[6] Count</t>
  </si>
  <si>
    <t>[9] Count</t>
  </si>
  <si>
    <t>Grand Count</t>
  </si>
  <si>
    <t>.bss Count</t>
  </si>
  <si>
    <t>.data Count</t>
  </si>
  <si>
    <t>.rodata Count</t>
  </si>
  <si>
    <t>.text Count</t>
  </si>
  <si>
    <t>.textrw Count</t>
  </si>
  <si>
    <t>Differences</t>
  </si>
  <si>
    <t>if (STEER_COMMAND_LINE==1)</t>
  </si>
  <si>
    <t>0x00004400</t>
  </si>
  <si>
    <t>0xd4</t>
  </si>
  <si>
    <t>time_sync.o</t>
  </si>
  <si>
    <t>gpio.o</t>
  </si>
  <si>
    <t>psp_timn.o</t>
  </si>
  <si>
    <t>[2] Count</t>
  </si>
  <si>
    <t>.boot Count</t>
  </si>
  <si>
    <t>.intvec Count</t>
  </si>
  <si>
    <t>.noinit Count</t>
  </si>
  <si>
    <t>KERNEL Count</t>
  </si>
  <si>
    <t>mtls.o</t>
  </si>
  <si>
    <t>else  // When not steering, then place all readonly in ROM, and readwrite in RAM</t>
  </si>
  <si>
    <t>0x1fff0004</t>
  </si>
  <si>
    <t>0x1fff0030</t>
  </si>
  <si>
    <t>IF_intflash.o</t>
  </si>
  <si>
    <t>[xx] Count</t>
  </si>
  <si>
    <t>.iar.init_table Count</t>
  </si>
  <si>
    <t>.kernel_data Count</t>
  </si>
  <si>
    <t>Initializer bytes Count</t>
  </si>
  <si>
    <t xml:space="preserve">   /* ================================================================================================================== */</t>
  </si>
  <si>
    <t xml:space="preserve">   /* NOTE: Do NOT include these in the CommonScript or steered sections.  When not included the linker will generate    */</t>
  </si>
  <si>
    <t xml:space="preserve">   /*       an error for anything not identified in the steering scripts.  The error needs to be corrected in the linker */</t>
  </si>
  <si>
    <t xml:space="preserve">   /*       script spreadsheet.                                                                                          */</t>
  </si>
  <si>
    <t xml:space="preserve">   define block TEXTSECTION with alignment = 4  { section .text };</t>
  </si>
  <si>
    <t xml:space="preserve">   "ROM":              place in ROM_region { block TEXTSECTION, readonly };</t>
  </si>
  <si>
    <t xml:space="preserve">   define block KERNEL_DATA with alignment = 8 { section .kernel_data };</t>
  </si>
  <si>
    <t xml:space="preserve">   /* Each block/segment must be in one line (association to region) because kernel data needs to start after all other datas  */</t>
  </si>
  <si>
    <t xml:space="preserve">   "RAM": place in RAM_region   { readwrite, last block KERNEL_DATA };</t>
  </si>
  <si>
    <t>define symbol COMMAND_LINE_DUMMY_2=1;  /* Dummy symbol to keep linker happy when no directives in {block} */</t>
  </si>
  <si>
    <t>define symbol COMMAND_LINE_DUMMY_1=1;  /* Dummy symbol to keep linker happy when no directives in {block} */</t>
  </si>
  <si>
    <t>define symbol STEER_COMMAND_LINE=0;</t>
  </si>
  <si>
    <t>__DLIB_PERTHREAD Count</t>
  </si>
  <si>
    <t>0x8d4</t>
  </si>
  <si>
    <t>psp_tihr.o</t>
  </si>
  <si>
    <t>0xcb4</t>
  </si>
  <si>
    <t>galois.o</t>
  </si>
  <si>
    <t>rsdec.o</t>
  </si>
  <si>
    <t>0x12c</t>
  </si>
  <si>
    <t>0x7c</t>
  </si>
  <si>
    <t>rsenc.o</t>
  </si>
  <si>
    <t>0x100</t>
  </si>
  <si>
    <t>0x164</t>
  </si>
  <si>
    <t>0x1b0</t>
  </si>
  <si>
    <t>0x6e0</t>
  </si>
  <si>
    <t>0x230</t>
  </si>
  <si>
    <t>Const</t>
  </si>
  <si>
    <t>DINIT</t>
  </si>
  <si>
    <t>InitData</t>
  </si>
  <si>
    <t>BSS</t>
  </si>
  <si>
    <t>hmc_prg_mtr.o</t>
  </si>
  <si>
    <t>indication.o</t>
  </si>
  <si>
    <t>0x2bc</t>
  </si>
  <si>
    <t>0x158</t>
  </si>
  <si>
    <t>Usable Bootloader Space</t>
  </si>
  <si>
    <t>Usable Application Space</t>
  </si>
  <si>
    <t xml:space="preserve">&lt;-- Unused code space </t>
  </si>
  <si>
    <t>0x0007DFFF</t>
  </si>
  <si>
    <t>0x7bc</t>
  </si>
  <si>
    <t>temperature.o</t>
  </si>
  <si>
    <t>Temperature.o</t>
  </si>
  <si>
    <t>0x478</t>
  </si>
  <si>
    <t>0x390</t>
  </si>
  <si>
    <t>sqrt.o</t>
  </si>
  <si>
    <t>xstod.o</t>
  </si>
  <si>
    <t>atof.o</t>
  </si>
  <si>
    <t>iarEdom.o</t>
  </si>
  <si>
    <t>0x4d4</t>
  </si>
  <si>
    <t>0x830</t>
  </si>
  <si>
    <t>0x1d8</t>
  </si>
  <si>
    <t>lwmem.o</t>
  </si>
  <si>
    <t>EstimateCarrierFrequencyOffset.o</t>
  </si>
  <si>
    <t>MaximizeEyeOpening.o</t>
  </si>
  <si>
    <t>PerformCFOCompensation.o</t>
  </si>
  <si>
    <t>preamble_detect.o</t>
  </si>
  <si>
    <t>preambleDetector.o</t>
  </si>
  <si>
    <t>preambleDetector_Data.c</t>
  </si>
  <si>
    <t>preambleDetector_initialize.o</t>
  </si>
  <si>
    <t>ScaleClipFreq2phase.o</t>
  </si>
  <si>
    <t>sign.o</t>
  </si>
  <si>
    <t>fir_filt_circ_buff.o</t>
  </si>
  <si>
    <t>gresample.o</t>
  </si>
  <si>
    <t>phase2freq_wi_unwrap.o</t>
  </si>
  <si>
    <t>findSYNC.o</t>
  </si>
  <si>
    <t>SyncAndPayloadDemodulator.o</t>
  </si>
  <si>
    <t>FreqDomMlseP4GfskStruct2.o</t>
  </si>
  <si>
    <t>processDerotatedSPDSamples.o</t>
  </si>
  <si>
    <t>SoftDemodulator.o</t>
  </si>
  <si>
    <t>0x2d8</t>
  </si>
  <si>
    <t>Get all .o filenames for the application from the MODULE SUMMARY in the map file.  Paste into "App Grouping" tab and compare to find any new files.  Place new files in the appropriate group. Order in group by least to most likely to change.  Update each App tab for new files by inserting cells needed (use Insert procedure below) being careful with (typically) the last cell in colum of each sections.  Fill in filenames in column D.  Also need to insert the new files in the "summary" (use Insert procedure below) that is after the last code section in column K of each tab.  Also need to insert for each app section type (_TEXT, CONST etc.) on the LinkerScript tab.</t>
  </si>
  <si>
    <t>Insert Procedure: select cells to insert, right click, insert cells, Shift cells down, then select one cell before and all cells inserted, then copy down (CRTL-D) to fill in formulas.  Be careful when filling the last cell as it may be different than the previous cell.</t>
  </si>
  <si>
    <t xml:space="preserve">Press CTRL-SHIFT-I to run the macro which reads the .map file and places the items in the .mapdata tab.  </t>
  </si>
  <si>
    <t>preambleDetector_Data.o</t>
  </si>
  <si>
    <t>processDerotatedSamples.o</t>
  </si>
  <si>
    <t>AclaraDA</t>
  </si>
  <si>
    <t>b2b.o</t>
  </si>
  <si>
    <t>b2b_req_handler.o</t>
  </si>
  <si>
    <t>b2bMessage.o</t>
  </si>
  <si>
    <t>da_srfn_reg.o</t>
  </si>
  <si>
    <t>hdlc_frame.o</t>
  </si>
  <si>
    <t>host_reset.o</t>
  </si>
  <si>
    <t>nw_connected.o</t>
  </si>
  <si>
    <t>TUNNEL_MSG_Handler.o</t>
  </si>
  <si>
    <t>tunnel_Util.o</t>
  </si>
  <si>
    <t>AclaraDA_DINIT</t>
  </si>
  <si>
    <t>AclaraDA_CONST</t>
  </si>
  <si>
    <t>AclaraDA_TEXT</t>
  </si>
  <si>
    <t>AclaraDA_INIT</t>
  </si>
  <si>
    <t>AclaraDA_BSS</t>
  </si>
  <si>
    <t>0xbc</t>
  </si>
  <si>
    <t>0x14c</t>
  </si>
  <si>
    <t>0x1b8</t>
  </si>
  <si>
    <t>0x258</t>
  </si>
  <si>
    <t>0x3b8</t>
  </si>
  <si>
    <t>0x00004444</t>
  </si>
  <si>
    <t>0x000051f2</t>
  </si>
  <si>
    <t>0x00005200</t>
  </si>
  <si>
    <t>0x0000524c</t>
  </si>
  <si>
    <t>0x0000524e</t>
  </si>
  <si>
    <t>0x00005270</t>
  </si>
  <si>
    <t>0x00005292</t>
  </si>
  <si>
    <t>0x000052ac</t>
  </si>
  <si>
    <t>0x000052e0</t>
  </si>
  <si>
    <t>0x00005304</t>
  </si>
  <si>
    <t>0x00005e64</t>
  </si>
  <si>
    <t>0x00005f06</t>
  </si>
  <si>
    <t>0x00005f10</t>
  </si>
  <si>
    <t>0x000060c4</t>
  </si>
  <si>
    <t>0x000060d0</t>
  </si>
  <si>
    <t>0x0000626c</t>
  </si>
  <si>
    <t>0x00006420</t>
  </si>
  <si>
    <t>0x00006620</t>
  </si>
  <si>
    <t>0x00006628</t>
  </si>
  <si>
    <t>0x00006630</t>
  </si>
  <si>
    <t>0x00006684</t>
  </si>
  <si>
    <t>0x00006690</t>
  </si>
  <si>
    <t>0x00006694</t>
  </si>
  <si>
    <t>0x0000669c</t>
  </si>
  <si>
    <t>0x000066b8</t>
  </si>
  <si>
    <t>0x000066e2</t>
  </si>
  <si>
    <t>0x0000670a</t>
  </si>
  <si>
    <t>0x0000672c</t>
  </si>
  <si>
    <t>0x00006734</t>
  </si>
  <si>
    <t>0x0000674a</t>
  </si>
  <si>
    <t>0x0000674e</t>
  </si>
  <si>
    <t>0x41</t>
  </si>
  <si>
    <t>0x2d</t>
  </si>
  <si>
    <t>0x31</t>
  </si>
  <si>
    <t>0x39</t>
  </si>
  <si>
    <t>0x5</t>
  </si>
  <si>
    <t>0x1fff0038</t>
  </si>
  <si>
    <t>0x1fff0184</t>
  </si>
  <si>
    <t>0x1fff0580</t>
  </si>
  <si>
    <t>0x1a0</t>
  </si>
  <si>
    <t>packbits_init.o</t>
  </si>
  <si>
    <t>kernel_data</t>
  </si>
  <si>
    <t>appRO Count</t>
  </si>
  <si>
    <t>0xec</t>
  </si>
  <si>
    <t>0xe6</t>
  </si>
  <si>
    <t>0x45</t>
  </si>
  <si>
    <t>0x2d2</t>
  </si>
  <si>
    <t>0x17a</t>
  </si>
  <si>
    <t>0x570</t>
  </si>
  <si>
    <t>0x418</t>
  </si>
  <si>
    <t>0x1ec</t>
  </si>
  <si>
    <t>0xe14</t>
  </si>
  <si>
    <t>0x25c</t>
  </si>
  <si>
    <t>0x5ce</t>
  </si>
  <si>
    <t>0x374</t>
  </si>
  <si>
    <t>0x108c</t>
  </si>
  <si>
    <t>0x43c</t>
  </si>
  <si>
    <t>0x138</t>
  </si>
  <si>
    <t>0x7a</t>
  </si>
  <si>
    <t>0x2cc</t>
  </si>
  <si>
    <t>0x582</t>
  </si>
  <si>
    <t>0x1de</t>
  </si>
  <si>
    <t>0x234</t>
  </si>
  <si>
    <t>0x166</t>
  </si>
  <si>
    <t>0xc5c</t>
  </si>
  <si>
    <t>0x428</t>
  </si>
  <si>
    <t>0xb78</t>
  </si>
  <si>
    <t>0x1c8</t>
  </si>
  <si>
    <t>0x33e</t>
  </si>
  <si>
    <t>0x7e8</t>
  </si>
  <si>
    <t>0x4b4</t>
  </si>
  <si>
    <t>0x2ee</t>
  </si>
  <si>
    <t>0xb0</t>
  </si>
  <si>
    <t>0x66c</t>
  </si>
  <si>
    <t>0x15e0</t>
  </si>
  <si>
    <t>0x320</t>
  </si>
  <si>
    <t>roundf.o</t>
  </si>
  <si>
    <t>xfsin.o</t>
  </si>
  <si>
    <t>xfquad.o</t>
  </si>
  <si>
    <t>fmodf.o</t>
  </si>
  <si>
    <t>floorf.o</t>
  </si>
  <si>
    <t>preambleDetector_data.o</t>
  </si>
  <si>
    <t>0x000095d0</t>
  </si>
  <si>
    <t>0x1fff18d0</t>
  </si>
  <si>
    <t>0x1fff1d28</t>
  </si>
  <si>
    <t>0x1fff1d3c</t>
  </si>
  <si>
    <t>0x1fff1d5c</t>
  </si>
  <si>
    <t>0x214</t>
  </si>
  <si>
    <t>0x1fec</t>
  </si>
  <si>
    <t>0x9b0</t>
  </si>
  <si>
    <t>0x1fff0028</t>
  </si>
  <si>
    <t>0x1fff0034</t>
  </si>
  <si>
    <t>0x1fff00f8</t>
  </si>
  <si>
    <t>0x1fff0138</t>
  </si>
  <si>
    <t>0x1fff016c</t>
  </si>
  <si>
    <t>0x1fff017c</t>
  </si>
  <si>
    <t>0x1fff019c</t>
  </si>
  <si>
    <t>0x1fff01a8</t>
  </si>
  <si>
    <t>0x1fff01d0</t>
  </si>
  <si>
    <t>0x1fff082c</t>
  </si>
  <si>
    <t>0x1fff1dc8</t>
  </si>
  <si>
    <t>0x1fff1de8</t>
  </si>
  <si>
    <t>0x1fff1e2c</t>
  </si>
  <si>
    <t>0xb0c</t>
  </si>
  <si>
    <t>0x244</t>
  </si>
  <si>
    <t>0x978</t>
  </si>
  <si>
    <t>0x1ad0</t>
  </si>
  <si>
    <t>0xde0</t>
  </si>
  <si>
    <t>0x1fff4fb8</t>
  </si>
  <si>
    <t>0x1fff5434</t>
  </si>
  <si>
    <t>0xbba</t>
  </si>
  <si>
    <t>0x340</t>
  </si>
  <si>
    <t>0xc0</t>
  </si>
  <si>
    <t>0x000346b8</t>
  </si>
  <si>
    <t>0x40e</t>
  </si>
  <si>
    <t>0x628</t>
  </si>
  <si>
    <t>0xe74</t>
  </si>
  <si>
    <t>0x104</t>
  </si>
  <si>
    <t>0x356</t>
  </si>
  <si>
    <t>0xab</t>
  </si>
  <si>
    <t>0x564</t>
  </si>
  <si>
    <t>0x534</t>
  </si>
  <si>
    <t>0x35a</t>
  </si>
  <si>
    <t>0x73e</t>
  </si>
  <si>
    <t>0x308</t>
  </si>
  <si>
    <t>wolfmath.o</t>
  </si>
  <si>
    <t>idea.o</t>
  </si>
  <si>
    <t>wolfio.o</t>
  </si>
  <si>
    <t>0x0000d55c</t>
  </si>
  <si>
    <t>0x0000dacc</t>
  </si>
  <si>
    <t>0x000163d4</t>
  </si>
  <si>
    <t>0x000341c4</t>
  </si>
  <si>
    <t>0x000342ac</t>
  </si>
  <si>
    <t>0x00034618</t>
  </si>
  <si>
    <t>0x00080166</t>
  </si>
  <si>
    <t>0x0008021c</t>
  </si>
  <si>
    <t>0x1fff05a0</t>
  </si>
  <si>
    <t>0x1fff080c</t>
  </si>
  <si>
    <t>0x1fff0818</t>
  </si>
  <si>
    <t>0x1fff58f4</t>
  </si>
  <si>
    <t>0x1fff7494</t>
  </si>
  <si>
    <t>0x1fff75a0</t>
  </si>
  <si>
    <t>0x0000675a</t>
  </si>
  <si>
    <t>0x00006786</t>
  </si>
  <si>
    <t>0x000067a4</t>
  </si>
  <si>
    <t>0x000067aa</t>
  </si>
  <si>
    <t>0x000067ae</t>
  </si>
  <si>
    <t>0x360</t>
  </si>
  <si>
    <t>0xbca</t>
  </si>
  <si>
    <t>0x844</t>
  </si>
  <si>
    <t>0x2880</t>
  </si>
  <si>
    <t>0x8b4</t>
  </si>
  <si>
    <t>0x21c8</t>
  </si>
  <si>
    <t>0x2028</t>
  </si>
  <si>
    <t>0x37c0</t>
  </si>
  <si>
    <t>0x5dc</t>
  </si>
  <si>
    <t>0x2dd0</t>
  </si>
  <si>
    <t>0x774</t>
  </si>
  <si>
    <t>0xb0ce</t>
  </si>
  <si>
    <t>0x6fc</t>
  </si>
  <si>
    <t>0x7a0</t>
  </si>
  <si>
    <t>0x6ec</t>
  </si>
  <si>
    <t>0x412</t>
  </si>
  <si>
    <t>0x284</t>
  </si>
  <si>
    <t>toupper.o</t>
  </si>
  <si>
    <t>log.o</t>
  </si>
  <si>
    <t>0x00006930</t>
  </si>
  <si>
    <t>0x000071f0</t>
  </si>
  <si>
    <t>0x00007232</t>
  </si>
  <si>
    <t>0x000072b0</t>
  </si>
  <si>
    <t>0x000072d0</t>
  </si>
  <si>
    <t>0x00007300</t>
  </si>
  <si>
    <t>0x00007330</t>
  </si>
  <si>
    <t>0x000074d4</t>
  </si>
  <si>
    <t>0x000075bc</t>
  </si>
  <si>
    <t>0x00007614</t>
  </si>
  <si>
    <t>0x00007644</t>
  </si>
  <si>
    <t>0x000077c4</t>
  </si>
  <si>
    <t>0x00007a1c</t>
  </si>
  <si>
    <t>0x00007d7c</t>
  </si>
  <si>
    <t>0x00008042</t>
  </si>
  <si>
    <t>0x00008084</t>
  </si>
  <si>
    <t>0x000081a0</t>
  </si>
  <si>
    <t>0x000081d8</t>
  </si>
  <si>
    <t>0x000083d8</t>
  </si>
  <si>
    <t>0x00008430</t>
  </si>
  <si>
    <t>0x000084c0</t>
  </si>
  <si>
    <t>0x00008510</t>
  </si>
  <si>
    <t>0x00008610</t>
  </si>
  <si>
    <t>0x0000877c</t>
  </si>
  <si>
    <t>0x00008868</t>
  </si>
  <si>
    <t>0x000088b8</t>
  </si>
  <si>
    <t>0x000089a0</t>
  </si>
  <si>
    <t>0x00008ca6</t>
  </si>
  <si>
    <t>0x00008ccc</t>
  </si>
  <si>
    <t>0x00008e50</t>
  </si>
  <si>
    <t>0x0000906c</t>
  </si>
  <si>
    <t>0x00009134</t>
  </si>
  <si>
    <t>0x0000916c</t>
  </si>
  <si>
    <t>0x000091dc</t>
  </si>
  <si>
    <t>0x00009228</t>
  </si>
  <si>
    <t>0x0000924c</t>
  </si>
  <si>
    <t>0x000093b4</t>
  </si>
  <si>
    <t>0x0000951c</t>
  </si>
  <si>
    <t>0x0000952e</t>
  </si>
  <si>
    <t>0x0000953e</t>
  </si>
  <si>
    <t>0x00009544</t>
  </si>
  <si>
    <t>0x00009558</t>
  </si>
  <si>
    <t>0x000095e0</t>
  </si>
  <si>
    <t>0x000095e6</t>
  </si>
  <si>
    <t>0x00009608</t>
  </si>
  <si>
    <t>0x00009644</t>
  </si>
  <si>
    <t>0x000096bc</t>
  </si>
  <si>
    <t>0x00009724</t>
  </si>
  <si>
    <t>0x00009858</t>
  </si>
  <si>
    <t>0x0000985c</t>
  </si>
  <si>
    <t>0x000098c0</t>
  </si>
  <si>
    <t>0x00009938</t>
  </si>
  <si>
    <t>0x0000997c</t>
  </si>
  <si>
    <t>0x000099b4</t>
  </si>
  <si>
    <t>0x00009a20</t>
  </si>
  <si>
    <t>0x00009a44</t>
  </si>
  <si>
    <t>0x00009a4c</t>
  </si>
  <si>
    <t>0x00009a90</t>
  </si>
  <si>
    <t>0x00009aac</t>
  </si>
  <si>
    <t>0x00009ad4</t>
  </si>
  <si>
    <t>0x00009ae0</t>
  </si>
  <si>
    <t>0x00009af8</t>
  </si>
  <si>
    <t>0x00009b50</t>
  </si>
  <si>
    <t>0x00009b5a</t>
  </si>
  <si>
    <t>0x00009b66</t>
  </si>
  <si>
    <t>0x00009c40</t>
  </si>
  <si>
    <t>0x00009c64</t>
  </si>
  <si>
    <t>0x00009c80</t>
  </si>
  <si>
    <t>0x00009c84</t>
  </si>
  <si>
    <t>0x00009c88</t>
  </si>
  <si>
    <t>0x00009cf0</t>
  </si>
  <si>
    <t>0x00009d20</t>
  </si>
  <si>
    <t>0x00009d84</t>
  </si>
  <si>
    <t>0x00009d9c</t>
  </si>
  <si>
    <t>0x0000a5cc</t>
  </si>
  <si>
    <t>0x0000a8e0</t>
  </si>
  <si>
    <t>0x0000aaf4</t>
  </si>
  <si>
    <t>0x0000ac04</t>
  </si>
  <si>
    <t>0x0000b4d8</t>
  </si>
  <si>
    <t>0x0000b518</t>
  </si>
  <si>
    <t>0x0000b578</t>
  </si>
  <si>
    <t>0x0000b754</t>
  </si>
  <si>
    <t>0x0000b7bc</t>
  </si>
  <si>
    <t>0x0000b7fc</t>
  </si>
  <si>
    <t>0x0000b84c</t>
  </si>
  <si>
    <t>0x0000b89c</t>
  </si>
  <si>
    <t>0x0000b92c</t>
  </si>
  <si>
    <t>0x0000b974</t>
  </si>
  <si>
    <t>0x0000ba04</t>
  </si>
  <si>
    <t>0x0000ba7c</t>
  </si>
  <si>
    <t>0x0000baac</t>
  </si>
  <si>
    <t>0x0000bad2</t>
  </si>
  <si>
    <t>0x0000bb5e</t>
  </si>
  <si>
    <t>0x0000bb8a</t>
  </si>
  <si>
    <t>0x0000bc24</t>
  </si>
  <si>
    <t>0x0000bc40</t>
  </si>
  <si>
    <t>0x0000bfd0</t>
  </si>
  <si>
    <t>0x0000c07c</t>
  </si>
  <si>
    <t>0x0000c51c</t>
  </si>
  <si>
    <t>0x0000c578</t>
  </si>
  <si>
    <t>0x0000cec8</t>
  </si>
  <si>
    <t>0x0000cef0</t>
  </si>
  <si>
    <t>0x0000cf34</t>
  </si>
  <si>
    <t>0x0000cf58</t>
  </si>
  <si>
    <t>0x0000cfe4</t>
  </si>
  <si>
    <t>0x0000d070</t>
  </si>
  <si>
    <t>0x0000d09c</t>
  </si>
  <si>
    <t>0x0000d4b0</t>
  </si>
  <si>
    <t>0x0000d534</t>
  </si>
  <si>
    <t>0x0000d56c</t>
  </si>
  <si>
    <t>0x0000d590</t>
  </si>
  <si>
    <t>0x0000d5d4</t>
  </si>
  <si>
    <t>0x0000d63c</t>
  </si>
  <si>
    <t>0x0000d6c4</t>
  </si>
  <si>
    <t>0x0000d768</t>
  </si>
  <si>
    <t>0x0000dadc</t>
  </si>
  <si>
    <t>0x0000dbca</t>
  </si>
  <si>
    <t>0x0000e38c</t>
  </si>
  <si>
    <t>0x0000e39e</t>
  </si>
  <si>
    <t>0x0000e3a0</t>
  </si>
  <si>
    <t>0x0000e3c4</t>
  </si>
  <si>
    <t>0x0000e9bc</t>
  </si>
  <si>
    <t>0x0000ead0</t>
  </si>
  <si>
    <t>0x0000f780</t>
  </si>
  <si>
    <t>0x0000fac0</t>
  </si>
  <si>
    <t>0x0000fb20</t>
  </si>
  <si>
    <t>0x0000fb28</t>
  </si>
  <si>
    <t>0x0000fb68</t>
  </si>
  <si>
    <t>0x0000fba8</t>
  </si>
  <si>
    <t>0x0000fbc0</t>
  </si>
  <si>
    <t>0x0000fbd4</t>
  </si>
  <si>
    <t>0x0000fc88</t>
  </si>
  <si>
    <t>0x0000fcb8</t>
  </si>
  <si>
    <t>0x0000fcd0</t>
  </si>
  <si>
    <t>0x0000fd40</t>
  </si>
  <si>
    <t>0x0000fd54</t>
  </si>
  <si>
    <t>0x000100fc</t>
  </si>
  <si>
    <t>0x000103b8</t>
  </si>
  <si>
    <t>0x00010590</t>
  </si>
  <si>
    <t>0x00010bfc</t>
  </si>
  <si>
    <t>0x00010d0c</t>
  </si>
  <si>
    <t>0x00010d80</t>
  </si>
  <si>
    <t>0x00010e44</t>
  </si>
  <si>
    <t>0x00011320</t>
  </si>
  <si>
    <t>0x00011370</t>
  </si>
  <si>
    <t>0x0001153c</t>
  </si>
  <si>
    <t>0x0001156c</t>
  </si>
  <si>
    <t>0x00011698</t>
  </si>
  <si>
    <t>0x00011acc</t>
  </si>
  <si>
    <t>0x00011afc</t>
  </si>
  <si>
    <t>0x000120a0</t>
  </si>
  <si>
    <t>0x000125b0</t>
  </si>
  <si>
    <t>0x000125f4</t>
  </si>
  <si>
    <t>0x000126d8</t>
  </si>
  <si>
    <t>0x00014550</t>
  </si>
  <si>
    <t>0x00014558</t>
  </si>
  <si>
    <t>0x00015558</t>
  </si>
  <si>
    <t>0x000163cc</t>
  </si>
  <si>
    <t>0x000165f0</t>
  </si>
  <si>
    <t>0x000171bc</t>
  </si>
  <si>
    <t>0x00017a00</t>
  </si>
  <si>
    <t>0x00017a2c</t>
  </si>
  <si>
    <t>0x0001a2ac</t>
  </si>
  <si>
    <t>0x0001a3b0</t>
  </si>
  <si>
    <t>0x0001ac64</t>
  </si>
  <si>
    <t>0x0001ce2c</t>
  </si>
  <si>
    <t>0x0001ee54</t>
  </si>
  <si>
    <t>0x0001ee74</t>
  </si>
  <si>
    <t>0x00022634</t>
  </si>
  <si>
    <t>0x00022c10</t>
  </si>
  <si>
    <t>0x00022cd0</t>
  </si>
  <si>
    <t>0x00025aa0</t>
  </si>
  <si>
    <t>0x00025c94</t>
  </si>
  <si>
    <t>0x00026408</t>
  </si>
  <si>
    <t>0x00026760</t>
  </si>
  <si>
    <t>0x00031830</t>
  </si>
  <si>
    <t>0x00031f2c</t>
  </si>
  <si>
    <t>0x000326cc</t>
  </si>
  <si>
    <t>0x00032db8</t>
  </si>
  <si>
    <t>0x000331ca</t>
  </si>
  <si>
    <t>0x000331d0</t>
  </si>
  <si>
    <t>0x00033454</t>
  </si>
  <si>
    <t>0x00033900</t>
  </si>
  <si>
    <t>0x00034010</t>
  </si>
  <si>
    <t>0x00034024</t>
  </si>
  <si>
    <t>0x0003422c</t>
  </si>
  <si>
    <t>0x000343f8</t>
  </si>
  <si>
    <t>0x00034498</t>
  </si>
  <si>
    <t>0x000344bc</t>
  </si>
  <si>
    <t>0x000344cc</t>
  </si>
  <si>
    <t>0x000345b0</t>
  </si>
  <si>
    <t>0x000345d4</t>
  </si>
  <si>
    <t>0x0003460c</t>
  </si>
  <si>
    <t>0x00034694</t>
  </si>
  <si>
    <t>0x000346a0</t>
  </si>
  <si>
    <t>0x000346ac</t>
  </si>
  <si>
    <t>0x000346c4</t>
  </si>
  <si>
    <t>0x3c0</t>
  </si>
  <si>
    <t>0x10c</t>
  </si>
  <si>
    <t>0x2b8</t>
  </si>
  <si>
    <t>0x94</t>
  </si>
  <si>
    <t>0x304</t>
  </si>
  <si>
    <t>0x11c</t>
  </si>
  <si>
    <t>0x27c</t>
  </si>
  <si>
    <t>0x1fff01b0</t>
  </si>
  <si>
    <t>0x1fff01d4</t>
  </si>
  <si>
    <t>0x1fff04dc</t>
  </si>
  <si>
    <t>0x1fff04e8</t>
  </si>
  <si>
    <t>0x1fff04ec</t>
  </si>
  <si>
    <t>0x1fff04f0</t>
  </si>
  <si>
    <t>0x1fff04f4</t>
  </si>
  <si>
    <t>0x1fff0520</t>
  </si>
  <si>
    <t>0x1fff0560</t>
  </si>
  <si>
    <t>0x1fff0568</t>
  </si>
  <si>
    <t>0x1fff0570</t>
  </si>
  <si>
    <t>0x1fff0571</t>
  </si>
  <si>
    <t>0x1fff0572</t>
  </si>
  <si>
    <t>0x1fff0574</t>
  </si>
  <si>
    <t>0x1fff0578</t>
  </si>
  <si>
    <t>0x1fff05a4</t>
  </si>
  <si>
    <t>0x1fff05a8</t>
  </si>
  <si>
    <t>0x1fff05cc</t>
  </si>
  <si>
    <t>0x1fff05f0</t>
  </si>
  <si>
    <t>0x1fff0614</t>
  </si>
  <si>
    <t>0x1fff0638</t>
  </si>
  <si>
    <t>0x1fff0648</t>
  </si>
  <si>
    <t>0x1fff066c</t>
  </si>
  <si>
    <t>0x1fff0690</t>
  </si>
  <si>
    <t>0x1fff0694</t>
  </si>
  <si>
    <t>0x1fff06b8</t>
  </si>
  <si>
    <t>0x1fff06dc</t>
  </si>
  <si>
    <t>0x1fff06e0</t>
  </si>
  <si>
    <t>0x1fff06e8</t>
  </si>
  <si>
    <t>0x1fff07a8</t>
  </si>
  <si>
    <t>0x1fff07ac</t>
  </si>
  <si>
    <t>0x1fff07e8</t>
  </si>
  <si>
    <t>0x1fff07ec</t>
  </si>
  <si>
    <t>0x1fff07f8</t>
  </si>
  <si>
    <t>0x1fff07fc</t>
  </si>
  <si>
    <t>0x1fff0824</t>
  </si>
  <si>
    <t>0x1fff0834</t>
  </si>
  <si>
    <t>0x1fff0858</t>
  </si>
  <si>
    <t>0x1fff10e0</t>
  </si>
  <si>
    <t>0x1fff18b0</t>
  </si>
  <si>
    <t>0x1fff18b4</t>
  </si>
  <si>
    <t>0x1fff1958</t>
  </si>
  <si>
    <t>0x1fff1cb4</t>
  </si>
  <si>
    <t>0x1fff1cb5</t>
  </si>
  <si>
    <t>0x1fff1cb6</t>
  </si>
  <si>
    <t>0x1fff1cb7</t>
  </si>
  <si>
    <t>0x1fff1cb8</t>
  </si>
  <si>
    <t>0x1fff1cb9</t>
  </si>
  <si>
    <t>0x1fff1d08</t>
  </si>
  <si>
    <t>0x1fff1d1c</t>
  </si>
  <si>
    <t>0x1fff1d20</t>
  </si>
  <si>
    <t>0x1fff1d24</t>
  </si>
  <si>
    <t>0x1fff1d2c</t>
  </si>
  <si>
    <t>0x1fff1d30</t>
  </si>
  <si>
    <t>0x1fff1d34</t>
  </si>
  <si>
    <t>0x1fff1d68</t>
  </si>
  <si>
    <t>0x1fff1d74</t>
  </si>
  <si>
    <t>0x1fff1d80</t>
  </si>
  <si>
    <t>0x1fff1da8</t>
  </si>
  <si>
    <t>0x1fff1dd8</t>
  </si>
  <si>
    <t>0x1fff1e0c</t>
  </si>
  <si>
    <t>0x1fff1e5c</t>
  </si>
  <si>
    <t>0x1fff1e60</t>
  </si>
  <si>
    <t>0x1fff1ea0</t>
  </si>
  <si>
    <t>0x1fff1ee0</t>
  </si>
  <si>
    <t>0x1fff1ef4</t>
  </si>
  <si>
    <t>0x1fff2060</t>
  </si>
  <si>
    <t>0x1fff2064</t>
  </si>
  <si>
    <t>0x1fff20ac</t>
  </si>
  <si>
    <t>0x1fff20c8</t>
  </si>
  <si>
    <t>0x1fff20f0</t>
  </si>
  <si>
    <t>0x1fff2120</t>
  </si>
  <si>
    <t>0x1fff2150</t>
  </si>
  <si>
    <t>0x1fff216c</t>
  </si>
  <si>
    <t>0x1fff219c</t>
  </si>
  <si>
    <t>0x1fff21a4</t>
  </si>
  <si>
    <t>0x1fff21ac</t>
  </si>
  <si>
    <t>0x1fff2214</t>
  </si>
  <si>
    <t>0x1fff225c</t>
  </si>
  <si>
    <t>0x1fff2310</t>
  </si>
  <si>
    <t>0x1fff2318</t>
  </si>
  <si>
    <t>0x1fff235c</t>
  </si>
  <si>
    <t>0x1fff2368</t>
  </si>
  <si>
    <t>0x1fff2494</t>
  </si>
  <si>
    <t>0x1fff2498</t>
  </si>
  <si>
    <t>0x1fff2604</t>
  </si>
  <si>
    <t>0x1fff2610</t>
  </si>
  <si>
    <t>0x1fff261c</t>
  </si>
  <si>
    <t>0x1fff2644</t>
  </si>
  <si>
    <t>0x1fff2658</t>
  </si>
  <si>
    <t>0x1fff266c</t>
  </si>
  <si>
    <t>0x1fff413c</t>
  </si>
  <si>
    <t>0x1fff41a0</t>
  </si>
  <si>
    <t>0x1fff4f80</t>
  </si>
  <si>
    <t>0x1fff4f98</t>
  </si>
  <si>
    <t>0x1fff4fa4</t>
  </si>
  <si>
    <t>0x1fff51e8</t>
  </si>
  <si>
    <t>0x1fff5210</t>
  </si>
  <si>
    <t>0x1fff5218</t>
  </si>
  <si>
    <t>0x1fff524c</t>
  </si>
  <si>
    <t>0x1fff5378</t>
  </si>
  <si>
    <t>0x1fff537c</t>
  </si>
  <si>
    <t>0x1fff5380</t>
  </si>
  <si>
    <t>0x1fff538c</t>
  </si>
  <si>
    <t>0x1fff53b4</t>
  </si>
  <si>
    <t>0x1fff53e4</t>
  </si>
  <si>
    <t>0x1fff5414</t>
  </si>
  <si>
    <t>0x1fff5430</t>
  </si>
  <si>
    <t>0x1fff5438</t>
  </si>
  <si>
    <t>0x1fff545c</t>
  </si>
  <si>
    <t>0x1fff5468</t>
  </si>
  <si>
    <t>0x1fff54b0</t>
  </si>
  <si>
    <t>0x1fff54f8</t>
  </si>
  <si>
    <t>0x1fff5504</t>
  </si>
  <si>
    <t>0x1fff55e8</t>
  </si>
  <si>
    <t>0x1fff55fc</t>
  </si>
  <si>
    <t>0x1fff58d4</t>
  </si>
  <si>
    <t>0x1fff6ed4</t>
  </si>
  <si>
    <t>0x1fff6ed8</t>
  </si>
  <si>
    <t>0x1fff6edc</t>
  </si>
  <si>
    <t>0x1fff6ee0</t>
  </si>
  <si>
    <t>0x1fff6ee4</t>
  </si>
  <si>
    <t>0x1fff6ee8</t>
  </si>
  <si>
    <t>0x1fff7208</t>
  </si>
  <si>
    <t>0x1fff723c</t>
  </si>
  <si>
    <t>0x1fff7240</t>
  </si>
  <si>
    <t>0x1fff7244</t>
  </si>
  <si>
    <t>0x1fff7248</t>
  </si>
  <si>
    <t>0x1fff724c</t>
  </si>
  <si>
    <t>0x1fff7250</t>
  </si>
  <si>
    <t>0x1fff7450</t>
  </si>
  <si>
    <t>0x1fff7470</t>
  </si>
  <si>
    <t>0x1fff7478</t>
  </si>
  <si>
    <t>0x1fff7484</t>
  </si>
  <si>
    <t>0x1fff7490</t>
  </si>
  <si>
    <t>0x1fff74bc</t>
  </si>
  <si>
    <t>0x1fff74e4</t>
  </si>
  <si>
    <t>0x1fff7508</t>
  </si>
  <si>
    <t>0x1fff7550</t>
  </si>
  <si>
    <t>0x1fff7554</t>
  </si>
  <si>
    <t>0x1fff7584</t>
  </si>
  <si>
    <t>0x1fff75b0</t>
  </si>
  <si>
    <t>0x1fff75b8</t>
  </si>
  <si>
    <t>0x1fff75c4</t>
  </si>
  <si>
    <t>0x1fff75f4</t>
  </si>
  <si>
    <t>0x1fff75fc</t>
  </si>
  <si>
    <t>0x248</t>
  </si>
  <si>
    <t>0x668</t>
  </si>
  <si>
    <t>radio_TCXO.o</t>
  </si>
  <si>
    <t>FTM0.o</t>
  </si>
  <si>
    <t>FTM1.o</t>
  </si>
  <si>
    <t>FTM2.o</t>
  </si>
  <si>
    <t>FTM3.o</t>
  </si>
  <si>
    <t>0x17</t>
  </si>
  <si>
    <t>0x00033f3c</t>
  </si>
  <si>
    <t>0x9c4</t>
  </si>
  <si>
    <t>0x0003ebec</t>
  </si>
  <si>
    <t>0x2ec</t>
  </si>
  <si>
    <t>0x990</t>
  </si>
  <si>
    <t>0x38c</t>
  </si>
  <si>
    <t>0x2240</t>
  </si>
  <si>
    <t>0x358</t>
  </si>
  <si>
    <t>0x718</t>
  </si>
  <si>
    <t>0x00080934</t>
  </si>
  <si>
    <t>0x204</t>
  </si>
  <si>
    <t>0x35e</t>
  </si>
  <si>
    <t>0x1628</t>
  </si>
  <si>
    <t>0x144</t>
  </si>
  <si>
    <t>0x1fff08d0</t>
  </si>
  <si>
    <t>0x1fff10d0</t>
  </si>
  <si>
    <t>0x1fff10d8</t>
  </si>
  <si>
    <t>0x1fff10dc</t>
  </si>
  <si>
    <t>0x1fff17c0</t>
  </si>
  <si>
    <t>0x1fff17c4</t>
  </si>
  <si>
    <t>0x1fff17f4</t>
  </si>
  <si>
    <t>0x1fff1810</t>
  </si>
  <si>
    <t>0x1fff1811</t>
  </si>
  <si>
    <t>0x1fff1878</t>
  </si>
  <si>
    <t>0x1fff18a0</t>
  </si>
  <si>
    <t>0x1fff18a4</t>
  </si>
  <si>
    <t>0x1fff18a8</t>
  </si>
  <si>
    <t>0x1fff18ac</t>
  </si>
  <si>
    <t>0x1fff190c</t>
  </si>
  <si>
    <t>0x1fff1910</t>
  </si>
  <si>
    <t>0x1fff1998</t>
  </si>
  <si>
    <t>0x1fff199c</t>
  </si>
  <si>
    <t>0x1fff19b8</t>
  </si>
  <si>
    <t>0x1fff1ab8</t>
  </si>
  <si>
    <t>0x1fff1ae8</t>
  </si>
  <si>
    <t>0x1fff1b18</t>
  </si>
  <si>
    <t>0x1fff1b34</t>
  </si>
  <si>
    <t>0x1fff1b38</t>
  </si>
  <si>
    <t>0x1fff1b68</t>
  </si>
  <si>
    <t>0x1fff1b98</t>
  </si>
  <si>
    <t>0x1fff1bb4</t>
  </si>
  <si>
    <t>0x1fff1bb8</t>
  </si>
  <si>
    <t>0x1fff1c0c</t>
  </si>
  <si>
    <t>0x1fff1c10</t>
  </si>
  <si>
    <t>0x1fff1c14</t>
  </si>
  <si>
    <t>0x1fff1ca4</t>
  </si>
  <si>
    <t>0x1fff1cb0</t>
  </si>
  <si>
    <t>0x1fff1cb1</t>
  </si>
  <si>
    <t>0x1fff1cb2</t>
  </si>
  <si>
    <t>0x1fff1cb3</t>
  </si>
  <si>
    <t>0x1fff89e8</t>
  </si>
  <si>
    <t>0x1fff987c</t>
  </si>
  <si>
    <t>0x1fffb364</t>
  </si>
  <si>
    <t>0x1fffbfc0</t>
  </si>
  <si>
    <t>hmc_display.o</t>
  </si>
  <si>
    <t>0x000460e8</t>
  </si>
  <si>
    <t>0x00046b90</t>
  </si>
  <si>
    <t>0x000479e8</t>
  </si>
  <si>
    <t>0x1ffc</t>
  </si>
  <si>
    <t>0x2e6</t>
  </si>
  <si>
    <t>0x3e8</t>
  </si>
  <si>
    <t>0x684</t>
  </si>
  <si>
    <t>0x4e4</t>
  </si>
  <si>
    <t>0x1fff18b8</t>
  </si>
  <si>
    <t>0x1fff18c4</t>
  </si>
  <si>
    <t>0x1fff18d4</t>
  </si>
  <si>
    <t>0x1fff18e0</t>
  </si>
  <si>
    <t>0x1fff18ec</t>
  </si>
  <si>
    <t>0x1fff1914</t>
  </si>
  <si>
    <t>0x1fff1930</t>
  </si>
  <si>
    <t>0x1fff194c</t>
  </si>
  <si>
    <t>0x1fff195c</t>
  </si>
  <si>
    <t>0x1fff1968</t>
  </si>
  <si>
    <t>0x1fff199e</t>
  </si>
  <si>
    <t>0x1fff19a0</t>
  </si>
  <si>
    <t>0x1fff19a1</t>
  </si>
  <si>
    <t>0x4a</t>
  </si>
  <si>
    <t>0x00038294</t>
  </si>
  <si>
    <t>0x0003a7c8</t>
  </si>
  <si>
    <t>0x0003cd6c</t>
  </si>
  <si>
    <t>0x0003d90c</t>
  </si>
  <si>
    <t>0x0003dc0c</t>
  </si>
  <si>
    <t>0x0003e044</t>
  </si>
  <si>
    <t>0x0003e06c</t>
  </si>
  <si>
    <t>0x0003e08c</t>
  </si>
  <si>
    <t>0x0003ec00</t>
  </si>
  <si>
    <t>0x00040654</t>
  </si>
  <si>
    <t>0x000413b4</t>
  </si>
  <si>
    <t>0x000417f0</t>
  </si>
  <si>
    <t>0x00042504</t>
  </si>
  <si>
    <t>0x00043064</t>
  </si>
  <si>
    <t>0x000432a0</t>
  </si>
  <si>
    <t>0x00043660</t>
  </si>
  <si>
    <t>0x00043668</t>
  </si>
  <si>
    <t>0x000436a4</t>
  </si>
  <si>
    <t>0x000436c8</t>
  </si>
  <si>
    <t>0x000436d0</t>
  </si>
  <si>
    <t>0x000436d8</t>
  </si>
  <si>
    <t>0x000436e0</t>
  </si>
  <si>
    <t>0x000436e8</t>
  </si>
  <si>
    <t>0x0004370c</t>
  </si>
  <si>
    <t>0x0004373c</t>
  </si>
  <si>
    <t>0x00043744</t>
  </si>
  <si>
    <t>0x0004375c</t>
  </si>
  <si>
    <t>0x00043784</t>
  </si>
  <si>
    <t>0x00044364</t>
  </si>
  <si>
    <t>0x00044af8</t>
  </si>
  <si>
    <t>0x00045380</t>
  </si>
  <si>
    <t>0x00045390</t>
  </si>
  <si>
    <t>0x00046740</t>
  </si>
  <si>
    <t>0x000467fc</t>
  </si>
  <si>
    <t>0x00046a5c</t>
  </si>
  <si>
    <t>0x00047a48</t>
  </si>
  <si>
    <t>0x00048754</t>
  </si>
  <si>
    <t>0x000487d4</t>
  </si>
  <si>
    <t>0x00049114</t>
  </si>
  <si>
    <t>0x000495b4</t>
  </si>
  <si>
    <t>0x00049cfc</t>
  </si>
  <si>
    <t>0x00049e0c</t>
  </si>
  <si>
    <t>0x00049e50</t>
  </si>
  <si>
    <t>0x0004a0a0</t>
  </si>
  <si>
    <t>0x0004a3f8</t>
  </si>
  <si>
    <t>0x126</t>
  </si>
  <si>
    <t>0x1fffc9f0</t>
  </si>
  <si>
    <t>0x1fffcadc</t>
  </si>
  <si>
    <t>0x0000dbda</t>
  </si>
  <si>
    <t>0x0000e04c</t>
  </si>
  <si>
    <t>0x0000e06c</t>
  </si>
  <si>
    <t>0x0000e088</t>
  </si>
  <si>
    <t>0x0000e0b2</t>
  </si>
  <si>
    <t>0x0000e0ea</t>
  </si>
  <si>
    <t>0x0000e1bc</t>
  </si>
  <si>
    <t>0x0000e1f4</t>
  </si>
  <si>
    <t>0x0000e24a</t>
  </si>
  <si>
    <t>0x0000e27a</t>
  </si>
  <si>
    <t>0x0000e2a2</t>
  </si>
  <si>
    <t>0x0000e32c</t>
  </si>
  <si>
    <t>0x0000e366</t>
  </si>
  <si>
    <t>0x000346d0</t>
  </si>
  <si>
    <t>0x000347a0</t>
  </si>
  <si>
    <t>0x000347c4</t>
  </si>
  <si>
    <t>0x000347e8</t>
  </si>
  <si>
    <t>0x00034904</t>
  </si>
  <si>
    <t>0x00034a1c</t>
  </si>
  <si>
    <t>0x00034a68</t>
  </si>
  <si>
    <t>0x00034ac4</t>
  </si>
  <si>
    <t>0x00034b64</t>
  </si>
  <si>
    <t>0xfc</t>
  </si>
  <si>
    <t>0x00035028</t>
  </si>
  <si>
    <t>0x00035074</t>
  </si>
  <si>
    <t>0x00035098</t>
  </si>
  <si>
    <t>0x00036110</t>
  </si>
  <si>
    <t>0x00036298</t>
  </si>
  <si>
    <t>0x000370e4</t>
  </si>
  <si>
    <t>0x00037104</t>
  </si>
  <si>
    <t>0x0003a7dc</t>
  </si>
  <si>
    <t>0x0003a7fc</t>
  </si>
  <si>
    <t>0x0003a8a0</t>
  </si>
  <si>
    <t>0x0003a8ec</t>
  </si>
  <si>
    <t>0x0003a98c</t>
  </si>
  <si>
    <t>0x0003a9e4</t>
  </si>
  <si>
    <t>0x0003b018</t>
  </si>
  <si>
    <t>0x0003b0a8</t>
  </si>
  <si>
    <t>0x188</t>
  </si>
  <si>
    <t>0x0003bbb4</t>
  </si>
  <si>
    <t>0x0003be80</t>
  </si>
  <si>
    <t>0x0003ccb4</t>
  </si>
  <si>
    <t>0x0003d51c</t>
  </si>
  <si>
    <t>0x0003d58c</t>
  </si>
  <si>
    <t>0x0003d5b0</t>
  </si>
  <si>
    <t>0x0003d68c</t>
  </si>
  <si>
    <t>0x0003d770</t>
  </si>
  <si>
    <t>0x0003d794</t>
  </si>
  <si>
    <t>0x0003d8b4</t>
  </si>
  <si>
    <t>0x0003d8cc</t>
  </si>
  <si>
    <t>0x0003d8d4</t>
  </si>
  <si>
    <t>0x0003d8ec</t>
  </si>
  <si>
    <t>0x0003d92c</t>
  </si>
  <si>
    <t>0x0003db84</t>
  </si>
  <si>
    <t>0x0003dbec</t>
  </si>
  <si>
    <t>0x0003dc6c</t>
  </si>
  <si>
    <t>0x0003ddc4</t>
  </si>
  <si>
    <t>0x0003e04c</t>
  </si>
  <si>
    <t>0x0003e0c0</t>
  </si>
  <si>
    <t>0x0003e0f8</t>
  </si>
  <si>
    <t>0x0003e104</t>
  </si>
  <si>
    <t>0x0003e1cc</t>
  </si>
  <si>
    <t>0x0003e888</t>
  </si>
  <si>
    <t>0x0003e8d0</t>
  </si>
  <si>
    <t>0x0003e8f0</t>
  </si>
  <si>
    <t>0x0003ec0c</t>
  </si>
  <si>
    <t>0x0003ec20</t>
  </si>
  <si>
    <t>0x0003ed00</t>
  </si>
  <si>
    <t>0x0003ed74</t>
  </si>
  <si>
    <t>0x0003edc4</t>
  </si>
  <si>
    <t>0x0003ede4</t>
  </si>
  <si>
    <t>0x0003efa8</t>
  </si>
  <si>
    <t>0x0003f028</t>
  </si>
  <si>
    <t>0x0003f22c</t>
  </si>
  <si>
    <t>0x0003f340</t>
  </si>
  <si>
    <t>0x0003f59c</t>
  </si>
  <si>
    <t>0x0003f5c4</t>
  </si>
  <si>
    <t>0x0003f608</t>
  </si>
  <si>
    <t>0x0003ff00</t>
  </si>
  <si>
    <t>0x00040080</t>
  </si>
  <si>
    <t>0x00040348</t>
  </si>
  <si>
    <t>0x000403b4</t>
  </si>
  <si>
    <t>0x000403bc</t>
  </si>
  <si>
    <t>0x00040748</t>
  </si>
  <si>
    <t>0x00040b8c</t>
  </si>
  <si>
    <t>0x0004126c</t>
  </si>
  <si>
    <t>0x000414cc</t>
  </si>
  <si>
    <t>0x00041884</t>
  </si>
  <si>
    <t>0x00041954</t>
  </si>
  <si>
    <t>0x00041a28</t>
  </si>
  <si>
    <t>0x00041a48</t>
  </si>
  <si>
    <t>0x00041adc</t>
  </si>
  <si>
    <t>0x00041c44</t>
  </si>
  <si>
    <t>0x00041e68</t>
  </si>
  <si>
    <t>0x00041e88</t>
  </si>
  <si>
    <t>0x00041ea8</t>
  </si>
  <si>
    <t>0x00041ed4</t>
  </si>
  <si>
    <t>0x000425b8</t>
  </si>
  <si>
    <t>0x00042640</t>
  </si>
  <si>
    <t>0x00042c84</t>
  </si>
  <si>
    <t>0x00042ca4</t>
  </si>
  <si>
    <t>0x00042ecc</t>
  </si>
  <si>
    <t>0x00042fa0</t>
  </si>
  <si>
    <t>0x00042fd8</t>
  </si>
  <si>
    <t>0x00042fe4</t>
  </si>
  <si>
    <t>0x00043004</t>
  </si>
  <si>
    <t>0x00043014</t>
  </si>
  <si>
    <t>0x00043024</t>
  </si>
  <si>
    <t>0x00043034</t>
  </si>
  <si>
    <t>0x00043044</t>
  </si>
  <si>
    <t>0x00043054</t>
  </si>
  <si>
    <t>0x00043090</t>
  </si>
  <si>
    <t>0x000430fc</t>
  </si>
  <si>
    <t>0x0004310c</t>
  </si>
  <si>
    <t>0x000431a0</t>
  </si>
  <si>
    <t>0x000431b0</t>
  </si>
  <si>
    <t>0x000431c0</t>
  </si>
  <si>
    <t>0x000431d0</t>
  </si>
  <si>
    <t>0x00043218</t>
  </si>
  <si>
    <t>0x00043244</t>
  </si>
  <si>
    <t>0x000432d4</t>
  </si>
  <si>
    <t>0x00043678</t>
  </si>
  <si>
    <t>0x00043680</t>
  </si>
  <si>
    <t>0x00043704</t>
  </si>
  <si>
    <t>0x00043714</t>
  </si>
  <si>
    <t>0x0004371c</t>
  </si>
  <si>
    <t>0x00043724</t>
  </si>
  <si>
    <t>0x0004372c</t>
  </si>
  <si>
    <t>0x00043734</t>
  </si>
  <si>
    <t>0x0004374c</t>
  </si>
  <si>
    <t>0x00043754</t>
  </si>
  <si>
    <t>0x00043764</t>
  </si>
  <si>
    <t>0x00043790</t>
  </si>
  <si>
    <t>0x000437cc</t>
  </si>
  <si>
    <t>0x000438e8</t>
  </si>
  <si>
    <t>0x00044314</t>
  </si>
  <si>
    <t>0x000443d0</t>
  </si>
  <si>
    <t>0x0004448c</t>
  </si>
  <si>
    <t>0x00044614</t>
  </si>
  <si>
    <t>0x00044664</t>
  </si>
  <si>
    <t>0x000446e8</t>
  </si>
  <si>
    <t>0x000446fc</t>
  </si>
  <si>
    <t>0x00044acc</t>
  </si>
  <si>
    <t>0x00044b64</t>
  </si>
  <si>
    <t>0x00044bdc</t>
  </si>
  <si>
    <t>0x00044c44</t>
  </si>
  <si>
    <t>0x00044c7c</t>
  </si>
  <si>
    <t>0x00044c9c</t>
  </si>
  <si>
    <t>0x00044f84</t>
  </si>
  <si>
    <t>0x00045294</t>
  </si>
  <si>
    <t>0x000453c4</t>
  </si>
  <si>
    <t>0x000453fc</t>
  </si>
  <si>
    <t>0x0004548c</t>
  </si>
  <si>
    <t>0x000457cc</t>
  </si>
  <si>
    <t>0x000457e0</t>
  </si>
  <si>
    <t>0x0004588c</t>
  </si>
  <si>
    <t>0x000459f4</t>
  </si>
  <si>
    <t>0x00045ba4</t>
  </si>
  <si>
    <t>0x00045bc0</t>
  </si>
  <si>
    <t>0x00045cac</t>
  </si>
  <si>
    <t>0x00045d80</t>
  </si>
  <si>
    <t>0x00045ec0</t>
  </si>
  <si>
    <t>0x00045f6c</t>
  </si>
  <si>
    <t>0x00045f78</t>
  </si>
  <si>
    <t>0x00045fa8</t>
  </si>
  <si>
    <t>0x00046000</t>
  </si>
  <si>
    <t>0x000460c0</t>
  </si>
  <si>
    <t>0x0004612c</t>
  </si>
  <si>
    <t>0x00046204</t>
  </si>
  <si>
    <t>0x00046220</t>
  </si>
  <si>
    <t>0x000462c8</t>
  </si>
  <si>
    <t>0x00046560</t>
  </si>
  <si>
    <t>0x00046620</t>
  </si>
  <si>
    <t>0x00046784</t>
  </si>
  <si>
    <t>0x000467bc</t>
  </si>
  <si>
    <t>0x00046984</t>
  </si>
  <si>
    <t>0x000469fc</t>
  </si>
  <si>
    <t>0x00046a74</t>
  </si>
  <si>
    <t>0x00046ac0</t>
  </si>
  <si>
    <t>0x00046ad8</t>
  </si>
  <si>
    <t>0x00046bf8</t>
  </si>
  <si>
    <t>0x00046c48</t>
  </si>
  <si>
    <t>0x00046c5c</t>
  </si>
  <si>
    <t>0x00046c74</t>
  </si>
  <si>
    <t>0x00046cac</t>
  </si>
  <si>
    <t>0x00046e48</t>
  </si>
  <si>
    <t>0x000479ec</t>
  </si>
  <si>
    <t>0x00047a78</t>
  </si>
  <si>
    <t>0x00048514</t>
  </si>
  <si>
    <t>0x00048980</t>
  </si>
  <si>
    <t>0x000489a0</t>
  </si>
  <si>
    <t>0x00048bb4</t>
  </si>
  <si>
    <t>0x00048dcc</t>
  </si>
  <si>
    <t>0x00048ec0</t>
  </si>
  <si>
    <t>0x00048f60</t>
  </si>
  <si>
    <t>0x00049044</t>
  </si>
  <si>
    <t>0x00049198</t>
  </si>
  <si>
    <t>0x000491b0</t>
  </si>
  <si>
    <t>0x00049344</t>
  </si>
  <si>
    <t>0x00049564</t>
  </si>
  <si>
    <t>0x000495e8</t>
  </si>
  <si>
    <t>0x00049698</t>
  </si>
  <si>
    <t>0x000497e4</t>
  </si>
  <si>
    <t>0x000498f0</t>
  </si>
  <si>
    <t>0x00049bbc</t>
  </si>
  <si>
    <t>0x00049cd8</t>
  </si>
  <si>
    <t>0x00049d6c</t>
  </si>
  <si>
    <t>0x00049e14</t>
  </si>
  <si>
    <t>0x00049ed4</t>
  </si>
  <si>
    <t>0x00049ef0</t>
  </si>
  <si>
    <t>0x00049f90</t>
  </si>
  <si>
    <t>0x0004a01c</t>
  </si>
  <si>
    <t>0x0004a048</t>
  </si>
  <si>
    <t>0x0004a054</t>
  </si>
  <si>
    <t>0x0004a428</t>
  </si>
  <si>
    <t>0x0004a4f4</t>
  </si>
  <si>
    <t>0x0004a520</t>
  </si>
  <si>
    <t>0x0004a5d0</t>
  </si>
  <si>
    <t>0x0004a5e8</t>
  </si>
  <si>
    <t>0x0004a7a0</t>
  </si>
  <si>
    <t>0x0004a824</t>
  </si>
  <si>
    <t>0x2264</t>
  </si>
  <si>
    <t>0xfa4</t>
  </si>
  <si>
    <t>0x16a</t>
  </si>
  <si>
    <t>0x0006179c</t>
  </si>
  <si>
    <t>0x638</t>
  </si>
  <si>
    <t>0x300</t>
  </si>
  <si>
    <t>0x1a4</t>
  </si>
  <si>
    <t>0x519c</t>
  </si>
  <si>
    <t>0x00085ad0</t>
  </si>
  <si>
    <t>0x658</t>
  </si>
  <si>
    <t>0x00086128</t>
  </si>
  <si>
    <t>0x00086d84</t>
  </si>
  <si>
    <t>0x00088d80</t>
  </si>
  <si>
    <t>0x000896f8</t>
  </si>
  <si>
    <t>0x8c8</t>
  </si>
  <si>
    <t>0x12e4</t>
  </si>
  <si>
    <t>0x1fff89f0</t>
  </si>
  <si>
    <t>0x1fff89f4</t>
  </si>
  <si>
    <t>0x1fff8a04</t>
  </si>
  <si>
    <t>0x1fff8cb8</t>
  </si>
  <si>
    <t>0x1fff8cbc</t>
  </si>
  <si>
    <t>0x1fff8cf0</t>
  </si>
  <si>
    <t>0x1fff8cf4</t>
  </si>
  <si>
    <t>0x1fff8cf8</t>
  </si>
  <si>
    <t>0x7d4</t>
  </si>
  <si>
    <t>0x1fff95d0</t>
  </si>
  <si>
    <t>0x1fff95d4</t>
  </si>
  <si>
    <t>0x1fff9630</t>
  </si>
  <si>
    <t>0x1fff9634</t>
  </si>
  <si>
    <t>0x1fff9664</t>
  </si>
  <si>
    <t>0x1fff9666</t>
  </si>
  <si>
    <t>0x1fff9667</t>
  </si>
  <si>
    <t>0x1fff9668</t>
  </si>
  <si>
    <t>0x1fff9669</t>
  </si>
  <si>
    <t>0x1fff966a</t>
  </si>
  <si>
    <t>0x1fff966b</t>
  </si>
  <si>
    <t>0x1fffa8bc</t>
  </si>
  <si>
    <t>0x1fffaa08</t>
  </si>
  <si>
    <t>0x1fffb370</t>
  </si>
  <si>
    <t>0x1fffb380</t>
  </si>
  <si>
    <t>0x1fffb38c</t>
  </si>
  <si>
    <t>0x00012700</t>
  </si>
  <si>
    <t>0x00012818</t>
  </si>
  <si>
    <t>0x0001281c</t>
  </si>
  <si>
    <t>0x00012f2c</t>
  </si>
  <si>
    <t>0x00012fac</t>
  </si>
  <si>
    <t>0x00013734</t>
  </si>
  <si>
    <t>0x00013e70</t>
  </si>
  <si>
    <t>0x00013e94</t>
  </si>
  <si>
    <t>0x380</t>
  </si>
  <si>
    <t>0x00033ca8</t>
  </si>
  <si>
    <t>0x00033cac</t>
  </si>
  <si>
    <t>0x00033ced</t>
  </si>
  <si>
    <t>0x00033cf4</t>
  </si>
  <si>
    <t>0x00033cf8</t>
  </si>
  <si>
    <t>0x00033d00</t>
  </si>
  <si>
    <t>0x00033d04</t>
  </si>
  <si>
    <t>0x00033d4c</t>
  </si>
  <si>
    <t>0x00033d5a</t>
  </si>
  <si>
    <t>0x00033d87</t>
  </si>
  <si>
    <t>0x00033dad</t>
  </si>
  <si>
    <t>0x00033dde</t>
  </si>
  <si>
    <t>0x00033e04</t>
  </si>
  <si>
    <t>0x00033e07</t>
  </si>
  <si>
    <t>0x00033ec4</t>
  </si>
  <si>
    <t>0x00033f00</t>
  </si>
  <si>
    <t>0x00033f02</t>
  </si>
  <si>
    <t>0x00033f0c</t>
  </si>
  <si>
    <t>0x00033f0e</t>
  </si>
  <si>
    <t>0x00033f53</t>
  </si>
  <si>
    <t>0x00033f60</t>
  </si>
  <si>
    <t>0x00033f65</t>
  </si>
  <si>
    <t>0x00033f68</t>
  </si>
  <si>
    <t>0x00033f70</t>
  </si>
  <si>
    <t>0x00033fa4</t>
  </si>
  <si>
    <t>0x00033fc0</t>
  </si>
  <si>
    <t>0x00033fd0</t>
  </si>
  <si>
    <t>0x00033fdc</t>
  </si>
  <si>
    <t>0x00033ff0</t>
  </si>
  <si>
    <t>0x00033ffc</t>
  </si>
  <si>
    <t>0x00034034</t>
  </si>
  <si>
    <t>0x00034048</t>
  </si>
  <si>
    <t>0x0003405c</t>
  </si>
  <si>
    <t>0x00034068</t>
  </si>
  <si>
    <t>0x00034078</t>
  </si>
  <si>
    <t>0x00034090</t>
  </si>
  <si>
    <t>0x000340ac</t>
  </si>
  <si>
    <t>0x000340bc</t>
  </si>
  <si>
    <t>0x000340e4</t>
  </si>
  <si>
    <t>0x000340f8</t>
  </si>
  <si>
    <t>0x00034110</t>
  </si>
  <si>
    <t>0x00034120</t>
  </si>
  <si>
    <t>0x0003412c</t>
  </si>
  <si>
    <t>0x0003414c</t>
  </si>
  <si>
    <t>0x00034174</t>
  </si>
  <si>
    <t>0x0003419c</t>
  </si>
  <si>
    <t>0x000341e8</t>
  </si>
  <si>
    <t>0x00034200</t>
  </si>
  <si>
    <t>0x00034210</t>
  </si>
  <si>
    <t>0x0003423c</t>
  </si>
  <si>
    <t>0x00034250</t>
  </si>
  <si>
    <t>0x00034270</t>
  </si>
  <si>
    <t>0x00034284</t>
  </si>
  <si>
    <t>0x00034298</t>
  </si>
  <si>
    <t>0x000342c0</t>
  </si>
  <si>
    <t>0x000342d0</t>
  </si>
  <si>
    <t>0x000342f8</t>
  </si>
  <si>
    <t>0x00034320</t>
  </si>
  <si>
    <t>0x0003432c</t>
  </si>
  <si>
    <t>0x00034364</t>
  </si>
  <si>
    <t>0x0003438c</t>
  </si>
  <si>
    <t>0x000343b4</t>
  </si>
  <si>
    <t>0x000343dc</t>
  </si>
  <si>
    <t>0x0003441c</t>
  </si>
  <si>
    <t>0x00034430</t>
  </si>
  <si>
    <t>0x00034450</t>
  </si>
  <si>
    <t>0x00034470</t>
  </si>
  <si>
    <t>0x00034484</t>
  </si>
  <si>
    <t>0x000344d4</t>
  </si>
  <si>
    <t>0x000344e0</t>
  </si>
  <si>
    <t>0x000344f0</t>
  </si>
  <si>
    <t>0x0003450c</t>
  </si>
  <si>
    <t>0x00034524</t>
  </si>
  <si>
    <t>0x0003453c</t>
  </si>
  <si>
    <t>0x00034550</t>
  </si>
  <si>
    <t>0x00034558</t>
  </si>
  <si>
    <t>0x00034568</t>
  </si>
  <si>
    <t>0x00034578</t>
  </si>
  <si>
    <t>0x00034584</t>
  </si>
  <si>
    <t>0x00034594</t>
  </si>
  <si>
    <t>0x000345a4</t>
  </si>
  <si>
    <t>0x000345c4</t>
  </si>
  <si>
    <t>0x000345e0</t>
  </si>
  <si>
    <t>0x000345f8</t>
  </si>
  <si>
    <t>0x00034624</t>
  </si>
  <si>
    <t>0x00034630</t>
  </si>
  <si>
    <t>0x0003463c</t>
  </si>
  <si>
    <t>0x0003464c</t>
  </si>
  <si>
    <t>0x00034658</t>
  </si>
  <si>
    <t>0x00034664</t>
  </si>
  <si>
    <t>0x00034674</t>
  </si>
  <si>
    <t>0x00034684</t>
  </si>
  <si>
    <t>0x000346dc</t>
  </si>
  <si>
    <t>0x000346e8</t>
  </si>
  <si>
    <t>0x000346ec</t>
  </si>
  <si>
    <t>0x000346f4</t>
  </si>
  <si>
    <t>0x00034704</t>
  </si>
  <si>
    <t>0x00034714</t>
  </si>
  <si>
    <t>0x00034750</t>
  </si>
  <si>
    <t>0x000347fc</t>
  </si>
  <si>
    <t>0x0003480c</t>
  </si>
  <si>
    <t>0x00034824</t>
  </si>
  <si>
    <t>0x00034834</t>
  </si>
  <si>
    <t>0x00034844</t>
  </si>
  <si>
    <t>0x00034874</t>
  </si>
  <si>
    <t>0x00034888</t>
  </si>
  <si>
    <t>0x0003489c</t>
  </si>
  <si>
    <t>0x000348b8</t>
  </si>
  <si>
    <t>0x000348d4</t>
  </si>
  <si>
    <t>0x000348e8</t>
  </si>
  <si>
    <t>0x00034928</t>
  </si>
  <si>
    <t>0x00034948</t>
  </si>
  <si>
    <t>0x00034964</t>
  </si>
  <si>
    <t>0x0003497c</t>
  </si>
  <si>
    <t>0x00034998</t>
  </si>
  <si>
    <t>0x000349b8</t>
  </si>
  <si>
    <t>0x000349c4</t>
  </si>
  <si>
    <t>0x000349e0</t>
  </si>
  <si>
    <t>0x00034a00</t>
  </si>
  <si>
    <t>0x00034a30</t>
  </si>
  <si>
    <t>0x00034a40</t>
  </si>
  <si>
    <t>0x00034a4c</t>
  </si>
  <si>
    <t>0x00034a8c</t>
  </si>
  <si>
    <t>0x00034aa8</t>
  </si>
  <si>
    <t>0x00034ae8</t>
  </si>
  <si>
    <t>0x00034b18</t>
  </si>
  <si>
    <t>0x00034b2c</t>
  </si>
  <si>
    <t>0x00034b88</t>
  </si>
  <si>
    <t>0x00034bbc</t>
  </si>
  <si>
    <t>0x00034bec</t>
  </si>
  <si>
    <t>0x00034c04</t>
  </si>
  <si>
    <t>0x00034c3c</t>
  </si>
  <si>
    <t>0x00034c74</t>
  </si>
  <si>
    <t>0x00034c88</t>
  </si>
  <si>
    <t>0x00034cb0</t>
  </si>
  <si>
    <t>0x00034cc0</t>
  </si>
  <si>
    <t>0x00034ccc</t>
  </si>
  <si>
    <t>0x00034d14</t>
  </si>
  <si>
    <t>0x00034d24</t>
  </si>
  <si>
    <t>0x00034d44</t>
  </si>
  <si>
    <t>0x00034d84</t>
  </si>
  <si>
    <t>0x00034d94</t>
  </si>
  <si>
    <t>0x00034dc0</t>
  </si>
  <si>
    <t>0x00034dcc</t>
  </si>
  <si>
    <t>0x00034df8</t>
  </si>
  <si>
    <t>0x00034e08</t>
  </si>
  <si>
    <t>0x00034e34</t>
  </si>
  <si>
    <t>0x00034e60</t>
  </si>
  <si>
    <t>0x00034e9c</t>
  </si>
  <si>
    <t>0x00034f98</t>
  </si>
  <si>
    <t>0x00034fc4</t>
  </si>
  <si>
    <t>0x00034fc8</t>
  </si>
  <si>
    <t>0x00034fdc</t>
  </si>
  <si>
    <t>0x00035008</t>
  </si>
  <si>
    <t>0x00035018</t>
  </si>
  <si>
    <t>0x00035054</t>
  </si>
  <si>
    <t>0x0003505c</t>
  </si>
  <si>
    <t>0x00035068</t>
  </si>
  <si>
    <t>0x00035078</t>
  </si>
  <si>
    <t>0x000350b0</t>
  </si>
  <si>
    <t>0x00035110</t>
  </si>
  <si>
    <t>0x00035140</t>
  </si>
  <si>
    <t>0x00035150</t>
  </si>
  <si>
    <t>0x00035164</t>
  </si>
  <si>
    <t>0x0003516c</t>
  </si>
  <si>
    <t>0x00035178</t>
  </si>
  <si>
    <t>0x0003518c</t>
  </si>
  <si>
    <t>0x000351a0</t>
  </si>
  <si>
    <t>0x000351a8</t>
  </si>
  <si>
    <t>0x000351c0</t>
  </si>
  <si>
    <t>0x000351cc</t>
  </si>
  <si>
    <t>0x000351dc</t>
  </si>
  <si>
    <t>0x000351e4</t>
  </si>
  <si>
    <t>0x00035208</t>
  </si>
  <si>
    <t>0x0003522c</t>
  </si>
  <si>
    <t>0x0003523c</t>
  </si>
  <si>
    <t>0x00035250</t>
  </si>
  <si>
    <t>0x0003525c</t>
  </si>
  <si>
    <t>0x0003526c</t>
  </si>
  <si>
    <t>0x0003528c</t>
  </si>
  <si>
    <t>0x000352a8</t>
  </si>
  <si>
    <t>0x000352b8</t>
  </si>
  <si>
    <t>0x000352c8</t>
  </si>
  <si>
    <t>0x000352dc</t>
  </si>
  <si>
    <t>0x000352f8</t>
  </si>
  <si>
    <t>0x00035314</t>
  </si>
  <si>
    <t>0x00035328</t>
  </si>
  <si>
    <t>0x0003533c</t>
  </si>
  <si>
    <t>0x00035358</t>
  </si>
  <si>
    <t>0x00035368</t>
  </si>
  <si>
    <t>0x00035378</t>
  </si>
  <si>
    <t>0x00035394</t>
  </si>
  <si>
    <t>0x000353a8</t>
  </si>
  <si>
    <t>0x000353bc</t>
  </si>
  <si>
    <t>0x000353ec</t>
  </si>
  <si>
    <t>0x0003541c</t>
  </si>
  <si>
    <t>0x00035574</t>
  </si>
  <si>
    <t>0x00035584</t>
  </si>
  <si>
    <t>0x000355a4</t>
  </si>
  <si>
    <t>0x000355c0</t>
  </si>
  <si>
    <t>0x000355dc</t>
  </si>
  <si>
    <t>0x000355e8</t>
  </si>
  <si>
    <t>0x000355f4</t>
  </si>
  <si>
    <t>0x0003560c</t>
  </si>
  <si>
    <t>0x00035614</t>
  </si>
  <si>
    <t>0x00035654</t>
  </si>
  <si>
    <t>0x00035674</t>
  </si>
  <si>
    <t>0x0003568c</t>
  </si>
  <si>
    <t>0x000356bc</t>
  </si>
  <si>
    <t>0x000356e4</t>
  </si>
  <si>
    <t>0x00035710</t>
  </si>
  <si>
    <t>0x00035728</t>
  </si>
  <si>
    <t>0x0003574c</t>
  </si>
  <si>
    <t>0x00035768</t>
  </si>
  <si>
    <t>0x0003577c</t>
  </si>
  <si>
    <t>0x000357a4</t>
  </si>
  <si>
    <t>0x000357d0</t>
  </si>
  <si>
    <t>0x000357fc</t>
  </si>
  <si>
    <t>0x00035820</t>
  </si>
  <si>
    <t>0x00035840</t>
  </si>
  <si>
    <t>0x00035848</t>
  </si>
  <si>
    <t>0x00035850</t>
  </si>
  <si>
    <t>0x0003588c</t>
  </si>
  <si>
    <t>0x000358d0</t>
  </si>
  <si>
    <t>0x00035914</t>
  </si>
  <si>
    <t>0x00035934</t>
  </si>
  <si>
    <t>0x00035954</t>
  </si>
  <si>
    <t>0x00035978</t>
  </si>
  <si>
    <t>0x000359c0</t>
  </si>
  <si>
    <t>0x000359d8</t>
  </si>
  <si>
    <t>0x000359f4</t>
  </si>
  <si>
    <t>0x00035a18</t>
  </si>
  <si>
    <t>0x00035a40</t>
  </si>
  <si>
    <t>0x00035a60</t>
  </si>
  <si>
    <t>0x00035a8c</t>
  </si>
  <si>
    <t>0x00035aa0</t>
  </si>
  <si>
    <t>0x00035ae4</t>
  </si>
  <si>
    <t>0x00035b30</t>
  </si>
  <si>
    <t>0x00035b48</t>
  </si>
  <si>
    <t>0x00035b60</t>
  </si>
  <si>
    <t>0x00035b80</t>
  </si>
  <si>
    <t>0x00035bb4</t>
  </si>
  <si>
    <t>0x00035bcc</t>
  </si>
  <si>
    <t>0x00035be8</t>
  </si>
  <si>
    <t>0x00035c24</t>
  </si>
  <si>
    <t>0x00035c54</t>
  </si>
  <si>
    <t>0x00035c88</t>
  </si>
  <si>
    <t>0x00035cb8</t>
  </si>
  <si>
    <t>0x00035ce4</t>
  </si>
  <si>
    <t>0x00035d08</t>
  </si>
  <si>
    <t>0x00035d48</t>
  </si>
  <si>
    <t>0x00035d64</t>
  </si>
  <si>
    <t>0x00035da4</t>
  </si>
  <si>
    <t>0x00035dc4</t>
  </si>
  <si>
    <t>0x00035dd8</t>
  </si>
  <si>
    <t>0x00035df0</t>
  </si>
  <si>
    <t>0x00035e08</t>
  </si>
  <si>
    <t>0x00035e20</t>
  </si>
  <si>
    <t>0x00035e38</t>
  </si>
  <si>
    <t>0x00035e50</t>
  </si>
  <si>
    <t>0x00035e68</t>
  </si>
  <si>
    <t>0x00035e80</t>
  </si>
  <si>
    <t>0x00035e98</t>
  </si>
  <si>
    <t>0x00035eb4</t>
  </si>
  <si>
    <t>0x00035ed0</t>
  </si>
  <si>
    <t>0x00035eec</t>
  </si>
  <si>
    <t>0x00035f04</t>
  </si>
  <si>
    <t>0x00035f1c</t>
  </si>
  <si>
    <t>0x00035f30</t>
  </si>
  <si>
    <t>0x00035f4c</t>
  </si>
  <si>
    <t>0x00035f74</t>
  </si>
  <si>
    <t>0x00035fa0</t>
  </si>
  <si>
    <t>0x00035fc8</t>
  </si>
  <si>
    <t>0x00035fe8</t>
  </si>
  <si>
    <t>0x00036000</t>
  </si>
  <si>
    <t>0x0003600c</t>
  </si>
  <si>
    <t>0x00036024</t>
  </si>
  <si>
    <t>0x0003603c</t>
  </si>
  <si>
    <t>0x0003605c</t>
  </si>
  <si>
    <t>0x0003607c</t>
  </si>
  <si>
    <t>0x00036098</t>
  </si>
  <si>
    <t>0x000360b0</t>
  </si>
  <si>
    <t>0x000360c4</t>
  </si>
  <si>
    <t>0x000360f4</t>
  </si>
  <si>
    <t>0x00036104</t>
  </si>
  <si>
    <t>0x0003610c</t>
  </si>
  <si>
    <t>0x00036120</t>
  </si>
  <si>
    <t>0x00036148</t>
  </si>
  <si>
    <t>0x00036178</t>
  </si>
  <si>
    <t>0x000361ac</t>
  </si>
  <si>
    <t>0x000361d4</t>
  </si>
  <si>
    <t>0x00036218</t>
  </si>
  <si>
    <t>0x00036234</t>
  </si>
  <si>
    <t>0x00036250</t>
  </si>
  <si>
    <t>0x00036264</t>
  </si>
  <si>
    <t>0x0003627c</t>
  </si>
  <si>
    <t>0x00036294</t>
  </si>
  <si>
    <t>0x00036314</t>
  </si>
  <si>
    <t>0x0003631c</t>
  </si>
  <si>
    <t>0x00036328</t>
  </si>
  <si>
    <t>0x00036338</t>
  </si>
  <si>
    <t>0x00036358</t>
  </si>
  <si>
    <t>0x00036390</t>
  </si>
  <si>
    <t>0x000363c8</t>
  </si>
  <si>
    <t>0x00036400</t>
  </si>
  <si>
    <t>0x00036424</t>
  </si>
  <si>
    <t>0x00036434</t>
  </si>
  <si>
    <t>0x00036450</t>
  </si>
  <si>
    <t>0x0003646c</t>
  </si>
  <si>
    <t>0x000364a4</t>
  </si>
  <si>
    <t>0x000364d4</t>
  </si>
  <si>
    <t>0x000364dc</t>
  </si>
  <si>
    <t>0x000364f0</t>
  </si>
  <si>
    <t>0x000364fc</t>
  </si>
  <si>
    <t>0x00036508</t>
  </si>
  <si>
    <t>0x00036514</t>
  </si>
  <si>
    <t>0x00036538</t>
  </si>
  <si>
    <t>0x00036584</t>
  </si>
  <si>
    <t>0x000365a4</t>
  </si>
  <si>
    <t>0x000365c4</t>
  </si>
  <si>
    <t>0x000365e4</t>
  </si>
  <si>
    <t>0x00036604</t>
  </si>
  <si>
    <t>0x00036624</t>
  </si>
  <si>
    <t>0x00036644</t>
  </si>
  <si>
    <t>0x00036664</t>
  </si>
  <si>
    <t>0x00036684</t>
  </si>
  <si>
    <t>0x000366a4</t>
  </si>
  <si>
    <t>0x000366f8</t>
  </si>
  <si>
    <t>0x00036718</t>
  </si>
  <si>
    <t>0x00036738</t>
  </si>
  <si>
    <t>0x0003677c</t>
  </si>
  <si>
    <t>0x000367c0</t>
  </si>
  <si>
    <t>0x000367c8</t>
  </si>
  <si>
    <t>0x000367d8</t>
  </si>
  <si>
    <t>0x000367e8</t>
  </si>
  <si>
    <t>0x000367fc</t>
  </si>
  <si>
    <t>0x0003680c</t>
  </si>
  <si>
    <t>0x0003681c</t>
  </si>
  <si>
    <t>0x0003682c</t>
  </si>
  <si>
    <t>0x00036840</t>
  </si>
  <si>
    <t>0x00036854</t>
  </si>
  <si>
    <t>0x00036864</t>
  </si>
  <si>
    <t>0x00036874</t>
  </si>
  <si>
    <t>0x0003688c</t>
  </si>
  <si>
    <t>0x0003689c</t>
  </si>
  <si>
    <t>0x000368ac</t>
  </si>
  <si>
    <t>0x000368c0</t>
  </si>
  <si>
    <t>0x000368d4</t>
  </si>
  <si>
    <t>0x000368e8</t>
  </si>
  <si>
    <t>0x00036900</t>
  </si>
  <si>
    <t>0x00036924</t>
  </si>
  <si>
    <t>0x0003693c</t>
  </si>
  <si>
    <t>0x00036948</t>
  </si>
  <si>
    <t>0x00036950</t>
  </si>
  <si>
    <t>0x0003695c</t>
  </si>
  <si>
    <t>0x00036968</t>
  </si>
  <si>
    <t>0x00036970</t>
  </si>
  <si>
    <t>0x00036980</t>
  </si>
  <si>
    <t>0x00036990</t>
  </si>
  <si>
    <t>0x000369a0</t>
  </si>
  <si>
    <t>0x000369b8</t>
  </si>
  <si>
    <t>0x000369d4</t>
  </si>
  <si>
    <t>0x000369e4</t>
  </si>
  <si>
    <t>0x000369f4</t>
  </si>
  <si>
    <t>0x00036a04</t>
  </si>
  <si>
    <t>0x00036a0c</t>
  </si>
  <si>
    <t>0x00036a24</t>
  </si>
  <si>
    <t>0x00036a30</t>
  </si>
  <si>
    <t>0x00036a88</t>
  </si>
  <si>
    <t>0x00036ac0</t>
  </si>
  <si>
    <t>0x00036b00</t>
  </si>
  <si>
    <t>0x00036b30</t>
  </si>
  <si>
    <t>0x00036b4c</t>
  </si>
  <si>
    <t>0x00036b6c</t>
  </si>
  <si>
    <t>0x00036b84</t>
  </si>
  <si>
    <t>0x00036b8c</t>
  </si>
  <si>
    <t>0x00036bc8</t>
  </si>
  <si>
    <t>0x00036be4</t>
  </si>
  <si>
    <t>0x00036bec</t>
  </si>
  <si>
    <t>0x00036bf8</t>
  </si>
  <si>
    <t>0x00036c04</t>
  </si>
  <si>
    <t>0x00036c18</t>
  </si>
  <si>
    <t>0x00036c2c</t>
  </si>
  <si>
    <t>0x00036c34</t>
  </si>
  <si>
    <t>0x00036c5c</t>
  </si>
  <si>
    <t>0x00036c84</t>
  </si>
  <si>
    <t>0x00036c94</t>
  </si>
  <si>
    <t>0x00036cd0</t>
  </si>
  <si>
    <t>0x00036ce4</t>
  </si>
  <si>
    <t>0x00036cfc</t>
  </si>
  <si>
    <t>0x00036d04</t>
  </si>
  <si>
    <t>0x00036d0c</t>
  </si>
  <si>
    <t>0x00036d20</t>
  </si>
  <si>
    <t>0x00036d34</t>
  </si>
  <si>
    <t>0x00036d48</t>
  </si>
  <si>
    <t>0x00036d5c</t>
  </si>
  <si>
    <t>0x00036d70</t>
  </si>
  <si>
    <t>0x00036d90</t>
  </si>
  <si>
    <t>0x00036da8</t>
  </si>
  <si>
    <t>0x00036dcc</t>
  </si>
  <si>
    <t>0x00036de0</t>
  </si>
  <si>
    <t>0x00036dec</t>
  </si>
  <si>
    <t>0x00036df4</t>
  </si>
  <si>
    <t>0x00036e04</t>
  </si>
  <si>
    <t>0x00036e1c</t>
  </si>
  <si>
    <t>0x00036e4c</t>
  </si>
  <si>
    <t>0x00036e7c</t>
  </si>
  <si>
    <t>0x00036e8c</t>
  </si>
  <si>
    <t>0x00036ea0</t>
  </si>
  <si>
    <t>0x00036ebc</t>
  </si>
  <si>
    <t>0x00036ecc</t>
  </si>
  <si>
    <t>0x00036ee0</t>
  </si>
  <si>
    <t>0x00036ef4</t>
  </si>
  <si>
    <t>0x00036f10</t>
  </si>
  <si>
    <t>0x00036f2c</t>
  </si>
  <si>
    <t>0x00036f40</t>
  </si>
  <si>
    <t>0x00036f54</t>
  </si>
  <si>
    <t>0x00036f68</t>
  </si>
  <si>
    <t>0x00036f7c</t>
  </si>
  <si>
    <t>0x00036f9c</t>
  </si>
  <si>
    <t>0x00036fb4</t>
  </si>
  <si>
    <t>0x00036fc8</t>
  </si>
  <si>
    <t>0x00036fd8</t>
  </si>
  <si>
    <t>0x00036fec</t>
  </si>
  <si>
    <t>0x00037000</t>
  </si>
  <si>
    <t>0x00037014</t>
  </si>
  <si>
    <t>0x00037034</t>
  </si>
  <si>
    <t>0x00037050</t>
  </si>
  <si>
    <t>0x0003706c</t>
  </si>
  <si>
    <t>0x00037084</t>
  </si>
  <si>
    <t>0x000370d8</t>
  </si>
  <si>
    <t>0x000370e0</t>
  </si>
  <si>
    <t>0x000370ec</t>
  </si>
  <si>
    <t>0x00037100</t>
  </si>
  <si>
    <t>0x00037101</t>
  </si>
  <si>
    <t>0x00037102</t>
  </si>
  <si>
    <t>0x00037103</t>
  </si>
  <si>
    <t>0x00037110</t>
  </si>
  <si>
    <t>0x0003711c</t>
  </si>
  <si>
    <t>0x00037124</t>
  </si>
  <si>
    <t>0x0003712c</t>
  </si>
  <si>
    <t>0x00037144</t>
  </si>
  <si>
    <t>0x0003719c</t>
  </si>
  <si>
    <t>0x000371cc</t>
  </si>
  <si>
    <t>0x000371e4</t>
  </si>
  <si>
    <t>0x000371f8</t>
  </si>
  <si>
    <t>0x00037204</t>
  </si>
  <si>
    <t>0x0003721c</t>
  </si>
  <si>
    <t>0x00037240</t>
  </si>
  <si>
    <t>0x0003727c</t>
  </si>
  <si>
    <t>0x00037288</t>
  </si>
  <si>
    <t>0x00037294</t>
  </si>
  <si>
    <t>0x000372a4</t>
  </si>
  <si>
    <t>0x000372b4</t>
  </si>
  <si>
    <t>0x000372c8</t>
  </si>
  <si>
    <t>0x000372dc</t>
  </si>
  <si>
    <t>0x000372ec</t>
  </si>
  <si>
    <t>0x00037300</t>
  </si>
  <si>
    <t>0x00037318</t>
  </si>
  <si>
    <t>0x00037324</t>
  </si>
  <si>
    <t>0x00037344</t>
  </si>
  <si>
    <t>0x00037358</t>
  </si>
  <si>
    <t>0x00037370</t>
  </si>
  <si>
    <t>0x0003738c</t>
  </si>
  <si>
    <t>0x0003739c</t>
  </si>
  <si>
    <t>0x000373c0</t>
  </si>
  <si>
    <t>0x000373d0</t>
  </si>
  <si>
    <t>0x000373e0</t>
  </si>
  <si>
    <t>0x000373f0</t>
  </si>
  <si>
    <t>0x00037400</t>
  </si>
  <si>
    <t>0x00037408</t>
  </si>
  <si>
    <t>0x00037414</t>
  </si>
  <si>
    <t>0x00037468</t>
  </si>
  <si>
    <t>0x00037488</t>
  </si>
  <si>
    <t>0x000374a4</t>
  </si>
  <si>
    <t>0x000374bc</t>
  </si>
  <si>
    <t>0x000374cc</t>
  </si>
  <si>
    <t>0x000374ec</t>
  </si>
  <si>
    <t>0x000374fc</t>
  </si>
  <si>
    <t>0x00037508</t>
  </si>
  <si>
    <t>0x00037524</t>
  </si>
  <si>
    <t>0x00037530</t>
  </si>
  <si>
    <t>0x00037544</t>
  </si>
  <si>
    <t>0x00037554</t>
  </si>
  <si>
    <t>0x0003755c</t>
  </si>
  <si>
    <t>0x00037578</t>
  </si>
  <si>
    <t>0x0003759c</t>
  </si>
  <si>
    <t>0x000375c0</t>
  </si>
  <si>
    <t>0x000375d4</t>
  </si>
  <si>
    <t>0x000375f4</t>
  </si>
  <si>
    <t>0x00037608</t>
  </si>
  <si>
    <t>0x0003761c</t>
  </si>
  <si>
    <t>0x00037638</t>
  </si>
  <si>
    <t>0x0003765c</t>
  </si>
  <si>
    <t>0x00037684</t>
  </si>
  <si>
    <t>0x000376a4</t>
  </si>
  <si>
    <t>0x000376f0</t>
  </si>
  <si>
    <t>0x00037708</t>
  </si>
  <si>
    <t>0x0003771c</t>
  </si>
  <si>
    <t>0x00037730</t>
  </si>
  <si>
    <t>0x00037740</t>
  </si>
  <si>
    <t>0x00037778</t>
  </si>
  <si>
    <t>0x00037788</t>
  </si>
  <si>
    <t>0x000377a0</t>
  </si>
  <si>
    <t>0x000377b8</t>
  </si>
  <si>
    <t>0x00037818</t>
  </si>
  <si>
    <t>0x0003782c</t>
  </si>
  <si>
    <t>0x00037840</t>
  </si>
  <si>
    <t>0x00037854</t>
  </si>
  <si>
    <t>0x00037864</t>
  </si>
  <si>
    <t>0x00037878</t>
  </si>
  <si>
    <t>0x0003788c</t>
  </si>
  <si>
    <t>0x0003789c</t>
  </si>
  <si>
    <t>0x000378b0</t>
  </si>
  <si>
    <t>0x000378cc</t>
  </si>
  <si>
    <t>0x000378dc</t>
  </si>
  <si>
    <t>0x000378f0</t>
  </si>
  <si>
    <t>0x00037904</t>
  </si>
  <si>
    <t>0x00037920</t>
  </si>
  <si>
    <t>0x0003793c</t>
  </si>
  <si>
    <t>0x0003795c</t>
  </si>
  <si>
    <t>0x0003797c</t>
  </si>
  <si>
    <t>0x0003799c</t>
  </si>
  <si>
    <t>0x000379bc</t>
  </si>
  <si>
    <t>0x000379d0</t>
  </si>
  <si>
    <t>0x000379e4</t>
  </si>
  <si>
    <t>0x000379f8</t>
  </si>
  <si>
    <t>0x00037a08</t>
  </si>
  <si>
    <t>0x00037a24</t>
  </si>
  <si>
    <t>0x00037a38</t>
  </si>
  <si>
    <t>0x00037a4c</t>
  </si>
  <si>
    <t>0x00037a6c</t>
  </si>
  <si>
    <t>0x00037a88</t>
  </si>
  <si>
    <t>0x00037aa4</t>
  </si>
  <si>
    <t>0x00037abc</t>
  </si>
  <si>
    <t>0x00037ad0</t>
  </si>
  <si>
    <t>0x00037ae4</t>
  </si>
  <si>
    <t>0x00037b04</t>
  </si>
  <si>
    <t>0x00037b20</t>
  </si>
  <si>
    <t>0x00037b3c</t>
  </si>
  <si>
    <t>0x00037b54</t>
  </si>
  <si>
    <t>0x00037b64</t>
  </si>
  <si>
    <t>0x00037b7c</t>
  </si>
  <si>
    <t>0x00037bac</t>
  </si>
  <si>
    <t>0x00037bdc</t>
  </si>
  <si>
    <t>0x00037c0c</t>
  </si>
  <si>
    <t>0x00037c20</t>
  </si>
  <si>
    <t>0x00037c30</t>
  </si>
  <si>
    <t>0x00037c40</t>
  </si>
  <si>
    <t>0x00037ccc</t>
  </si>
  <si>
    <t>0x00037cd4</t>
  </si>
  <si>
    <t>0x00037cdc</t>
  </si>
  <si>
    <t>0x00037cf8</t>
  </si>
  <si>
    <t>0x00037d08</t>
  </si>
  <si>
    <t>0x00037d1c</t>
  </si>
  <si>
    <t>0x00037d2c</t>
  </si>
  <si>
    <t>0x00037d38</t>
  </si>
  <si>
    <t>0x00037d50</t>
  </si>
  <si>
    <t>0x00037d58</t>
  </si>
  <si>
    <t>0x00037df0</t>
  </si>
  <si>
    <t>0x00037e18</t>
  </si>
  <si>
    <t>0x00038290</t>
  </si>
  <si>
    <t>0x0003829c</t>
  </si>
  <si>
    <t>0x000382b8</t>
  </si>
  <si>
    <t>0x000382c0</t>
  </si>
  <si>
    <t>0x000382c8</t>
  </si>
  <si>
    <t>0x000382d4</t>
  </si>
  <si>
    <t>0x000382dc</t>
  </si>
  <si>
    <t>0x000382e8</t>
  </si>
  <si>
    <t>0x000382f8</t>
  </si>
  <si>
    <t>0x0003831c</t>
  </si>
  <si>
    <t>0x0003832c</t>
  </si>
  <si>
    <t>0x00038348</t>
  </si>
  <si>
    <t>0x00038364</t>
  </si>
  <si>
    <t>0x00038378</t>
  </si>
  <si>
    <t>0x00038390</t>
  </si>
  <si>
    <t>0x000383b4</t>
  </si>
  <si>
    <t>0x000383d8</t>
  </si>
  <si>
    <t>0x000383e8</t>
  </si>
  <si>
    <t>0x00038438</t>
  </si>
  <si>
    <t>0x00038460</t>
  </si>
  <si>
    <t>0x00038490</t>
  </si>
  <si>
    <t>0x000384c4</t>
  </si>
  <si>
    <t>0x000384e4</t>
  </si>
  <si>
    <t>0x00038514</t>
  </si>
  <si>
    <t>0x00038544</t>
  </si>
  <si>
    <t>0x00038564</t>
  </si>
  <si>
    <t>0x00038588</t>
  </si>
  <si>
    <t>0x0003859c</t>
  </si>
  <si>
    <t>0x000385a8</t>
  </si>
  <si>
    <t>0x000385b8</t>
  </si>
  <si>
    <t>0x000385dc</t>
  </si>
  <si>
    <t>0x00038620</t>
  </si>
  <si>
    <t>0x00038638</t>
  </si>
  <si>
    <t>0x0003866c</t>
  </si>
  <si>
    <t>0x0003868c</t>
  </si>
  <si>
    <t>0x000386b4</t>
  </si>
  <si>
    <t>0x000386d8</t>
  </si>
  <si>
    <t>0x00038714</t>
  </si>
  <si>
    <t>0x00038740</t>
  </si>
  <si>
    <t>0x000387b0</t>
  </si>
  <si>
    <t>0x000387dc</t>
  </si>
  <si>
    <t>0x000387f4</t>
  </si>
  <si>
    <t>0x00038834</t>
  </si>
  <si>
    <t>0x0003883c</t>
  </si>
  <si>
    <t>0x00038850</t>
  </si>
  <si>
    <t>0x0003885c</t>
  </si>
  <si>
    <t>0x00038870</t>
  </si>
  <si>
    <t>0x00038890</t>
  </si>
  <si>
    <t>0x000388a4</t>
  </si>
  <si>
    <t>0x000388dc</t>
  </si>
  <si>
    <t>0x00038904</t>
  </si>
  <si>
    <t>0x00038910</t>
  </si>
  <si>
    <t>0x00038918</t>
  </si>
  <si>
    <t>0x00038924</t>
  </si>
  <si>
    <t>0x00038990</t>
  </si>
  <si>
    <t>0x000389ac</t>
  </si>
  <si>
    <t>0x000389d4</t>
  </si>
  <si>
    <t>0x000389f8</t>
  </si>
  <si>
    <t>0x00038a1c</t>
  </si>
  <si>
    <t>0x00038a40</t>
  </si>
  <si>
    <t>0x00038a48</t>
  </si>
  <si>
    <t>0x00038a54</t>
  </si>
  <si>
    <t>0x00038a6c</t>
  </si>
  <si>
    <t>0x00038a84</t>
  </si>
  <si>
    <t>0x00038ab8</t>
  </si>
  <si>
    <t>0x00038acc</t>
  </si>
  <si>
    <t>0x00038ae0</t>
  </si>
  <si>
    <t>0x00038af4</t>
  </si>
  <si>
    <t>0x00038b0c</t>
  </si>
  <si>
    <t>0x00038b38</t>
  </si>
  <si>
    <t>0x00038b48</t>
  </si>
  <si>
    <t>0x00038b58</t>
  </si>
  <si>
    <t>0x00038b70</t>
  </si>
  <si>
    <t>0x00038b80</t>
  </si>
  <si>
    <t>0x00038b9c</t>
  </si>
  <si>
    <t>0x00038bac</t>
  </si>
  <si>
    <t>0x00038bc4</t>
  </si>
  <si>
    <t>0x00038be0</t>
  </si>
  <si>
    <t>0x00038bf0</t>
  </si>
  <si>
    <t>0x00038c10</t>
  </si>
  <si>
    <t>0x00038c2c</t>
  </si>
  <si>
    <t>0x00038c3c</t>
  </si>
  <si>
    <t>0x00038c50</t>
  </si>
  <si>
    <t>0x00038c64</t>
  </si>
  <si>
    <t>0x00038c80</t>
  </si>
  <si>
    <t>0x00038c9c</t>
  </si>
  <si>
    <t>0x00038cb0</t>
  </si>
  <si>
    <t>0x00038cc4</t>
  </si>
  <si>
    <t>0x00038ce0</t>
  </si>
  <si>
    <t>0x00038cf4</t>
  </si>
  <si>
    <t>0x00038d08</t>
  </si>
  <si>
    <t>0x00038d28</t>
  </si>
  <si>
    <t>0x00038d3c</t>
  </si>
  <si>
    <t>0x00038d50</t>
  </si>
  <si>
    <t>0x00038d70</t>
  </si>
  <si>
    <t>0x00038d8c</t>
  </si>
  <si>
    <t>0x00038da0</t>
  </si>
  <si>
    <t>0x00038dc0</t>
  </si>
  <si>
    <t>0x00038de0</t>
  </si>
  <si>
    <t>0x00038dfc</t>
  </si>
  <si>
    <t>0x00038e0c</t>
  </si>
  <si>
    <t>0x00038e28</t>
  </si>
  <si>
    <t>0x00038e3c</t>
  </si>
  <si>
    <t>0x00038e50</t>
  </si>
  <si>
    <t>0x00038e64</t>
  </si>
  <si>
    <t>0x00038e78</t>
  </si>
  <si>
    <t>0x00038e8c</t>
  </si>
  <si>
    <t>0x00038ea0</t>
  </si>
  <si>
    <t>0x00038eb4</t>
  </si>
  <si>
    <t>0x00038ec8</t>
  </si>
  <si>
    <t>0x00038edc</t>
  </si>
  <si>
    <t>0x00038f0c</t>
  </si>
  <si>
    <t>0x00038f3c</t>
  </si>
  <si>
    <t>0x00038f6c</t>
  </si>
  <si>
    <t>0x000394d0</t>
  </si>
  <si>
    <t>0x000395d0</t>
  </si>
  <si>
    <t>0x000396d0</t>
  </si>
  <si>
    <t>0x0003a384</t>
  </si>
  <si>
    <t>0x0003a394</t>
  </si>
  <si>
    <t>0x0003a49c</t>
  </si>
  <si>
    <t>0x0003a4a8</t>
  </si>
  <si>
    <t>0x0003a4b8</t>
  </si>
  <si>
    <t>0x0003a50c</t>
  </si>
  <si>
    <t>0x0003a534</t>
  </si>
  <si>
    <t>0x0003a59c</t>
  </si>
  <si>
    <t>0x0003a5a8</t>
  </si>
  <si>
    <t>0x0003a5fc</t>
  </si>
  <si>
    <t>0x0003a624</t>
  </si>
  <si>
    <t>0x0003a680</t>
  </si>
  <si>
    <t>0x0003a6e8</t>
  </si>
  <si>
    <t>0x0003a710</t>
  </si>
  <si>
    <t>0x0003a738</t>
  </si>
  <si>
    <t>0x0003a754</t>
  </si>
  <si>
    <t>0x0003a778</t>
  </si>
  <si>
    <t>0x0003a7b8</t>
  </si>
  <si>
    <t>0x0003a7d8</t>
  </si>
  <si>
    <t>0x0003a7f0</t>
  </si>
  <si>
    <t>0x0003a810</t>
  </si>
  <si>
    <t>0x0003a830</t>
  </si>
  <si>
    <t>0x0003a848</t>
  </si>
  <si>
    <t>0x0003a870</t>
  </si>
  <si>
    <t>0x0003a878</t>
  </si>
  <si>
    <t>0x0003a8b4</t>
  </si>
  <si>
    <t>0x0003a8e4</t>
  </si>
  <si>
    <t>0x0003a8f4</t>
  </si>
  <si>
    <t>0x0003a900</t>
  </si>
  <si>
    <t>0x0003a92c</t>
  </si>
  <si>
    <t>0x0003a958</t>
  </si>
  <si>
    <t>0x0003a9a0</t>
  </si>
  <si>
    <t>0x0003a9ec</t>
  </si>
  <si>
    <t>0x0003a9f8</t>
  </si>
  <si>
    <t>0x0003aa3c</t>
  </si>
  <si>
    <t>0x0003aa8c</t>
  </si>
  <si>
    <t>0x0003aac0</t>
  </si>
  <si>
    <t>0x0003aaf0</t>
  </si>
  <si>
    <t>0x0003ab28</t>
  </si>
  <si>
    <t>0x0003ab58</t>
  </si>
  <si>
    <t>0x0003ab88</t>
  </si>
  <si>
    <t>0x0003abc4</t>
  </si>
  <si>
    <t>0x0003abdc</t>
  </si>
  <si>
    <t>0x0003ac34</t>
  </si>
  <si>
    <t>0x0003ac7c</t>
  </si>
  <si>
    <t>0x0003acb4</t>
  </si>
  <si>
    <t>0x0003ace0</t>
  </si>
  <si>
    <t>0x0003ad18</t>
  </si>
  <si>
    <t>0x0003ad20</t>
  </si>
  <si>
    <t>0x0003ad4c</t>
  </si>
  <si>
    <t>0x0003ad7c</t>
  </si>
  <si>
    <t>0x0003adb0</t>
  </si>
  <si>
    <t>0x0003addc</t>
  </si>
  <si>
    <t>0x0003adfc</t>
  </si>
  <si>
    <t>0x0003ae14</t>
  </si>
  <si>
    <t>0x0003ae3c</t>
  </si>
  <si>
    <t>0x0003ae58</t>
  </si>
  <si>
    <t>0x0003aea4</t>
  </si>
  <si>
    <t>0x0003aec0</t>
  </si>
  <si>
    <t>0x0003aee8</t>
  </si>
  <si>
    <t>0x0003af20</t>
  </si>
  <si>
    <t>0x0003af48</t>
  </si>
  <si>
    <t>0x0003af50</t>
  </si>
  <si>
    <t>0x0003af70</t>
  </si>
  <si>
    <t>0x0003afa8</t>
  </si>
  <si>
    <t>0x0003afec</t>
  </si>
  <si>
    <t>0x0003b00c</t>
  </si>
  <si>
    <t>0x0003b024</t>
  </si>
  <si>
    <t>0x0003b02c</t>
  </si>
  <si>
    <t>0x0003b034</t>
  </si>
  <si>
    <t>0x0003b054</t>
  </si>
  <si>
    <t>0x0003b06c</t>
  </si>
  <si>
    <t>0x0003b0bc</t>
  </si>
  <si>
    <t>0x0003b244</t>
  </si>
  <si>
    <t>0x0003b264</t>
  </si>
  <si>
    <t>0x0003b274</t>
  </si>
  <si>
    <t>0x0003b284</t>
  </si>
  <si>
    <t>0x0003b758</t>
  </si>
  <si>
    <t>0x0003b798</t>
  </si>
  <si>
    <t>0x0003b948</t>
  </si>
  <si>
    <t>0x0003bac0</t>
  </si>
  <si>
    <t>0x0003bad8</t>
  </si>
  <si>
    <t>0x0003bae4</t>
  </si>
  <si>
    <t>0x0003baf4</t>
  </si>
  <si>
    <t>0x0003bb78</t>
  </si>
  <si>
    <t>0x0003bb80</t>
  </si>
  <si>
    <t>0x0003bb8c</t>
  </si>
  <si>
    <t>0x0003bbd4</t>
  </si>
  <si>
    <t>0x0003bbfc</t>
  </si>
  <si>
    <t>0x0003bc14</t>
  </si>
  <si>
    <t>0x0003bc20</t>
  </si>
  <si>
    <t>0x0003bc54</t>
  </si>
  <si>
    <t>0x0003bc94</t>
  </si>
  <si>
    <t>0x0003bcac</t>
  </si>
  <si>
    <t>0x0003bcd8</t>
  </si>
  <si>
    <t>0x0003bcf4</t>
  </si>
  <si>
    <t>0x0003bd1c</t>
  </si>
  <si>
    <t>0x0003bd38</t>
  </si>
  <si>
    <t>0x0003bd74</t>
  </si>
  <si>
    <t>0x0003bdb8</t>
  </si>
  <si>
    <t>0x0003bdc8</t>
  </si>
  <si>
    <t>0x0003bdf0</t>
  </si>
  <si>
    <t>0x0003be18</t>
  </si>
  <si>
    <t>0x0003be3c</t>
  </si>
  <si>
    <t>0x0003be64</t>
  </si>
  <si>
    <t>0x0003bea0</t>
  </si>
  <si>
    <t>0x0003bee4</t>
  </si>
  <si>
    <t>0x0003bf3c</t>
  </si>
  <si>
    <t>0x0003c900</t>
  </si>
  <si>
    <t>0x0003caa8</t>
  </si>
  <si>
    <t>0x0003cab0</t>
  </si>
  <si>
    <t>0x0003caf0</t>
  </si>
  <si>
    <t>0x0003cc98</t>
  </si>
  <si>
    <t>0x0003ccb0</t>
  </si>
  <si>
    <t>0x0003ccb2</t>
  </si>
  <si>
    <t>0x0003ccc4</t>
  </si>
  <si>
    <t>0x0003ccd4</t>
  </si>
  <si>
    <t>0x0003ccf0</t>
  </si>
  <si>
    <t>0x0003cd30</t>
  </si>
  <si>
    <t>0x0003cd38</t>
  </si>
  <si>
    <t>0x0003cd64</t>
  </si>
  <si>
    <t>0x0003cd78</t>
  </si>
  <si>
    <t>0x0003cd8c</t>
  </si>
  <si>
    <t>0x0003cdc0</t>
  </si>
  <si>
    <t>0x0003cdcc</t>
  </si>
  <si>
    <t>0x0003ce1c</t>
  </si>
  <si>
    <t>0x0003ce34</t>
  </si>
  <si>
    <t>0x0003ce7c</t>
  </si>
  <si>
    <t>0x0003ce94</t>
  </si>
  <si>
    <t>0x0003ced8</t>
  </si>
  <si>
    <t>0x0003cef0</t>
  </si>
  <si>
    <t>0x0003cf24</t>
  </si>
  <si>
    <t>0x0003cf3c</t>
  </si>
  <si>
    <t>0x0003cf70</t>
  </si>
  <si>
    <t>0x0003cf78</t>
  </si>
  <si>
    <t>0x0003cfb8</t>
  </si>
  <si>
    <t>0x0003cfdc</t>
  </si>
  <si>
    <t>0x0003d004</t>
  </si>
  <si>
    <t>0x0003d02c</t>
  </si>
  <si>
    <t>0x0003d048</t>
  </si>
  <si>
    <t>0x0003d080</t>
  </si>
  <si>
    <t>0x0003d090</t>
  </si>
  <si>
    <t>0x0003d0cc</t>
  </si>
  <si>
    <t>0x0003d0d8</t>
  </si>
  <si>
    <t>0x0003d160</t>
  </si>
  <si>
    <t>0x0003d1a4</t>
  </si>
  <si>
    <t>0x0003d1b0</t>
  </si>
  <si>
    <t>0x0003d238</t>
  </si>
  <si>
    <t>0x0003d2b0</t>
  </si>
  <si>
    <t>0x0003d33c</t>
  </si>
  <si>
    <t>0x0003d3c8</t>
  </si>
  <si>
    <t>0x0003d424</t>
  </si>
  <si>
    <t>0x0003d450</t>
  </si>
  <si>
    <t>0x0003d464</t>
  </si>
  <si>
    <t>0x0003d474</t>
  </si>
  <si>
    <t>0x0003d49c</t>
  </si>
  <si>
    <t>0x0003d4f0</t>
  </si>
  <si>
    <t>0x0003d4f8</t>
  </si>
  <si>
    <t>0x0003d514</t>
  </si>
  <si>
    <t>0x0003d530</t>
  </si>
  <si>
    <t>0x0003d53c</t>
  </si>
  <si>
    <t>0x0003d558</t>
  </si>
  <si>
    <t>0x0003d560</t>
  </si>
  <si>
    <t>0x0003d588</t>
  </si>
  <si>
    <t>0x0003d5ac</t>
  </si>
  <si>
    <t>0x0003d5d0</t>
  </si>
  <si>
    <t>0x0003d5e8</t>
  </si>
  <si>
    <t>0x0003d60c</t>
  </si>
  <si>
    <t>0x0003d628</t>
  </si>
  <si>
    <t>0x0003d658</t>
  </si>
  <si>
    <t>0x0003d664</t>
  </si>
  <si>
    <t>0x0003d680</t>
  </si>
  <si>
    <t>0x0003d6ac</t>
  </si>
  <si>
    <t>0x0003d6b4</t>
  </si>
  <si>
    <t>0x0003d6d8</t>
  </si>
  <si>
    <t>0x0003d6e4</t>
  </si>
  <si>
    <t>0x0003d718</t>
  </si>
  <si>
    <t>0x0003d724</t>
  </si>
  <si>
    <t>0x0003d73c</t>
  </si>
  <si>
    <t>0x0003d748</t>
  </si>
  <si>
    <t>0x0003d760</t>
  </si>
  <si>
    <t>0x0003d790</t>
  </si>
  <si>
    <t>0x0003d7b4</t>
  </si>
  <si>
    <t>0x0003d7bc</t>
  </si>
  <si>
    <t>0x0003d7ec</t>
  </si>
  <si>
    <t>0x0003d7f8</t>
  </si>
  <si>
    <t>0x0003d81c</t>
  </si>
  <si>
    <t>0x0003d820</t>
  </si>
  <si>
    <t>0x0003d830</t>
  </si>
  <si>
    <t>0x0003d838</t>
  </si>
  <si>
    <t>0x0003d87c</t>
  </si>
  <si>
    <t>0x0003d884</t>
  </si>
  <si>
    <t>0x0003d8a8</t>
  </si>
  <si>
    <t>0x0003d8f4</t>
  </si>
  <si>
    <t>0x0003d918</t>
  </si>
  <si>
    <t>0x0003d934</t>
  </si>
  <si>
    <t>0x0003d944</t>
  </si>
  <si>
    <t>0x0003d94c</t>
  </si>
  <si>
    <t>0x0003d960</t>
  </si>
  <si>
    <t>0x0003d968</t>
  </si>
  <si>
    <t>0x0003d9a4</t>
  </si>
  <si>
    <t>0x0003d9b0</t>
  </si>
  <si>
    <t>0x0003d9e8</t>
  </si>
  <si>
    <t>0x0003d9f0</t>
  </si>
  <si>
    <t>0x0003da14</t>
  </si>
  <si>
    <t>0x0003da20</t>
  </si>
  <si>
    <t>0x0003da3c</t>
  </si>
  <si>
    <t>0x0003da44</t>
  </si>
  <si>
    <t>0x0003da68</t>
  </si>
  <si>
    <t>0x0003da70</t>
  </si>
  <si>
    <t>0x0003da84</t>
  </si>
  <si>
    <t>0x0003da94</t>
  </si>
  <si>
    <t>0x0003dad0</t>
  </si>
  <si>
    <t>0x0003dae0</t>
  </si>
  <si>
    <t>0x0003db80</t>
  </si>
  <si>
    <t>0x0003db98</t>
  </si>
  <si>
    <t>0x0003dba4</t>
  </si>
  <si>
    <t>0x0003dbe0</t>
  </si>
  <si>
    <t>0x0003dc14</t>
  </si>
  <si>
    <t>0x0003dc2c</t>
  </si>
  <si>
    <t>0x0003dc38</t>
  </si>
  <si>
    <t>0x0003dc54</t>
  </si>
  <si>
    <t>0x0003dc60</t>
  </si>
  <si>
    <t>0x0003dc78</t>
  </si>
  <si>
    <t>0x0003dc8c</t>
  </si>
  <si>
    <t>0x0003dc9c</t>
  </si>
  <si>
    <t>0x0003dcdc</t>
  </si>
  <si>
    <t>0x0003dce8</t>
  </si>
  <si>
    <t>0x0003dd28</t>
  </si>
  <si>
    <t>0x0003dd34</t>
  </si>
  <si>
    <t>0x0003dd78</t>
  </si>
  <si>
    <t>0x0003dd84</t>
  </si>
  <si>
    <t>0x0003ddcc</t>
  </si>
  <si>
    <t>0x0003ddd8</t>
  </si>
  <si>
    <t>0x0003dde4</t>
  </si>
  <si>
    <t>0x0003de0c</t>
  </si>
  <si>
    <t>0x0003de1c</t>
  </si>
  <si>
    <t>0x0003de44</t>
  </si>
  <si>
    <t>0x0003de50</t>
  </si>
  <si>
    <t>0x0003de84</t>
  </si>
  <si>
    <t>0x0003de90</t>
  </si>
  <si>
    <t>0x0003deb8</t>
  </si>
  <si>
    <t>0x0003dec4</t>
  </si>
  <si>
    <t>0x0003def8</t>
  </si>
  <si>
    <t>0x0003df08</t>
  </si>
  <si>
    <t>0x0003df24</t>
  </si>
  <si>
    <t>0x0003df38</t>
  </si>
  <si>
    <t>0x0003df60</t>
  </si>
  <si>
    <t>0x0003df74</t>
  </si>
  <si>
    <t>0x0003df98</t>
  </si>
  <si>
    <t>0x0003dfa0</t>
  </si>
  <si>
    <t>0x0003dfd0</t>
  </si>
  <si>
    <t>0x0003dfd4</t>
  </si>
  <si>
    <t>0x0003e000</t>
  </si>
  <si>
    <t>0x0003e008</t>
  </si>
  <si>
    <t>0x0003e03c</t>
  </si>
  <si>
    <t>0x0003e058</t>
  </si>
  <si>
    <t>0x0003e064</t>
  </si>
  <si>
    <t>0x0003e074</t>
  </si>
  <si>
    <t>0x0003e080</t>
  </si>
  <si>
    <t>0x0003e098</t>
  </si>
  <si>
    <t>0x0003e0ac</t>
  </si>
  <si>
    <t>0x0003e0b4</t>
  </si>
  <si>
    <t>0x0003e0c8</t>
  </si>
  <si>
    <t>0x0003e0e0</t>
  </si>
  <si>
    <t>0x0003e0ec</t>
  </si>
  <si>
    <t>0x0003e118</t>
  </si>
  <si>
    <t>0x0003e124</t>
  </si>
  <si>
    <t>0x0003e140</t>
  </si>
  <si>
    <t>0x0003e148</t>
  </si>
  <si>
    <t>0x0003e164</t>
  </si>
  <si>
    <t>0x0003e16c</t>
  </si>
  <si>
    <t>0x0003e1a8</t>
  </si>
  <si>
    <t>0x0003e1b4</t>
  </si>
  <si>
    <t>0x0003e1d8</t>
  </si>
  <si>
    <t>0x0003e1ec</t>
  </si>
  <si>
    <t>0x0003e1f4</t>
  </si>
  <si>
    <t>0x0003e204</t>
  </si>
  <si>
    <t>0x0003e210</t>
  </si>
  <si>
    <t>0x0003e234</t>
  </si>
  <si>
    <t>0x0003e240</t>
  </si>
  <si>
    <t>0x0003e268</t>
  </si>
  <si>
    <t>0x0003e270</t>
  </si>
  <si>
    <t>0x0003e298</t>
  </si>
  <si>
    <t>0x0003e2a0</t>
  </si>
  <si>
    <t>0x0003e2bc</t>
  </si>
  <si>
    <t>0x0003e2c4</t>
  </si>
  <si>
    <t>0x0003e330</t>
  </si>
  <si>
    <t>0x0003e33c</t>
  </si>
  <si>
    <t>0x0003e3b0</t>
  </si>
  <si>
    <t>0x0003e3bc</t>
  </si>
  <si>
    <t>0x0003e3e4</t>
  </si>
  <si>
    <t>0x0003e3f0</t>
  </si>
  <si>
    <t>0x0003e414</t>
  </si>
  <si>
    <t>0x0003e41c</t>
  </si>
  <si>
    <t>0x0003e444</t>
  </si>
  <si>
    <t>0x0003e450</t>
  </si>
  <si>
    <t>0x0003e4e0</t>
  </si>
  <si>
    <t>0x0003e4e8</t>
  </si>
  <si>
    <t>0x0003e518</t>
  </si>
  <si>
    <t>0x0003e524</t>
  </si>
  <si>
    <t>0x0003e558</t>
  </si>
  <si>
    <t>0x0003e564</t>
  </si>
  <si>
    <t>0x0003e574</t>
  </si>
  <si>
    <t>0x0003e5a4</t>
  </si>
  <si>
    <t>0x0003e5b0</t>
  </si>
  <si>
    <t>0x0003e5e0</t>
  </si>
  <si>
    <t>0x0003e5ec</t>
  </si>
  <si>
    <t>0x0003e5fc</t>
  </si>
  <si>
    <t>0x0003e668</t>
  </si>
  <si>
    <t>0x0003e678</t>
  </si>
  <si>
    <t>0x0003e6ac</t>
  </si>
  <si>
    <t>0x0003e6b4</t>
  </si>
  <si>
    <t>0x0003e728</t>
  </si>
  <si>
    <t>0x0003e738</t>
  </si>
  <si>
    <t>0x0003e770</t>
  </si>
  <si>
    <t>0x0003e77c</t>
  </si>
  <si>
    <t>0x0003e7b4</t>
  </si>
  <si>
    <t>0x0003e7c8</t>
  </si>
  <si>
    <t>0x0003e800</t>
  </si>
  <si>
    <t>0x0003e814</t>
  </si>
  <si>
    <t>0x0003e840</t>
  </si>
  <si>
    <t>0x0003e854</t>
  </si>
  <si>
    <t>0x0003e880</t>
  </si>
  <si>
    <t>0x0003e89c</t>
  </si>
  <si>
    <t>0x0003e8a8</t>
  </si>
  <si>
    <t>0x0003e8c4</t>
  </si>
  <si>
    <t>0x0003e8fc</t>
  </si>
  <si>
    <t>0x0003e910</t>
  </si>
  <si>
    <t>0x0003e918</t>
  </si>
  <si>
    <t>0x0003e980</t>
  </si>
  <si>
    <t>0x0003e988</t>
  </si>
  <si>
    <t>0x0003e9b0</t>
  </si>
  <si>
    <t>0x0003e9bc</t>
  </si>
  <si>
    <t>0x0003ea30</t>
  </si>
  <si>
    <t>0x0003ea38</t>
  </si>
  <si>
    <t>0x0003eb2c</t>
  </si>
  <si>
    <t>0x0003eb30</t>
  </si>
  <si>
    <t>0x0003eb5c</t>
  </si>
  <si>
    <t>0x0003eb64</t>
  </si>
  <si>
    <t>0x0003eb8c</t>
  </si>
  <si>
    <t>0x0003eb98</t>
  </si>
  <si>
    <t>0x0003ebdc</t>
  </si>
  <si>
    <t>0x0003ec2c</t>
  </si>
  <si>
    <t>0x0003ec40</t>
  </si>
  <si>
    <t>0x0003ec54</t>
  </si>
  <si>
    <t>0x0003ec64</t>
  </si>
  <si>
    <t>0x0003ec6c</t>
  </si>
  <si>
    <t>0x0003ec7c</t>
  </si>
  <si>
    <t>0x0003ec88</t>
  </si>
  <si>
    <t>0x0003ec90</t>
  </si>
  <si>
    <t>0x0003eca0</t>
  </si>
  <si>
    <t>0x0003ecac</t>
  </si>
  <si>
    <t>0x0003ecb8</t>
  </si>
  <si>
    <t>0x0003ece4</t>
  </si>
  <si>
    <t>0x0003ed14</t>
  </si>
  <si>
    <t>0x0003ed20</t>
  </si>
  <si>
    <t>0x0003ed38</t>
  </si>
  <si>
    <t>0x0003ed44</t>
  </si>
  <si>
    <t>0x0003ed94</t>
  </si>
  <si>
    <t>0x0003edbc</t>
  </si>
  <si>
    <t>0x0003ee04</t>
  </si>
  <si>
    <t>0x0003ee30</t>
  </si>
  <si>
    <t>0x0003ee54</t>
  </si>
  <si>
    <t>0x0003ee6c</t>
  </si>
  <si>
    <t>0x0003ee84</t>
  </si>
  <si>
    <t>0x0003ee9c</t>
  </si>
  <si>
    <t>0x0003eeb0</t>
  </si>
  <si>
    <t>0x0003eec4</t>
  </si>
  <si>
    <t>0x0003eed8</t>
  </si>
  <si>
    <t>0x0003ef20</t>
  </si>
  <si>
    <t>0x0003ef30</t>
  </si>
  <si>
    <t>0x0003ef38</t>
  </si>
  <si>
    <t>0x0003ef60</t>
  </si>
  <si>
    <t>0x0003ef78</t>
  </si>
  <si>
    <t>0x0003ef84</t>
  </si>
  <si>
    <t>0x0003ef90</t>
  </si>
  <si>
    <t>0x0003ef9c</t>
  </si>
  <si>
    <t>0x0003efc8</t>
  </si>
  <si>
    <t>0x0003efd4</t>
  </si>
  <si>
    <t>0x0003efdc</t>
  </si>
  <si>
    <t>0x0003eff8</t>
  </si>
  <si>
    <t>0x0003f048</t>
  </si>
  <si>
    <t>0x0003f054</t>
  </si>
  <si>
    <t>0x0003f064</t>
  </si>
  <si>
    <t>0x0003f090</t>
  </si>
  <si>
    <t>0x0003f0bc</t>
  </si>
  <si>
    <t>0x0003f0fc</t>
  </si>
  <si>
    <t>0x0003f128</t>
  </si>
  <si>
    <t>0x0003f150</t>
  </si>
  <si>
    <t>0x0003f158</t>
  </si>
  <si>
    <t>0x0003f180</t>
  </si>
  <si>
    <t>0x0003f19c</t>
  </si>
  <si>
    <t>0x0003f1ec</t>
  </si>
  <si>
    <t>0x0003f210</t>
  </si>
  <si>
    <t>0x0003f23c</t>
  </si>
  <si>
    <t>0x0003f24c</t>
  </si>
  <si>
    <t>0x0003f290</t>
  </si>
  <si>
    <t>0x0003f2c4</t>
  </si>
  <si>
    <t>0x0003f2d0</t>
  </si>
  <si>
    <t>0x0003f2dc</t>
  </si>
  <si>
    <t>0x0003f2f8</t>
  </si>
  <si>
    <t>0x0003f328</t>
  </si>
  <si>
    <t>0x0003f360</t>
  </si>
  <si>
    <t>0x0003f378</t>
  </si>
  <si>
    <t>0x0003f3a0</t>
  </si>
  <si>
    <t>0x0003f3f0</t>
  </si>
  <si>
    <t>0x0003f41c</t>
  </si>
  <si>
    <t>0x0003f46c</t>
  </si>
  <si>
    <t>0x0003f498</t>
  </si>
  <si>
    <t>0x0003f4d8</t>
  </si>
  <si>
    <t>0x0003f4ec</t>
  </si>
  <si>
    <t>0x0003f500</t>
  </si>
  <si>
    <t>0x0003f524</t>
  </si>
  <si>
    <t>0x0003f548</t>
  </si>
  <si>
    <t>0x0003f55c</t>
  </si>
  <si>
    <t>0x0003f570</t>
  </si>
  <si>
    <t>0x0003f5bc</t>
  </si>
  <si>
    <t>0x0003f5e4</t>
  </si>
  <si>
    <t>0x0003f620</t>
  </si>
  <si>
    <t>0x0003f628</t>
  </si>
  <si>
    <t>0x0003f630</t>
  </si>
  <si>
    <t>0x0003f638</t>
  </si>
  <si>
    <t>0x0003f664</t>
  </si>
  <si>
    <t>0x0003f6c0</t>
  </si>
  <si>
    <t>0x0003f6ec</t>
  </si>
  <si>
    <t>0x0003f744</t>
  </si>
  <si>
    <t>0x0003f798</t>
  </si>
  <si>
    <t>0x0003f7cc</t>
  </si>
  <si>
    <t>0x0003f840</t>
  </si>
  <si>
    <t>0x0003f870</t>
  </si>
  <si>
    <t>0x0003f8cc</t>
  </si>
  <si>
    <t>0x0003f924</t>
  </si>
  <si>
    <t>0x0003f978</t>
  </si>
  <si>
    <t>0x0003f9ac</t>
  </si>
  <si>
    <t>0x0003fa14</t>
  </si>
  <si>
    <t>0x0003fa44</t>
  </si>
  <si>
    <t>0x0003fa98</t>
  </si>
  <si>
    <t>0x0003fae4</t>
  </si>
  <si>
    <t>0x0003fb10</t>
  </si>
  <si>
    <t>0x0003fb64</t>
  </si>
  <si>
    <t>0x0003fb6c</t>
  </si>
  <si>
    <t>0x0003fb9c</t>
  </si>
  <si>
    <t>0x0003fbec</t>
  </si>
  <si>
    <t>0x0003fc00</t>
  </si>
  <si>
    <t>0x0003fc34</t>
  </si>
  <si>
    <t>0x0003fc64</t>
  </si>
  <si>
    <t>0x0003fc80</t>
  </si>
  <si>
    <t>0x0003fc9c</t>
  </si>
  <si>
    <t>0x0003fcf8</t>
  </si>
  <si>
    <t>0x0003fd20</t>
  </si>
  <si>
    <t>0x0003fd48</t>
  </si>
  <si>
    <t>0x0003fd70</t>
  </si>
  <si>
    <t>0x0003fd98</t>
  </si>
  <si>
    <t>0x0003fdcc</t>
  </si>
  <si>
    <t>0x0003fe04</t>
  </si>
  <si>
    <t>0x0003fe3c</t>
  </si>
  <si>
    <t>0x0003fea8</t>
  </si>
  <si>
    <t>0x0003fee4</t>
  </si>
  <si>
    <t>0x0003feec</t>
  </si>
  <si>
    <t>0x0003fef4</t>
  </si>
  <si>
    <t>0x0003ff20</t>
  </si>
  <si>
    <t>0x0003ff5c</t>
  </si>
  <si>
    <t>0x0003ffa8</t>
  </si>
  <si>
    <t>0x00040000</t>
  </si>
  <si>
    <t>0x00040008</t>
  </si>
  <si>
    <t>0x00040034</t>
  </si>
  <si>
    <t>0x0004003c</t>
  </si>
  <si>
    <t>0x00040050</t>
  </si>
  <si>
    <t>0x00040078</t>
  </si>
  <si>
    <t>0x000400a0</t>
  </si>
  <si>
    <t>0x00040100</t>
  </si>
  <si>
    <t>0x00040128</t>
  </si>
  <si>
    <t>0x00040170</t>
  </si>
  <si>
    <t>0x00040188</t>
  </si>
  <si>
    <t>0x000401c4</t>
  </si>
  <si>
    <t>0x000401dc</t>
  </si>
  <si>
    <t>0x00040224</t>
  </si>
  <si>
    <t>0x00040260</t>
  </si>
  <si>
    <t>0x00040268</t>
  </si>
  <si>
    <t>0x00040284</t>
  </si>
  <si>
    <t>0x000402a0</t>
  </si>
  <si>
    <t>0x000402a8</t>
  </si>
  <si>
    <t>0x000402b4</t>
  </si>
  <si>
    <t>0x000402d0</t>
  </si>
  <si>
    <t>0x000402f8</t>
  </si>
  <si>
    <t>0x00040314</t>
  </si>
  <si>
    <t>0x00040330</t>
  </si>
  <si>
    <t>0x00040338</t>
  </si>
  <si>
    <t>0x00040344</t>
  </si>
  <si>
    <t>0x00040368</t>
  </si>
  <si>
    <t>0x000403a0</t>
  </si>
  <si>
    <t>0x000403a8</t>
  </si>
  <si>
    <t>0x000403c4</t>
  </si>
  <si>
    <t>0x000403cc</t>
  </si>
  <si>
    <t>0x000403d4</t>
  </si>
  <si>
    <t>0x000403dc</t>
  </si>
  <si>
    <t>0x000403f0</t>
  </si>
  <si>
    <t>0x00040418</t>
  </si>
  <si>
    <t>0x0004041c</t>
  </si>
  <si>
    <t>0x00040430</t>
  </si>
  <si>
    <t>0x00040454</t>
  </si>
  <si>
    <t>0x00040480</t>
  </si>
  <si>
    <t>0x00040494</t>
  </si>
  <si>
    <t>0x000404b8</t>
  </si>
  <si>
    <t>0x000404ec</t>
  </si>
  <si>
    <t>0x00040520</t>
  </si>
  <si>
    <t>0x00040538</t>
  </si>
  <si>
    <t>0x0004054c</t>
  </si>
  <si>
    <t>0x00040564</t>
  </si>
  <si>
    <t>0x00040578</t>
  </si>
  <si>
    <t>0x00040590</t>
  </si>
  <si>
    <t>0x000405a4</t>
  </si>
  <si>
    <t>0x000405c0</t>
  </si>
  <si>
    <t>0x000405d8</t>
  </si>
  <si>
    <t>0x00040600</t>
  </si>
  <si>
    <t>0x00040628</t>
  </si>
  <si>
    <t>0x00040640</t>
  </si>
  <si>
    <t>0x0004066c</t>
  </si>
  <si>
    <t>0x00040674</t>
  </si>
  <si>
    <t>0x000406a8</t>
  </si>
  <si>
    <t>0x000406d8</t>
  </si>
  <si>
    <t>0x00040708</t>
  </si>
  <si>
    <t>0x00040730</t>
  </si>
  <si>
    <t>0x00040768</t>
  </si>
  <si>
    <t>0x0004078c</t>
  </si>
  <si>
    <t>0x000407d4</t>
  </si>
  <si>
    <t>0x000407e8</t>
  </si>
  <si>
    <t>0x00040840</t>
  </si>
  <si>
    <t>0x00040864</t>
  </si>
  <si>
    <t>0x000408ac</t>
  </si>
  <si>
    <t>0x000408e0</t>
  </si>
  <si>
    <t>0x0004091c</t>
  </si>
  <si>
    <t>0x00040958</t>
  </si>
  <si>
    <t>0x00040984</t>
  </si>
  <si>
    <t>0x000409b4</t>
  </si>
  <si>
    <t>0x000409d8</t>
  </si>
  <si>
    <t>0x00040a24</t>
  </si>
  <si>
    <t>0x00040a60</t>
  </si>
  <si>
    <t>0x00040a9c</t>
  </si>
  <si>
    <t>0x00040ac0</t>
  </si>
  <si>
    <t>0x00040af4</t>
  </si>
  <si>
    <t>0x00040b2c</t>
  </si>
  <si>
    <t>0x00040b60</t>
  </si>
  <si>
    <t>0x00040bac</t>
  </si>
  <si>
    <t>0x00040bf8</t>
  </si>
  <si>
    <t>0x00040c34</t>
  </si>
  <si>
    <t>0x00040c68</t>
  </si>
  <si>
    <t>0x00040ca0</t>
  </si>
  <si>
    <t>0x00040ccc</t>
  </si>
  <si>
    <t>0x00040cf0</t>
  </si>
  <si>
    <t>0x00040d0c</t>
  </si>
  <si>
    <t>0x00040d54</t>
  </si>
  <si>
    <t>0x00040d8c</t>
  </si>
  <si>
    <t>0x00040dbc</t>
  </si>
  <si>
    <t>0x00040dec</t>
  </si>
  <si>
    <t>0x00040e5c</t>
  </si>
  <si>
    <t>0x00040ee8</t>
  </si>
  <si>
    <t>0x00040f28</t>
  </si>
  <si>
    <t>0x00040f64</t>
  </si>
  <si>
    <t>0x00040fa4</t>
  </si>
  <si>
    <t>0x00040fdc</t>
  </si>
  <si>
    <t>0x0004100c</t>
  </si>
  <si>
    <t>0x00041044</t>
  </si>
  <si>
    <t>0x0004107c</t>
  </si>
  <si>
    <t>0x000410a8</t>
  </si>
  <si>
    <t>0x000410e4</t>
  </si>
  <si>
    <t>0x00041110</t>
  </si>
  <si>
    <t>0x0004112c</t>
  </si>
  <si>
    <t>0x00041144</t>
  </si>
  <si>
    <t>0x0004115c</t>
  </si>
  <si>
    <t>0x00041178</t>
  </si>
  <si>
    <t>0x00041194</t>
  </si>
  <si>
    <t>0x000411b0</t>
  </si>
  <si>
    <t>0x000411e0</t>
  </si>
  <si>
    <t>0x000411fc</t>
  </si>
  <si>
    <t>0x00041210</t>
  </si>
  <si>
    <t>0x0004128c</t>
  </si>
  <si>
    <t>0x00041298</t>
  </si>
  <si>
    <t>0x000412b0</t>
  </si>
  <si>
    <t>0x000412c8</t>
  </si>
  <si>
    <t>0x000412e0</t>
  </si>
  <si>
    <t>0x000412f8</t>
  </si>
  <si>
    <t>0x00041368</t>
  </si>
  <si>
    <t>0x000413d4</t>
  </si>
  <si>
    <t>0x00041408</t>
  </si>
  <si>
    <t>0x00041420</t>
  </si>
  <si>
    <t>0x00041434</t>
  </si>
  <si>
    <t>0x0004143c</t>
  </si>
  <si>
    <t>0x00041458</t>
  </si>
  <si>
    <t>0x00041484</t>
  </si>
  <si>
    <t>0x0004149c</t>
  </si>
  <si>
    <t>0x000414b8</t>
  </si>
  <si>
    <t>0x000414ec</t>
  </si>
  <si>
    <t>0x00041508</t>
  </si>
  <si>
    <t>0x0004152c</t>
  </si>
  <si>
    <t>0x00041550</t>
  </si>
  <si>
    <t>0x00041574</t>
  </si>
  <si>
    <t>0x000415b4</t>
  </si>
  <si>
    <t>0x00041600</t>
  </si>
  <si>
    <t>0x00041630</t>
  </si>
  <si>
    <t>0x00041678</t>
  </si>
  <si>
    <t>0x000416d0</t>
  </si>
  <si>
    <t>0x00041714</t>
  </si>
  <si>
    <t>0x00041748</t>
  </si>
  <si>
    <t>0x00041778</t>
  </si>
  <si>
    <t>0x000417b4</t>
  </si>
  <si>
    <t>0x00041810</t>
  </si>
  <si>
    <t>0x00041828</t>
  </si>
  <si>
    <t>0x00041844</t>
  </si>
  <si>
    <t>0x00041860</t>
  </si>
  <si>
    <t>0x000418a4</t>
  </si>
  <si>
    <t>0x000418e8</t>
  </si>
  <si>
    <t>0x00041914</t>
  </si>
  <si>
    <t>0x00041938</t>
  </si>
  <si>
    <t>0x00041964</t>
  </si>
  <si>
    <t>0x00041974</t>
  </si>
  <si>
    <t>0x00041988</t>
  </si>
  <si>
    <t>0x000419a4</t>
  </si>
  <si>
    <t>0x000419b8</t>
  </si>
  <si>
    <t>0x000419dc</t>
  </si>
  <si>
    <t>0x00041a04</t>
  </si>
  <si>
    <t>0x00041a40</t>
  </si>
  <si>
    <t>0x00041a50</t>
  </si>
  <si>
    <t>0x00041a58</t>
  </si>
  <si>
    <t>0x00041a68</t>
  </si>
  <si>
    <t>0x00041ab0</t>
  </si>
  <si>
    <t>0x00041ac8</t>
  </si>
  <si>
    <t>0x00041afc</t>
  </si>
  <si>
    <t>0x00041b18</t>
  </si>
  <si>
    <t>0x00041b4c</t>
  </si>
  <si>
    <t>0x00041b68</t>
  </si>
  <si>
    <t>0x00041b7c</t>
  </si>
  <si>
    <t>0x00041bc8</t>
  </si>
  <si>
    <t>0x00041c0c</t>
  </si>
  <si>
    <t>0x00041c28</t>
  </si>
  <si>
    <t>0x00041c54</t>
  </si>
  <si>
    <t>0x00041c64</t>
  </si>
  <si>
    <t>0x00041c80</t>
  </si>
  <si>
    <t>0x00041ce8</t>
  </si>
  <si>
    <t>0x00041d20</t>
  </si>
  <si>
    <t>0x00041d74</t>
  </si>
  <si>
    <t>0x00041d98</t>
  </si>
  <si>
    <t>0x00041e14</t>
  </si>
  <si>
    <t>0x00041e30</t>
  </si>
  <si>
    <t>0x00041e4c</t>
  </si>
  <si>
    <t>0x00041e58</t>
  </si>
  <si>
    <t>0x00041ec0</t>
  </si>
  <si>
    <t>0x00041ec8</t>
  </si>
  <si>
    <t>0x00041ef4</t>
  </si>
  <si>
    <t>0x00042428</t>
  </si>
  <si>
    <t>0x00042440</t>
  </si>
  <si>
    <t>0x00042454</t>
  </si>
  <si>
    <t>0x00042464</t>
  </si>
  <si>
    <t>0x00042478</t>
  </si>
  <si>
    <t>0x00042490</t>
  </si>
  <si>
    <t>0x000424a4</t>
  </si>
  <si>
    <t>0x000424b8</t>
  </si>
  <si>
    <t>0x000424c8</t>
  </si>
  <si>
    <t>0x000424dc</t>
  </si>
  <si>
    <t>0x000424f0</t>
  </si>
  <si>
    <t>0x00042514</t>
  </si>
  <si>
    <t>0x00042524</t>
  </si>
  <si>
    <t>0x0004253c</t>
  </si>
  <si>
    <t>0x00042558</t>
  </si>
  <si>
    <t>0x0004256c</t>
  </si>
  <si>
    <t>0x0004257c</t>
  </si>
  <si>
    <t>0x00042584</t>
  </si>
  <si>
    <t>0x000425c0</t>
  </si>
  <si>
    <t>0x000425d8</t>
  </si>
  <si>
    <t>0x0004263c</t>
  </si>
  <si>
    <t>0x0004263e</t>
  </si>
  <si>
    <t>0x00042654</t>
  </si>
  <si>
    <t>0x00042660</t>
  </si>
  <si>
    <t>0x0004268c</t>
  </si>
  <si>
    <t>0x00042698</t>
  </si>
  <si>
    <t>0x000426a0</t>
  </si>
  <si>
    <t>0x000426a8</t>
  </si>
  <si>
    <t>0x000426bc</t>
  </si>
  <si>
    <t>0x000426d0</t>
  </si>
  <si>
    <t>0x000426d8</t>
  </si>
  <si>
    <t>0x000426e4</t>
  </si>
  <si>
    <t>0x0004271c</t>
  </si>
  <si>
    <t>0x00042754</t>
  </si>
  <si>
    <t>0x00042784</t>
  </si>
  <si>
    <t>0x000427c0</t>
  </si>
  <si>
    <t>0x000427f4</t>
  </si>
  <si>
    <t>0x00042804</t>
  </si>
  <si>
    <t>0x00042818</t>
  </si>
  <si>
    <t>0x00042830</t>
  </si>
  <si>
    <t>0x00042844</t>
  </si>
  <si>
    <t>0x00042860</t>
  </si>
  <si>
    <t>0x00042874</t>
  </si>
  <si>
    <t>0x00042890</t>
  </si>
  <si>
    <t>0x00042908</t>
  </si>
  <si>
    <t>0x00042940</t>
  </si>
  <si>
    <t>0x00042950</t>
  </si>
  <si>
    <t>0x00042958</t>
  </si>
  <si>
    <t>0x0004298c</t>
  </si>
  <si>
    <t>0x000429a4</t>
  </si>
  <si>
    <t>0x000429d0</t>
  </si>
  <si>
    <t>0x000429f4</t>
  </si>
  <si>
    <t>0x00042a10</t>
  </si>
  <si>
    <t>0x00042a48</t>
  </si>
  <si>
    <t>0x00042a80</t>
  </si>
  <si>
    <t>0x00042aac</t>
  </si>
  <si>
    <t>0x00042adc</t>
  </si>
  <si>
    <t>0x00042b0c</t>
  </si>
  <si>
    <t>0x00042b30</t>
  </si>
  <si>
    <t>0x00042b80</t>
  </si>
  <si>
    <t>0x00042bc0</t>
  </si>
  <si>
    <t>0x00042bdc</t>
  </si>
  <si>
    <t>0x00042c30</t>
  </si>
  <si>
    <t>0x00042c60</t>
  </si>
  <si>
    <t>0x00042cc4</t>
  </si>
  <si>
    <t>0x00042cdc</t>
  </si>
  <si>
    <t>0x00042d20</t>
  </si>
  <si>
    <t>0x00042d38</t>
  </si>
  <si>
    <t>0x00042d50</t>
  </si>
  <si>
    <t>0x00042d64</t>
  </si>
  <si>
    <t>0x00042d78</t>
  </si>
  <si>
    <t>0x00042d90</t>
  </si>
  <si>
    <t>0x00042da4</t>
  </si>
  <si>
    <t>0x00042dbc</t>
  </si>
  <si>
    <t>0x00042dd4</t>
  </si>
  <si>
    <t>0x00042dec</t>
  </si>
  <si>
    <t>0x00042e04</t>
  </si>
  <si>
    <t>0x00042e1c</t>
  </si>
  <si>
    <t>0x00042e34</t>
  </si>
  <si>
    <t>0x00042e4c</t>
  </si>
  <si>
    <t>0x00042e64</t>
  </si>
  <si>
    <t>0x00042e9c</t>
  </si>
  <si>
    <t>0x00042eb4</t>
  </si>
  <si>
    <t>0x00042ee4</t>
  </si>
  <si>
    <t>0x00042eec</t>
  </si>
  <si>
    <t>0x00042ef8</t>
  </si>
  <si>
    <t>0x00042f10</t>
  </si>
  <si>
    <t>0x00042f28</t>
  </si>
  <si>
    <t>0x00042f40</t>
  </si>
  <si>
    <t>0x00042f4c</t>
  </si>
  <si>
    <t>0x00042f58</t>
  </si>
  <si>
    <t>0x00042f64</t>
  </si>
  <si>
    <t>0x00042f7c</t>
  </si>
  <si>
    <t>0x00042f90</t>
  </si>
  <si>
    <t>0x00042fa8</t>
  </si>
  <si>
    <t>0x00042fb4</t>
  </si>
  <si>
    <t>0x00042fc0</t>
  </si>
  <si>
    <t>0x00042ff0</t>
  </si>
  <si>
    <t>0x00042ff8</t>
  </si>
  <si>
    <t>0x00043074</t>
  </si>
  <si>
    <t>0x00043084</t>
  </si>
  <si>
    <t>0x000430a0</t>
  </si>
  <si>
    <t>0x000430b0</t>
  </si>
  <si>
    <t>0x000430b8</t>
  </si>
  <si>
    <t>0x000430c8</t>
  </si>
  <si>
    <t>0x000430d4</t>
  </si>
  <si>
    <t>0x000430e0</t>
  </si>
  <si>
    <t>0x000430f0</t>
  </si>
  <si>
    <t>0x0004311c</t>
  </si>
  <si>
    <t>0x0004312c</t>
  </si>
  <si>
    <t>0x00043138</t>
  </si>
  <si>
    <t>0x00043144</t>
  </si>
  <si>
    <t>0x00043154</t>
  </si>
  <si>
    <t>0x00043168</t>
  </si>
  <si>
    <t>0x00043178</t>
  </si>
  <si>
    <t>0x00043184</t>
  </si>
  <si>
    <t>0x00043194</t>
  </si>
  <si>
    <t>0x000431e0</t>
  </si>
  <si>
    <t>0x000431f0</t>
  </si>
  <si>
    <t>0x000431fc</t>
  </si>
  <si>
    <t>0x0004320c</t>
  </si>
  <si>
    <t>0x00043228</t>
  </si>
  <si>
    <t>0x00043238</t>
  </si>
  <si>
    <t>0x00043254</t>
  </si>
  <si>
    <t>0x00043264</t>
  </si>
  <si>
    <t>0x00043278</t>
  </si>
  <si>
    <t>0x00043288</t>
  </si>
  <si>
    <t>0x000432b0</t>
  </si>
  <si>
    <t>0x000432c0</t>
  </si>
  <si>
    <t>0x000432e4</t>
  </si>
  <si>
    <t>0x000432f4</t>
  </si>
  <si>
    <t>0x00043300</t>
  </si>
  <si>
    <t>0x0004335c</t>
  </si>
  <si>
    <t>0x00043398</t>
  </si>
  <si>
    <t>0x000433dc</t>
  </si>
  <si>
    <t>0x0004340c</t>
  </si>
  <si>
    <t>0x00043444</t>
  </si>
  <si>
    <t>0x00043454</t>
  </si>
  <si>
    <t>0x00043468</t>
  </si>
  <si>
    <t>0x00043470</t>
  </si>
  <si>
    <t>0x0004347c</t>
  </si>
  <si>
    <t>0x00043498</t>
  </si>
  <si>
    <t>0x000434ac</t>
  </si>
  <si>
    <t>0x000434c0</t>
  </si>
  <si>
    <t>0x000434f0</t>
  </si>
  <si>
    <t>0x00043508</t>
  </si>
  <si>
    <t>0x00043518</t>
  </si>
  <si>
    <t>0x00043600</t>
  </si>
  <si>
    <t>0x0004363c</t>
  </si>
  <si>
    <t>0x00043644</t>
  </si>
  <si>
    <t>0x00043650</t>
  </si>
  <si>
    <t>0x0004366c</t>
  </si>
  <si>
    <t>0x00043674</t>
  </si>
  <si>
    <t>0x00043688</t>
  </si>
  <si>
    <t>0x00043690</t>
  </si>
  <si>
    <t>0x00043698</t>
  </si>
  <si>
    <t>0x000436a0</t>
  </si>
  <si>
    <t>0x000436ac</t>
  </si>
  <si>
    <t>0x000436b4</t>
  </si>
  <si>
    <t>0x000436bc</t>
  </si>
  <si>
    <t>0x000436c4</t>
  </si>
  <si>
    <t>0x000436f0</t>
  </si>
  <si>
    <t>0x000436f8</t>
  </si>
  <si>
    <t>0x00043700</t>
  </si>
  <si>
    <t>0x00043708</t>
  </si>
  <si>
    <t>0x00043760</t>
  </si>
  <si>
    <t>0x0004376c</t>
  </si>
  <si>
    <t>0x00043774</t>
  </si>
  <si>
    <t>0x0004377c</t>
  </si>
  <si>
    <t>0x00043798</t>
  </si>
  <si>
    <t>0x000437a4</t>
  </si>
  <si>
    <t>0x000437b0</t>
  </si>
  <si>
    <t>0x000437bc</t>
  </si>
  <si>
    <t>0x000437c8</t>
  </si>
  <si>
    <t>0x000437d8</t>
  </si>
  <si>
    <t>0x000437e0</t>
  </si>
  <si>
    <t>0x000437ec</t>
  </si>
  <si>
    <t>0x00043824</t>
  </si>
  <si>
    <t>0x00043858</t>
  </si>
  <si>
    <t>0x0004385c</t>
  </si>
  <si>
    <t>0x00043870</t>
  </si>
  <si>
    <t>0x000438c0</t>
  </si>
  <si>
    <t>0x000438f8</t>
  </si>
  <si>
    <t>0x00043908</t>
  </si>
  <si>
    <t>0x000439b0</t>
  </si>
  <si>
    <t>0x578</t>
  </si>
  <si>
    <t>0x00043f28</t>
  </si>
  <si>
    <t>0x00043f34</t>
  </si>
  <si>
    <t>0x00043f64</t>
  </si>
  <si>
    <t>0x00043f84</t>
  </si>
  <si>
    <t>0x00043fa4</t>
  </si>
  <si>
    <t>0x00043fd0</t>
  </si>
  <si>
    <t>0x00043ff4</t>
  </si>
  <si>
    <t>0x00044010</t>
  </si>
  <si>
    <t>0x00044018</t>
  </si>
  <si>
    <t>0x00044034</t>
  </si>
  <si>
    <t>0x00044044</t>
  </si>
  <si>
    <t>0x0004405c</t>
  </si>
  <si>
    <t>0x000440ac</t>
  </si>
  <si>
    <t>0x000440c8</t>
  </si>
  <si>
    <t>0x00044114</t>
  </si>
  <si>
    <t>0x00044128</t>
  </si>
  <si>
    <t>0x0004417c</t>
  </si>
  <si>
    <t>0x00044198</t>
  </si>
  <si>
    <t>0x000441f0</t>
  </si>
  <si>
    <t>0x00044208</t>
  </si>
  <si>
    <t>0x00044260</t>
  </si>
  <si>
    <t>0x00044280</t>
  </si>
  <si>
    <t>0x000442e0</t>
  </si>
  <si>
    <t>0x000442fc</t>
  </si>
  <si>
    <t>0x00044330</t>
  </si>
  <si>
    <t>0x0004434c</t>
  </si>
  <si>
    <t>0x00044378</t>
  </si>
  <si>
    <t>0x0004438c</t>
  </si>
  <si>
    <t>0x0004439c</t>
  </si>
  <si>
    <t>0x000443ac</t>
  </si>
  <si>
    <t>0x00044408</t>
  </si>
  <si>
    <t>0x00044414</t>
  </si>
  <si>
    <t>0x00044430</t>
  </si>
  <si>
    <t>0x00044448</t>
  </si>
  <si>
    <t>0x0004445c</t>
  </si>
  <si>
    <t>0x0004446c</t>
  </si>
  <si>
    <t>0x0004449c</t>
  </si>
  <si>
    <t>0x000444c4</t>
  </si>
  <si>
    <t>0x000444dc</t>
  </si>
  <si>
    <t>0x00044508</t>
  </si>
  <si>
    <t>0x00044520</t>
  </si>
  <si>
    <t>0x0004454c</t>
  </si>
  <si>
    <t>0x0004456c</t>
  </si>
  <si>
    <t>0x00044594</t>
  </si>
  <si>
    <t>0x000445a8</t>
  </si>
  <si>
    <t>0x000445d8</t>
  </si>
  <si>
    <t>0x000445e8</t>
  </si>
  <si>
    <t>0x00044600</t>
  </si>
  <si>
    <t>0x00044640</t>
  </si>
  <si>
    <t>0x0004464c</t>
  </si>
  <si>
    <t>0x00044670</t>
  </si>
  <si>
    <t>0x00044688</t>
  </si>
  <si>
    <t>0x0004469c</t>
  </si>
  <si>
    <t>0x000446b8</t>
  </si>
  <si>
    <t>0x000446cc</t>
  </si>
  <si>
    <t>0x00044720</t>
  </si>
  <si>
    <t>0x00044734</t>
  </si>
  <si>
    <t>0x0004475c</t>
  </si>
  <si>
    <t>0x00044778</t>
  </si>
  <si>
    <t>0x000447ac</t>
  </si>
  <si>
    <t>0x000447c8</t>
  </si>
  <si>
    <t>0x000447f8</t>
  </si>
  <si>
    <t>0x00044810</t>
  </si>
  <si>
    <t>0x0004483c</t>
  </si>
  <si>
    <t>0x00044858</t>
  </si>
  <si>
    <t>0x00044888</t>
  </si>
  <si>
    <t>0x000448a0</t>
  </si>
  <si>
    <t>0x000448d0</t>
  </si>
  <si>
    <t>0x000448e4</t>
  </si>
  <si>
    <t>0x0004490c</t>
  </si>
  <si>
    <t>0x00044920</t>
  </si>
  <si>
    <t>0x00044948</t>
  </si>
  <si>
    <t>0x00044968</t>
  </si>
  <si>
    <t>0x00044998</t>
  </si>
  <si>
    <t>0x000449ac</t>
  </si>
  <si>
    <t>0x000449d4</t>
  </si>
  <si>
    <t>0x000449ec</t>
  </si>
  <si>
    <t>0x00044a1c</t>
  </si>
  <si>
    <t>0x00044a38</t>
  </si>
  <si>
    <t>0x00044a68</t>
  </si>
  <si>
    <t>0x00044a84</t>
  </si>
  <si>
    <t>0x00044ab4</t>
  </si>
  <si>
    <t>0x00044b04</t>
  </si>
  <si>
    <t>0x00044b20</t>
  </si>
  <si>
    <t>0x00044b30</t>
  </si>
  <si>
    <t>0x00044b50</t>
  </si>
  <si>
    <t>0x00044b84</t>
  </si>
  <si>
    <t>0x00044b9c</t>
  </si>
  <si>
    <t>0x00044bc4</t>
  </si>
  <si>
    <t>0x00044c04</t>
  </si>
  <si>
    <t>0x00044c14</t>
  </si>
  <si>
    <t>0x00044c54</t>
  </si>
  <si>
    <t>0x00044c6c</t>
  </si>
  <si>
    <t>0x00044cb4</t>
  </si>
  <si>
    <t>0x00044cd4</t>
  </si>
  <si>
    <t>0x00044cec</t>
  </si>
  <si>
    <t>0x00044d38</t>
  </si>
  <si>
    <t>0x00044d50</t>
  </si>
  <si>
    <t>0x00044da0</t>
  </si>
  <si>
    <t>0x00044db8</t>
  </si>
  <si>
    <t>0x00044e04</t>
  </si>
  <si>
    <t>0x00044e0c</t>
  </si>
  <si>
    <t>0x00044e34</t>
  </si>
  <si>
    <t>0x00044e48</t>
  </si>
  <si>
    <t>0x00044e68</t>
  </si>
  <si>
    <t>0x00044e7c</t>
  </si>
  <si>
    <t>0x00044e98</t>
  </si>
  <si>
    <t>0x00044ea8</t>
  </si>
  <si>
    <t>0x00044ec4</t>
  </si>
  <si>
    <t>0x00044ed4</t>
  </si>
  <si>
    <t>0x00044eec</t>
  </si>
  <si>
    <t>0x00044f04</t>
  </si>
  <si>
    <t>0x00044f2c</t>
  </si>
  <si>
    <t>0x00044f48</t>
  </si>
  <si>
    <t>0x00044f98</t>
  </si>
  <si>
    <t>0x00044fb8</t>
  </si>
  <si>
    <t>0x00044fcc</t>
  </si>
  <si>
    <t>0x00044fe8</t>
  </si>
  <si>
    <t>0x00044ffc</t>
  </si>
  <si>
    <t>0x00045034</t>
  </si>
  <si>
    <t>0x00045050</t>
  </si>
  <si>
    <t>0x00045084</t>
  </si>
  <si>
    <t>0x000450a0</t>
  </si>
  <si>
    <t>0x000450bc</t>
  </si>
  <si>
    <t>0x000450ec</t>
  </si>
  <si>
    <t>0x00045108</t>
  </si>
  <si>
    <t>0x00045138</t>
  </si>
  <si>
    <t>0x00045154</t>
  </si>
  <si>
    <t>0x00045188</t>
  </si>
  <si>
    <t>0x000451a0</t>
  </si>
  <si>
    <t>0x000451a4</t>
  </si>
  <si>
    <t>0x000451bc</t>
  </si>
  <si>
    <t>0x000451e4</t>
  </si>
  <si>
    <t>0x000451fc</t>
  </si>
  <si>
    <t>0x00045220</t>
  </si>
  <si>
    <t>0x00045230</t>
  </si>
  <si>
    <t>0x00045248</t>
  </si>
  <si>
    <t>0x00045268</t>
  </si>
  <si>
    <t>0x000452a4</t>
  </si>
  <si>
    <t>0x00045300</t>
  </si>
  <si>
    <t>0x00045310</t>
  </si>
  <si>
    <t>0x00045344</t>
  </si>
  <si>
    <t>0x00045354</t>
  </si>
  <si>
    <t>0x000453d8</t>
  </si>
  <si>
    <t>0x00045414</t>
  </si>
  <si>
    <t>0x00045438</t>
  </si>
  <si>
    <t>0x00045448</t>
  </si>
  <si>
    <t>0x0004549c</t>
  </si>
  <si>
    <t>0x000454b8</t>
  </si>
  <si>
    <t>0x000454c8</t>
  </si>
  <si>
    <t>0x000454e8</t>
  </si>
  <si>
    <t>0x000454f8</t>
  </si>
  <si>
    <t>0x0004551c</t>
  </si>
  <si>
    <t>0x0004552c</t>
  </si>
  <si>
    <t>0x00045550</t>
  </si>
  <si>
    <t>0x00045564</t>
  </si>
  <si>
    <t>0x00045588</t>
  </si>
  <si>
    <t>0x00045594</t>
  </si>
  <si>
    <t>0x000455b8</t>
  </si>
  <si>
    <t>0x000455d0</t>
  </si>
  <si>
    <t>0x000455f4</t>
  </si>
  <si>
    <t>0x00045610</t>
  </si>
  <si>
    <t>0x00045638</t>
  </si>
  <si>
    <t>0x00045654</t>
  </si>
  <si>
    <t>0x000456a0</t>
  </si>
  <si>
    <t>0x000456bc</t>
  </si>
  <si>
    <t>0x00045700</t>
  </si>
  <si>
    <t>0x00045710</t>
  </si>
  <si>
    <t>0x00045734</t>
  </si>
  <si>
    <t>0x00045748</t>
  </si>
  <si>
    <t>0x00045770</t>
  </si>
  <si>
    <t>0x0004578c</t>
  </si>
  <si>
    <t>0x00045838</t>
  </si>
  <si>
    <t>0x00045850</t>
  </si>
  <si>
    <t>0x000458a8</t>
  </si>
  <si>
    <t>0x000458d0</t>
  </si>
  <si>
    <t>0x000458ec</t>
  </si>
  <si>
    <t>0x00045934</t>
  </si>
  <si>
    <t>0x00045948</t>
  </si>
  <si>
    <t>0x00045990</t>
  </si>
  <si>
    <t>0x000459a0</t>
  </si>
  <si>
    <t>0x000459c4</t>
  </si>
  <si>
    <t>0x000459cc</t>
  </si>
  <si>
    <t>0x000459e4</t>
  </si>
  <si>
    <t>0x00045a28</t>
  </si>
  <si>
    <t>0x00045a40</t>
  </si>
  <si>
    <t>0x00045a70</t>
  </si>
  <si>
    <t>0x00045a84</t>
  </si>
  <si>
    <t>0x00045aa8</t>
  </si>
  <si>
    <t>0x00045ab0</t>
  </si>
  <si>
    <t>0x00045ac0</t>
  </si>
  <si>
    <t>0x00045ad4</t>
  </si>
  <si>
    <t>0x00045b1c</t>
  </si>
  <si>
    <t>0x00045b28</t>
  </si>
  <si>
    <t>0x00045b40</t>
  </si>
  <si>
    <t>0x00045b4c</t>
  </si>
  <si>
    <t>0x00045b5c</t>
  </si>
  <si>
    <t>0x00045b70</t>
  </si>
  <si>
    <t>0x00045b90</t>
  </si>
  <si>
    <t>0x00045bd0</t>
  </si>
  <si>
    <t>0x00045bec</t>
  </si>
  <si>
    <t>0x00045bfc</t>
  </si>
  <si>
    <t>0x00045c24</t>
  </si>
  <si>
    <t>0x00045c34</t>
  </si>
  <si>
    <t>0x00045c54</t>
  </si>
  <si>
    <t>0x00045c60</t>
  </si>
  <si>
    <t>0x00045c98</t>
  </si>
  <si>
    <t>0x00045cd8</t>
  </si>
  <si>
    <t>0x00045cec</t>
  </si>
  <si>
    <t>0x00045d04</t>
  </si>
  <si>
    <t>0x00045d14</t>
  </si>
  <si>
    <t>0x00045d34</t>
  </si>
  <si>
    <t>0x00045d40</t>
  </si>
  <si>
    <t>0x00045d5c</t>
  </si>
  <si>
    <t>0x00045d68</t>
  </si>
  <si>
    <t>0x00045d94</t>
  </si>
  <si>
    <t>0x00045db8</t>
  </si>
  <si>
    <t>0x00045dc8</t>
  </si>
  <si>
    <t>0x00045df4</t>
  </si>
  <si>
    <t>0x00045e04</t>
  </si>
  <si>
    <t>0x00045e1c</t>
  </si>
  <si>
    <t>0x00045e30</t>
  </si>
  <si>
    <t>0x00045e48</t>
  </si>
  <si>
    <t>0x00045e60</t>
  </si>
  <si>
    <t>0x00045ecc</t>
  </si>
  <si>
    <t>0x00045f08</t>
  </si>
  <si>
    <t>0x00045f10</t>
  </si>
  <si>
    <t>0x00045f1c</t>
  </si>
  <si>
    <t>0x00045f28</t>
  </si>
  <si>
    <t>0x00045f94</t>
  </si>
  <si>
    <t>0x00045fec</t>
  </si>
  <si>
    <t>0x0004601c</t>
  </si>
  <si>
    <t>0x0004603c</t>
  </si>
  <si>
    <t>0x0004605c</t>
  </si>
  <si>
    <t>0x00046074</t>
  </si>
  <si>
    <t>0x000460b4</t>
  </si>
  <si>
    <t>0x000460f4</t>
  </si>
  <si>
    <t>0x00046108</t>
  </si>
  <si>
    <t>0x00046114</t>
  </si>
  <si>
    <t>0x00046138</t>
  </si>
  <si>
    <t>0x00046144</t>
  </si>
  <si>
    <t>0x00046150</t>
  </si>
  <si>
    <t>0x00046160</t>
  </si>
  <si>
    <t>0x0004616c</t>
  </si>
  <si>
    <t>0x0004619c</t>
  </si>
  <si>
    <t>0x000461a8</t>
  </si>
  <si>
    <t>0x000461d4</t>
  </si>
  <si>
    <t>0x000461dc</t>
  </si>
  <si>
    <t>0x000461f4</t>
  </si>
  <si>
    <t>0x00046234</t>
  </si>
  <si>
    <t>0x00046254</t>
  </si>
  <si>
    <t>0x0004625c</t>
  </si>
  <si>
    <t>0x00046284</t>
  </si>
  <si>
    <t>0x00046294</t>
  </si>
  <si>
    <t>0x000462b8</t>
  </si>
  <si>
    <t>0x000462e4</t>
  </si>
  <si>
    <t>0x000462f4</t>
  </si>
  <si>
    <t>0x00046314</t>
  </si>
  <si>
    <t>0x00046328</t>
  </si>
  <si>
    <t>0x00046354</t>
  </si>
  <si>
    <t>0x00046364</t>
  </si>
  <si>
    <t>0x00046388</t>
  </si>
  <si>
    <t>0x000463a0</t>
  </si>
  <si>
    <t>0x000463bc</t>
  </si>
  <si>
    <t>0x000463e8</t>
  </si>
  <si>
    <t>0x00046400</t>
  </si>
  <si>
    <t>0x00046424</t>
  </si>
  <si>
    <t>0x0004643c</t>
  </si>
  <si>
    <t>0x00046464</t>
  </si>
  <si>
    <t>0x0004647c</t>
  </si>
  <si>
    <t>0x000464a8</t>
  </si>
  <si>
    <t>0x000464c0</t>
  </si>
  <si>
    <t>0x000464ec</t>
  </si>
  <si>
    <t>0x000464fc</t>
  </si>
  <si>
    <t>0x00046518</t>
  </si>
  <si>
    <t>0x00046530</t>
  </si>
  <si>
    <t>0x0004654c</t>
  </si>
  <si>
    <t>0x0004658c</t>
  </si>
  <si>
    <t>0x000465a0</t>
  </si>
  <si>
    <t>0x000465cc</t>
  </si>
  <si>
    <t>0x000465dc</t>
  </si>
  <si>
    <t>0x000465f0</t>
  </si>
  <si>
    <t>0x00046604</t>
  </si>
  <si>
    <t>0x00046638</t>
  </si>
  <si>
    <t>0x00046658</t>
  </si>
  <si>
    <t>0x00046670</t>
  </si>
  <si>
    <t>0x0004669c</t>
  </si>
  <si>
    <t>0x000466b8</t>
  </si>
  <si>
    <t>0x000466e0</t>
  </si>
  <si>
    <t>0x000466fc</t>
  </si>
  <si>
    <t>0x0004672c</t>
  </si>
  <si>
    <t>0x0004676c</t>
  </si>
  <si>
    <t>0x000467a4</t>
  </si>
  <si>
    <t>0x000467ec</t>
  </si>
  <si>
    <t>0x00046814</t>
  </si>
  <si>
    <t>0x00046828</t>
  </si>
  <si>
    <t>0x00046850</t>
  </si>
  <si>
    <t>0x00046868</t>
  </si>
  <si>
    <t>0x000468dc</t>
  </si>
  <si>
    <t>0x000468ec</t>
  </si>
  <si>
    <t>0x00046910</t>
  </si>
  <si>
    <t>0x00046920</t>
  </si>
  <si>
    <t>0x00046944</t>
  </si>
  <si>
    <t>0x00046958</t>
  </si>
  <si>
    <t>0x00046978</t>
  </si>
  <si>
    <t>0x00046998</t>
  </si>
  <si>
    <t>0x000469a4</t>
  </si>
  <si>
    <t>0x000469b8</t>
  </si>
  <si>
    <t>0x000469cc</t>
  </si>
  <si>
    <t>0x000469e8</t>
  </si>
  <si>
    <t>0x00046a10</t>
  </si>
  <si>
    <t>0x00046a20</t>
  </si>
  <si>
    <t>0x00046a98</t>
  </si>
  <si>
    <t>0x00046ae8</t>
  </si>
  <si>
    <t>0x00046b00</t>
  </si>
  <si>
    <t>0x00046b20</t>
  </si>
  <si>
    <t>0x00046b44</t>
  </si>
  <si>
    <t>0x00046b50</t>
  </si>
  <si>
    <t>0x00046b98</t>
  </si>
  <si>
    <t>0x00046bb4</t>
  </si>
  <si>
    <t>0x00046bd8</t>
  </si>
  <si>
    <t>0x00046c10</t>
  </si>
  <si>
    <t>0x00046c20</t>
  </si>
  <si>
    <t>0x00046c2c</t>
  </si>
  <si>
    <t>0x00046c64</t>
  </si>
  <si>
    <t>0x00046c6c</t>
  </si>
  <si>
    <t>0x00046ce8</t>
  </si>
  <si>
    <t>0x00046d04</t>
  </si>
  <si>
    <t>0x00046d18</t>
  </si>
  <si>
    <t>0x00046d24</t>
  </si>
  <si>
    <t>0x00046d2c</t>
  </si>
  <si>
    <t>0x00046d40</t>
  </si>
  <si>
    <t>0x00046d60</t>
  </si>
  <si>
    <t>0x00046d6c</t>
  </si>
  <si>
    <t>0x00046d94</t>
  </si>
  <si>
    <t>0x00046d9c</t>
  </si>
  <si>
    <t>0x00046da8</t>
  </si>
  <si>
    <t>0x00046db0</t>
  </si>
  <si>
    <t>0x00046dd4</t>
  </si>
  <si>
    <t>0x00046ddc</t>
  </si>
  <si>
    <t>0x00046de4</t>
  </si>
  <si>
    <t>0x00046df8</t>
  </si>
  <si>
    <t>0x00046e10</t>
  </si>
  <si>
    <t>0x00046e30</t>
  </si>
  <si>
    <t>0x00046e38</t>
  </si>
  <si>
    <t>0x00046e40</t>
  </si>
  <si>
    <t>0x00046e5c</t>
  </si>
  <si>
    <t>0x00046e64</t>
  </si>
  <si>
    <t>0x00046e6c</t>
  </si>
  <si>
    <t>0x00046e74</t>
  </si>
  <si>
    <t>0x00046e94</t>
  </si>
  <si>
    <t>0x00046e9c</t>
  </si>
  <si>
    <t>0x00046eb0</t>
  </si>
  <si>
    <t>0x00046f18</t>
  </si>
  <si>
    <t>0x00046f20</t>
  </si>
  <si>
    <t>0x00046f28</t>
  </si>
  <si>
    <t>0x00046f3c</t>
  </si>
  <si>
    <t>0x00046f48</t>
  </si>
  <si>
    <t>0x00046f88</t>
  </si>
  <si>
    <t>0x00046f98</t>
  </si>
  <si>
    <t>0x00046fe4</t>
  </si>
  <si>
    <t>0x00047018</t>
  </si>
  <si>
    <t>0x00047040</t>
  </si>
  <si>
    <t>0x00047084</t>
  </si>
  <si>
    <t>0x000470a4</t>
  </si>
  <si>
    <t>0x000470b0</t>
  </si>
  <si>
    <t>0x000470b8</t>
  </si>
  <si>
    <t>0x000470c0</t>
  </si>
  <si>
    <t>0x000470cc</t>
  </si>
  <si>
    <t>0x000470e0</t>
  </si>
  <si>
    <t>0x618</t>
  </si>
  <si>
    <t>0x000476f8</t>
  </si>
  <si>
    <t>0x00047950</t>
  </si>
  <si>
    <t>0x00047968</t>
  </si>
  <si>
    <t>0x000479b0</t>
  </si>
  <si>
    <t>0x000479d4</t>
  </si>
  <si>
    <t>0x000479ea</t>
  </si>
  <si>
    <t>0x000479f0</t>
  </si>
  <si>
    <t>0x000479fc</t>
  </si>
  <si>
    <t>0x00047a0c</t>
  </si>
  <si>
    <t>0x00047a2c</t>
  </si>
  <si>
    <t>0x00047afc</t>
  </si>
  <si>
    <t>0x00047b4c</t>
  </si>
  <si>
    <t>0x00047b50</t>
  </si>
  <si>
    <t>0x00047b58</t>
  </si>
  <si>
    <t>0x00047b64</t>
  </si>
  <si>
    <t>0x00047b70</t>
  </si>
  <si>
    <t>0x00047b80</t>
  </si>
  <si>
    <t>0x00047b90</t>
  </si>
  <si>
    <t>0x00047b94</t>
  </si>
  <si>
    <t>0x00047b9c</t>
  </si>
  <si>
    <t>0x00047bac</t>
  </si>
  <si>
    <t>0x00047bb4</t>
  </si>
  <si>
    <t>0x00047bb8</t>
  </si>
  <si>
    <t>0x00047bc4</t>
  </si>
  <si>
    <t>0x00047bd4</t>
  </si>
  <si>
    <t>0x00047be4</t>
  </si>
  <si>
    <t>0x00047bf4</t>
  </si>
  <si>
    <t>0x00047c04</t>
  </si>
  <si>
    <t>0x00047c14</t>
  </si>
  <si>
    <t>0x00047c24</t>
  </si>
  <si>
    <t>0x00047c34</t>
  </si>
  <si>
    <t>0x00047c44</t>
  </si>
  <si>
    <t>0x00047c54</t>
  </si>
  <si>
    <t>0x00047c64</t>
  </si>
  <si>
    <t>0x00047c74</t>
  </si>
  <si>
    <t>0x00047c80</t>
  </si>
  <si>
    <t>0x00047c8c</t>
  </si>
  <si>
    <t>0x00047c94</t>
  </si>
  <si>
    <t>0x00047ca0</t>
  </si>
  <si>
    <t>0x00047cb0</t>
  </si>
  <si>
    <t>0x00047cc4</t>
  </si>
  <si>
    <t>0x00047cd0</t>
  </si>
  <si>
    <t>0x00047ce8</t>
  </si>
  <si>
    <t>0x00047cf8</t>
  </si>
  <si>
    <t>0x00047d08</t>
  </si>
  <si>
    <t>0x00047d14</t>
  </si>
  <si>
    <t>0x000484d0</t>
  </si>
  <si>
    <t>0x00048500</t>
  </si>
  <si>
    <t>0x00048504</t>
  </si>
  <si>
    <t>0x00048508</t>
  </si>
  <si>
    <t>0x0004850c</t>
  </si>
  <si>
    <t>0x00048520</t>
  </si>
  <si>
    <t>0x0004852c</t>
  </si>
  <si>
    <t>0x00048538</t>
  </si>
  <si>
    <t>0x0004854c</t>
  </si>
  <si>
    <t>0x00048564</t>
  </si>
  <si>
    <t>0x00048574</t>
  </si>
  <si>
    <t>0x00048580</t>
  </si>
  <si>
    <t>0x000485a0</t>
  </si>
  <si>
    <t>0x000485a8</t>
  </si>
  <si>
    <t>0x000485b4</t>
  </si>
  <si>
    <t>0x000485c0</t>
  </si>
  <si>
    <t>0x000485cc</t>
  </si>
  <si>
    <t>0x000485f4</t>
  </si>
  <si>
    <t>0x0004862c</t>
  </si>
  <si>
    <t>0x00048650</t>
  </si>
  <si>
    <t>0x00048670</t>
  </si>
  <si>
    <t>0x000486b4</t>
  </si>
  <si>
    <t>0x000486e0</t>
  </si>
  <si>
    <t>0x0004873c</t>
  </si>
  <si>
    <t>0x00048748</t>
  </si>
  <si>
    <t>0x00048768</t>
  </si>
  <si>
    <t>0x0004877c</t>
  </si>
  <si>
    <t>0x00048790</t>
  </si>
  <si>
    <t>0x00048818</t>
  </si>
  <si>
    <t>0x0004882c</t>
  </si>
  <si>
    <t>0x00048864</t>
  </si>
  <si>
    <t>0x0004889c</t>
  </si>
  <si>
    <t>0x000488d4</t>
  </si>
  <si>
    <t>0x000488e0</t>
  </si>
  <si>
    <t>0x00048920</t>
  </si>
  <si>
    <t>0x00048940</t>
  </si>
  <si>
    <t>0x00048960</t>
  </si>
  <si>
    <t>0x000489c0</t>
  </si>
  <si>
    <t>0x000489e0</t>
  </si>
  <si>
    <t>0x00048a00</t>
  </si>
  <si>
    <t>0x00048a20</t>
  </si>
  <si>
    <t>0x00048a40</t>
  </si>
  <si>
    <t>0x00048a60</t>
  </si>
  <si>
    <t>0x00048a80</t>
  </si>
  <si>
    <t>0x00048ad4</t>
  </si>
  <si>
    <t>0x00048ae0</t>
  </si>
  <si>
    <t>0x00048af0</t>
  </si>
  <si>
    <t>0x00048b40</t>
  </si>
  <si>
    <t>0x00048b4c</t>
  </si>
  <si>
    <t>0x00048b54</t>
  </si>
  <si>
    <t>0x00048b5c</t>
  </si>
  <si>
    <t>0x00048b64</t>
  </si>
  <si>
    <t>0x00048b6c</t>
  </si>
  <si>
    <t>0x00048b74</t>
  </si>
  <si>
    <t>0x00048b80</t>
  </si>
  <si>
    <t>0x00048bf4</t>
  </si>
  <si>
    <t>0x00048c34</t>
  </si>
  <si>
    <t>0x00048c60</t>
  </si>
  <si>
    <t>0x00048ca4</t>
  </si>
  <si>
    <t>0x00048ce4</t>
  </si>
  <si>
    <t>0x00048d34</t>
  </si>
  <si>
    <t>0x00048d48</t>
  </si>
  <si>
    <t>0x00048d58</t>
  </si>
  <si>
    <t>0x00048d60</t>
  </si>
  <si>
    <t>0x00048d84</t>
  </si>
  <si>
    <t>0x00048dfc</t>
  </si>
  <si>
    <t>0x00048e1c</t>
  </si>
  <si>
    <t>0x00048e40</t>
  </si>
  <si>
    <t>0x00048e48</t>
  </si>
  <si>
    <t>0x00048e6c</t>
  </si>
  <si>
    <t>0x00048e94</t>
  </si>
  <si>
    <t>0x00048eb0</t>
  </si>
  <si>
    <t>0x00048ef4</t>
  </si>
  <si>
    <t>0x00048f28</t>
  </si>
  <si>
    <t>0x00048f3c</t>
  </si>
  <si>
    <t>0x00048f7c</t>
  </si>
  <si>
    <t>0x00048f90</t>
  </si>
  <si>
    <t>0x00048fa4</t>
  </si>
  <si>
    <t>0x000490dc</t>
  </si>
  <si>
    <t>0x000490ec</t>
  </si>
  <si>
    <t>0x00049100</t>
  </si>
  <si>
    <t>0x00049128</t>
  </si>
  <si>
    <t>0x0004913c</t>
  </si>
  <si>
    <t>0x00049154</t>
  </si>
  <si>
    <t>0x0004916c</t>
  </si>
  <si>
    <t>0x00049184</t>
  </si>
  <si>
    <t>0x000491a4</t>
  </si>
  <si>
    <t>0x000491bc</t>
  </si>
  <si>
    <t>0x000491c8</t>
  </si>
  <si>
    <t>0x000491d4</t>
  </si>
  <si>
    <t>0x000491e0</t>
  </si>
  <si>
    <t>0x000491ec</t>
  </si>
  <si>
    <t>0x000491f8</t>
  </si>
  <si>
    <t>0x0004922c</t>
  </si>
  <si>
    <t>0x0004924c</t>
  </si>
  <si>
    <t>0x0004927c</t>
  </si>
  <si>
    <t>0x00049294</t>
  </si>
  <si>
    <t>0x000492a4</t>
  </si>
  <si>
    <t>0x000492d4</t>
  </si>
  <si>
    <t>0x00049304</t>
  </si>
  <si>
    <t>0x00049334</t>
  </si>
  <si>
    <t>0x0004935c</t>
  </si>
  <si>
    <t>0x00049368</t>
  </si>
  <si>
    <t>0x0004937c</t>
  </si>
  <si>
    <t>0x00049390</t>
  </si>
  <si>
    <t>0x000493b4</t>
  </si>
  <si>
    <t>0x000493c8</t>
  </si>
  <si>
    <t>0x000493fc</t>
  </si>
  <si>
    <t>0x00049428</t>
  </si>
  <si>
    <t>0x00049444</t>
  </si>
  <si>
    <t>0x00049458</t>
  </si>
  <si>
    <t>0x00049490</t>
  </si>
  <si>
    <t>0x000494bc</t>
  </si>
  <si>
    <t>0x00049540</t>
  </si>
  <si>
    <t>0x00049554</t>
  </si>
  <si>
    <t>0x00049556</t>
  </si>
  <si>
    <t>0x00049558</t>
  </si>
  <si>
    <t>0x00049580</t>
  </si>
  <si>
    <t>0x00049598</t>
  </si>
  <si>
    <t>0x000495a4</t>
  </si>
  <si>
    <t>0x000495d0</t>
  </si>
  <si>
    <t>0x00049614</t>
  </si>
  <si>
    <t>0x00049648</t>
  </si>
  <si>
    <t>0x0004965c</t>
  </si>
  <si>
    <t>0x0004966c</t>
  </si>
  <si>
    <t>0x00049684</t>
  </si>
  <si>
    <t>0x000496b8</t>
  </si>
  <si>
    <t>0x000496cc</t>
  </si>
  <si>
    <t>0x000496e4</t>
  </si>
  <si>
    <t>0x000496fc</t>
  </si>
  <si>
    <t>0x00049724</t>
  </si>
  <si>
    <t>0x00049734</t>
  </si>
  <si>
    <t>0x0004976c</t>
  </si>
  <si>
    <t>0x0004977c</t>
  </si>
  <si>
    <t>0x00049788</t>
  </si>
  <si>
    <t>0x00049794</t>
  </si>
  <si>
    <t>0x000497a0</t>
  </si>
  <si>
    <t>0x000497ac</t>
  </si>
  <si>
    <t>0x000497d8</t>
  </si>
  <si>
    <t>0x00049820</t>
  </si>
  <si>
    <t>0x00049844</t>
  </si>
  <si>
    <t>0x00049848</t>
  </si>
  <si>
    <t>0x00049868</t>
  </si>
  <si>
    <t>0x00049888</t>
  </si>
  <si>
    <t>0x000498a8</t>
  </si>
  <si>
    <t>0x000498c8</t>
  </si>
  <si>
    <t>0x000498e8</t>
  </si>
  <si>
    <t>0x00049908</t>
  </si>
  <si>
    <t>0x00049918</t>
  </si>
  <si>
    <t>0x00049948</t>
  </si>
  <si>
    <t>0x00049958</t>
  </si>
  <si>
    <t>0x00049984</t>
  </si>
  <si>
    <t>0x00049994</t>
  </si>
  <si>
    <t>0x000499b0</t>
  </si>
  <si>
    <t>0x000499c8</t>
  </si>
  <si>
    <t>0x000499d4</t>
  </si>
  <si>
    <t>0x00049a04</t>
  </si>
  <si>
    <t>0x00049a34</t>
  </si>
  <si>
    <t>0x00049a5c</t>
  </si>
  <si>
    <t>0x00049a60</t>
  </si>
  <si>
    <t>0x00049a74</t>
  </si>
  <si>
    <t>0x00049a80</t>
  </si>
  <si>
    <t>0x00049a8c</t>
  </si>
  <si>
    <t>0x00049a98</t>
  </si>
  <si>
    <t>0x00049ad0</t>
  </si>
  <si>
    <t>0x00049b04</t>
  </si>
  <si>
    <t>0x00049b1c</t>
  </si>
  <si>
    <t>0x00049b34</t>
  </si>
  <si>
    <t>0x00049b68</t>
  </si>
  <si>
    <t>0x00049b9c</t>
  </si>
  <si>
    <t>0x00049be0</t>
  </si>
  <si>
    <t>0x00049bf8</t>
  </si>
  <si>
    <t>0x00049c20</t>
  </si>
  <si>
    <t>0x00049c3c</t>
  </si>
  <si>
    <t>0x00049c60</t>
  </si>
  <si>
    <t>0x00049c84</t>
  </si>
  <si>
    <t>0x00049ca0</t>
  </si>
  <si>
    <t>0x00049cb8</t>
  </si>
  <si>
    <t>0x00049d18</t>
  </si>
  <si>
    <t>0x00049d5c</t>
  </si>
  <si>
    <t>0x00049d98</t>
  </si>
  <si>
    <t>0x00049dbc</t>
  </si>
  <si>
    <t>0x00049dd0</t>
  </si>
  <si>
    <t>0x00049dd8</t>
  </si>
  <si>
    <t>0x00049de0</t>
  </si>
  <si>
    <t>0x00049df8</t>
  </si>
  <si>
    <t>0x00049e24</t>
  </si>
  <si>
    <t>0x00049e74</t>
  </si>
  <si>
    <t>0x00049ea4</t>
  </si>
  <si>
    <t>0x00049eb0</t>
  </si>
  <si>
    <t>0x00049ec8</t>
  </si>
  <si>
    <t>0x00049ee4</t>
  </si>
  <si>
    <t>0x00049ef8</t>
  </si>
  <si>
    <t>0x00049f04</t>
  </si>
  <si>
    <t>0x00049f14</t>
  </si>
  <si>
    <t>0x00049f24</t>
  </si>
  <si>
    <t>0x00049f34</t>
  </si>
  <si>
    <t>0x00049f44</t>
  </si>
  <si>
    <t>0x00049f50</t>
  </si>
  <si>
    <t>0x00049f5c</t>
  </si>
  <si>
    <t>0x00049f68</t>
  </si>
  <si>
    <t>0x00049f80</t>
  </si>
  <si>
    <t>0x00049f9c</t>
  </si>
  <si>
    <t>0x00049fa8</t>
  </si>
  <si>
    <t>0x00049fb8</t>
  </si>
  <si>
    <t>0x00049fc4</t>
  </si>
  <si>
    <t>0x00049fd4</t>
  </si>
  <si>
    <t>0x00049fe0</t>
  </si>
  <si>
    <t>0x00049ff0</t>
  </si>
  <si>
    <t>0x00049ffc</t>
  </si>
  <si>
    <t>0x0004a00c</t>
  </si>
  <si>
    <t>0x0004a024</t>
  </si>
  <si>
    <t>0x0004a038</t>
  </si>
  <si>
    <t>0x0004a060</t>
  </si>
  <si>
    <t>0x0004a06c</t>
  </si>
  <si>
    <t>0x0004a074</t>
  </si>
  <si>
    <t>0x0004a084</t>
  </si>
  <si>
    <t>0x0004a094</t>
  </si>
  <si>
    <t>0x0004a0ac</t>
  </si>
  <si>
    <t>0x0004a0bc</t>
  </si>
  <si>
    <t>0x0004a0cc</t>
  </si>
  <si>
    <t>0x0004a0d8</t>
  </si>
  <si>
    <t>0x0004a0e4</t>
  </si>
  <si>
    <t>0x0004a0f4</t>
  </si>
  <si>
    <t>0x0004a100</t>
  </si>
  <si>
    <t>0x0004a10c</t>
  </si>
  <si>
    <t>0x0004a118</t>
  </si>
  <si>
    <t>0x0004a12c</t>
  </si>
  <si>
    <t>0x0004a138</t>
  </si>
  <si>
    <t>0x0004a154</t>
  </si>
  <si>
    <t>0x0004a184</t>
  </si>
  <si>
    <t>0x0004a198</t>
  </si>
  <si>
    <t>0x0004a1ac</t>
  </si>
  <si>
    <t>0x0004a1c4</t>
  </si>
  <si>
    <t>0x0004a3fc</t>
  </si>
  <si>
    <t>0x0004a418</t>
  </si>
  <si>
    <t>0x0004a438</t>
  </si>
  <si>
    <t>0x0004a448</t>
  </si>
  <si>
    <t>0x0004a458</t>
  </si>
  <si>
    <t>0x0004a468</t>
  </si>
  <si>
    <t>0x0004a478</t>
  </si>
  <si>
    <t>0x0004a488</t>
  </si>
  <si>
    <t>0x0004a498</t>
  </si>
  <si>
    <t>0x0004a4d4</t>
  </si>
  <si>
    <t>0x0004a4dc</t>
  </si>
  <si>
    <t>0x0004a4e4</t>
  </si>
  <si>
    <t>0x0004a4e8</t>
  </si>
  <si>
    <t>0x0004a500</t>
  </si>
  <si>
    <t>0x0004a50c</t>
  </si>
  <si>
    <t>0x0004a518</t>
  </si>
  <si>
    <t>0x0004a528</t>
  </si>
  <si>
    <t>0x0004a538</t>
  </si>
  <si>
    <t>0x0004a540</t>
  </si>
  <si>
    <t>0x0004a548</t>
  </si>
  <si>
    <t>0x0004a5d8</t>
  </si>
  <si>
    <t>0x0004a5e0</t>
  </si>
  <si>
    <t>0x0004a604</t>
  </si>
  <si>
    <t>0x0004a618</t>
  </si>
  <si>
    <t>0x0004a620</t>
  </si>
  <si>
    <t>0x0004a63c</t>
  </si>
  <si>
    <t>0x0004a64c</t>
  </si>
  <si>
    <t>0x0004a660</t>
  </si>
  <si>
    <t>0x0004a66c</t>
  </si>
  <si>
    <t>0x0004a680</t>
  </si>
  <si>
    <t>0x0004a690</t>
  </si>
  <si>
    <t>0x0004a6a0</t>
  </si>
  <si>
    <t>0x0004a6b4</t>
  </si>
  <si>
    <t>0x0004a6cc</t>
  </si>
  <si>
    <t>0x0004a6e0</t>
  </si>
  <si>
    <t>0x0004a6f4</t>
  </si>
  <si>
    <t>0x0004a708</t>
  </si>
  <si>
    <t>0x0004a710</t>
  </si>
  <si>
    <t>0x0004a71c</t>
  </si>
  <si>
    <t>0x0004a830</t>
  </si>
  <si>
    <t>0x0004a84c</t>
  </si>
  <si>
    <t>0x0004a850</t>
  </si>
  <si>
    <t>0x0004a858</t>
  </si>
  <si>
    <t>0x0004a860</t>
  </si>
  <si>
    <t>0x0004a868</t>
  </si>
  <si>
    <t>0x0004a86c</t>
  </si>
  <si>
    <t>0x0004a870</t>
  </si>
  <si>
    <t>0x0004a874</t>
  </si>
  <si>
    <t>0x0004a87c</t>
  </si>
  <si>
    <t>0x0004a884</t>
  </si>
  <si>
    <t>0x0004a88c</t>
  </si>
  <si>
    <t>0x0004a894</t>
  </si>
  <si>
    <t>0x0004a898</t>
  </si>
  <si>
    <t>0x0004a89c</t>
  </si>
  <si>
    <t>0x0004a8a0</t>
  </si>
  <si>
    <t>0x0004a8a8</t>
  </si>
  <si>
    <t>0x0004a8ac</t>
  </si>
  <si>
    <t>0x0004a8b0</t>
  </si>
  <si>
    <t>0x0004a8b4</t>
  </si>
  <si>
    <t>0x0004a8bc</t>
  </si>
  <si>
    <t>0x0004a8c4</t>
  </si>
  <si>
    <t>0x0004a8cc</t>
  </si>
  <si>
    <t>0x0004a8d4</t>
  </si>
  <si>
    <t>0x0004a8dc</t>
  </si>
  <si>
    <t>0x0004a8e4</t>
  </si>
  <si>
    <t>0x0004a8e8</t>
  </si>
  <si>
    <t>0x0004a8f0</t>
  </si>
  <si>
    <t>0x0004a8f8</t>
  </si>
  <si>
    <t>0x0004a900</t>
  </si>
  <si>
    <t>0x0004a908</t>
  </si>
  <si>
    <t>0x0004a910</t>
  </si>
  <si>
    <t>0x0004acd0</t>
  </si>
  <si>
    <t>0x0004ae30</t>
  </si>
  <si>
    <t>0x0004ae70</t>
  </si>
  <si>
    <t>0x0004ae7c</t>
  </si>
  <si>
    <t>0x0004ae88</t>
  </si>
  <si>
    <t>0x0004ae8c</t>
  </si>
  <si>
    <t>0x0004aea4</t>
  </si>
  <si>
    <t>0x0004aebc</t>
  </si>
  <si>
    <t>0x0004af08</t>
  </si>
  <si>
    <t>0x0004af30</t>
  </si>
  <si>
    <t>0x0004af58</t>
  </si>
  <si>
    <t>0x0004afcc</t>
  </si>
  <si>
    <t>0x0004b020</t>
  </si>
  <si>
    <t>0x0004b04e</t>
  </si>
  <si>
    <t>0x0004b320</t>
  </si>
  <si>
    <t>0x0004b49c</t>
  </si>
  <si>
    <t>0x0004ba0c</t>
  </si>
  <si>
    <t>0x0004be80</t>
  </si>
  <si>
    <t>0x0004e0e4</t>
  </si>
  <si>
    <t>0x2c8c</t>
  </si>
  <si>
    <t>0x00050d70</t>
  </si>
  <si>
    <t>0x00050fc8</t>
  </si>
  <si>
    <t>0x00051290</t>
  </si>
  <si>
    <t>0x000515ec</t>
  </si>
  <si>
    <t>0x000517c8</t>
  </si>
  <si>
    <t>0x0005276c</t>
  </si>
  <si>
    <t>0x000528d8</t>
  </si>
  <si>
    <t>0x00052928</t>
  </si>
  <si>
    <t>0x00052930</t>
  </si>
  <si>
    <t>0x00052c1c</t>
  </si>
  <si>
    <t>0x00053630</t>
  </si>
  <si>
    <t>0x000536d4</t>
  </si>
  <si>
    <t>0x000544e8</t>
  </si>
  <si>
    <t>0x00054744</t>
  </si>
  <si>
    <t>0x2674</t>
  </si>
  <si>
    <t>0x00056db8</t>
  </si>
  <si>
    <t>0x960</t>
  </si>
  <si>
    <t>0x00057718</t>
  </si>
  <si>
    <t>0x00059704</t>
  </si>
  <si>
    <t>0x353c</t>
  </si>
  <si>
    <t>0x0005cc40</t>
  </si>
  <si>
    <t>0x0005d210</t>
  </si>
  <si>
    <t>0x0005dd1c</t>
  </si>
  <si>
    <t>0x0005e45c</t>
  </si>
  <si>
    <t>0x2e08</t>
  </si>
  <si>
    <t>0x00061264</t>
  </si>
  <si>
    <t>0x00061370</t>
  </si>
  <si>
    <t>0x00061470</t>
  </si>
  <si>
    <t>0x000614e4</t>
  </si>
  <si>
    <t>0x0006189c</t>
  </si>
  <si>
    <t>0x00061930</t>
  </si>
  <si>
    <t>0x00061c34</t>
  </si>
  <si>
    <t>0x00061cac</t>
  </si>
  <si>
    <t>0x00061cd4</t>
  </si>
  <si>
    <t>0x00061e2c</t>
  </si>
  <si>
    <t>0x00061f48</t>
  </si>
  <si>
    <t>0x00061f78</t>
  </si>
  <si>
    <t>0x00062010</t>
  </si>
  <si>
    <t>0x00062254</t>
  </si>
  <si>
    <t>0x000624d0</t>
  </si>
  <si>
    <t>0x0006285c</t>
  </si>
  <si>
    <t>0x191c</t>
  </si>
  <si>
    <t>0x00064178</t>
  </si>
  <si>
    <t>0x00065204</t>
  </si>
  <si>
    <t>0x0006528c</t>
  </si>
  <si>
    <t>0x000656c8</t>
  </si>
  <si>
    <t>0x00065800</t>
  </si>
  <si>
    <t>0x00065bf0</t>
  </si>
  <si>
    <t>0x00065cc4</t>
  </si>
  <si>
    <t>0x00065e2c</t>
  </si>
  <si>
    <t>0x00065f4c</t>
  </si>
  <si>
    <t>0x00065fac</t>
  </si>
  <si>
    <t>0x00066088</t>
  </si>
  <si>
    <t>0x00066130</t>
  </si>
  <si>
    <t>0x3b8c</t>
  </si>
  <si>
    <t>0x00069cbc</t>
  </si>
  <si>
    <t>0x00069f88</t>
  </si>
  <si>
    <t>0x0006a5c0</t>
  </si>
  <si>
    <t>0x0006a960</t>
  </si>
  <si>
    <t>0x0006aee4</t>
  </si>
  <si>
    <t>0x0006d124</t>
  </si>
  <si>
    <t>0x0006d302</t>
  </si>
  <si>
    <t>0x0006d538</t>
  </si>
  <si>
    <t>0x0006d550</t>
  </si>
  <si>
    <t>0x0006d950</t>
  </si>
  <si>
    <t>0x0006dd68</t>
  </si>
  <si>
    <t>0x0006ddf8</t>
  </si>
  <si>
    <t>0x0006df44</t>
  </si>
  <si>
    <t>0x0006e354</t>
  </si>
  <si>
    <t>0x0006e4f4</t>
  </si>
  <si>
    <t>0x0006e6ac</t>
  </si>
  <si>
    <t>0x0006e6d0</t>
  </si>
  <si>
    <t>0x0006e874</t>
  </si>
  <si>
    <t>0x22b4</t>
  </si>
  <si>
    <t>0x0008b9ac</t>
  </si>
  <si>
    <t>0x0008bdd4</t>
  </si>
  <si>
    <t>0x86fc</t>
  </si>
  <si>
    <t>0x000944d0</t>
  </si>
  <si>
    <t>0x000944d4</t>
  </si>
  <si>
    <t>0x7a4</t>
  </si>
  <si>
    <t>0x00094c78</t>
  </si>
  <si>
    <t>0x00094fec</t>
  </si>
  <si>
    <t>0x00095614</t>
  </si>
  <si>
    <t>0x000959cc</t>
  </si>
  <si>
    <t>0x00095a70</t>
  </si>
  <si>
    <t>0x00095b40</t>
  </si>
  <si>
    <t>0x00095d44</t>
  </si>
  <si>
    <t>0x000968bc</t>
  </si>
  <si>
    <t>0x00097184</t>
  </si>
  <si>
    <t>0x00098468</t>
  </si>
  <si>
    <t>0x00098630</t>
  </si>
  <si>
    <t>0x154</t>
  </si>
  <si>
    <t>0x000985b0</t>
  </si>
  <si>
    <t>0x00098600</t>
  </si>
  <si>
    <t>0x00098940</t>
  </si>
  <si>
    <t>0x00099128</t>
  </si>
  <si>
    <t>0x000995dc</t>
  </si>
  <si>
    <t>0x00099704</t>
  </si>
  <si>
    <t>0x000999f4</t>
  </si>
  <si>
    <t>0x00099af4</t>
  </si>
  <si>
    <t>0x00099b80</t>
  </si>
  <si>
    <t>0x00099c3c</t>
  </si>
  <si>
    <t>0x00099d50</t>
  </si>
  <si>
    <t>0x9b8</t>
  </si>
  <si>
    <t>0x0009a708</t>
  </si>
  <si>
    <t>0x0009a9f0</t>
  </si>
  <si>
    <t>0x0009add8</t>
  </si>
  <si>
    <t>0x0009adf0</t>
  </si>
  <si>
    <t>0x0009b150</t>
  </si>
  <si>
    <t>0x0009c778</t>
  </si>
  <si>
    <t>0x0009cdfc</t>
  </si>
  <si>
    <t>0x8f8</t>
  </si>
  <si>
    <t>0x0009d6f4</t>
  </si>
  <si>
    <t>0x0009d768</t>
  </si>
  <si>
    <t>0x0009dc4c</t>
  </si>
  <si>
    <t>0x0009de00</t>
  </si>
  <si>
    <t>0x0009e7b0</t>
  </si>
  <si>
    <t>0x0009e81c</t>
  </si>
  <si>
    <t>0x1fff0064</t>
  </si>
  <si>
    <t>0x1fff00a8</t>
  </si>
  <si>
    <t>0x1fff00ac</t>
  </si>
  <si>
    <t>0x1fff0870</t>
  </si>
  <si>
    <t>0x1fff0874</t>
  </si>
  <si>
    <t>0x1fff0875</t>
  </si>
  <si>
    <t>0x1fff0876</t>
  </si>
  <si>
    <t>0x1fff0888</t>
  </si>
  <si>
    <t>0xf00</t>
  </si>
  <si>
    <t>0x1fff84fc</t>
  </si>
  <si>
    <t>0x1fff857c</t>
  </si>
  <si>
    <t>0x1fff8580</t>
  </si>
  <si>
    <t>0x1fff85a8</t>
  </si>
  <si>
    <t>0x1fff85d8</t>
  </si>
  <si>
    <t>0x1fff85f4</t>
  </si>
  <si>
    <t>0x1fff8614</t>
  </si>
  <si>
    <t>0x1fff8620</t>
  </si>
  <si>
    <t>0x1fff8624</t>
  </si>
  <si>
    <t>0x1fff8664</t>
  </si>
  <si>
    <t>0x1fff8680</t>
  </si>
  <si>
    <t>0x1fff8682</t>
  </si>
  <si>
    <t>0x1fff8684</t>
  </si>
  <si>
    <t>0x1fff8686</t>
  </si>
  <si>
    <t>0x1fff868a</t>
  </si>
  <si>
    <t>0x1fff868c</t>
  </si>
  <si>
    <t>0x1fff868d</t>
  </si>
  <si>
    <t>0x1fff868e</t>
  </si>
  <si>
    <t>0x1fff868f</t>
  </si>
  <si>
    <t>0x1fff8690</t>
  </si>
  <si>
    <t>0x1fff8691</t>
  </si>
  <si>
    <t>0x1fff8692</t>
  </si>
  <si>
    <t>0x1fff8693</t>
  </si>
  <si>
    <t>0x1fff8694</t>
  </si>
  <si>
    <t>0x1fff8695</t>
  </si>
  <si>
    <t>0x1fff8696</t>
  </si>
  <si>
    <t>0x1fff8697</t>
  </si>
  <si>
    <t>0x1fff8698</t>
  </si>
  <si>
    <t>0x1fff8699</t>
  </si>
  <si>
    <t>0x1fff869a</t>
  </si>
  <si>
    <t>0x2b4</t>
  </si>
  <si>
    <t>0x1fff8cc0</t>
  </si>
  <si>
    <t>0x1fff8cfc</t>
  </si>
  <si>
    <t>0x1fff8d4c</t>
  </si>
  <si>
    <t>0x1fff9520</t>
  </si>
  <si>
    <t>0x1fff9578</t>
  </si>
  <si>
    <t>0x1fff95d8</t>
  </si>
  <si>
    <t>0x1fff9638</t>
  </si>
  <si>
    <t>0x1fff9648</t>
  </si>
  <si>
    <t>0x1fff9658</t>
  </si>
  <si>
    <t>0x1fff966c</t>
  </si>
  <si>
    <t>0x1fff966d</t>
  </si>
  <si>
    <t>0x1fff966e</t>
  </si>
  <si>
    <t>0x1fff966f</t>
  </si>
  <si>
    <t>0x1fff9710</t>
  </si>
  <si>
    <t>0x1fff9730</t>
  </si>
  <si>
    <t>0x1fff973c</t>
  </si>
  <si>
    <t>0x1fff975c</t>
  </si>
  <si>
    <t>0x1fff977c</t>
  </si>
  <si>
    <t>0x1fff979c</t>
  </si>
  <si>
    <t>0x1fff97a0</t>
  </si>
  <si>
    <t>0x1fff97d0</t>
  </si>
  <si>
    <t>0x1fff97e8</t>
  </si>
  <si>
    <t>0x1fff9818</t>
  </si>
  <si>
    <t>0x1fff9848</t>
  </si>
  <si>
    <t>0x1fff984c</t>
  </si>
  <si>
    <t>0x1fff9868</t>
  </si>
  <si>
    <t>0x1fff986c</t>
  </si>
  <si>
    <t>0x1fff9878</t>
  </si>
  <si>
    <t>0x1fff987a</t>
  </si>
  <si>
    <t>0x1fff987b</t>
  </si>
  <si>
    <t>0x1fff987d</t>
  </si>
  <si>
    <t>0x1fff987e</t>
  </si>
  <si>
    <t>0x1fff9b40</t>
  </si>
  <si>
    <t>0x1fff9b78</t>
  </si>
  <si>
    <t>0x1fff9df8</t>
  </si>
  <si>
    <t>0x1fff9e04</t>
  </si>
  <si>
    <t>0x1fff9f68</t>
  </si>
  <si>
    <t>0x1fffa198</t>
  </si>
  <si>
    <t>0x1fffa1c8</t>
  </si>
  <si>
    <t>0x1fffa1cc</t>
  </si>
  <si>
    <t>0x1fffa1d0</t>
  </si>
  <si>
    <t>0x1fffa1d4</t>
  </si>
  <si>
    <t>0x1fffa1ec</t>
  </si>
  <si>
    <t>0x1fffa830</t>
  </si>
  <si>
    <t>0x1fffa8c0</t>
  </si>
  <si>
    <t>0x1fffa96c</t>
  </si>
  <si>
    <t>0x1fffa978</t>
  </si>
  <si>
    <t>0x1fffa9a8</t>
  </si>
  <si>
    <t>0x1fffa9d8</t>
  </si>
  <si>
    <t>0x1fffaa30</t>
  </si>
  <si>
    <t>0x1fffaa34</t>
  </si>
  <si>
    <t>0x1fffaa54</t>
  </si>
  <si>
    <t>0x1fffaa78</t>
  </si>
  <si>
    <t>0x1fffacc0</t>
  </si>
  <si>
    <t>0x1fffaf08</t>
  </si>
  <si>
    <t>0x1fffb150</t>
  </si>
  <si>
    <t>0x1fffb154</t>
  </si>
  <si>
    <t>0x1fffb158</t>
  </si>
  <si>
    <t>0x1fffb15c</t>
  </si>
  <si>
    <t>0x1fffb17c</t>
  </si>
  <si>
    <t>0x1fffb188</t>
  </si>
  <si>
    <t>0x1fffb18c</t>
  </si>
  <si>
    <t>0x1fffb1ac</t>
  </si>
  <si>
    <t>0x1fffb1b0</t>
  </si>
  <si>
    <t>0x1fffb1b4</t>
  </si>
  <si>
    <t>0x1fffb1e4</t>
  </si>
  <si>
    <t>0x1fffb20c</t>
  </si>
  <si>
    <t>0x1fffb22c</t>
  </si>
  <si>
    <t>0x1fffb248</t>
  </si>
  <si>
    <t>0x1fffb280</t>
  </si>
  <si>
    <t>0x1fffb29c</t>
  </si>
  <si>
    <t>0x1fffb2cc</t>
  </si>
  <si>
    <t>0x1fffb2fc</t>
  </si>
  <si>
    <t>0x1fffb344</t>
  </si>
  <si>
    <t>0x1fffb36c</t>
  </si>
  <si>
    <t>0x1fffb374</t>
  </si>
  <si>
    <t>0x1fffb378</t>
  </si>
  <si>
    <t>0x1fffb37c</t>
  </si>
  <si>
    <t>0x1fffb388</t>
  </si>
  <si>
    <t>0x1fffb790</t>
  </si>
  <si>
    <t>0x1fffb7ac</t>
  </si>
  <si>
    <t>0x1fffb7b0</t>
  </si>
  <si>
    <t>0x1fffb7d4</t>
  </si>
  <si>
    <t>0x1fffb7f8</t>
  </si>
  <si>
    <t>0x1fffb820</t>
  </si>
  <si>
    <t>0x1fffb840</t>
  </si>
  <si>
    <t>0x1fffb84c</t>
  </si>
  <si>
    <t>0x1fffb87c</t>
  </si>
  <si>
    <t>0x1fffb888</t>
  </si>
  <si>
    <t>0x1fffb8b8</t>
  </si>
  <si>
    <t>0x1fffb8c0</t>
  </si>
  <si>
    <t>0x1fffb8c8</t>
  </si>
  <si>
    <t>0x1fffb8d0</t>
  </si>
  <si>
    <t>0x1fffb8d8</t>
  </si>
  <si>
    <t>0x1fffb8e0</t>
  </si>
  <si>
    <t>0x1fffb8e8</t>
  </si>
  <si>
    <t>0x1fffb90c</t>
  </si>
  <si>
    <t>0x1fffb910</t>
  </si>
  <si>
    <t>0x1fffb914</t>
  </si>
  <si>
    <t>0x1fffb91c</t>
  </si>
  <si>
    <t>0x1fffbbd8</t>
  </si>
  <si>
    <t>0x1fffbc08</t>
  </si>
  <si>
    <t>0x1fffbc10</t>
  </si>
  <si>
    <t>0x1fffbc1c</t>
  </si>
  <si>
    <t>0x1fffbc28</t>
  </si>
  <si>
    <t>0x1fffbc58</t>
  </si>
  <si>
    <t>0x1fffbc70</t>
  </si>
  <si>
    <t>0x1fffbc90</t>
  </si>
  <si>
    <t>0x1fffbc94</t>
  </si>
  <si>
    <t>0x1fffbc98</t>
  </si>
  <si>
    <t>0x1fffbcc8</t>
  </si>
  <si>
    <t>0x1fffbcd4</t>
  </si>
  <si>
    <t>0x1fffbce4</t>
  </si>
  <si>
    <t>0x1fffbcf0</t>
  </si>
  <si>
    <t>0x1fffbd00</t>
  </si>
  <si>
    <t>0x1fffbd10</t>
  </si>
  <si>
    <t>0x1fffbd40</t>
  </si>
  <si>
    <t>0x1fffbd5c</t>
  </si>
  <si>
    <t>0x1fffbd70</t>
  </si>
  <si>
    <t>0x1fffbd7c</t>
  </si>
  <si>
    <t>0x1fffbd8c</t>
  </si>
  <si>
    <t>0x1fffbd90</t>
  </si>
  <si>
    <t>0x1fffbd94</t>
  </si>
  <si>
    <t>0x1fffbd98</t>
  </si>
  <si>
    <t>0x1fffbd9a</t>
  </si>
  <si>
    <t>0x1fffbd9c</t>
  </si>
  <si>
    <t>0x1fffbd9e</t>
  </si>
  <si>
    <t>0x1fffbda0</t>
  </si>
  <si>
    <t>0x1fffbda2</t>
  </si>
  <si>
    <t>0x1fffbda4</t>
  </si>
  <si>
    <t>0x1fffbda6</t>
  </si>
  <si>
    <t>0x1fffbda8</t>
  </si>
  <si>
    <t>0x1fffbdaa</t>
  </si>
  <si>
    <t>0x1fffbdac</t>
  </si>
  <si>
    <t>0x1fffbdae</t>
  </si>
  <si>
    <t>0x1fffbdb0</t>
  </si>
  <si>
    <t>0x1fffbdb1</t>
  </si>
  <si>
    <t>0x1fffbdb2</t>
  </si>
  <si>
    <t>0x1fffbdb3</t>
  </si>
  <si>
    <t>0x1fffbdb4</t>
  </si>
  <si>
    <t>0x1fffbdb5</t>
  </si>
  <si>
    <t>0x1fffbdb6</t>
  </si>
  <si>
    <t>0x1fffbdb7</t>
  </si>
  <si>
    <t>0x1fffbdb8</t>
  </si>
  <si>
    <t>0x1fffbdb9</t>
  </si>
  <si>
    <t>0x1fffbdba</t>
  </si>
  <si>
    <t>0x1fffbdbb</t>
  </si>
  <si>
    <t>0x1fffbdbc</t>
  </si>
  <si>
    <t>0x1fffbdbd</t>
  </si>
  <si>
    <t>0x1fffbdbe</t>
  </si>
  <si>
    <t>0x1fffbdbf</t>
  </si>
  <si>
    <t>0x1fffbdc0</t>
  </si>
  <si>
    <t>0x1fffbdc1</t>
  </si>
  <si>
    <t>0x1fffbdc2</t>
  </si>
  <si>
    <t>0x1fffbdc3</t>
  </si>
  <si>
    <t>0x1fffbdc4</t>
  </si>
  <si>
    <t>0x1fffbdc5</t>
  </si>
  <si>
    <t>0x1fffbdc6</t>
  </si>
  <si>
    <t>0x1fffbdc7</t>
  </si>
  <si>
    <t>0x1fffbf90</t>
  </si>
  <si>
    <t>0x1fffbff0</t>
  </si>
  <si>
    <t>0x1fffc018</t>
  </si>
  <si>
    <t>0x1fffc0ec</t>
  </si>
  <si>
    <t>0x1fffc8ec</t>
  </si>
  <si>
    <t>0x1fffc8f0</t>
  </si>
  <si>
    <t>0x1fffc8f4</t>
  </si>
  <si>
    <t>0x1fffc924</t>
  </si>
  <si>
    <t>0x1fffc94c</t>
  </si>
  <si>
    <t>0x1fffc94e</t>
  </si>
  <si>
    <t>0x1fffc950</t>
  </si>
  <si>
    <t>0x1fffc952</t>
  </si>
  <si>
    <t>0x1fffc954</t>
  </si>
  <si>
    <t>0x1fffc955</t>
  </si>
  <si>
    <t>0x1fffc956</t>
  </si>
  <si>
    <t>0x1fffc957</t>
  </si>
  <si>
    <t>0x1fffc958</t>
  </si>
  <si>
    <t>0x1fffc959</t>
  </si>
  <si>
    <t>0x1fffca18</t>
  </si>
  <si>
    <t>0x1fffca24</t>
  </si>
  <si>
    <t>0x1fffca30</t>
  </si>
  <si>
    <t>0x1fffca3c</t>
  </si>
  <si>
    <t>0x1fffca4c</t>
  </si>
  <si>
    <t>0x1fffcaf8</t>
  </si>
  <si>
    <t>0x1fffcb04</t>
  </si>
  <si>
    <t>0x1fffcb2c</t>
  </si>
  <si>
    <t>0x1fffcb5c</t>
  </si>
  <si>
    <t>0x1fffcb68</t>
  </si>
  <si>
    <t>0x1fffcb84</t>
  </si>
  <si>
    <t>0x1fffcbb4</t>
  </si>
  <si>
    <t>0x1fffcbb8</t>
  </si>
  <si>
    <t>0x1fffcbc4</t>
  </si>
  <si>
    <t>0x1fffcbf4</t>
  </si>
  <si>
    <t>0x1fffcc00</t>
  </si>
  <si>
    <t>0x1fffcc1c</t>
  </si>
  <si>
    <t>0x1fffcc38</t>
  </si>
  <si>
    <t>0x1fffcc54</t>
  </si>
  <si>
    <t>0x1fffcc60</t>
  </si>
  <si>
    <t>0x1fffcc90</t>
  </si>
  <si>
    <t>0x1fffccc0</t>
  </si>
  <si>
    <t>0x1fffccdc</t>
  </si>
  <si>
    <t>0x1fffcd08</t>
  </si>
  <si>
    <t>0x1fffcd20</t>
  </si>
  <si>
    <t>0x1fffd388</t>
  </si>
  <si>
    <t>0x1fffd42c</t>
  </si>
  <si>
    <t>0x1fffd430</t>
  </si>
  <si>
    <t>0x1fffd434</t>
  </si>
  <si>
    <t>0x1fffd464</t>
  </si>
  <si>
    <t>0x1fffd470</t>
  </si>
  <si>
    <t>0x1fffd472</t>
  </si>
  <si>
    <t>0x1fffd474</t>
  </si>
  <si>
    <t>0x1fffd475</t>
  </si>
  <si>
    <t>0x1fffd476</t>
  </si>
  <si>
    <t>0x1fffd477</t>
  </si>
  <si>
    <t>0x1fffd478</t>
  </si>
  <si>
    <t>0x1fffd479</t>
  </si>
  <si>
    <t>0x1fffd520</t>
  </si>
  <si>
    <t>Start of usable RAM space - 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</si>
</sst>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Calibri"/>
      <family val="2"/>
    </font>
    <font>
      <sz val="11"/>
      <color theme="1"/>
      <name val="Courier New"/>
      <family val="3"/>
    </font>
    <font>
      <sz val="9"/>
      <color indexed="81"/>
      <name val="Tahoma"/>
      <family val="2"/>
    </font>
    <font>
      <b/>
      <sz val="9"/>
      <color indexed="81"/>
      <name val="Tahoma"/>
      <family val="2"/>
    </font>
    <font>
      <sz val="10"/>
      <color theme="1"/>
      <name val="Courier New"/>
      <family val="3"/>
    </font>
    <font>
      <sz val="10"/>
      <color theme="1"/>
      <name val="Calibri"/>
      <family val="2"/>
      <scheme val="minor"/>
    </font>
    <font>
      <sz val="11"/>
      <color theme="1"/>
      <name val="Calibri"/>
      <family val="2"/>
      <scheme val="minor"/>
    </font>
    <font>
      <b/>
      <sz val="11"/>
      <color theme="1"/>
      <name val="Calibri"/>
      <family val="2"/>
      <scheme val="minor"/>
    </font>
    <font>
      <b/>
      <sz val="10"/>
      <color theme="1"/>
      <name val="Courier New"/>
      <family val="3"/>
    </font>
    <font>
      <i/>
      <u/>
      <sz val="11"/>
      <color theme="1"/>
      <name val="Calibri"/>
      <family val="2"/>
      <scheme val="minor"/>
    </font>
    <font>
      <i/>
      <sz val="10"/>
      <color theme="1"/>
      <name val="Courier New"/>
      <family val="3"/>
    </font>
    <font>
      <i/>
      <sz val="11"/>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6" tint="-0.249977111117893"/>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rgb="FFFFC000"/>
        <bgColor indexed="64"/>
      </patternFill>
    </fill>
  </fills>
  <borders count="18">
    <border>
      <left/>
      <right/>
      <top/>
      <bottom/>
      <diagonal/>
    </border>
    <border>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7" fillId="0" borderId="0" applyFont="0" applyFill="0" applyBorder="0" applyAlignment="0" applyProtection="0"/>
  </cellStyleXfs>
  <cellXfs count="53">
    <xf numFmtId="0" fontId="0" fillId="0" borderId="0" xfId="0"/>
    <xf numFmtId="0" fontId="0" fillId="0" borderId="0" xfId="0" quotePrefix="1"/>
    <xf numFmtId="0" fontId="2" fillId="0" borderId="0" xfId="0" applyFont="1"/>
    <xf numFmtId="0" fontId="0" fillId="0" borderId="0" xfId="0" applyAlignment="1">
      <alignment horizontal="center"/>
    </xf>
    <xf numFmtId="0" fontId="5" fillId="0" borderId="0" xfId="0" applyFont="1"/>
    <xf numFmtId="0" fontId="0" fillId="0" borderId="0" xfId="0" applyAlignment="1">
      <alignment wrapText="1"/>
    </xf>
    <xf numFmtId="49" fontId="0" fillId="0" borderId="0" xfId="0" applyNumberFormat="1"/>
    <xf numFmtId="0" fontId="6" fillId="0" borderId="0" xfId="0" applyFont="1"/>
    <xf numFmtId="0" fontId="0" fillId="3" borderId="0" xfId="0" applyFill="1"/>
    <xf numFmtId="0" fontId="0" fillId="2"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0" xfId="0" applyAlignment="1">
      <alignment vertical="top"/>
    </xf>
    <xf numFmtId="0" fontId="0" fillId="0" borderId="0" xfId="0" applyAlignment="1">
      <alignment vertical="top" wrapText="1"/>
    </xf>
    <xf numFmtId="0" fontId="0" fillId="0" borderId="0" xfId="0" quotePrefix="1" applyAlignment="1">
      <alignment vertical="top" wrapText="1"/>
    </xf>
    <xf numFmtId="20" fontId="0" fillId="0" borderId="0" xfId="0" applyNumberFormat="1"/>
    <xf numFmtId="0" fontId="1" fillId="0" borderId="0" xfId="0" applyFont="1"/>
    <xf numFmtId="0" fontId="0" fillId="2" borderId="0" xfId="0" applyFill="1" applyAlignment="1">
      <alignment horizontal="center"/>
    </xf>
    <xf numFmtId="0" fontId="7" fillId="0" borderId="0" xfId="0" applyFont="1"/>
    <xf numFmtId="49" fontId="7" fillId="0" borderId="0" xfId="0" applyNumberFormat="1" applyFont="1"/>
    <xf numFmtId="0" fontId="8" fillId="0" borderId="0" xfId="0" applyFont="1"/>
    <xf numFmtId="0" fontId="9" fillId="0" borderId="0" xfId="0" applyFont="1"/>
    <xf numFmtId="1" fontId="0" fillId="0" borderId="0" xfId="0" applyNumberFormat="1"/>
    <xf numFmtId="0" fontId="10" fillId="6" borderId="0" xfId="0" applyFont="1" applyFill="1"/>
    <xf numFmtId="0" fontId="11" fillId="0" borderId="0" xfId="0" applyFont="1"/>
    <xf numFmtId="0" fontId="12" fillId="0" borderId="0" xfId="0" applyFont="1"/>
    <xf numFmtId="0" fontId="0" fillId="0" borderId="0" xfId="0" applyAlignment="1"/>
    <xf numFmtId="0" fontId="0" fillId="0" borderId="2" xfId="0" applyBorder="1" applyAlignment="1">
      <alignment horizontal="center"/>
    </xf>
    <xf numFmtId="0" fontId="0" fillId="0" borderId="0" xfId="0" applyAlignment="1">
      <alignment horizontal="center" vertical="center"/>
    </xf>
    <xf numFmtId="0" fontId="0" fillId="0" borderId="1" xfId="0" applyBorder="1" applyAlignment="1">
      <alignment horizontal="center"/>
    </xf>
    <xf numFmtId="0" fontId="0" fillId="0" borderId="0" xfId="0" applyAlignment="1">
      <alignment horizontal="center"/>
    </xf>
    <xf numFmtId="0" fontId="0" fillId="2" borderId="0" xfId="0" applyFill="1" applyAlignment="1">
      <alignment horizontal="center"/>
    </xf>
    <xf numFmtId="0" fontId="0" fillId="8" borderId="0" xfId="0" applyFill="1" applyAlignment="1">
      <alignment horizontal="center"/>
    </xf>
    <xf numFmtId="0" fontId="1" fillId="0" borderId="0" xfId="0" applyFont="1" applyAlignment="1">
      <alignment horizontal="center"/>
    </xf>
    <xf numFmtId="0" fontId="0" fillId="0" borderId="0" xfId="0" applyAlignment="1">
      <alignment horizontal="center" vertical="top"/>
    </xf>
    <xf numFmtId="9" fontId="0" fillId="0" borderId="0" xfId="1" applyFont="1" applyAlignment="1">
      <alignment horizontal="center" vertical="top"/>
    </xf>
  </cellXfs>
  <cellStyles count="2">
    <cellStyle name="Normal" xfId="0" builtinId="0"/>
    <cellStyle name="Percent" xfId="1" builtinId="5"/>
  </cellStyles>
  <dxfs count="9">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theme="6" tint="-0.24994659260841701"/>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3"/>
  <sheetViews>
    <sheetView workbookViewId="0"/>
  </sheetViews>
  <sheetFormatPr defaultRowHeight="15" x14ac:dyDescent="0.25"/>
  <cols>
    <col min="2" max="2" width="20.85546875" bestFit="1" customWidth="1"/>
    <col min="3" max="3" width="39" bestFit="1" customWidth="1"/>
    <col min="4" max="4" width="14" bestFit="1" customWidth="1"/>
    <col min="5" max="5" width="56.85546875" bestFit="1" customWidth="1"/>
  </cols>
  <sheetData>
    <row r="1" spans="1:5" x14ac:dyDescent="0.25">
      <c r="A1" t="s">
        <v>450</v>
      </c>
    </row>
    <row r="2" spans="1:5" x14ac:dyDescent="0.25">
      <c r="A2" t="s">
        <v>445</v>
      </c>
      <c r="B2" t="s">
        <v>457</v>
      </c>
      <c r="C2" t="s">
        <v>463</v>
      </c>
      <c r="D2" t="s">
        <v>466</v>
      </c>
      <c r="E2" t="s">
        <v>464</v>
      </c>
    </row>
    <row r="3" spans="1:5" x14ac:dyDescent="0.25">
      <c r="A3" t="s">
        <v>451</v>
      </c>
      <c r="B3" t="s">
        <v>452</v>
      </c>
      <c r="C3" t="s">
        <v>458</v>
      </c>
      <c r="D3" t="s">
        <v>453</v>
      </c>
      <c r="E3" t="s">
        <v>465</v>
      </c>
    </row>
    <row r="4" spans="1:5" x14ac:dyDescent="0.25">
      <c r="A4" t="s">
        <v>454</v>
      </c>
      <c r="B4" t="s">
        <v>461</v>
      </c>
      <c r="C4" t="s">
        <v>459</v>
      </c>
      <c r="D4" t="s">
        <v>467</v>
      </c>
      <c r="E4" t="s">
        <v>468</v>
      </c>
    </row>
    <row r="5" spans="1:5" x14ac:dyDescent="0.25">
      <c r="A5" t="s">
        <v>455</v>
      </c>
      <c r="B5" t="s">
        <v>462</v>
      </c>
      <c r="C5" t="s">
        <v>460</v>
      </c>
      <c r="D5" t="s">
        <v>456</v>
      </c>
      <c r="E5" t="s">
        <v>474</v>
      </c>
    </row>
    <row r="6" spans="1:5" x14ac:dyDescent="0.25">
      <c r="D6" t="s">
        <v>469</v>
      </c>
      <c r="E6" t="s">
        <v>475</v>
      </c>
    </row>
    <row r="9" spans="1:5" x14ac:dyDescent="0.25">
      <c r="A9" t="s">
        <v>765</v>
      </c>
      <c r="B9" t="s">
        <v>586</v>
      </c>
      <c r="C9" t="s">
        <v>766</v>
      </c>
    </row>
    <row r="10" spans="1:5" x14ac:dyDescent="0.25">
      <c r="A10" t="s">
        <v>37</v>
      </c>
      <c r="B10" t="s">
        <v>538</v>
      </c>
      <c r="C10" t="s">
        <v>538</v>
      </c>
      <c r="D10" t="str">
        <f t="shared" ref="D10:D20" si="0">A10</f>
        <v>[1]</v>
      </c>
    </row>
    <row r="11" spans="1:5" x14ac:dyDescent="0.25">
      <c r="A11" t="s">
        <v>518</v>
      </c>
      <c r="B11" t="s">
        <v>949</v>
      </c>
      <c r="C11" t="s">
        <v>947</v>
      </c>
      <c r="D11" t="str">
        <f t="shared" si="0"/>
        <v>[2]</v>
      </c>
    </row>
    <row r="12" spans="1:5" x14ac:dyDescent="0.25">
      <c r="A12" t="s">
        <v>9</v>
      </c>
      <c r="B12" t="s">
        <v>802</v>
      </c>
      <c r="C12" t="s">
        <v>802</v>
      </c>
      <c r="D12" t="str">
        <f t="shared" si="0"/>
        <v>[3]</v>
      </c>
    </row>
    <row r="13" spans="1:5" x14ac:dyDescent="0.25">
      <c r="A13" t="s">
        <v>12</v>
      </c>
      <c r="B13" t="s">
        <v>519</v>
      </c>
      <c r="C13" t="s">
        <v>539</v>
      </c>
      <c r="D13" t="str">
        <f t="shared" si="0"/>
        <v>[4]</v>
      </c>
    </row>
    <row r="14" spans="1:5" x14ac:dyDescent="0.25">
      <c r="A14" t="s">
        <v>34</v>
      </c>
      <c r="B14" t="s">
        <v>520</v>
      </c>
      <c r="C14" t="s">
        <v>758</v>
      </c>
      <c r="D14" t="str">
        <f t="shared" si="0"/>
        <v>[5]</v>
      </c>
    </row>
    <row r="15" spans="1:5" x14ac:dyDescent="0.25">
      <c r="A15" t="s">
        <v>3</v>
      </c>
      <c r="B15" t="s">
        <v>521</v>
      </c>
      <c r="C15" t="s">
        <v>757</v>
      </c>
      <c r="D15" t="str">
        <f t="shared" si="0"/>
        <v>[6]</v>
      </c>
    </row>
    <row r="16" spans="1:5" x14ac:dyDescent="0.25">
      <c r="A16" t="s">
        <v>15</v>
      </c>
      <c r="B16" t="s">
        <v>522</v>
      </c>
      <c r="C16" t="s">
        <v>540</v>
      </c>
      <c r="D16" t="str">
        <f t="shared" si="0"/>
        <v>[7]</v>
      </c>
    </row>
    <row r="17" spans="1:4" x14ac:dyDescent="0.25">
      <c r="A17" t="s">
        <v>174</v>
      </c>
      <c r="B17" t="s">
        <v>523</v>
      </c>
      <c r="C17" t="s">
        <v>756</v>
      </c>
      <c r="D17" t="str">
        <f t="shared" si="0"/>
        <v>[8]</v>
      </c>
    </row>
    <row r="18" spans="1:4" x14ac:dyDescent="0.25">
      <c r="A18" t="s">
        <v>241</v>
      </c>
      <c r="B18" t="s">
        <v>524</v>
      </c>
      <c r="C18" t="s">
        <v>759</v>
      </c>
      <c r="D18" t="str">
        <f t="shared" si="0"/>
        <v>[9]</v>
      </c>
    </row>
    <row r="19" spans="1:4" x14ac:dyDescent="0.25">
      <c r="A19" t="s">
        <v>950</v>
      </c>
      <c r="B19" t="s">
        <v>951</v>
      </c>
      <c r="C19" t="s">
        <v>760</v>
      </c>
      <c r="D19" t="str">
        <f t="shared" si="0"/>
        <v>[10]</v>
      </c>
    </row>
    <row r="20" spans="1:4" x14ac:dyDescent="0.25">
      <c r="A20" t="s">
        <v>939</v>
      </c>
      <c r="B20" t="s">
        <v>849</v>
      </c>
      <c r="C20" t="s">
        <v>849</v>
      </c>
      <c r="D20" t="str">
        <f t="shared" si="0"/>
        <v>[xx]</v>
      </c>
    </row>
    <row r="24" spans="1:4" x14ac:dyDescent="0.25">
      <c r="A24" t="s">
        <v>765</v>
      </c>
      <c r="B24" t="s">
        <v>586</v>
      </c>
      <c r="C24" t="s">
        <v>766</v>
      </c>
    </row>
    <row r="25" spans="1:4" x14ac:dyDescent="0.25">
      <c r="A25" t="s">
        <v>37</v>
      </c>
      <c r="B25" t="s">
        <v>538</v>
      </c>
      <c r="C25" t="s">
        <v>764</v>
      </c>
    </row>
    <row r="26" spans="1:4" x14ac:dyDescent="0.25">
      <c r="A26" t="s">
        <v>518</v>
      </c>
      <c r="B26" t="s">
        <v>802</v>
      </c>
      <c r="C26" t="s">
        <v>763</v>
      </c>
    </row>
    <row r="27" spans="1:4" x14ac:dyDescent="0.25">
      <c r="A27" t="s">
        <v>9</v>
      </c>
      <c r="B27" t="s">
        <v>519</v>
      </c>
      <c r="C27" t="s">
        <v>762</v>
      </c>
    </row>
    <row r="28" spans="1:4" x14ac:dyDescent="0.25">
      <c r="A28" t="s">
        <v>12</v>
      </c>
      <c r="B28" t="s">
        <v>520</v>
      </c>
      <c r="C28" t="s">
        <v>758</v>
      </c>
    </row>
    <row r="29" spans="1:4" x14ac:dyDescent="0.25">
      <c r="A29" t="s">
        <v>34</v>
      </c>
      <c r="B29" t="s">
        <v>521</v>
      </c>
      <c r="C29" t="s">
        <v>757</v>
      </c>
    </row>
    <row r="30" spans="1:4" x14ac:dyDescent="0.25">
      <c r="A30" t="s">
        <v>3</v>
      </c>
      <c r="B30" t="s">
        <v>522</v>
      </c>
      <c r="C30" t="s">
        <v>761</v>
      </c>
    </row>
    <row r="31" spans="1:4" x14ac:dyDescent="0.25">
      <c r="A31" t="s">
        <v>15</v>
      </c>
      <c r="B31" t="s">
        <v>523</v>
      </c>
      <c r="C31" t="s">
        <v>756</v>
      </c>
    </row>
    <row r="32" spans="1:4" x14ac:dyDescent="0.25">
      <c r="A32" t="s">
        <v>174</v>
      </c>
      <c r="B32" t="s">
        <v>524</v>
      </c>
      <c r="C32" t="s">
        <v>759</v>
      </c>
    </row>
    <row r="33" spans="1:3" x14ac:dyDescent="0.25">
      <c r="A33" t="s">
        <v>241</v>
      </c>
      <c r="B33" t="s">
        <v>781</v>
      </c>
      <c r="C33" t="s">
        <v>760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71"/>
  <sheetViews>
    <sheetView topLeftCell="A19" workbookViewId="0">
      <selection activeCell="A51" sqref="A51:C51"/>
    </sheetView>
  </sheetViews>
  <sheetFormatPr defaultRowHeight="15" x14ac:dyDescent="0.25"/>
  <cols>
    <col min="1" max="1" width="35.5703125" bestFit="1" customWidth="1"/>
    <col min="2" max="2" width="17.85546875" customWidth="1"/>
    <col min="3" max="3" width="17.42578125" bestFit="1" customWidth="1"/>
    <col min="4" max="4" width="10" bestFit="1" customWidth="1"/>
    <col min="5" max="5" width="12.140625" bestFit="1" customWidth="1"/>
    <col min="6" max="6" width="21.5703125" bestFit="1" customWidth="1"/>
    <col min="7" max="7" width="11.85546875" bestFit="1" customWidth="1"/>
    <col min="8" max="8" width="9.140625" customWidth="1"/>
  </cols>
  <sheetData>
    <row r="1" spans="1:5" x14ac:dyDescent="0.25">
      <c r="A1" t="s">
        <v>513</v>
      </c>
    </row>
    <row r="2" spans="1:5" x14ac:dyDescent="0.25">
      <c r="A2" s="46" t="s">
        <v>514</v>
      </c>
      <c r="B2" s="46"/>
      <c r="C2" s="46"/>
      <c r="D2" s="46"/>
      <c r="E2" s="46"/>
    </row>
    <row r="3" spans="1:5" x14ac:dyDescent="0.25">
      <c r="A3" t="s">
        <v>452</v>
      </c>
      <c r="B3" t="s">
        <v>489</v>
      </c>
      <c r="C3" t="s">
        <v>490</v>
      </c>
      <c r="D3" t="s">
        <v>485</v>
      </c>
      <c r="E3" s="45" t="s">
        <v>505</v>
      </c>
    </row>
    <row r="4" spans="1:5" x14ac:dyDescent="0.25">
      <c r="A4" t="s">
        <v>543</v>
      </c>
      <c r="B4" t="s">
        <v>491</v>
      </c>
      <c r="C4" t="s">
        <v>492</v>
      </c>
      <c r="D4" t="s">
        <v>202</v>
      </c>
      <c r="E4" s="45"/>
    </row>
    <row r="5" spans="1:5" x14ac:dyDescent="0.25">
      <c r="A5" t="s">
        <v>544</v>
      </c>
      <c r="B5" t="s">
        <v>507</v>
      </c>
      <c r="C5" t="s">
        <v>496</v>
      </c>
      <c r="D5" t="s">
        <v>503</v>
      </c>
      <c r="E5" s="45"/>
    </row>
    <row r="6" spans="1:5" x14ac:dyDescent="0.25">
      <c r="A6" t="s">
        <v>545</v>
      </c>
      <c r="B6" t="s">
        <v>493</v>
      </c>
      <c r="C6" t="s">
        <v>495</v>
      </c>
      <c r="D6" t="s">
        <v>488</v>
      </c>
      <c r="E6" s="45"/>
    </row>
    <row r="7" spans="1:5" x14ac:dyDescent="0.25">
      <c r="A7" t="s">
        <v>546</v>
      </c>
      <c r="B7" t="s">
        <v>494</v>
      </c>
      <c r="C7" t="s">
        <v>497</v>
      </c>
      <c r="D7" t="s">
        <v>202</v>
      </c>
      <c r="E7" s="45"/>
    </row>
    <row r="8" spans="1:5" x14ac:dyDescent="0.25">
      <c r="A8" t="s">
        <v>547</v>
      </c>
      <c r="B8" t="s">
        <v>507</v>
      </c>
      <c r="C8" t="s">
        <v>495</v>
      </c>
      <c r="D8" t="s">
        <v>504</v>
      </c>
      <c r="E8" s="45"/>
    </row>
    <row r="9" spans="1:5" x14ac:dyDescent="0.25">
      <c r="A9" t="s">
        <v>548</v>
      </c>
      <c r="B9" t="s">
        <v>489</v>
      </c>
      <c r="C9" t="s">
        <v>490</v>
      </c>
      <c r="D9" t="s">
        <v>485</v>
      </c>
      <c r="E9" s="45" t="s">
        <v>506</v>
      </c>
    </row>
    <row r="10" spans="1:5" x14ac:dyDescent="0.25">
      <c r="A10" t="s">
        <v>549</v>
      </c>
      <c r="B10" t="s">
        <v>491</v>
      </c>
      <c r="C10" t="s">
        <v>492</v>
      </c>
      <c r="D10" t="s">
        <v>202</v>
      </c>
      <c r="E10" s="45"/>
    </row>
    <row r="11" spans="1:5" x14ac:dyDescent="0.25">
      <c r="A11" t="s">
        <v>550</v>
      </c>
      <c r="B11" t="s">
        <v>507</v>
      </c>
      <c r="C11" t="s">
        <v>496</v>
      </c>
      <c r="D11" t="s">
        <v>503</v>
      </c>
      <c r="E11" s="45"/>
    </row>
    <row r="12" spans="1:5" x14ac:dyDescent="0.25">
      <c r="A12" t="s">
        <v>551</v>
      </c>
      <c r="B12" t="s">
        <v>493</v>
      </c>
      <c r="C12" t="s">
        <v>495</v>
      </c>
      <c r="D12" t="s">
        <v>488</v>
      </c>
      <c r="E12" s="45"/>
    </row>
    <row r="13" spans="1:5" x14ac:dyDescent="0.25">
      <c r="A13" t="s">
        <v>552</v>
      </c>
      <c r="B13" t="s">
        <v>494</v>
      </c>
      <c r="C13" t="s">
        <v>497</v>
      </c>
      <c r="D13" t="s">
        <v>202</v>
      </c>
      <c r="E13" s="45"/>
    </row>
    <row r="14" spans="1:5" x14ac:dyDescent="0.25">
      <c r="A14" t="s">
        <v>553</v>
      </c>
      <c r="B14" t="s">
        <v>507</v>
      </c>
      <c r="C14" t="s">
        <v>495</v>
      </c>
      <c r="D14" t="s">
        <v>504</v>
      </c>
      <c r="E14" s="45"/>
    </row>
    <row r="15" spans="1:5" x14ac:dyDescent="0.25">
      <c r="A15" s="46" t="s">
        <v>517</v>
      </c>
      <c r="B15" s="46"/>
      <c r="C15" s="46"/>
      <c r="D15" s="46"/>
      <c r="E15" s="46"/>
    </row>
    <row r="16" spans="1:5" x14ac:dyDescent="0.25">
      <c r="A16" t="s">
        <v>487</v>
      </c>
      <c r="B16" t="s">
        <v>498</v>
      </c>
      <c r="D16" t="s">
        <v>488</v>
      </c>
    </row>
    <row r="17" spans="1:7" x14ac:dyDescent="0.25">
      <c r="A17" s="46" t="s">
        <v>515</v>
      </c>
      <c r="B17" s="46"/>
      <c r="C17" s="46"/>
      <c r="D17" s="46"/>
      <c r="E17" s="46"/>
    </row>
    <row r="18" spans="1:7" x14ac:dyDescent="0.25">
      <c r="A18" t="s">
        <v>554</v>
      </c>
      <c r="B18" t="s">
        <v>500</v>
      </c>
      <c r="D18" t="s">
        <v>508</v>
      </c>
      <c r="E18" t="s">
        <v>525</v>
      </c>
    </row>
    <row r="19" spans="1:7" x14ac:dyDescent="0.25">
      <c r="A19" t="s">
        <v>555</v>
      </c>
      <c r="B19" t="s">
        <v>499</v>
      </c>
      <c r="D19" t="s">
        <v>508</v>
      </c>
      <c r="E19" t="s">
        <v>510</v>
      </c>
    </row>
    <row r="20" spans="1:7" x14ac:dyDescent="0.25">
      <c r="A20" t="s">
        <v>555</v>
      </c>
      <c r="B20" t="s">
        <v>499</v>
      </c>
      <c r="D20" t="s">
        <v>511</v>
      </c>
      <c r="E20" t="s">
        <v>512</v>
      </c>
    </row>
    <row r="21" spans="1:7" x14ac:dyDescent="0.25">
      <c r="A21" s="46" t="s">
        <v>516</v>
      </c>
      <c r="B21" s="46"/>
      <c r="C21" s="46"/>
      <c r="D21" s="46"/>
      <c r="E21" s="46"/>
    </row>
    <row r="22" spans="1:7" x14ac:dyDescent="0.25">
      <c r="A22" t="s">
        <v>556</v>
      </c>
      <c r="B22" t="s">
        <v>501</v>
      </c>
      <c r="D22" t="s">
        <v>509</v>
      </c>
      <c r="E22" t="s">
        <v>502</v>
      </c>
    </row>
    <row r="24" spans="1:7" x14ac:dyDescent="0.25">
      <c r="E24" t="s">
        <v>510</v>
      </c>
      <c r="F24" t="s">
        <v>976</v>
      </c>
      <c r="G24" t="s">
        <v>1002</v>
      </c>
    </row>
    <row r="25" spans="1:7" x14ac:dyDescent="0.25">
      <c r="A25" t="s">
        <v>996</v>
      </c>
      <c r="B25" t="s">
        <v>452</v>
      </c>
      <c r="C25">
        <f t="shared" ref="C25:C46" si="0">HEX2DEC(MID(B25,3,LEN(B25)-2))</f>
        <v>0</v>
      </c>
      <c r="E25" t="s">
        <v>1003</v>
      </c>
      <c r="F25" t="s">
        <v>1004</v>
      </c>
      <c r="G25" t="s">
        <v>1003</v>
      </c>
    </row>
    <row r="26" spans="1:7" x14ac:dyDescent="0.25">
      <c r="A26" t="s">
        <v>997</v>
      </c>
      <c r="B26" t="s">
        <v>998</v>
      </c>
      <c r="C26">
        <f t="shared" si="0"/>
        <v>1023</v>
      </c>
      <c r="E26" t="s">
        <v>1003</v>
      </c>
      <c r="F26" t="s">
        <v>1004</v>
      </c>
      <c r="G26" t="s">
        <v>1003</v>
      </c>
    </row>
    <row r="27" spans="1:7" x14ac:dyDescent="0.25">
      <c r="A27" t="s">
        <v>999</v>
      </c>
      <c r="B27" t="s">
        <v>543</v>
      </c>
      <c r="C27">
        <f t="shared" si="0"/>
        <v>1024</v>
      </c>
      <c r="E27" t="s">
        <v>1005</v>
      </c>
      <c r="F27" t="s">
        <v>1006</v>
      </c>
      <c r="G27" t="s">
        <v>1005</v>
      </c>
    </row>
    <row r="28" spans="1:7" x14ac:dyDescent="0.25">
      <c r="A28" t="s">
        <v>1000</v>
      </c>
      <c r="B28" t="s">
        <v>1001</v>
      </c>
      <c r="C28">
        <f t="shared" si="0"/>
        <v>1039</v>
      </c>
      <c r="E28" t="s">
        <v>1005</v>
      </c>
      <c r="F28" t="s">
        <v>1006</v>
      </c>
      <c r="G28" t="s">
        <v>1005</v>
      </c>
    </row>
    <row r="29" spans="1:7" x14ac:dyDescent="0.25">
      <c r="A29" t="s">
        <v>557</v>
      </c>
      <c r="B29" t="s">
        <v>544</v>
      </c>
      <c r="C29">
        <f t="shared" si="0"/>
        <v>1040</v>
      </c>
      <c r="E29" t="s">
        <v>538</v>
      </c>
      <c r="G29" t="s">
        <v>538</v>
      </c>
    </row>
    <row r="30" spans="1:7" x14ac:dyDescent="0.25">
      <c r="A30" t="s">
        <v>646</v>
      </c>
      <c r="B30" t="s">
        <v>993</v>
      </c>
      <c r="C30">
        <f t="shared" si="0"/>
        <v>1048575</v>
      </c>
      <c r="E30" t="s">
        <v>538</v>
      </c>
      <c r="G30" t="s">
        <v>538</v>
      </c>
    </row>
    <row r="31" spans="1:7" x14ac:dyDescent="0.25">
      <c r="A31" t="s">
        <v>979</v>
      </c>
      <c r="B31" t="s">
        <v>452</v>
      </c>
      <c r="C31">
        <f t="shared" si="0"/>
        <v>0</v>
      </c>
      <c r="F31" t="s">
        <v>948</v>
      </c>
    </row>
    <row r="32" spans="1:7" x14ac:dyDescent="0.25">
      <c r="A32" t="s">
        <v>980</v>
      </c>
      <c r="B32" t="s">
        <v>981</v>
      </c>
      <c r="C32">
        <f t="shared" si="0"/>
        <v>16383</v>
      </c>
      <c r="F32" t="s">
        <v>948</v>
      </c>
    </row>
    <row r="33" spans="1:7" x14ac:dyDescent="0.25">
      <c r="A33" t="s">
        <v>974</v>
      </c>
      <c r="B33" t="s">
        <v>962</v>
      </c>
      <c r="C33">
        <f t="shared" si="0"/>
        <v>16384</v>
      </c>
      <c r="F33" t="s">
        <v>538</v>
      </c>
    </row>
    <row r="34" spans="1:7" x14ac:dyDescent="0.25">
      <c r="A34" t="s">
        <v>975</v>
      </c>
      <c r="B34" t="s">
        <v>1092</v>
      </c>
      <c r="C34">
        <f t="shared" si="0"/>
        <v>516095</v>
      </c>
      <c r="F34" t="s">
        <v>538</v>
      </c>
    </row>
    <row r="35" spans="1:7" x14ac:dyDescent="0.25">
      <c r="A35" t="s">
        <v>982</v>
      </c>
      <c r="B35" t="s">
        <v>545</v>
      </c>
      <c r="C35">
        <f t="shared" si="0"/>
        <v>516096</v>
      </c>
      <c r="E35" t="s">
        <v>1007</v>
      </c>
      <c r="F35" t="s">
        <v>1007</v>
      </c>
      <c r="G35" t="s">
        <v>1007</v>
      </c>
    </row>
    <row r="36" spans="1:7" x14ac:dyDescent="0.25">
      <c r="A36" t="s">
        <v>983</v>
      </c>
      <c r="B36" t="s">
        <v>984</v>
      </c>
      <c r="C36">
        <f t="shared" si="0"/>
        <v>520191</v>
      </c>
      <c r="E36" t="s">
        <v>1007</v>
      </c>
      <c r="F36" t="s">
        <v>1007</v>
      </c>
      <c r="G36" t="s">
        <v>1007</v>
      </c>
    </row>
    <row r="37" spans="1:7" x14ac:dyDescent="0.25">
      <c r="A37" t="s">
        <v>985</v>
      </c>
      <c r="B37" t="s">
        <v>546</v>
      </c>
      <c r="C37">
        <f t="shared" si="0"/>
        <v>520192</v>
      </c>
      <c r="E37" t="s">
        <v>1008</v>
      </c>
      <c r="F37" t="s">
        <v>1008</v>
      </c>
      <c r="G37" t="s">
        <v>1008</v>
      </c>
    </row>
    <row r="38" spans="1:7" x14ac:dyDescent="0.25">
      <c r="A38" t="s">
        <v>986</v>
      </c>
      <c r="B38" t="s">
        <v>1013</v>
      </c>
      <c r="C38">
        <f t="shared" si="0"/>
        <v>524287</v>
      </c>
      <c r="E38" t="s">
        <v>1008</v>
      </c>
      <c r="F38" t="s">
        <v>1008</v>
      </c>
      <c r="G38" t="s">
        <v>1008</v>
      </c>
    </row>
    <row r="39" spans="1:7" x14ac:dyDescent="0.25">
      <c r="A39" t="s">
        <v>994</v>
      </c>
      <c r="B39" t="s">
        <v>548</v>
      </c>
      <c r="C39">
        <f t="shared" si="0"/>
        <v>524288</v>
      </c>
      <c r="E39" t="s">
        <v>1009</v>
      </c>
      <c r="G39" t="s">
        <v>1009</v>
      </c>
    </row>
    <row r="40" spans="1:7" x14ac:dyDescent="0.25">
      <c r="A40" t="s">
        <v>995</v>
      </c>
      <c r="B40" t="s">
        <v>990</v>
      </c>
      <c r="C40">
        <f t="shared" si="0"/>
        <v>1044479</v>
      </c>
      <c r="E40" t="s">
        <v>1009</v>
      </c>
      <c r="G40" t="s">
        <v>1009</v>
      </c>
    </row>
    <row r="41" spans="1:7" x14ac:dyDescent="0.25">
      <c r="A41" t="s">
        <v>971</v>
      </c>
      <c r="B41" t="s">
        <v>548</v>
      </c>
      <c r="C41">
        <f t="shared" si="0"/>
        <v>524288</v>
      </c>
      <c r="F41" t="s">
        <v>538</v>
      </c>
    </row>
    <row r="42" spans="1:7" x14ac:dyDescent="0.25">
      <c r="A42" t="s">
        <v>972</v>
      </c>
      <c r="B42" t="s">
        <v>973</v>
      </c>
      <c r="C42">
        <f t="shared" si="0"/>
        <v>1028095</v>
      </c>
      <c r="F42" t="s">
        <v>538</v>
      </c>
    </row>
    <row r="43" spans="1:7" x14ac:dyDescent="0.25">
      <c r="A43" t="s">
        <v>987</v>
      </c>
      <c r="B43" t="s">
        <v>989</v>
      </c>
      <c r="C43">
        <f t="shared" si="0"/>
        <v>1028096</v>
      </c>
      <c r="F43" t="s">
        <v>1010</v>
      </c>
    </row>
    <row r="44" spans="1:7" x14ac:dyDescent="0.25">
      <c r="A44" t="s">
        <v>988</v>
      </c>
      <c r="B44" t="s">
        <v>990</v>
      </c>
      <c r="C44">
        <f t="shared" si="0"/>
        <v>1044479</v>
      </c>
      <c r="F44" t="s">
        <v>1010</v>
      </c>
    </row>
    <row r="45" spans="1:7" x14ac:dyDescent="0.25">
      <c r="A45" t="s">
        <v>991</v>
      </c>
      <c r="B45" t="s">
        <v>552</v>
      </c>
      <c r="C45">
        <f t="shared" si="0"/>
        <v>1044480</v>
      </c>
      <c r="E45" t="s">
        <v>1011</v>
      </c>
      <c r="F45" t="s">
        <v>1012</v>
      </c>
      <c r="G45" t="s">
        <v>1011</v>
      </c>
    </row>
    <row r="46" spans="1:7" x14ac:dyDescent="0.25">
      <c r="A46" t="s">
        <v>992</v>
      </c>
      <c r="B46" t="s">
        <v>993</v>
      </c>
      <c r="C46">
        <f t="shared" si="0"/>
        <v>1048575</v>
      </c>
      <c r="E46" t="s">
        <v>1011</v>
      </c>
      <c r="F46" t="s">
        <v>1012</v>
      </c>
      <c r="G46" t="s">
        <v>1011</v>
      </c>
    </row>
    <row r="48" spans="1:7" x14ac:dyDescent="0.25">
      <c r="A48" t="s">
        <v>1089</v>
      </c>
      <c r="C48">
        <f>SUM(C32-C31)</f>
        <v>16383</v>
      </c>
    </row>
    <row r="49" spans="1:5" x14ac:dyDescent="0.25">
      <c r="A49" t="s">
        <v>1090</v>
      </c>
      <c r="C49">
        <f>SUM(C34-C33,C42-C41)</f>
        <v>1003518</v>
      </c>
    </row>
    <row r="51" spans="1:5" x14ac:dyDescent="0.25">
      <c r="A51" t="s">
        <v>4699</v>
      </c>
      <c r="B51" t="s">
        <v>555</v>
      </c>
      <c r="C51">
        <f>HEX2DEC(MID(B51,3,LEN(B51)-2))</f>
        <v>536870912</v>
      </c>
    </row>
    <row r="52" spans="1:5" x14ac:dyDescent="0.25">
      <c r="A52" t="s">
        <v>564</v>
      </c>
      <c r="B52" t="s">
        <v>554</v>
      </c>
      <c r="C52">
        <f>HEX2DEC(MID(B52,3,LEN(B52)-2))</f>
        <v>536805376</v>
      </c>
      <c r="E52" t="s">
        <v>525</v>
      </c>
    </row>
    <row r="53" spans="1:5" x14ac:dyDescent="0.25">
      <c r="A53" t="s">
        <v>670</v>
      </c>
      <c r="B53" t="str">
        <f>"0x"&amp;DEC2HEX(HEX2DEC(MID(B52,3,LEN(B52)-2))+HEX2DEC(MID(D18,3,LEN(D18)-2))+HEX2DEC(MID(D19,3,LEN(D19)-2))-1)</f>
        <v>0x2000FFFF</v>
      </c>
      <c r="C53">
        <f>HEX2DEC(MID(B53,3,LEN(B53)-2))</f>
        <v>536936447</v>
      </c>
      <c r="E53" t="s">
        <v>510</v>
      </c>
    </row>
    <row r="54" spans="1:5" x14ac:dyDescent="0.25">
      <c r="A54" t="s">
        <v>670</v>
      </c>
      <c r="B54" t="str">
        <f>"0x"&amp;DEC2HEX(HEX2DEC(MID(B52,3,LEN(B52)-2))+HEX2DEC(MID(D18,3,LEN(D18)-2))+HEX2DEC(MID(D20,3,LEN(D20)-2))-1)</f>
        <v>0x2002FFFF</v>
      </c>
      <c r="C54">
        <f>HEX2DEC(MID(B54,3,LEN(B54)-2))</f>
        <v>537067519</v>
      </c>
      <c r="E54" t="s">
        <v>512</v>
      </c>
    </row>
    <row r="57" spans="1:5" ht="15.75" thickBot="1" x14ac:dyDescent="0.3">
      <c r="A57" s="44" t="s">
        <v>895</v>
      </c>
      <c r="B57" s="44"/>
      <c r="C57" s="44"/>
    </row>
    <row r="58" spans="1:5" x14ac:dyDescent="0.25">
      <c r="A58" s="14" t="s">
        <v>896</v>
      </c>
      <c r="B58" s="15" t="s">
        <v>911</v>
      </c>
      <c r="C58" s="16">
        <f>HEX2DEC(MID(B58,3,LEN(B58)-2))</f>
        <v>536835072</v>
      </c>
    </row>
    <row r="59" spans="1:5" x14ac:dyDescent="0.25">
      <c r="A59" s="17" t="s">
        <v>897</v>
      </c>
      <c r="B59" s="18" t="s">
        <v>910</v>
      </c>
      <c r="C59" s="19">
        <f>HEX2DEC(MID(B59,3,LEN(B59)-2))</f>
        <v>537067504</v>
      </c>
    </row>
    <row r="60" spans="1:5" x14ac:dyDescent="0.25">
      <c r="A60" s="17" t="s">
        <v>898</v>
      </c>
      <c r="B60" s="18" t="s">
        <v>912</v>
      </c>
      <c r="C60" s="19">
        <f>HEX2DEC(MID(B60,3,LEN(B60)-2))</f>
        <v>232432</v>
      </c>
    </row>
    <row r="61" spans="1:5" ht="15.75" thickBot="1" x14ac:dyDescent="0.3">
      <c r="A61" s="20" t="s">
        <v>899</v>
      </c>
      <c r="B61" s="21" t="s">
        <v>913</v>
      </c>
      <c r="C61" s="22">
        <f>HEX2DEC(MID(B61,3,LEN(B61)-2))</f>
        <v>536933443</v>
      </c>
    </row>
    <row r="62" spans="1:5" x14ac:dyDescent="0.25">
      <c r="A62" s="23" t="s">
        <v>900</v>
      </c>
      <c r="B62" s="24" t="str">
        <f>"0x"&amp;DEC2HEX(C62,8)</f>
        <v>0x00020BAD</v>
      </c>
      <c r="C62" s="25">
        <f>C59-C61</f>
        <v>134061</v>
      </c>
    </row>
    <row r="63" spans="1:5" ht="15.75" thickBot="1" x14ac:dyDescent="0.3">
      <c r="A63" s="20" t="s">
        <v>901</v>
      </c>
      <c r="B63" s="21" t="str">
        <f>"0x"&amp;DEC2HEX(C63,8)</f>
        <v>0x00018043</v>
      </c>
      <c r="C63" s="22">
        <f>C61-C58</f>
        <v>98371</v>
      </c>
    </row>
    <row r="64" spans="1:5" ht="15.75" thickBot="1" x14ac:dyDescent="0.3">
      <c r="A64" s="26" t="s">
        <v>902</v>
      </c>
      <c r="B64" s="27" t="str">
        <f>"0x"&amp;DEC2HEX(C64,8)</f>
        <v>0x000003A0</v>
      </c>
      <c r="C64" s="28">
        <f>B68+B70</f>
        <v>928</v>
      </c>
    </row>
    <row r="67" spans="1:4" x14ac:dyDescent="0.25">
      <c r="A67" t="s">
        <v>732</v>
      </c>
      <c r="B67">
        <f ca="1">GlobalPlcmnt!D125</f>
        <v>536859776</v>
      </c>
      <c r="C67" t="str">
        <f ca="1">"0x"&amp;DEC2HEX(B67,8)</f>
        <v>0x1FFFD480</v>
      </c>
      <c r="D67" t="s">
        <v>903</v>
      </c>
    </row>
    <row r="68" spans="1:4" x14ac:dyDescent="0.25">
      <c r="A68" t="s">
        <v>904</v>
      </c>
      <c r="B68">
        <v>880</v>
      </c>
      <c r="C68" t="str">
        <f>"0x"&amp;DEC2HEX(B68,8)</f>
        <v>0x00000370</v>
      </c>
      <c r="D68" t="s">
        <v>908</v>
      </c>
    </row>
    <row r="69" spans="1:4" x14ac:dyDescent="0.25">
      <c r="A69" t="s">
        <v>905</v>
      </c>
      <c r="B69">
        <f ca="1">B67+B68</f>
        <v>536860656</v>
      </c>
      <c r="C69" t="str">
        <f ca="1">"0x"&amp;DEC2HEX(B69,8)</f>
        <v>0x1FFFD7F0</v>
      </c>
    </row>
    <row r="70" spans="1:4" x14ac:dyDescent="0.25">
      <c r="A70" t="s">
        <v>906</v>
      </c>
      <c r="B70">
        <v>48</v>
      </c>
      <c r="C70" t="str">
        <f>"0x"&amp;DEC2HEX(B70,8)</f>
        <v>0x00000030</v>
      </c>
      <c r="D70" t="s">
        <v>909</v>
      </c>
    </row>
    <row r="71" spans="1:4" x14ac:dyDescent="0.25">
      <c r="A71" t="s">
        <v>907</v>
      </c>
      <c r="B71">
        <f ca="1">B69+B70</f>
        <v>536860704</v>
      </c>
      <c r="C71" t="str">
        <f ca="1">"0x"&amp;DEC2HEX(B71,8)</f>
        <v>0x1FFFD820</v>
      </c>
    </row>
  </sheetData>
  <mergeCells count="7">
    <mergeCell ref="A57:C57"/>
    <mergeCell ref="E3:E8"/>
    <mergeCell ref="E9:E14"/>
    <mergeCell ref="A2:E2"/>
    <mergeCell ref="A21:E21"/>
    <mergeCell ref="A17:E17"/>
    <mergeCell ref="A15:E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X168"/>
  <sheetViews>
    <sheetView topLeftCell="A64" workbookViewId="0">
      <selection activeCell="C118" sqref="C118"/>
    </sheetView>
  </sheetViews>
  <sheetFormatPr defaultRowHeight="15" x14ac:dyDescent="0.25"/>
  <cols>
    <col min="1" max="2" width="14.140625" bestFit="1" customWidth="1"/>
    <col min="3" max="3" width="32" bestFit="1" customWidth="1"/>
    <col min="5" max="8" width="9.140625" customWidth="1"/>
  </cols>
  <sheetData>
    <row r="1" spans="1:8" x14ac:dyDescent="0.25">
      <c r="A1" s="47" t="s">
        <v>767</v>
      </c>
      <c r="B1" s="47"/>
      <c r="C1" s="47"/>
      <c r="E1" s="43"/>
      <c r="F1" s="43"/>
      <c r="G1" s="43"/>
      <c r="H1" s="43"/>
    </row>
    <row r="2" spans="1:8" x14ac:dyDescent="0.25">
      <c r="A2" t="s">
        <v>603</v>
      </c>
      <c r="B2" t="s">
        <v>602</v>
      </c>
      <c r="C2" t="s">
        <v>601</v>
      </c>
    </row>
    <row r="3" spans="1:8" x14ac:dyDescent="0.25">
      <c r="A3" t="s">
        <v>527</v>
      </c>
      <c r="B3" t="str">
        <f t="shared" ref="B3:B66" si="0">IF(A3&lt;&gt;A2,A3,"")</f>
        <v>utils</v>
      </c>
      <c r="C3" t="s">
        <v>322</v>
      </c>
    </row>
    <row r="4" spans="1:8" x14ac:dyDescent="0.25">
      <c r="A4" t="s">
        <v>527</v>
      </c>
      <c r="B4" t="str">
        <f t="shared" si="0"/>
        <v/>
      </c>
      <c r="C4" t="s">
        <v>565</v>
      </c>
    </row>
    <row r="5" spans="1:8" x14ac:dyDescent="0.25">
      <c r="A5" t="s">
        <v>527</v>
      </c>
      <c r="B5" t="str">
        <f t="shared" si="0"/>
        <v/>
      </c>
      <c r="C5" t="s">
        <v>566</v>
      </c>
    </row>
    <row r="6" spans="1:8" x14ac:dyDescent="0.25">
      <c r="A6" t="s">
        <v>527</v>
      </c>
      <c r="B6" t="str">
        <f t="shared" si="0"/>
        <v/>
      </c>
      <c r="C6" t="s">
        <v>96</v>
      </c>
    </row>
    <row r="7" spans="1:8" x14ac:dyDescent="0.25">
      <c r="A7" t="s">
        <v>527</v>
      </c>
      <c r="B7" t="str">
        <f t="shared" si="0"/>
        <v/>
      </c>
      <c r="C7" t="s">
        <v>399</v>
      </c>
    </row>
    <row r="8" spans="1:8" x14ac:dyDescent="0.25">
      <c r="A8" t="s">
        <v>527</v>
      </c>
      <c r="B8" t="str">
        <f t="shared" si="0"/>
        <v/>
      </c>
      <c r="C8" t="s">
        <v>178</v>
      </c>
    </row>
    <row r="9" spans="1:8" x14ac:dyDescent="0.25">
      <c r="A9" t="s">
        <v>527</v>
      </c>
      <c r="B9" t="str">
        <f t="shared" si="0"/>
        <v/>
      </c>
      <c r="C9" t="s">
        <v>296</v>
      </c>
    </row>
    <row r="10" spans="1:8" x14ac:dyDescent="0.25">
      <c r="A10" t="s">
        <v>527</v>
      </c>
      <c r="B10" t="str">
        <f t="shared" si="0"/>
        <v/>
      </c>
      <c r="C10" t="s">
        <v>97</v>
      </c>
    </row>
    <row r="11" spans="1:8" x14ac:dyDescent="0.25">
      <c r="A11" t="s">
        <v>527</v>
      </c>
      <c r="B11" t="str">
        <f t="shared" si="0"/>
        <v/>
      </c>
      <c r="C11" t="s">
        <v>81</v>
      </c>
    </row>
    <row r="12" spans="1:8" x14ac:dyDescent="0.25">
      <c r="A12" t="s">
        <v>527</v>
      </c>
      <c r="B12" t="str">
        <f t="shared" si="0"/>
        <v/>
      </c>
      <c r="C12" t="s">
        <v>93</v>
      </c>
    </row>
    <row r="13" spans="1:8" x14ac:dyDescent="0.25">
      <c r="A13" t="s">
        <v>527</v>
      </c>
      <c r="B13" t="str">
        <f t="shared" si="0"/>
        <v/>
      </c>
      <c r="C13" t="s">
        <v>130</v>
      </c>
    </row>
    <row r="14" spans="1:8" x14ac:dyDescent="0.25">
      <c r="A14" t="s">
        <v>528</v>
      </c>
      <c r="B14" t="str">
        <f t="shared" si="0"/>
        <v>dfw</v>
      </c>
      <c r="C14" t="s">
        <v>228</v>
      </c>
    </row>
    <row r="15" spans="1:8" x14ac:dyDescent="0.25">
      <c r="A15" t="s">
        <v>528</v>
      </c>
      <c r="B15" t="str">
        <f t="shared" si="0"/>
        <v/>
      </c>
      <c r="C15" t="s">
        <v>193</v>
      </c>
    </row>
    <row r="16" spans="1:8" x14ac:dyDescent="0.25">
      <c r="A16" t="s">
        <v>528</v>
      </c>
      <c r="B16" t="str">
        <f t="shared" si="0"/>
        <v/>
      </c>
      <c r="C16" t="s">
        <v>286</v>
      </c>
    </row>
    <row r="17" spans="1:3" x14ac:dyDescent="0.25">
      <c r="A17" t="s">
        <v>528</v>
      </c>
      <c r="B17" t="str">
        <f t="shared" si="0"/>
        <v/>
      </c>
      <c r="C17" t="s">
        <v>195</v>
      </c>
    </row>
    <row r="18" spans="1:3" x14ac:dyDescent="0.25">
      <c r="A18" t="s">
        <v>529</v>
      </c>
      <c r="B18" t="str">
        <f t="shared" si="0"/>
        <v>driver</v>
      </c>
      <c r="C18" t="s">
        <v>401</v>
      </c>
    </row>
    <row r="19" spans="1:3" x14ac:dyDescent="0.25">
      <c r="A19" t="s">
        <v>529</v>
      </c>
      <c r="B19" t="str">
        <f t="shared" si="0"/>
        <v/>
      </c>
      <c r="C19" t="s">
        <v>402</v>
      </c>
    </row>
    <row r="20" spans="1:3" x14ac:dyDescent="0.25">
      <c r="A20" t="s">
        <v>529</v>
      </c>
      <c r="B20" t="str">
        <f t="shared" si="0"/>
        <v/>
      </c>
      <c r="C20" t="s">
        <v>199</v>
      </c>
    </row>
    <row r="21" spans="1:3" x14ac:dyDescent="0.25">
      <c r="A21" t="s">
        <v>529</v>
      </c>
      <c r="B21" t="str">
        <f t="shared" si="0"/>
        <v/>
      </c>
      <c r="C21" t="s">
        <v>403</v>
      </c>
    </row>
    <row r="22" spans="1:3" x14ac:dyDescent="0.25">
      <c r="A22" t="s">
        <v>529</v>
      </c>
      <c r="B22" t="str">
        <f t="shared" si="0"/>
        <v/>
      </c>
      <c r="C22" t="s">
        <v>90</v>
      </c>
    </row>
    <row r="23" spans="1:3" x14ac:dyDescent="0.25">
      <c r="A23" t="s">
        <v>529</v>
      </c>
      <c r="B23" t="str">
        <f t="shared" si="0"/>
        <v/>
      </c>
      <c r="C23" t="s">
        <v>406</v>
      </c>
    </row>
    <row r="24" spans="1:3" x14ac:dyDescent="0.25">
      <c r="A24" t="s">
        <v>529</v>
      </c>
      <c r="B24" t="str">
        <f t="shared" si="0"/>
        <v/>
      </c>
      <c r="C24" t="s">
        <v>294</v>
      </c>
    </row>
    <row r="25" spans="1:3" x14ac:dyDescent="0.25">
      <c r="A25" t="s">
        <v>530</v>
      </c>
      <c r="B25" t="str">
        <f t="shared" si="0"/>
        <v>stack</v>
      </c>
      <c r="C25" t="s">
        <v>232</v>
      </c>
    </row>
    <row r="26" spans="1:3" x14ac:dyDescent="0.25">
      <c r="A26" t="s">
        <v>530</v>
      </c>
      <c r="B26" t="str">
        <f t="shared" si="0"/>
        <v/>
      </c>
      <c r="C26" t="s">
        <v>233</v>
      </c>
    </row>
    <row r="27" spans="1:3" x14ac:dyDescent="0.25">
      <c r="A27" t="s">
        <v>530</v>
      </c>
      <c r="B27" t="str">
        <f t="shared" si="0"/>
        <v/>
      </c>
      <c r="C27" t="s">
        <v>226</v>
      </c>
    </row>
    <row r="28" spans="1:3" x14ac:dyDescent="0.25">
      <c r="A28" t="s">
        <v>530</v>
      </c>
      <c r="B28" t="str">
        <f t="shared" si="0"/>
        <v/>
      </c>
      <c r="C28" t="s">
        <v>137</v>
      </c>
    </row>
    <row r="29" spans="1:3" x14ac:dyDescent="0.25">
      <c r="A29" t="s">
        <v>530</v>
      </c>
      <c r="B29" t="str">
        <f t="shared" si="0"/>
        <v/>
      </c>
      <c r="C29" t="s">
        <v>1046</v>
      </c>
    </row>
    <row r="30" spans="1:3" x14ac:dyDescent="0.25">
      <c r="A30" t="s">
        <v>530</v>
      </c>
      <c r="B30" t="str">
        <f t="shared" si="0"/>
        <v/>
      </c>
      <c r="C30" t="s">
        <v>138</v>
      </c>
    </row>
    <row r="31" spans="1:3" x14ac:dyDescent="0.25">
      <c r="A31" t="s">
        <v>530</v>
      </c>
      <c r="B31" t="str">
        <f t="shared" si="0"/>
        <v/>
      </c>
      <c r="C31" t="s">
        <v>91</v>
      </c>
    </row>
    <row r="32" spans="1:3" x14ac:dyDescent="0.25">
      <c r="A32" t="s">
        <v>530</v>
      </c>
      <c r="B32" t="str">
        <f t="shared" si="0"/>
        <v/>
      </c>
      <c r="C32" t="s">
        <v>160</v>
      </c>
    </row>
    <row r="33" spans="1:50" x14ac:dyDescent="0.25">
      <c r="A33" t="s">
        <v>530</v>
      </c>
      <c r="B33" t="str">
        <f t="shared" si="0"/>
        <v/>
      </c>
      <c r="C33" t="s">
        <v>157</v>
      </c>
    </row>
    <row r="34" spans="1:50" x14ac:dyDescent="0.25">
      <c r="A34" t="s">
        <v>530</v>
      </c>
      <c r="B34" t="str">
        <f t="shared" si="0"/>
        <v/>
      </c>
      <c r="C34" t="s">
        <v>158</v>
      </c>
    </row>
    <row r="35" spans="1:50" x14ac:dyDescent="0.25">
      <c r="A35" t="s">
        <v>530</v>
      </c>
      <c r="B35" t="str">
        <f t="shared" si="0"/>
        <v/>
      </c>
      <c r="C35" t="s">
        <v>159</v>
      </c>
    </row>
    <row r="36" spans="1:50" x14ac:dyDescent="0.25">
      <c r="A36" t="s">
        <v>530</v>
      </c>
      <c r="B36" t="str">
        <f t="shared" si="0"/>
        <v/>
      </c>
      <c r="C36" t="s">
        <v>1106</v>
      </c>
    </row>
    <row r="37" spans="1:50" x14ac:dyDescent="0.25">
      <c r="A37" t="s">
        <v>530</v>
      </c>
      <c r="B37" t="str">
        <f t="shared" si="0"/>
        <v/>
      </c>
      <c r="C37" t="s">
        <v>1107</v>
      </c>
      <c r="D37" s="3"/>
      <c r="E37" s="3"/>
      <c r="F37" s="3"/>
      <c r="G37" s="3"/>
      <c r="H37" s="3"/>
      <c r="I37" s="3"/>
      <c r="U37" s="47" t="s">
        <v>1082</v>
      </c>
      <c r="V37" s="47"/>
      <c r="W37" s="47"/>
      <c r="X37" s="47"/>
      <c r="Y37" s="47"/>
      <c r="Z37" s="47"/>
      <c r="AA37" s="47"/>
      <c r="AB37" s="47"/>
      <c r="AC37" s="47"/>
      <c r="AE37" s="47" t="s">
        <v>1083</v>
      </c>
      <c r="AF37" s="47"/>
      <c r="AG37" s="47"/>
      <c r="AH37" s="47"/>
      <c r="AI37" s="47"/>
      <c r="AJ37" s="47"/>
      <c r="AK37" s="47"/>
      <c r="AL37" s="47"/>
      <c r="AM37" s="47"/>
      <c r="AP37" s="47" t="s">
        <v>1084</v>
      </c>
      <c r="AQ37" s="47"/>
      <c r="AR37" s="47"/>
      <c r="AS37" s="47"/>
      <c r="AT37" s="47"/>
      <c r="AU37" s="47"/>
      <c r="AV37" s="47"/>
      <c r="AW37" s="47"/>
      <c r="AX37" s="47"/>
    </row>
    <row r="38" spans="1:50" x14ac:dyDescent="0.25">
      <c r="A38" t="s">
        <v>530</v>
      </c>
      <c r="B38" t="str">
        <f t="shared" si="0"/>
        <v/>
      </c>
      <c r="C38" t="s">
        <v>1108</v>
      </c>
    </row>
    <row r="39" spans="1:50" x14ac:dyDescent="0.25">
      <c r="A39" t="s">
        <v>530</v>
      </c>
      <c r="B39" t="str">
        <f t="shared" si="0"/>
        <v/>
      </c>
      <c r="C39" t="s">
        <v>1109</v>
      </c>
    </row>
    <row r="40" spans="1:50" x14ac:dyDescent="0.25">
      <c r="A40" t="s">
        <v>530</v>
      </c>
      <c r="B40" t="str">
        <f t="shared" si="0"/>
        <v/>
      </c>
      <c r="C40" t="s">
        <v>1110</v>
      </c>
    </row>
    <row r="41" spans="1:50" x14ac:dyDescent="0.25">
      <c r="A41" t="s">
        <v>530</v>
      </c>
      <c r="B41" t="str">
        <f t="shared" si="0"/>
        <v/>
      </c>
      <c r="C41" t="s">
        <v>1111</v>
      </c>
    </row>
    <row r="42" spans="1:50" x14ac:dyDescent="0.25">
      <c r="A42" t="s">
        <v>530</v>
      </c>
      <c r="B42" t="str">
        <f t="shared" si="0"/>
        <v/>
      </c>
      <c r="C42" t="s">
        <v>1112</v>
      </c>
    </row>
    <row r="43" spans="1:50" x14ac:dyDescent="0.25">
      <c r="A43" t="s">
        <v>530</v>
      </c>
      <c r="B43" t="str">
        <f t="shared" si="0"/>
        <v/>
      </c>
      <c r="C43" t="s">
        <v>1128</v>
      </c>
    </row>
    <row r="44" spans="1:50" x14ac:dyDescent="0.25">
      <c r="A44" t="s">
        <v>530</v>
      </c>
      <c r="B44" t="str">
        <f t="shared" si="0"/>
        <v/>
      </c>
      <c r="C44" t="s">
        <v>1113</v>
      </c>
    </row>
    <row r="45" spans="1:50" x14ac:dyDescent="0.25">
      <c r="A45" t="s">
        <v>530</v>
      </c>
      <c r="B45" t="str">
        <f t="shared" si="0"/>
        <v/>
      </c>
      <c r="C45" t="s">
        <v>1114</v>
      </c>
    </row>
    <row r="46" spans="1:50" x14ac:dyDescent="0.25">
      <c r="A46" t="s">
        <v>530</v>
      </c>
      <c r="B46" t="str">
        <f t="shared" si="0"/>
        <v/>
      </c>
      <c r="C46" t="s">
        <v>1115</v>
      </c>
    </row>
    <row r="47" spans="1:50" x14ac:dyDescent="0.25">
      <c r="A47" t="s">
        <v>530</v>
      </c>
      <c r="B47" t="str">
        <f t="shared" si="0"/>
        <v/>
      </c>
      <c r="C47" t="s">
        <v>1116</v>
      </c>
    </row>
    <row r="48" spans="1:50" x14ac:dyDescent="0.25">
      <c r="A48" t="s">
        <v>530</v>
      </c>
      <c r="B48" t="str">
        <f t="shared" si="0"/>
        <v/>
      </c>
      <c r="C48" t="s">
        <v>1117</v>
      </c>
    </row>
    <row r="49" spans="1:3" x14ac:dyDescent="0.25">
      <c r="A49" t="s">
        <v>530</v>
      </c>
      <c r="B49" t="str">
        <f t="shared" si="0"/>
        <v/>
      </c>
      <c r="C49" t="s">
        <v>1118</v>
      </c>
    </row>
    <row r="50" spans="1:3" x14ac:dyDescent="0.25">
      <c r="A50" t="s">
        <v>530</v>
      </c>
      <c r="B50" t="str">
        <f t="shared" si="0"/>
        <v/>
      </c>
      <c r="C50" t="s">
        <v>1120</v>
      </c>
    </row>
    <row r="51" spans="1:3" x14ac:dyDescent="0.25">
      <c r="A51" t="s">
        <v>530</v>
      </c>
      <c r="B51" t="str">
        <f t="shared" si="0"/>
        <v/>
      </c>
      <c r="C51" t="s">
        <v>1121</v>
      </c>
    </row>
    <row r="52" spans="1:3" x14ac:dyDescent="0.25">
      <c r="A52" t="s">
        <v>530</v>
      </c>
      <c r="B52" t="str">
        <f t="shared" si="0"/>
        <v/>
      </c>
      <c r="C52" t="s">
        <v>1119</v>
      </c>
    </row>
    <row r="53" spans="1:3" x14ac:dyDescent="0.25">
      <c r="A53" t="s">
        <v>530</v>
      </c>
      <c r="B53" t="str">
        <f t="shared" si="0"/>
        <v/>
      </c>
      <c r="C53" t="s">
        <v>1122</v>
      </c>
    </row>
    <row r="54" spans="1:3" x14ac:dyDescent="0.25">
      <c r="A54" t="s">
        <v>530</v>
      </c>
      <c r="B54" t="str">
        <f t="shared" si="0"/>
        <v/>
      </c>
      <c r="C54" t="s">
        <v>259</v>
      </c>
    </row>
    <row r="55" spans="1:3" x14ac:dyDescent="0.25">
      <c r="A55" t="s">
        <v>530</v>
      </c>
      <c r="B55" t="str">
        <f t="shared" si="0"/>
        <v/>
      </c>
      <c r="C55" t="s">
        <v>1071</v>
      </c>
    </row>
    <row r="56" spans="1:3" x14ac:dyDescent="0.25">
      <c r="A56" t="s">
        <v>530</v>
      </c>
      <c r="B56" t="str">
        <f t="shared" si="0"/>
        <v/>
      </c>
      <c r="C56" t="s">
        <v>1072</v>
      </c>
    </row>
    <row r="57" spans="1:3" x14ac:dyDescent="0.25">
      <c r="A57" t="s">
        <v>530</v>
      </c>
      <c r="B57" t="str">
        <f t="shared" si="0"/>
        <v/>
      </c>
      <c r="C57" t="s">
        <v>1075</v>
      </c>
    </row>
    <row r="58" spans="1:3" x14ac:dyDescent="0.25">
      <c r="A58" t="s">
        <v>530</v>
      </c>
      <c r="B58" t="str">
        <f t="shared" si="0"/>
        <v/>
      </c>
      <c r="C58" t="s">
        <v>1086</v>
      </c>
    </row>
    <row r="59" spans="1:3" x14ac:dyDescent="0.25">
      <c r="A59" t="s">
        <v>531</v>
      </c>
      <c r="B59" t="str">
        <f t="shared" si="0"/>
        <v>OS_API</v>
      </c>
      <c r="C59" t="s">
        <v>239</v>
      </c>
    </row>
    <row r="60" spans="1:3" x14ac:dyDescent="0.25">
      <c r="A60" t="s">
        <v>531</v>
      </c>
      <c r="B60" t="str">
        <f t="shared" si="0"/>
        <v/>
      </c>
      <c r="C60" t="s">
        <v>115</v>
      </c>
    </row>
    <row r="61" spans="1:3" x14ac:dyDescent="0.25">
      <c r="A61" t="s">
        <v>531</v>
      </c>
      <c r="B61" t="str">
        <f t="shared" si="0"/>
        <v/>
      </c>
      <c r="C61" t="s">
        <v>117</v>
      </c>
    </row>
    <row r="62" spans="1:3" x14ac:dyDescent="0.25">
      <c r="A62" t="s">
        <v>531</v>
      </c>
      <c r="B62" t="str">
        <f t="shared" si="0"/>
        <v/>
      </c>
      <c r="C62" t="s">
        <v>175</v>
      </c>
    </row>
    <row r="63" spans="1:3" x14ac:dyDescent="0.25">
      <c r="A63" t="s">
        <v>531</v>
      </c>
      <c r="B63" t="str">
        <f t="shared" si="0"/>
        <v/>
      </c>
      <c r="C63" t="s">
        <v>80</v>
      </c>
    </row>
    <row r="64" spans="1:3" x14ac:dyDescent="0.25">
      <c r="A64" t="s">
        <v>531</v>
      </c>
      <c r="B64" t="str">
        <f t="shared" si="0"/>
        <v/>
      </c>
      <c r="C64" t="s">
        <v>85</v>
      </c>
    </row>
    <row r="65" spans="1:3" x14ac:dyDescent="0.25">
      <c r="A65" t="s">
        <v>532</v>
      </c>
      <c r="B65" t="str">
        <f t="shared" si="0"/>
        <v>radio</v>
      </c>
      <c r="C65" t="s">
        <v>235</v>
      </c>
    </row>
    <row r="66" spans="1:3" x14ac:dyDescent="0.25">
      <c r="A66" t="s">
        <v>532</v>
      </c>
      <c r="B66" t="str">
        <f t="shared" si="0"/>
        <v/>
      </c>
      <c r="C66" t="s">
        <v>316</v>
      </c>
    </row>
    <row r="67" spans="1:3" x14ac:dyDescent="0.25">
      <c r="A67" t="s">
        <v>532</v>
      </c>
      <c r="B67" t="str">
        <f t="shared" ref="B67:B135" si="1">IF(A67&lt;&gt;A66,A67,"")</f>
        <v/>
      </c>
      <c r="C67" t="s">
        <v>224</v>
      </c>
    </row>
    <row r="68" spans="1:3" x14ac:dyDescent="0.25">
      <c r="A68" t="s">
        <v>532</v>
      </c>
      <c r="B68" t="str">
        <f t="shared" si="1"/>
        <v/>
      </c>
      <c r="C68" t="s">
        <v>423</v>
      </c>
    </row>
    <row r="69" spans="1:3" x14ac:dyDescent="0.25">
      <c r="A69" t="s">
        <v>532</v>
      </c>
      <c r="B69" t="str">
        <f t="shared" si="1"/>
        <v/>
      </c>
      <c r="C69" t="s">
        <v>426</v>
      </c>
    </row>
    <row r="70" spans="1:3" x14ac:dyDescent="0.25">
      <c r="A70" t="s">
        <v>532</v>
      </c>
      <c r="B70" t="str">
        <f t="shared" si="1"/>
        <v/>
      </c>
      <c r="C70" t="s">
        <v>425</v>
      </c>
    </row>
    <row r="71" spans="1:3" x14ac:dyDescent="0.25">
      <c r="A71" t="s">
        <v>532</v>
      </c>
      <c r="B71" t="str">
        <f t="shared" si="1"/>
        <v/>
      </c>
      <c r="C71" t="s">
        <v>424</v>
      </c>
    </row>
    <row r="72" spans="1:3" x14ac:dyDescent="0.25">
      <c r="A72" t="s">
        <v>532</v>
      </c>
      <c r="B72" t="str">
        <f t="shared" si="1"/>
        <v/>
      </c>
      <c r="C72" t="s">
        <v>427</v>
      </c>
    </row>
    <row r="73" spans="1:3" x14ac:dyDescent="0.25">
      <c r="A73" t="s">
        <v>532</v>
      </c>
      <c r="C73" t="s">
        <v>1667</v>
      </c>
    </row>
    <row r="74" spans="1:3" x14ac:dyDescent="0.25">
      <c r="A74" t="s">
        <v>533</v>
      </c>
      <c r="B74" t="str">
        <f>IF(A74&lt;&gt;A72,A74,"")</f>
        <v>security</v>
      </c>
      <c r="C74" t="s">
        <v>302</v>
      </c>
    </row>
    <row r="75" spans="1:3" x14ac:dyDescent="0.25">
      <c r="A75" t="s">
        <v>533</v>
      </c>
      <c r="B75" t="str">
        <f t="shared" si="1"/>
        <v/>
      </c>
      <c r="C75" t="s">
        <v>204</v>
      </c>
    </row>
    <row r="76" spans="1:3" x14ac:dyDescent="0.25">
      <c r="A76" t="s">
        <v>533</v>
      </c>
      <c r="B76" t="str">
        <f t="shared" si="1"/>
        <v/>
      </c>
      <c r="C76" t="s">
        <v>299</v>
      </c>
    </row>
    <row r="77" spans="1:3" x14ac:dyDescent="0.25">
      <c r="A77" t="s">
        <v>533</v>
      </c>
      <c r="B77" t="str">
        <f t="shared" si="1"/>
        <v/>
      </c>
      <c r="C77" t="s">
        <v>300</v>
      </c>
    </row>
    <row r="78" spans="1:3" x14ac:dyDescent="0.25">
      <c r="A78" t="s">
        <v>533</v>
      </c>
      <c r="B78" t="str">
        <f t="shared" si="1"/>
        <v/>
      </c>
      <c r="C78" t="s">
        <v>298</v>
      </c>
    </row>
    <row r="79" spans="1:3" x14ac:dyDescent="0.25">
      <c r="A79" t="s">
        <v>533</v>
      </c>
      <c r="B79" t="str">
        <f t="shared" si="1"/>
        <v/>
      </c>
      <c r="C79" t="s">
        <v>205</v>
      </c>
    </row>
    <row r="80" spans="1:3" x14ac:dyDescent="0.25">
      <c r="A80" t="s">
        <v>534</v>
      </c>
      <c r="B80" t="str">
        <f t="shared" si="1"/>
        <v>AclaraBSP</v>
      </c>
      <c r="C80" t="s">
        <v>99</v>
      </c>
    </row>
    <row r="81" spans="1:3" x14ac:dyDescent="0.25">
      <c r="A81" t="s">
        <v>534</v>
      </c>
      <c r="B81" t="str">
        <f t="shared" si="1"/>
        <v/>
      </c>
      <c r="C81" t="s">
        <v>231</v>
      </c>
    </row>
    <row r="82" spans="1:3" x14ac:dyDescent="0.25">
      <c r="A82" t="s">
        <v>534</v>
      </c>
      <c r="B82" t="str">
        <f t="shared" si="1"/>
        <v/>
      </c>
      <c r="C82" t="s">
        <v>161</v>
      </c>
    </row>
    <row r="83" spans="1:3" x14ac:dyDescent="0.25">
      <c r="A83" t="s">
        <v>534</v>
      </c>
      <c r="B83" t="str">
        <f t="shared" si="1"/>
        <v/>
      </c>
      <c r="C83" t="s">
        <v>1039</v>
      </c>
    </row>
    <row r="84" spans="1:3" x14ac:dyDescent="0.25">
      <c r="A84" t="s">
        <v>534</v>
      </c>
      <c r="B84" t="str">
        <f t="shared" si="1"/>
        <v/>
      </c>
      <c r="C84" t="s">
        <v>134</v>
      </c>
    </row>
    <row r="85" spans="1:3" x14ac:dyDescent="0.25">
      <c r="A85" t="s">
        <v>534</v>
      </c>
      <c r="B85" t="str">
        <f t="shared" si="1"/>
        <v/>
      </c>
      <c r="C85" t="s">
        <v>315</v>
      </c>
    </row>
    <row r="86" spans="1:3" x14ac:dyDescent="0.25">
      <c r="A86" t="s">
        <v>534</v>
      </c>
      <c r="B86" t="str">
        <f t="shared" si="1"/>
        <v/>
      </c>
      <c r="C86" t="s">
        <v>567</v>
      </c>
    </row>
    <row r="87" spans="1:3" x14ac:dyDescent="0.25">
      <c r="A87" t="s">
        <v>534</v>
      </c>
      <c r="B87" t="str">
        <f t="shared" si="1"/>
        <v/>
      </c>
      <c r="C87" t="s">
        <v>163</v>
      </c>
    </row>
    <row r="88" spans="1:3" x14ac:dyDescent="0.25">
      <c r="A88" t="s">
        <v>534</v>
      </c>
      <c r="B88" t="str">
        <f t="shared" si="1"/>
        <v/>
      </c>
      <c r="C88" t="s">
        <v>295</v>
      </c>
    </row>
    <row r="89" spans="1:3" x14ac:dyDescent="0.25">
      <c r="A89" t="s">
        <v>534</v>
      </c>
      <c r="B89" t="str">
        <f t="shared" si="1"/>
        <v/>
      </c>
      <c r="C89" t="s">
        <v>336</v>
      </c>
    </row>
    <row r="90" spans="1:3" x14ac:dyDescent="0.25">
      <c r="A90" t="s">
        <v>534</v>
      </c>
      <c r="B90" t="str">
        <f t="shared" si="1"/>
        <v/>
      </c>
      <c r="C90" t="s">
        <v>277</v>
      </c>
    </row>
    <row r="91" spans="1:3" x14ac:dyDescent="0.25">
      <c r="A91" t="s">
        <v>536</v>
      </c>
      <c r="B91" t="str">
        <f t="shared" si="1"/>
        <v>Common</v>
      </c>
      <c r="C91" t="s">
        <v>568</v>
      </c>
    </row>
    <row r="92" spans="1:3" x14ac:dyDescent="0.25">
      <c r="A92" t="s">
        <v>536</v>
      </c>
      <c r="B92" t="str">
        <f t="shared" si="1"/>
        <v/>
      </c>
      <c r="C92" t="s">
        <v>135</v>
      </c>
    </row>
    <row r="93" spans="1:3" x14ac:dyDescent="0.25">
      <c r="A93" t="s">
        <v>536</v>
      </c>
      <c r="B93" t="str">
        <f t="shared" si="1"/>
        <v/>
      </c>
      <c r="C93" t="s">
        <v>256</v>
      </c>
    </row>
    <row r="94" spans="1:3" x14ac:dyDescent="0.25">
      <c r="A94" t="s">
        <v>536</v>
      </c>
      <c r="B94" t="str">
        <f t="shared" si="1"/>
        <v/>
      </c>
      <c r="C94" t="s">
        <v>92</v>
      </c>
    </row>
    <row r="95" spans="1:3" x14ac:dyDescent="0.25">
      <c r="A95" t="s">
        <v>536</v>
      </c>
      <c r="B95" t="str">
        <f t="shared" si="1"/>
        <v/>
      </c>
      <c r="C95" t="s">
        <v>131</v>
      </c>
    </row>
    <row r="96" spans="1:3" x14ac:dyDescent="0.25">
      <c r="A96" t="s">
        <v>536</v>
      </c>
      <c r="B96" t="str">
        <f t="shared" si="1"/>
        <v/>
      </c>
      <c r="C96" t="s">
        <v>82</v>
      </c>
    </row>
    <row r="97" spans="1:3" x14ac:dyDescent="0.25">
      <c r="A97" t="s">
        <v>536</v>
      </c>
      <c r="B97" t="str">
        <f t="shared" si="1"/>
        <v/>
      </c>
      <c r="C97" t="s">
        <v>249</v>
      </c>
    </row>
    <row r="98" spans="1:3" x14ac:dyDescent="0.25">
      <c r="A98" t="s">
        <v>536</v>
      </c>
      <c r="B98" t="str">
        <f t="shared" si="1"/>
        <v/>
      </c>
      <c r="C98" t="s">
        <v>136</v>
      </c>
    </row>
    <row r="99" spans="1:3" x14ac:dyDescent="0.25">
      <c r="A99" t="s">
        <v>536</v>
      </c>
      <c r="B99" t="str">
        <f t="shared" si="1"/>
        <v/>
      </c>
      <c r="C99" t="s">
        <v>569</v>
      </c>
    </row>
    <row r="100" spans="1:3" x14ac:dyDescent="0.25">
      <c r="A100" t="s">
        <v>536</v>
      </c>
      <c r="B100" t="str">
        <f t="shared" si="1"/>
        <v/>
      </c>
      <c r="C100" t="s">
        <v>118</v>
      </c>
    </row>
    <row r="101" spans="1:3" x14ac:dyDescent="0.25">
      <c r="A101" t="s">
        <v>536</v>
      </c>
      <c r="B101" t="str">
        <f t="shared" si="1"/>
        <v/>
      </c>
      <c r="C101" t="s">
        <v>87</v>
      </c>
    </row>
    <row r="102" spans="1:3" x14ac:dyDescent="0.25">
      <c r="A102" t="s">
        <v>536</v>
      </c>
      <c r="B102" t="str">
        <f t="shared" si="1"/>
        <v/>
      </c>
      <c r="C102" t="s">
        <v>570</v>
      </c>
    </row>
    <row r="103" spans="1:3" x14ac:dyDescent="0.25">
      <c r="A103" t="s">
        <v>536</v>
      </c>
      <c r="B103" t="str">
        <f t="shared" si="1"/>
        <v/>
      </c>
      <c r="C103" t="s">
        <v>248</v>
      </c>
    </row>
    <row r="104" spans="1:3" x14ac:dyDescent="0.25">
      <c r="A104" t="s">
        <v>536</v>
      </c>
      <c r="B104" t="str">
        <f t="shared" si="1"/>
        <v/>
      </c>
      <c r="C104" t="s">
        <v>244</v>
      </c>
    </row>
    <row r="105" spans="1:3" x14ac:dyDescent="0.25">
      <c r="A105" t="s">
        <v>536</v>
      </c>
      <c r="B105" t="str">
        <f t="shared" si="1"/>
        <v/>
      </c>
      <c r="C105" t="s">
        <v>919</v>
      </c>
    </row>
    <row r="106" spans="1:3" x14ac:dyDescent="0.25">
      <c r="A106" t="s">
        <v>536</v>
      </c>
      <c r="B106" t="str">
        <f t="shared" si="1"/>
        <v/>
      </c>
      <c r="C106" t="s">
        <v>86</v>
      </c>
    </row>
    <row r="107" spans="1:3" x14ac:dyDescent="0.25">
      <c r="A107" t="s">
        <v>536</v>
      </c>
      <c r="B107" t="str">
        <f t="shared" si="1"/>
        <v/>
      </c>
      <c r="C107" t="s">
        <v>308</v>
      </c>
    </row>
    <row r="108" spans="1:3" x14ac:dyDescent="0.25">
      <c r="A108" t="s">
        <v>536</v>
      </c>
      <c r="B108" t="str">
        <f t="shared" si="1"/>
        <v/>
      </c>
      <c r="C108" t="s">
        <v>177</v>
      </c>
    </row>
    <row r="109" spans="1:3" x14ac:dyDescent="0.25">
      <c r="A109" t="s">
        <v>536</v>
      </c>
      <c r="B109" t="str">
        <f t="shared" si="1"/>
        <v/>
      </c>
      <c r="C109" t="s">
        <v>571</v>
      </c>
    </row>
    <row r="110" spans="1:3" x14ac:dyDescent="0.25">
      <c r="A110" t="s">
        <v>536</v>
      </c>
      <c r="B110" t="str">
        <f t="shared" si="1"/>
        <v/>
      </c>
      <c r="C110" t="s">
        <v>223</v>
      </c>
    </row>
    <row r="111" spans="1:3" x14ac:dyDescent="0.25">
      <c r="A111" t="s">
        <v>536</v>
      </c>
      <c r="B111" t="str">
        <f t="shared" si="1"/>
        <v/>
      </c>
      <c r="C111" t="s">
        <v>133</v>
      </c>
    </row>
    <row r="112" spans="1:3" x14ac:dyDescent="0.25">
      <c r="A112" t="s">
        <v>536</v>
      </c>
      <c r="B112" t="str">
        <f t="shared" si="1"/>
        <v/>
      </c>
      <c r="C112" t="s">
        <v>309</v>
      </c>
    </row>
    <row r="113" spans="1:3" x14ac:dyDescent="0.25">
      <c r="A113" t="s">
        <v>536</v>
      </c>
      <c r="B113" t="str">
        <f t="shared" si="1"/>
        <v/>
      </c>
      <c r="C113" t="s">
        <v>1094</v>
      </c>
    </row>
    <row r="114" spans="1:3" x14ac:dyDescent="0.25">
      <c r="A114" t="s">
        <v>536</v>
      </c>
      <c r="B114" t="str">
        <f t="shared" si="1"/>
        <v/>
      </c>
      <c r="C114" t="s">
        <v>206</v>
      </c>
    </row>
    <row r="115" spans="1:3" x14ac:dyDescent="0.25">
      <c r="A115" t="s">
        <v>536</v>
      </c>
      <c r="B115" t="str">
        <f t="shared" si="1"/>
        <v/>
      </c>
      <c r="C115" t="s">
        <v>1038</v>
      </c>
    </row>
    <row r="116" spans="1:3" x14ac:dyDescent="0.25">
      <c r="A116" t="s">
        <v>536</v>
      </c>
      <c r="B116" t="str">
        <f t="shared" si="1"/>
        <v/>
      </c>
      <c r="C116" t="s">
        <v>162</v>
      </c>
    </row>
    <row r="117" spans="1:3" x14ac:dyDescent="0.25">
      <c r="A117" t="s">
        <v>536</v>
      </c>
      <c r="B117" t="str">
        <f t="shared" si="1"/>
        <v/>
      </c>
      <c r="C117" t="s">
        <v>291</v>
      </c>
    </row>
    <row r="118" spans="1:3" x14ac:dyDescent="0.25">
      <c r="A118" t="s">
        <v>536</v>
      </c>
      <c r="C118" t="s">
        <v>1668</v>
      </c>
    </row>
    <row r="119" spans="1:3" x14ac:dyDescent="0.25">
      <c r="A119" t="s">
        <v>536</v>
      </c>
      <c r="C119" t="s">
        <v>1669</v>
      </c>
    </row>
    <row r="120" spans="1:3" x14ac:dyDescent="0.25">
      <c r="A120" t="s">
        <v>536</v>
      </c>
      <c r="C120" t="s">
        <v>1670</v>
      </c>
    </row>
    <row r="121" spans="1:3" x14ac:dyDescent="0.25">
      <c r="A121" t="s">
        <v>536</v>
      </c>
      <c r="C121" t="s">
        <v>1671</v>
      </c>
    </row>
    <row r="122" spans="1:3" x14ac:dyDescent="0.25">
      <c r="A122" t="s">
        <v>535</v>
      </c>
      <c r="B122" t="str">
        <f>IF(A122&lt;&gt;A117,A122,"")</f>
        <v>HMC</v>
      </c>
      <c r="C122" t="s">
        <v>341</v>
      </c>
    </row>
    <row r="123" spans="1:3" x14ac:dyDescent="0.25">
      <c r="A123" t="s">
        <v>535</v>
      </c>
      <c r="B123" t="str">
        <f t="shared" si="1"/>
        <v/>
      </c>
      <c r="C123" t="s">
        <v>572</v>
      </c>
    </row>
    <row r="124" spans="1:3" x14ac:dyDescent="0.25">
      <c r="A124" t="s">
        <v>535</v>
      </c>
      <c r="B124" t="str">
        <f t="shared" si="1"/>
        <v/>
      </c>
      <c r="C124" t="s">
        <v>573</v>
      </c>
    </row>
    <row r="125" spans="1:3" x14ac:dyDescent="0.25">
      <c r="A125" t="s">
        <v>535</v>
      </c>
      <c r="B125" t="str">
        <f t="shared" si="1"/>
        <v/>
      </c>
      <c r="C125" t="s">
        <v>217</v>
      </c>
    </row>
    <row r="126" spans="1:3" x14ac:dyDescent="0.25">
      <c r="A126" t="s">
        <v>535</v>
      </c>
      <c r="B126" t="str">
        <f t="shared" si="1"/>
        <v/>
      </c>
      <c r="C126" t="s">
        <v>219</v>
      </c>
    </row>
    <row r="127" spans="1:3" x14ac:dyDescent="0.25">
      <c r="A127" t="s">
        <v>535</v>
      </c>
      <c r="B127" t="str">
        <f t="shared" si="1"/>
        <v/>
      </c>
      <c r="C127" t="s">
        <v>366</v>
      </c>
    </row>
    <row r="128" spans="1:3" x14ac:dyDescent="0.25">
      <c r="A128" t="s">
        <v>535</v>
      </c>
      <c r="B128" t="str">
        <f t="shared" si="1"/>
        <v/>
      </c>
      <c r="C128" t="s">
        <v>390</v>
      </c>
    </row>
    <row r="129" spans="1:3" x14ac:dyDescent="0.25">
      <c r="A129" t="s">
        <v>535</v>
      </c>
      <c r="B129" t="str">
        <f t="shared" si="1"/>
        <v/>
      </c>
      <c r="C129" t="s">
        <v>216</v>
      </c>
    </row>
    <row r="130" spans="1:3" x14ac:dyDescent="0.25">
      <c r="A130" t="s">
        <v>535</v>
      </c>
      <c r="B130" t="str">
        <f t="shared" si="1"/>
        <v/>
      </c>
      <c r="C130" t="s">
        <v>574</v>
      </c>
    </row>
    <row r="131" spans="1:3" x14ac:dyDescent="0.25">
      <c r="A131" t="s">
        <v>535</v>
      </c>
      <c r="B131" t="str">
        <f t="shared" si="1"/>
        <v/>
      </c>
      <c r="C131" t="s">
        <v>378</v>
      </c>
    </row>
    <row r="132" spans="1:3" x14ac:dyDescent="0.25">
      <c r="A132" t="s">
        <v>535</v>
      </c>
      <c r="B132" t="str">
        <f t="shared" si="1"/>
        <v/>
      </c>
      <c r="C132" t="s">
        <v>404</v>
      </c>
    </row>
    <row r="133" spans="1:3" x14ac:dyDescent="0.25">
      <c r="A133" t="s">
        <v>535</v>
      </c>
      <c r="B133" t="str">
        <f t="shared" si="1"/>
        <v/>
      </c>
      <c r="C133" t="s">
        <v>575</v>
      </c>
    </row>
    <row r="134" spans="1:3" x14ac:dyDescent="0.25">
      <c r="A134" t="s">
        <v>535</v>
      </c>
      <c r="B134" t="str">
        <f t="shared" si="1"/>
        <v/>
      </c>
      <c r="C134" t="s">
        <v>405</v>
      </c>
    </row>
    <row r="135" spans="1:3" x14ac:dyDescent="0.25">
      <c r="A135" t="s">
        <v>535</v>
      </c>
      <c r="B135" t="str">
        <f t="shared" si="1"/>
        <v/>
      </c>
      <c r="C135" t="s">
        <v>311</v>
      </c>
    </row>
    <row r="136" spans="1:3" x14ac:dyDescent="0.25">
      <c r="A136" t="s">
        <v>535</v>
      </c>
      <c r="B136" t="str">
        <f t="shared" ref="B136:B168" si="2">IF(A136&lt;&gt;A135,A136,"")</f>
        <v/>
      </c>
      <c r="C136" t="s">
        <v>576</v>
      </c>
    </row>
    <row r="137" spans="1:3" x14ac:dyDescent="0.25">
      <c r="A137" t="s">
        <v>535</v>
      </c>
      <c r="B137" t="str">
        <f t="shared" si="2"/>
        <v/>
      </c>
      <c r="C137" t="s">
        <v>577</v>
      </c>
    </row>
    <row r="138" spans="1:3" x14ac:dyDescent="0.25">
      <c r="A138" t="s">
        <v>535</v>
      </c>
      <c r="B138" t="str">
        <f t="shared" si="2"/>
        <v/>
      </c>
      <c r="C138" t="s">
        <v>438</v>
      </c>
    </row>
    <row r="139" spans="1:3" x14ac:dyDescent="0.25">
      <c r="A139" t="s">
        <v>535</v>
      </c>
      <c r="B139" t="str">
        <f t="shared" si="2"/>
        <v/>
      </c>
      <c r="C139" t="s">
        <v>214</v>
      </c>
    </row>
    <row r="140" spans="1:3" x14ac:dyDescent="0.25">
      <c r="A140" t="s">
        <v>535</v>
      </c>
      <c r="B140" t="str">
        <f t="shared" si="2"/>
        <v/>
      </c>
      <c r="C140" t="s">
        <v>1085</v>
      </c>
    </row>
    <row r="141" spans="1:3" x14ac:dyDescent="0.25">
      <c r="A141" t="s">
        <v>535</v>
      </c>
      <c r="B141" t="str">
        <f t="shared" si="2"/>
        <v/>
      </c>
      <c r="C141" t="s">
        <v>1727</v>
      </c>
    </row>
    <row r="142" spans="1:3" x14ac:dyDescent="0.25">
      <c r="A142" t="s">
        <v>1129</v>
      </c>
      <c r="B142" t="str">
        <f>IF(A142&lt;&gt;A140,A142,"")</f>
        <v>AclaraDA</v>
      </c>
      <c r="C142" t="s">
        <v>1130</v>
      </c>
    </row>
    <row r="143" spans="1:3" x14ac:dyDescent="0.25">
      <c r="A143" t="s">
        <v>1129</v>
      </c>
      <c r="B143" t="str">
        <f t="shared" si="2"/>
        <v/>
      </c>
      <c r="C143" t="s">
        <v>1131</v>
      </c>
    </row>
    <row r="144" spans="1:3" x14ac:dyDescent="0.25">
      <c r="A144" t="s">
        <v>1129</v>
      </c>
      <c r="B144" t="str">
        <f t="shared" si="2"/>
        <v/>
      </c>
      <c r="C144" t="s">
        <v>1132</v>
      </c>
    </row>
    <row r="145" spans="1:3" x14ac:dyDescent="0.25">
      <c r="A145" t="s">
        <v>1129</v>
      </c>
      <c r="B145" t="str">
        <f t="shared" si="2"/>
        <v/>
      </c>
      <c r="C145" t="s">
        <v>1133</v>
      </c>
    </row>
    <row r="146" spans="1:3" x14ac:dyDescent="0.25">
      <c r="A146" t="s">
        <v>1129</v>
      </c>
      <c r="B146" t="str">
        <f t="shared" si="2"/>
        <v/>
      </c>
      <c r="C146" t="s">
        <v>1134</v>
      </c>
    </row>
    <row r="147" spans="1:3" x14ac:dyDescent="0.25">
      <c r="A147" t="s">
        <v>1129</v>
      </c>
      <c r="B147" t="str">
        <f t="shared" si="2"/>
        <v/>
      </c>
      <c r="C147" t="s">
        <v>1135</v>
      </c>
    </row>
    <row r="148" spans="1:3" x14ac:dyDescent="0.25">
      <c r="A148" t="s">
        <v>1129</v>
      </c>
      <c r="B148" t="str">
        <f t="shared" si="2"/>
        <v/>
      </c>
      <c r="C148" t="s">
        <v>1136</v>
      </c>
    </row>
    <row r="149" spans="1:3" x14ac:dyDescent="0.25">
      <c r="A149" t="s">
        <v>1129</v>
      </c>
      <c r="B149" t="str">
        <f t="shared" si="2"/>
        <v/>
      </c>
      <c r="C149" t="s">
        <v>1137</v>
      </c>
    </row>
    <row r="150" spans="1:3" x14ac:dyDescent="0.25">
      <c r="A150" t="s">
        <v>1129</v>
      </c>
      <c r="B150" t="str">
        <f t="shared" si="2"/>
        <v/>
      </c>
      <c r="C150" t="s">
        <v>1138</v>
      </c>
    </row>
    <row r="151" spans="1:3" x14ac:dyDescent="0.25">
      <c r="A151" t="s">
        <v>537</v>
      </c>
      <c r="B151" t="str">
        <f t="shared" si="2"/>
        <v>MTU_Common</v>
      </c>
      <c r="C151" t="s">
        <v>221</v>
      </c>
    </row>
    <row r="152" spans="1:3" x14ac:dyDescent="0.25">
      <c r="A152" t="s">
        <v>537</v>
      </c>
      <c r="B152" t="str">
        <f t="shared" si="2"/>
        <v/>
      </c>
      <c r="C152" t="s">
        <v>222</v>
      </c>
    </row>
    <row r="153" spans="1:3" x14ac:dyDescent="0.25">
      <c r="A153" t="s">
        <v>537</v>
      </c>
      <c r="B153" t="str">
        <f t="shared" si="2"/>
        <v/>
      </c>
      <c r="C153" t="s">
        <v>227</v>
      </c>
    </row>
    <row r="154" spans="1:3" x14ac:dyDescent="0.25">
      <c r="A154" t="s">
        <v>537</v>
      </c>
      <c r="B154" t="str">
        <f t="shared" si="2"/>
        <v/>
      </c>
      <c r="C154" t="s">
        <v>367</v>
      </c>
    </row>
    <row r="155" spans="1:3" x14ac:dyDescent="0.25">
      <c r="A155" t="s">
        <v>537</v>
      </c>
      <c r="B155" t="str">
        <f t="shared" si="2"/>
        <v/>
      </c>
      <c r="C155" t="s">
        <v>218</v>
      </c>
    </row>
    <row r="156" spans="1:3" x14ac:dyDescent="0.25">
      <c r="A156" t="s">
        <v>537</v>
      </c>
      <c r="B156" t="str">
        <f t="shared" si="2"/>
        <v/>
      </c>
      <c r="C156" t="s">
        <v>215</v>
      </c>
    </row>
    <row r="157" spans="1:3" x14ac:dyDescent="0.25">
      <c r="A157" t="s">
        <v>537</v>
      </c>
      <c r="B157" t="str">
        <f t="shared" si="2"/>
        <v/>
      </c>
      <c r="C157" t="s">
        <v>292</v>
      </c>
    </row>
    <row r="158" spans="1:3" x14ac:dyDescent="0.25">
      <c r="A158" t="s">
        <v>537</v>
      </c>
      <c r="B158" t="str">
        <f t="shared" si="2"/>
        <v/>
      </c>
      <c r="C158" t="s">
        <v>210</v>
      </c>
    </row>
    <row r="159" spans="1:3" x14ac:dyDescent="0.25">
      <c r="A159" t="s">
        <v>537</v>
      </c>
      <c r="B159" t="str">
        <f t="shared" si="2"/>
        <v/>
      </c>
      <c r="C159" t="s">
        <v>98</v>
      </c>
    </row>
    <row r="160" spans="1:3" x14ac:dyDescent="0.25">
      <c r="A160" t="s">
        <v>537</v>
      </c>
      <c r="B160" t="str">
        <f t="shared" si="2"/>
        <v/>
      </c>
      <c r="C160" t="s">
        <v>36</v>
      </c>
    </row>
    <row r="161" spans="1:3" x14ac:dyDescent="0.25">
      <c r="A161" t="s">
        <v>537</v>
      </c>
      <c r="B161" t="str">
        <f t="shared" si="2"/>
        <v/>
      </c>
      <c r="C161" t="s">
        <v>312</v>
      </c>
    </row>
    <row r="162" spans="1:3" x14ac:dyDescent="0.25">
      <c r="A162" t="s">
        <v>537</v>
      </c>
      <c r="B162" t="str">
        <f t="shared" si="2"/>
        <v/>
      </c>
      <c r="C162" t="s">
        <v>220</v>
      </c>
    </row>
    <row r="163" spans="1:3" x14ac:dyDescent="0.25">
      <c r="A163" t="s">
        <v>537</v>
      </c>
      <c r="B163" t="str">
        <f t="shared" si="2"/>
        <v/>
      </c>
      <c r="C163" t="s">
        <v>408</v>
      </c>
    </row>
    <row r="164" spans="1:3" x14ac:dyDescent="0.25">
      <c r="A164" t="s">
        <v>537</v>
      </c>
      <c r="B164" t="str">
        <f t="shared" si="2"/>
        <v/>
      </c>
      <c r="C164" t="s">
        <v>313</v>
      </c>
    </row>
    <row r="165" spans="1:3" x14ac:dyDescent="0.25">
      <c r="A165" t="s">
        <v>537</v>
      </c>
      <c r="B165" t="str">
        <f t="shared" si="2"/>
        <v/>
      </c>
      <c r="C165" t="s">
        <v>198</v>
      </c>
    </row>
    <row r="166" spans="1:3" x14ac:dyDescent="0.25">
      <c r="A166" t="s">
        <v>537</v>
      </c>
      <c r="B166" t="str">
        <f t="shared" si="2"/>
        <v/>
      </c>
      <c r="C166" t="s">
        <v>83</v>
      </c>
    </row>
    <row r="167" spans="1:3" x14ac:dyDescent="0.25">
      <c r="A167" t="s">
        <v>537</v>
      </c>
      <c r="B167" t="str">
        <f t="shared" si="2"/>
        <v/>
      </c>
      <c r="C167" t="s">
        <v>409</v>
      </c>
    </row>
    <row r="168" spans="1:3" x14ac:dyDescent="0.25">
      <c r="A168" t="s">
        <v>537</v>
      </c>
      <c r="B168" t="str">
        <f t="shared" si="2"/>
        <v/>
      </c>
      <c r="C168" t="s">
        <v>229</v>
      </c>
    </row>
  </sheetData>
  <sortState xmlns:xlrd2="http://schemas.microsoft.com/office/spreadsheetml/2017/richdata2" ref="I3:I137">
    <sortCondition ref="I3:I137"/>
  </sortState>
  <mergeCells count="4">
    <mergeCell ref="U37:AC37"/>
    <mergeCell ref="AE37:AM37"/>
    <mergeCell ref="AP37:AX37"/>
    <mergeCell ref="A1:C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140"/>
  <sheetViews>
    <sheetView tabSelected="1" zoomScaleNormal="100" workbookViewId="0">
      <pane ySplit="4" topLeftCell="A5" activePane="bottomLeft" state="frozen"/>
      <selection pane="bottomLeft" activeCell="A5" sqref="A5"/>
    </sheetView>
  </sheetViews>
  <sheetFormatPr defaultColWidth="9.140625" defaultRowHeight="15" x14ac:dyDescent="0.25"/>
  <cols>
    <col min="1" max="1" width="23.5703125" bestFit="1" customWidth="1"/>
    <col min="2" max="2" width="7.7109375" bestFit="1" customWidth="1"/>
    <col min="3" max="3" width="6.28515625" bestFit="1" customWidth="1"/>
    <col min="4" max="4" width="11.140625" bestFit="1" customWidth="1"/>
    <col min="5" max="5" width="12.28515625" bestFit="1" customWidth="1"/>
    <col min="6" max="6" width="6.7109375" bestFit="1" customWidth="1"/>
    <col min="7" max="7" width="3" bestFit="1" customWidth="1"/>
    <col min="8" max="8" width="7.85546875" bestFit="1" customWidth="1"/>
    <col min="9" max="9" width="7.85546875" customWidth="1"/>
    <col min="10" max="10" width="12.85546875" customWidth="1"/>
    <col min="11" max="11" width="6.140625" bestFit="1" customWidth="1"/>
    <col min="12" max="12" width="6.140625" customWidth="1"/>
    <col min="13" max="13" width="10" bestFit="1" customWidth="1"/>
    <col min="14" max="15" width="10" customWidth="1"/>
    <col min="16" max="16" width="9.5703125" bestFit="1" customWidth="1"/>
    <col min="17" max="17" width="12.42578125" customWidth="1"/>
    <col min="18" max="18" width="61" bestFit="1" customWidth="1"/>
    <col min="19" max="19" width="76.140625" bestFit="1" customWidth="1"/>
    <col min="20" max="29" width="9.140625" customWidth="1"/>
  </cols>
  <sheetData>
    <row r="1" spans="1:19" x14ac:dyDescent="0.25">
      <c r="A1" t="s">
        <v>871</v>
      </c>
      <c r="B1" t="str">
        <f ca="1">CELL("address",$A$6)</f>
        <v>$A$6</v>
      </c>
    </row>
    <row r="2" spans="1:19" x14ac:dyDescent="0.25">
      <c r="A2" s="47" t="s">
        <v>751</v>
      </c>
      <c r="B2" s="47"/>
      <c r="C2" s="47"/>
      <c r="D2" s="47"/>
      <c r="E2" s="47"/>
      <c r="F2" s="47"/>
      <c r="G2" s="47"/>
      <c r="H2" s="47"/>
      <c r="I2" s="47"/>
      <c r="J2" s="47"/>
      <c r="K2" s="47"/>
      <c r="L2" s="3"/>
      <c r="M2" s="3"/>
      <c r="N2" s="3"/>
      <c r="O2" s="3"/>
      <c r="P2" s="8"/>
      <c r="Q2" t="s">
        <v>770</v>
      </c>
    </row>
    <row r="3" spans="1:19" x14ac:dyDescent="0.25">
      <c r="D3" s="47" t="s">
        <v>446</v>
      </c>
      <c r="E3" s="47"/>
      <c r="F3" s="3" t="s">
        <v>447</v>
      </c>
      <c r="G3" s="47" t="s">
        <v>563</v>
      </c>
      <c r="H3" s="47"/>
      <c r="I3" s="47"/>
      <c r="J3" s="47"/>
      <c r="K3" t="s">
        <v>608</v>
      </c>
      <c r="L3" t="s">
        <v>854</v>
      </c>
      <c r="M3" s="3" t="s">
        <v>853</v>
      </c>
      <c r="N3" s="3" t="s">
        <v>958</v>
      </c>
      <c r="O3" s="3" t="s">
        <v>958</v>
      </c>
      <c r="P3" s="9"/>
      <c r="Q3" t="s">
        <v>772</v>
      </c>
      <c r="S3" t="s">
        <v>746</v>
      </c>
    </row>
    <row r="4" spans="1:19" x14ac:dyDescent="0.25">
      <c r="A4" t="s">
        <v>586</v>
      </c>
      <c r="B4" t="s">
        <v>585</v>
      </c>
      <c r="D4" s="3" t="s">
        <v>582</v>
      </c>
      <c r="E4" s="3" t="s">
        <v>583</v>
      </c>
      <c r="F4" s="3" t="s">
        <v>582</v>
      </c>
      <c r="G4" s="3" t="s">
        <v>605</v>
      </c>
      <c r="H4" s="3" t="s">
        <v>607</v>
      </c>
      <c r="I4" s="3" t="s">
        <v>867</v>
      </c>
      <c r="J4" s="3" t="s">
        <v>606</v>
      </c>
      <c r="K4" s="3" t="s">
        <v>542</v>
      </c>
      <c r="L4" t="s">
        <v>852</v>
      </c>
      <c r="M4" s="3" t="s">
        <v>854</v>
      </c>
      <c r="N4" s="3" t="s">
        <v>854</v>
      </c>
      <c r="O4" s="3" t="s">
        <v>447</v>
      </c>
      <c r="P4" s="10"/>
      <c r="Q4" t="s">
        <v>771</v>
      </c>
      <c r="S4" t="s">
        <v>1018</v>
      </c>
    </row>
    <row r="5" spans="1:19" x14ac:dyDescent="0.25">
      <c r="B5" s="47" t="s">
        <v>752</v>
      </c>
      <c r="C5" s="47"/>
      <c r="D5">
        <f>MemoryMap!C31</f>
        <v>0</v>
      </c>
      <c r="E5" t="str">
        <f t="shared" ref="E5:E30" si="0">"0x"&amp;DEC2HEX(D5,8)</f>
        <v>0x00000000</v>
      </c>
      <c r="P5" s="11"/>
      <c r="Q5" t="s">
        <v>769</v>
      </c>
    </row>
    <row r="6" spans="1:19" x14ac:dyDescent="0.25">
      <c r="A6" s="13" t="s">
        <v>969</v>
      </c>
      <c r="B6" s="13" t="s">
        <v>518</v>
      </c>
      <c r="C6" s="3" t="s">
        <v>604</v>
      </c>
      <c r="D6">
        <f>IF(L6=0,D5+F5+MAX(H5:I5)+IF(MOD(D5+F5+MAX(H5:I5),K6)=0,0,K6-MOD(D5+F5+MAX(H5:I5),K6)),M6)</f>
        <v>0</v>
      </c>
      <c r="E6" t="str">
        <f t="shared" si="0"/>
        <v>0x00000000</v>
      </c>
      <c r="F6">
        <f t="shared" ref="F6:F39" ca="1" si="1">VLOOKUP(A6&amp;"_end",INDIRECT("'"&amp;P6&amp;"'!"&amp;Q6),5,FALSE)</f>
        <v>16384</v>
      </c>
      <c r="G6" s="12">
        <v>0</v>
      </c>
      <c r="H6">
        <f t="shared" ref="H6:H39" ca="1" si="2">VLOOKUP(A6&amp;"_end",INDIRECT("'"&amp;P6&amp;"'!"&amp;Q6),6,FALSE)</f>
        <v>0</v>
      </c>
      <c r="I6" s="12">
        <v>0</v>
      </c>
      <c r="J6">
        <f t="shared" ref="J6:J39" ca="1" si="3">D7-D6-F6</f>
        <v>0</v>
      </c>
      <c r="K6" s="12">
        <v>4</v>
      </c>
      <c r="L6" s="12">
        <v>1</v>
      </c>
      <c r="M6" s="13">
        <v>0</v>
      </c>
      <c r="N6" s="13">
        <v>0</v>
      </c>
      <c r="O6" s="13">
        <v>16384</v>
      </c>
      <c r="P6" t="s">
        <v>791</v>
      </c>
      <c r="Q6" t="str">
        <f t="shared" ref="Q6" ca="1" si="4">VLOOKUP("_start",INDIRECT("'"&amp;P6&amp;"'!$A$1:$B$2313"),2,FALSE)&amp;":"&amp;VLOOKUP("_end",INDIRECT("'"&amp;P6&amp;"'!$A$1:$B$2313"),2,FALSE)</f>
        <v>$B$5:$J$232</v>
      </c>
      <c r="R6" s="4" t="str">
        <f ca="1">IF(MAX(F6,I6)=0,"//","")&amp;VLOOKUP(A6,INDIRECT("'"&amp;P6&amp;"'!"&amp;Q6),9,FALSE)</f>
        <v>define symbol APP_BOOT_CONST   = 0x00000000;</v>
      </c>
      <c r="S6" t="s">
        <v>1019</v>
      </c>
    </row>
    <row r="7" spans="1:19" x14ac:dyDescent="0.25">
      <c r="A7" s="13" t="s">
        <v>967</v>
      </c>
      <c r="B7" s="13" t="s">
        <v>12</v>
      </c>
      <c r="C7" s="3" t="s">
        <v>604</v>
      </c>
      <c r="D7">
        <f>calcStartAddress(D7)</f>
        <v>16384</v>
      </c>
      <c r="E7" t="str">
        <f t="shared" si="0"/>
        <v>0x00004000</v>
      </c>
      <c r="F7">
        <f t="shared" ca="1" si="1"/>
        <v>1024</v>
      </c>
      <c r="G7" s="12">
        <v>0</v>
      </c>
      <c r="H7">
        <f t="shared" ca="1" si="2"/>
        <v>0</v>
      </c>
      <c r="I7" s="12">
        <v>0</v>
      </c>
      <c r="J7">
        <f t="shared" ca="1" si="3"/>
        <v>0</v>
      </c>
      <c r="K7" s="12">
        <v>4</v>
      </c>
      <c r="L7" s="12">
        <v>1</v>
      </c>
      <c r="M7" s="13">
        <v>16384</v>
      </c>
      <c r="N7" s="13">
        <v>16384</v>
      </c>
      <c r="O7" s="13">
        <v>1024</v>
      </c>
      <c r="P7" t="s">
        <v>795</v>
      </c>
      <c r="Q7" t="str">
        <f t="shared" ref="Q7:Q31" ca="1" si="5">VLOOKUP("_start",INDIRECT("'"&amp;P7&amp;"'!$A$1:$B$2313"),2,FALSE)&amp;":"&amp;VLOOKUP("_end",INDIRECT("'"&amp;P7&amp;"'!$A$1:$B$2313"),2,FALSE)</f>
        <v>$B$5:$J$41</v>
      </c>
      <c r="R7" s="4" t="str">
        <f ca="1">IF(MAX(F7,I7)=0,"//","")&amp;VLOOKUP(A7,INDIRECT("'"&amp;P7&amp;"'!"&amp;Q7),9,FALSE)</f>
        <v>define symbol BSP_VECT_CONST        = 0x00004000;</v>
      </c>
    </row>
    <row r="8" spans="1:19" x14ac:dyDescent="0.25">
      <c r="A8" s="13" t="s">
        <v>698</v>
      </c>
      <c r="B8" s="13" t="s">
        <v>34</v>
      </c>
      <c r="C8" s="13" t="s">
        <v>609</v>
      </c>
      <c r="D8">
        <f t="shared" ref="D8:D71" ca="1" si="6">calcStartAddress(D8)</f>
        <v>17408</v>
      </c>
      <c r="E8" t="str">
        <f t="shared" ca="1" si="0"/>
        <v>0x00004400</v>
      </c>
      <c r="F8">
        <f t="shared" ca="1" si="1"/>
        <v>0</v>
      </c>
      <c r="G8" s="12">
        <v>0</v>
      </c>
      <c r="H8">
        <f t="shared" ca="1" si="2"/>
        <v>0</v>
      </c>
      <c r="I8" s="12">
        <v>0</v>
      </c>
      <c r="J8">
        <f t="shared" ca="1" si="3"/>
        <v>0</v>
      </c>
      <c r="K8" s="12">
        <v>4</v>
      </c>
      <c r="L8" s="12">
        <v>0</v>
      </c>
      <c r="M8" s="13">
        <v>17408</v>
      </c>
      <c r="N8" s="13">
        <v>17408</v>
      </c>
      <c r="O8" s="13">
        <v>0</v>
      </c>
      <c r="P8" t="s">
        <v>792</v>
      </c>
      <c r="Q8" t="str">
        <f t="shared" ca="1" si="5"/>
        <v>$B$5:$J$41</v>
      </c>
      <c r="R8" s="4" t="str">
        <f ca="1">IF(MAX(F8,I8)=0,"//","")&amp;VLOOKUP(A8,INDIRECT("'"&amp;P8&amp;"'!"&amp;Q8),9,FALSE)</f>
        <v>//define symbol dl7M_tln_DINIT        = 0x00004400;</v>
      </c>
    </row>
    <row r="9" spans="1:19" x14ac:dyDescent="0.25">
      <c r="A9" s="13" t="s">
        <v>686</v>
      </c>
      <c r="B9" s="13" t="s">
        <v>34</v>
      </c>
      <c r="C9" s="13" t="s">
        <v>604</v>
      </c>
      <c r="D9">
        <f t="shared" ca="1" si="6"/>
        <v>17408</v>
      </c>
      <c r="E9" t="str">
        <f t="shared" ca="1" si="0"/>
        <v>0x00004400</v>
      </c>
      <c r="F9">
        <f t="shared" ca="1" si="1"/>
        <v>0</v>
      </c>
      <c r="G9" s="12">
        <v>0</v>
      </c>
      <c r="H9">
        <f t="shared" ca="1" si="2"/>
        <v>0</v>
      </c>
      <c r="I9" s="12">
        <v>0</v>
      </c>
      <c r="J9">
        <f t="shared" ca="1" si="3"/>
        <v>0</v>
      </c>
      <c r="K9" s="12">
        <v>4</v>
      </c>
      <c r="L9" s="12">
        <v>0</v>
      </c>
      <c r="M9" s="13">
        <v>17408</v>
      </c>
      <c r="N9" s="13">
        <v>17408</v>
      </c>
      <c r="O9" s="13">
        <v>0</v>
      </c>
      <c r="P9" t="s">
        <v>795</v>
      </c>
      <c r="Q9" t="str">
        <f t="shared" ca="1" si="5"/>
        <v>$B$5:$J$41</v>
      </c>
      <c r="R9" s="4" t="str">
        <f ca="1">IF(MAX(F9,I9)=0,"//","")&amp;VLOOKUP(A9,INDIRECT("'"&amp;P9&amp;"'!"&amp;Q9),9,FALSE)</f>
        <v>//define symbol dl7M_tln_CONST        = 0x00004400;</v>
      </c>
    </row>
    <row r="10" spans="1:19" x14ac:dyDescent="0.25">
      <c r="A10" s="13" t="s">
        <v>672</v>
      </c>
      <c r="B10" s="13" t="s">
        <v>34</v>
      </c>
      <c r="C10" s="13" t="s">
        <v>0</v>
      </c>
      <c r="D10">
        <f t="shared" ca="1" si="6"/>
        <v>17408</v>
      </c>
      <c r="E10" t="str">
        <f t="shared" ca="1" si="0"/>
        <v>0x00004400</v>
      </c>
      <c r="F10">
        <f t="shared" ca="1" si="1"/>
        <v>9422</v>
      </c>
      <c r="G10" s="12">
        <v>1</v>
      </c>
      <c r="H10">
        <f t="shared" ca="1" si="2"/>
        <v>94</v>
      </c>
      <c r="I10" s="12">
        <v>2000</v>
      </c>
      <c r="J10">
        <f t="shared" ca="1" si="3"/>
        <v>2002</v>
      </c>
      <c r="K10" s="12">
        <v>16</v>
      </c>
      <c r="L10" s="12">
        <v>0</v>
      </c>
      <c r="M10" s="13">
        <v>17408</v>
      </c>
      <c r="N10" s="13">
        <v>17408</v>
      </c>
      <c r="O10" s="13">
        <v>9410</v>
      </c>
      <c r="P10" t="s">
        <v>794</v>
      </c>
      <c r="Q10" t="str">
        <f t="shared" ca="1" si="5"/>
        <v>$B$5:$J$45</v>
      </c>
      <c r="R10" s="4" t="str">
        <f t="shared" ref="R10:R19" ca="1" si="7">IF(MAX(F10,I10)=0,"//","")&amp;VLOOKUP(A10,INDIRECT("'"&amp;P10&amp;"'!"&amp;Q10),9,FALSE)</f>
        <v>define symbol dl7M_tln_TEXT        = 0x00004400;</v>
      </c>
    </row>
    <row r="11" spans="1:19" x14ac:dyDescent="0.25">
      <c r="A11" s="13" t="s">
        <v>699</v>
      </c>
      <c r="B11" s="13" t="s">
        <v>3</v>
      </c>
      <c r="C11" s="13" t="s">
        <v>609</v>
      </c>
      <c r="D11">
        <f t="shared" ca="1" si="6"/>
        <v>28832</v>
      </c>
      <c r="E11" t="str">
        <f t="shared" ca="1" si="0"/>
        <v>0x000070A0</v>
      </c>
      <c r="F11">
        <f t="shared" ca="1" si="1"/>
        <v>0</v>
      </c>
      <c r="G11" s="12">
        <v>0</v>
      </c>
      <c r="H11">
        <f t="shared" ca="1" si="2"/>
        <v>0</v>
      </c>
      <c r="I11" s="12">
        <v>0</v>
      </c>
      <c r="J11">
        <f t="shared" ca="1" si="3"/>
        <v>0</v>
      </c>
      <c r="K11" s="12">
        <v>4</v>
      </c>
      <c r="L11" s="12">
        <v>0</v>
      </c>
      <c r="M11" s="13">
        <v>26912</v>
      </c>
      <c r="N11" s="13">
        <v>26912</v>
      </c>
      <c r="O11" s="13">
        <v>0</v>
      </c>
      <c r="P11" t="s">
        <v>792</v>
      </c>
      <c r="Q11" t="str">
        <f t="shared" ca="1" si="5"/>
        <v>$B$5:$J$41</v>
      </c>
      <c r="R11" s="4" t="str">
        <f t="shared" ca="1" si="7"/>
        <v>//define symbol m7M_tls_DINIT         = 0x000070A0;</v>
      </c>
    </row>
    <row r="12" spans="1:19" x14ac:dyDescent="0.25">
      <c r="A12" s="13" t="s">
        <v>687</v>
      </c>
      <c r="B12" s="13" t="s">
        <v>3</v>
      </c>
      <c r="C12" s="13" t="s">
        <v>604</v>
      </c>
      <c r="D12">
        <f t="shared" ca="1" si="6"/>
        <v>28832</v>
      </c>
      <c r="E12" t="str">
        <f t="shared" ca="1" si="0"/>
        <v>0x000070A0</v>
      </c>
      <c r="F12">
        <f t="shared" ca="1" si="1"/>
        <v>0</v>
      </c>
      <c r="G12" s="12">
        <v>0</v>
      </c>
      <c r="H12">
        <f t="shared" ca="1" si="2"/>
        <v>0</v>
      </c>
      <c r="I12" s="12">
        <v>0</v>
      </c>
      <c r="J12">
        <f t="shared" ca="1" si="3"/>
        <v>0</v>
      </c>
      <c r="K12" s="12">
        <v>4</v>
      </c>
      <c r="L12" s="12">
        <v>0</v>
      </c>
      <c r="M12" s="13">
        <v>26912</v>
      </c>
      <c r="N12" s="13">
        <v>26912</v>
      </c>
      <c r="O12" s="13">
        <v>0</v>
      </c>
      <c r="P12" t="s">
        <v>795</v>
      </c>
      <c r="Q12" t="str">
        <f t="shared" ca="1" si="5"/>
        <v>$B$5:$J$41</v>
      </c>
      <c r="R12" s="4" t="str">
        <f t="shared" ca="1" si="7"/>
        <v>//define symbol m7M_tls_CONST         = 0x000070A0;</v>
      </c>
    </row>
    <row r="13" spans="1:19" x14ac:dyDescent="0.25">
      <c r="A13" s="13" t="s">
        <v>679</v>
      </c>
      <c r="B13" s="13" t="s">
        <v>3</v>
      </c>
      <c r="C13" s="13" t="s">
        <v>0</v>
      </c>
      <c r="D13">
        <f t="shared" ca="1" si="6"/>
        <v>28832</v>
      </c>
      <c r="E13" t="str">
        <f t="shared" ca="1" si="0"/>
        <v>0x000070A0</v>
      </c>
      <c r="F13">
        <f t="shared" ca="1" si="1"/>
        <v>11298</v>
      </c>
      <c r="G13" s="12">
        <v>1</v>
      </c>
      <c r="H13">
        <f t="shared" ca="1" si="2"/>
        <v>112</v>
      </c>
      <c r="I13" s="12">
        <v>0</v>
      </c>
      <c r="J13">
        <f t="shared" ca="1" si="3"/>
        <v>126</v>
      </c>
      <c r="K13" s="12">
        <v>16</v>
      </c>
      <c r="L13" s="12">
        <v>0</v>
      </c>
      <c r="M13" s="13">
        <v>26912</v>
      </c>
      <c r="N13" s="13">
        <v>26912</v>
      </c>
      <c r="O13" s="13">
        <v>9950</v>
      </c>
      <c r="P13" t="s">
        <v>794</v>
      </c>
      <c r="Q13" t="str">
        <f t="shared" ca="1" si="5"/>
        <v>$B$5:$J$45</v>
      </c>
      <c r="R13" s="4" t="str">
        <f t="shared" ca="1" si="7"/>
        <v>define symbol m7M_tls_TEXT         = 0x000070A0;</v>
      </c>
    </row>
    <row r="14" spans="1:19" x14ac:dyDescent="0.25">
      <c r="A14" s="13" t="s">
        <v>700</v>
      </c>
      <c r="B14" s="13" t="s">
        <v>174</v>
      </c>
      <c r="C14" s="13" t="s">
        <v>609</v>
      </c>
      <c r="D14">
        <f t="shared" ca="1" si="6"/>
        <v>40256</v>
      </c>
      <c r="E14" t="str">
        <f t="shared" ca="1" si="0"/>
        <v>0x00009D40</v>
      </c>
      <c r="F14">
        <f t="shared" ca="1" si="1"/>
        <v>0</v>
      </c>
      <c r="G14" s="12">
        <v>0</v>
      </c>
      <c r="H14">
        <f t="shared" ca="1" si="2"/>
        <v>0</v>
      </c>
      <c r="I14" s="12">
        <v>0</v>
      </c>
      <c r="J14">
        <f t="shared" ca="1" si="3"/>
        <v>0</v>
      </c>
      <c r="K14" s="12">
        <v>4</v>
      </c>
      <c r="L14" s="12">
        <v>0</v>
      </c>
      <c r="M14" s="13">
        <v>36976</v>
      </c>
      <c r="N14" s="13">
        <v>36976</v>
      </c>
      <c r="O14" s="13">
        <v>0</v>
      </c>
      <c r="P14" t="s">
        <v>792</v>
      </c>
      <c r="Q14" t="str">
        <f t="shared" ca="1" si="5"/>
        <v>$B$5:$J$41</v>
      </c>
      <c r="R14" s="4" t="str">
        <f t="shared" ca="1" si="7"/>
        <v>//define symbol rt7M_tl_DINIT         = 0x00009D40;</v>
      </c>
    </row>
    <row r="15" spans="1:19" x14ac:dyDescent="0.25">
      <c r="A15" s="13" t="s">
        <v>688</v>
      </c>
      <c r="B15" s="13" t="s">
        <v>174</v>
      </c>
      <c r="C15" s="13" t="s">
        <v>604</v>
      </c>
      <c r="D15">
        <f t="shared" ca="1" si="6"/>
        <v>40256</v>
      </c>
      <c r="E15" t="str">
        <f t="shared" ca="1" si="0"/>
        <v>0x00009D40</v>
      </c>
      <c r="F15">
        <f t="shared" ca="1" si="1"/>
        <v>0</v>
      </c>
      <c r="G15" s="12">
        <v>0</v>
      </c>
      <c r="H15">
        <f t="shared" ca="1" si="2"/>
        <v>0</v>
      </c>
      <c r="I15" s="12">
        <v>4</v>
      </c>
      <c r="J15">
        <f t="shared" ca="1" si="3"/>
        <v>16</v>
      </c>
      <c r="K15" s="12">
        <v>4</v>
      </c>
      <c r="L15" s="12">
        <v>0</v>
      </c>
      <c r="M15" s="13">
        <v>36976</v>
      </c>
      <c r="N15" s="13">
        <v>36976</v>
      </c>
      <c r="O15" s="13">
        <v>0</v>
      </c>
      <c r="P15" t="s">
        <v>795</v>
      </c>
      <c r="Q15" t="str">
        <f t="shared" ca="1" si="5"/>
        <v>$B$5:$J$41</v>
      </c>
      <c r="R15" s="4" t="str">
        <f t="shared" ca="1" si="7"/>
        <v>define symbol rt7M_tl_CONST         = 0x00009D40;</v>
      </c>
    </row>
    <row r="16" spans="1:19" x14ac:dyDescent="0.25">
      <c r="A16" s="13" t="s">
        <v>680</v>
      </c>
      <c r="B16" s="13" t="s">
        <v>174</v>
      </c>
      <c r="C16" s="13" t="s">
        <v>0</v>
      </c>
      <c r="D16">
        <f t="shared" ca="1" si="6"/>
        <v>40272</v>
      </c>
      <c r="E16" t="str">
        <f t="shared" ca="1" si="0"/>
        <v>0x00009D50</v>
      </c>
      <c r="F16">
        <f t="shared" ca="1" si="1"/>
        <v>1598</v>
      </c>
      <c r="G16" s="12">
        <v>0</v>
      </c>
      <c r="H16">
        <f t="shared" ca="1" si="2"/>
        <v>0</v>
      </c>
      <c r="I16" s="12">
        <v>32</v>
      </c>
      <c r="J16">
        <f t="shared" ca="1" si="3"/>
        <v>34</v>
      </c>
      <c r="K16" s="12">
        <v>16</v>
      </c>
      <c r="L16" s="12">
        <v>0</v>
      </c>
      <c r="M16" s="13">
        <v>36992</v>
      </c>
      <c r="N16" s="13">
        <v>36992</v>
      </c>
      <c r="O16" s="13">
        <v>1616</v>
      </c>
      <c r="P16" t="s">
        <v>794</v>
      </c>
      <c r="Q16" t="str">
        <f t="shared" ca="1" si="5"/>
        <v>$B$5:$J$45</v>
      </c>
      <c r="R16" s="4" t="str">
        <f t="shared" ca="1" si="7"/>
        <v>define symbol rt7M_tl_TEXT         = 0x00009D50;</v>
      </c>
    </row>
    <row r="17" spans="1:19" x14ac:dyDescent="0.25">
      <c r="A17" s="13" t="s">
        <v>701</v>
      </c>
      <c r="B17" s="13" t="s">
        <v>241</v>
      </c>
      <c r="C17" s="13" t="s">
        <v>609</v>
      </c>
      <c r="D17">
        <f t="shared" ca="1" si="6"/>
        <v>41904</v>
      </c>
      <c r="E17" t="str">
        <f t="shared" ca="1" si="0"/>
        <v>0x0000A3B0</v>
      </c>
      <c r="F17">
        <f t="shared" ca="1" si="1"/>
        <v>0</v>
      </c>
      <c r="G17" s="12">
        <v>0</v>
      </c>
      <c r="H17">
        <f t="shared" ca="1" si="2"/>
        <v>0</v>
      </c>
      <c r="I17" s="12">
        <v>0</v>
      </c>
      <c r="J17">
        <f t="shared" ca="1" si="3"/>
        <v>0</v>
      </c>
      <c r="K17" s="12">
        <v>4</v>
      </c>
      <c r="L17" s="12">
        <v>0</v>
      </c>
      <c r="M17" s="13">
        <v>38640</v>
      </c>
      <c r="N17" s="13">
        <v>38640</v>
      </c>
      <c r="O17" s="13">
        <v>0</v>
      </c>
      <c r="P17" t="s">
        <v>792</v>
      </c>
      <c r="Q17" t="str">
        <f t="shared" ca="1" si="5"/>
        <v>$B$5:$J$41</v>
      </c>
      <c r="R17" s="4" t="str">
        <f t="shared" ca="1" si="7"/>
        <v>//define symbol shb_l_DINIT           = 0x0000A3B0;</v>
      </c>
    </row>
    <row r="18" spans="1:19" x14ac:dyDescent="0.25">
      <c r="A18" s="13" t="s">
        <v>689</v>
      </c>
      <c r="B18" s="13" t="s">
        <v>241</v>
      </c>
      <c r="C18" s="13" t="s">
        <v>604</v>
      </c>
      <c r="D18">
        <f t="shared" ca="1" si="6"/>
        <v>41904</v>
      </c>
      <c r="E18" t="str">
        <f t="shared" ca="1" si="0"/>
        <v>0x0000A3B0</v>
      </c>
      <c r="F18">
        <f t="shared" ca="1" si="1"/>
        <v>0</v>
      </c>
      <c r="G18" s="12">
        <v>0</v>
      </c>
      <c r="H18">
        <f t="shared" ca="1" si="2"/>
        <v>0</v>
      </c>
      <c r="I18" s="12">
        <v>0</v>
      </c>
      <c r="J18">
        <f t="shared" ca="1" si="3"/>
        <v>0</v>
      </c>
      <c r="K18" s="12">
        <v>4</v>
      </c>
      <c r="L18" s="12">
        <v>0</v>
      </c>
      <c r="M18" s="13">
        <v>38640</v>
      </c>
      <c r="N18" s="13">
        <v>38640</v>
      </c>
      <c r="O18" s="13">
        <v>0</v>
      </c>
      <c r="P18" t="s">
        <v>795</v>
      </c>
      <c r="Q18" t="str">
        <f t="shared" ca="1" si="5"/>
        <v>$B$5:$J$41</v>
      </c>
      <c r="R18" s="4" t="str">
        <f t="shared" ca="1" si="7"/>
        <v>//define symbol shb_l_CONST           = 0x0000A3B0;</v>
      </c>
    </row>
    <row r="19" spans="1:19" x14ac:dyDescent="0.25">
      <c r="A19" s="13" t="s">
        <v>681</v>
      </c>
      <c r="B19" s="13" t="s">
        <v>241</v>
      </c>
      <c r="C19" s="13" t="s">
        <v>0</v>
      </c>
      <c r="D19">
        <f t="shared" ca="1" si="6"/>
        <v>41904</v>
      </c>
      <c r="E19" t="str">
        <f t="shared" ca="1" si="0"/>
        <v>0x0000A3B0</v>
      </c>
      <c r="F19">
        <f t="shared" ca="1" si="1"/>
        <v>56</v>
      </c>
      <c r="G19" s="12">
        <v>0</v>
      </c>
      <c r="H19">
        <f t="shared" ca="1" si="2"/>
        <v>0</v>
      </c>
      <c r="I19" s="12">
        <v>0</v>
      </c>
      <c r="J19">
        <f t="shared" ca="1" si="3"/>
        <v>8</v>
      </c>
      <c r="K19" s="12">
        <v>16</v>
      </c>
      <c r="L19" s="12">
        <v>0</v>
      </c>
      <c r="M19" s="13">
        <v>38640</v>
      </c>
      <c r="N19" s="13">
        <v>38640</v>
      </c>
      <c r="O19" s="13">
        <v>56</v>
      </c>
      <c r="P19" t="s">
        <v>794</v>
      </c>
      <c r="Q19" t="str">
        <f t="shared" ca="1" si="5"/>
        <v>$B$5:$J$45</v>
      </c>
      <c r="R19" s="4" t="str">
        <f t="shared" ca="1" si="7"/>
        <v>define symbol shb_l_TEXT           = 0x0000A3B0;</v>
      </c>
    </row>
    <row r="20" spans="1:19" x14ac:dyDescent="0.25">
      <c r="A20" s="13" t="s">
        <v>703</v>
      </c>
      <c r="B20" s="13" t="s">
        <v>15</v>
      </c>
      <c r="C20" s="13" t="s">
        <v>609</v>
      </c>
      <c r="D20">
        <f t="shared" ca="1" si="6"/>
        <v>41968</v>
      </c>
      <c r="E20" t="str">
        <f t="shared" ca="1" si="0"/>
        <v>0x0000A3F0</v>
      </c>
      <c r="F20">
        <f t="shared" ca="1" si="1"/>
        <v>6</v>
      </c>
      <c r="G20" s="12">
        <v>1</v>
      </c>
      <c r="H20">
        <f t="shared" ca="1" si="2"/>
        <v>0</v>
      </c>
      <c r="I20" s="12">
        <v>0</v>
      </c>
      <c r="J20">
        <f t="shared" ca="1" si="3"/>
        <v>2</v>
      </c>
      <c r="K20" s="12">
        <v>4</v>
      </c>
      <c r="L20" s="12">
        <v>0</v>
      </c>
      <c r="M20" s="13">
        <v>38704</v>
      </c>
      <c r="N20" s="13">
        <v>38704</v>
      </c>
      <c r="O20" s="13">
        <v>6</v>
      </c>
      <c r="P20" t="s">
        <v>792</v>
      </c>
      <c r="Q20" t="str">
        <f t="shared" ca="1" si="5"/>
        <v>$B$5:$J$41</v>
      </c>
      <c r="R20" s="4" t="str">
        <f ca="1">IF(MAX(F20,I20)=0,"//","")&amp;VLOOKUP(A20,INDIRECT("'"&amp;P20&amp;"'!"&amp;Q20),9,FALSE)</f>
        <v>define symbol PSP_DINIT             = 0x0000A3F0;</v>
      </c>
    </row>
    <row r="21" spans="1:19" x14ac:dyDescent="0.25">
      <c r="A21" s="13" t="s">
        <v>691</v>
      </c>
      <c r="B21" s="13" t="s">
        <v>15</v>
      </c>
      <c r="C21" s="13" t="s">
        <v>604</v>
      </c>
      <c r="D21">
        <f t="shared" ca="1" si="6"/>
        <v>41976</v>
      </c>
      <c r="E21" t="str">
        <f t="shared" ca="1" si="0"/>
        <v>0x0000A3F8</v>
      </c>
      <c r="F21">
        <f t="shared" ca="1" si="1"/>
        <v>92</v>
      </c>
      <c r="G21" s="12">
        <v>1</v>
      </c>
      <c r="H21">
        <f t="shared" ca="1" si="2"/>
        <v>0</v>
      </c>
      <c r="I21" s="12">
        <v>0</v>
      </c>
      <c r="J21">
        <f t="shared" ca="1" si="3"/>
        <v>12</v>
      </c>
      <c r="K21" s="12">
        <v>4</v>
      </c>
      <c r="L21" s="12">
        <v>0</v>
      </c>
      <c r="M21" s="13">
        <v>38712</v>
      </c>
      <c r="N21" s="13">
        <v>38712</v>
      </c>
      <c r="O21" s="13">
        <v>92</v>
      </c>
      <c r="P21" t="s">
        <v>795</v>
      </c>
      <c r="Q21" t="str">
        <f t="shared" ca="1" si="5"/>
        <v>$B$5:$J$41</v>
      </c>
      <c r="R21" s="4" t="str">
        <f t="shared" ref="R21:R71" ca="1" si="8">IF(MAX(F21,I21)=0,"//","")&amp;VLOOKUP(A21,INDIRECT("'"&amp;P21&amp;"'!"&amp;Q21),9,FALSE)</f>
        <v>define symbol PSP_CONST             = 0x0000A3F8;</v>
      </c>
    </row>
    <row r="22" spans="1:19" x14ac:dyDescent="0.25">
      <c r="A22" s="13" t="s">
        <v>683</v>
      </c>
      <c r="B22" s="13" t="s">
        <v>15</v>
      </c>
      <c r="C22" s="13" t="s">
        <v>0</v>
      </c>
      <c r="D22">
        <f t="shared" ca="1" si="6"/>
        <v>42080</v>
      </c>
      <c r="E22" t="str">
        <f t="shared" ca="1" si="0"/>
        <v>0x0000A460</v>
      </c>
      <c r="F22">
        <f t="shared" ca="1" si="1"/>
        <v>22926</v>
      </c>
      <c r="G22" s="12">
        <v>1</v>
      </c>
      <c r="H22">
        <f t="shared" ca="1" si="2"/>
        <v>229</v>
      </c>
      <c r="I22" s="12">
        <v>0</v>
      </c>
      <c r="J22">
        <f t="shared" ca="1" si="3"/>
        <v>258</v>
      </c>
      <c r="K22" s="12">
        <v>16</v>
      </c>
      <c r="L22" s="12">
        <v>0</v>
      </c>
      <c r="M22" s="13">
        <v>38816</v>
      </c>
      <c r="N22" s="13">
        <v>38816</v>
      </c>
      <c r="O22" s="13">
        <v>23370</v>
      </c>
      <c r="P22" t="s">
        <v>794</v>
      </c>
      <c r="Q22" t="str">
        <f t="shared" ca="1" si="5"/>
        <v>$B$5:$J$45</v>
      </c>
      <c r="R22" s="4" t="str">
        <f t="shared" ca="1" si="8"/>
        <v>define symbol PSP_TEXT             = 0x0000A460;</v>
      </c>
    </row>
    <row r="23" spans="1:19" x14ac:dyDescent="0.25">
      <c r="A23" s="13" t="s">
        <v>671</v>
      </c>
      <c r="B23" s="13" t="s">
        <v>15</v>
      </c>
      <c r="C23" s="13" t="s">
        <v>0</v>
      </c>
      <c r="D23">
        <f t="shared" ca="1" si="6"/>
        <v>65264</v>
      </c>
      <c r="E23" t="str">
        <f t="shared" ca="1" si="0"/>
        <v>0x0000FEF0</v>
      </c>
      <c r="F23">
        <f t="shared" ca="1" si="1"/>
        <v>832</v>
      </c>
      <c r="G23" s="12">
        <v>0</v>
      </c>
      <c r="H23">
        <f t="shared" ca="1" si="2"/>
        <v>0</v>
      </c>
      <c r="I23" s="12">
        <v>0</v>
      </c>
      <c r="J23">
        <f t="shared" ca="1" si="3"/>
        <v>0</v>
      </c>
      <c r="K23" s="12">
        <v>16</v>
      </c>
      <c r="L23" s="12">
        <v>0</v>
      </c>
      <c r="M23" s="13">
        <v>62448</v>
      </c>
      <c r="N23" s="13">
        <v>62448</v>
      </c>
      <c r="O23" s="13">
        <v>804</v>
      </c>
      <c r="P23" t="s">
        <v>794</v>
      </c>
      <c r="Q23" t="str">
        <f t="shared" ca="1" si="5"/>
        <v>$B$5:$J$45</v>
      </c>
      <c r="R23" s="4" t="str">
        <f t="shared" ca="1" si="8"/>
        <v>define symbol KERNEL_TEXT          = 0x0000FEF0;</v>
      </c>
      <c r="S23" t="s">
        <v>685</v>
      </c>
    </row>
    <row r="24" spans="1:19" x14ac:dyDescent="0.25">
      <c r="A24" s="13" t="s">
        <v>702</v>
      </c>
      <c r="B24" s="13" t="s">
        <v>12</v>
      </c>
      <c r="C24" s="13" t="s">
        <v>609</v>
      </c>
      <c r="D24">
        <f t="shared" ca="1" si="6"/>
        <v>66096</v>
      </c>
      <c r="E24" t="str">
        <f t="shared" ca="1" si="0"/>
        <v>0x00010230</v>
      </c>
      <c r="F24">
        <f t="shared" ca="1" si="1"/>
        <v>74</v>
      </c>
      <c r="G24" s="12">
        <v>1</v>
      </c>
      <c r="H24">
        <f t="shared" ca="1" si="2"/>
        <v>0</v>
      </c>
      <c r="I24" s="12">
        <v>0</v>
      </c>
      <c r="J24">
        <f t="shared" ca="1" si="3"/>
        <v>2</v>
      </c>
      <c r="K24" s="12">
        <v>4</v>
      </c>
      <c r="L24" s="12">
        <v>0</v>
      </c>
      <c r="M24" s="13">
        <v>63264</v>
      </c>
      <c r="N24" s="13">
        <v>63264</v>
      </c>
      <c r="O24" s="13">
        <v>94</v>
      </c>
      <c r="P24" t="s">
        <v>792</v>
      </c>
      <c r="Q24" t="str">
        <f t="shared" ca="1" si="5"/>
        <v>$B$5:$J$41</v>
      </c>
      <c r="R24" s="4" t="str">
        <f t="shared" ca="1" si="8"/>
        <v>define symbol BSP_DINIT             = 0x00010230;</v>
      </c>
    </row>
    <row r="25" spans="1:19" x14ac:dyDescent="0.25">
      <c r="A25" s="13" t="s">
        <v>690</v>
      </c>
      <c r="B25" s="13" t="s">
        <v>12</v>
      </c>
      <c r="C25" s="13" t="s">
        <v>604</v>
      </c>
      <c r="D25">
        <f t="shared" ca="1" si="6"/>
        <v>66172</v>
      </c>
      <c r="E25" t="str">
        <f t="shared" ca="1" si="0"/>
        <v>0x0001027C</v>
      </c>
      <c r="F25">
        <f t="shared" ca="1" si="1"/>
        <v>536</v>
      </c>
      <c r="G25" s="12">
        <v>1</v>
      </c>
      <c r="H25">
        <f t="shared" ca="1" si="2"/>
        <v>5</v>
      </c>
      <c r="I25" s="12">
        <v>0</v>
      </c>
      <c r="J25">
        <f t="shared" ca="1" si="3"/>
        <v>12</v>
      </c>
      <c r="K25" s="12">
        <v>4</v>
      </c>
      <c r="L25" s="12">
        <v>0</v>
      </c>
      <c r="M25" s="13">
        <v>63360</v>
      </c>
      <c r="N25" s="13">
        <v>63360</v>
      </c>
      <c r="O25" s="13">
        <v>536</v>
      </c>
      <c r="P25" t="s">
        <v>795</v>
      </c>
      <c r="Q25" t="str">
        <f t="shared" ca="1" si="5"/>
        <v>$B$5:$J$41</v>
      </c>
      <c r="R25" s="4" t="str">
        <f t="shared" ca="1" si="8"/>
        <v>define symbol BSP_CONST             = 0x0001027C;</v>
      </c>
    </row>
    <row r="26" spans="1:19" x14ac:dyDescent="0.25">
      <c r="A26" s="13" t="s">
        <v>682</v>
      </c>
      <c r="B26" s="13" t="s">
        <v>12</v>
      </c>
      <c r="C26" s="13" t="s">
        <v>0</v>
      </c>
      <c r="D26">
        <f t="shared" ca="1" si="6"/>
        <v>66720</v>
      </c>
      <c r="E26" t="str">
        <f t="shared" ca="1" si="0"/>
        <v>0x000104A0</v>
      </c>
      <c r="F26">
        <f t="shared" ca="1" si="1"/>
        <v>17808</v>
      </c>
      <c r="G26" s="12">
        <v>1</v>
      </c>
      <c r="H26">
        <f t="shared" ca="1" si="2"/>
        <v>178</v>
      </c>
      <c r="I26" s="12">
        <v>0</v>
      </c>
      <c r="J26">
        <f t="shared" ca="1" si="3"/>
        <v>192</v>
      </c>
      <c r="K26" s="12">
        <v>16</v>
      </c>
      <c r="L26" s="12">
        <v>0</v>
      </c>
      <c r="M26" s="13">
        <v>63904</v>
      </c>
      <c r="N26" s="13">
        <v>63904</v>
      </c>
      <c r="O26" s="13">
        <v>18146</v>
      </c>
      <c r="P26" t="s">
        <v>794</v>
      </c>
      <c r="Q26" t="str">
        <f t="shared" ca="1" si="5"/>
        <v>$B$5:$J$45</v>
      </c>
      <c r="R26" s="4" t="str">
        <f t="shared" ca="1" si="8"/>
        <v>define symbol BSP_TEXT             = 0x000104A0;</v>
      </c>
    </row>
    <row r="27" spans="1:19" x14ac:dyDescent="0.25">
      <c r="A27" s="13" t="s">
        <v>778</v>
      </c>
      <c r="B27" s="13" t="s">
        <v>950</v>
      </c>
      <c r="C27" s="13" t="s">
        <v>609</v>
      </c>
      <c r="D27">
        <f t="shared" ca="1" si="6"/>
        <v>84720</v>
      </c>
      <c r="E27" t="str">
        <f t="shared" ca="1" si="0"/>
        <v>0x00014AF0</v>
      </c>
      <c r="F27">
        <f t="shared" ca="1" si="1"/>
        <v>2</v>
      </c>
      <c r="G27" s="12">
        <v>1</v>
      </c>
      <c r="H27">
        <f t="shared" ca="1" si="2"/>
        <v>0</v>
      </c>
      <c r="I27" s="12">
        <v>0</v>
      </c>
      <c r="J27">
        <f t="shared" ca="1" si="3"/>
        <v>6</v>
      </c>
      <c r="K27" s="12">
        <v>4</v>
      </c>
      <c r="L27" s="12">
        <v>0</v>
      </c>
      <c r="M27" s="13">
        <v>82240</v>
      </c>
      <c r="N27" s="13">
        <v>82240</v>
      </c>
      <c r="O27" s="13">
        <v>32</v>
      </c>
      <c r="P27" t="s">
        <v>792</v>
      </c>
      <c r="Q27" t="str">
        <f t="shared" ca="1" si="5"/>
        <v>$B$5:$J$41</v>
      </c>
      <c r="R27" s="4" t="str">
        <f t="shared" ca="1" si="8"/>
        <v>define symbol wolfSSL_Lib_MTU_DINIT = 0x00014AF0;</v>
      </c>
    </row>
    <row r="28" spans="1:19" x14ac:dyDescent="0.25">
      <c r="A28" s="13" t="s">
        <v>779</v>
      </c>
      <c r="B28" s="13" t="s">
        <v>950</v>
      </c>
      <c r="C28" s="13" t="s">
        <v>604</v>
      </c>
      <c r="D28">
        <f t="shared" ca="1" si="6"/>
        <v>84728</v>
      </c>
      <c r="E28" t="str">
        <f t="shared" ca="1" si="0"/>
        <v>0x00014AF8</v>
      </c>
      <c r="F28">
        <f t="shared" ca="1" si="1"/>
        <v>8260</v>
      </c>
      <c r="G28" s="12">
        <v>1</v>
      </c>
      <c r="H28">
        <f t="shared" ca="1" si="2"/>
        <v>82</v>
      </c>
      <c r="I28" s="12">
        <v>0</v>
      </c>
      <c r="J28">
        <f t="shared" ca="1" si="3"/>
        <v>84</v>
      </c>
      <c r="K28" s="12">
        <v>8</v>
      </c>
      <c r="L28" s="12">
        <v>0</v>
      </c>
      <c r="M28" s="13">
        <v>82272</v>
      </c>
      <c r="N28" s="13">
        <v>82272</v>
      </c>
      <c r="O28" s="13">
        <v>8632</v>
      </c>
      <c r="P28" t="s">
        <v>795</v>
      </c>
      <c r="Q28" t="str">
        <f t="shared" ca="1" si="5"/>
        <v>$B$5:$J$41</v>
      </c>
      <c r="R28" s="4" t="str">
        <f t="shared" ca="1" si="8"/>
        <v>define symbol wolfSSL_Lib_MTU_CONST = 0x00014AF8;</v>
      </c>
    </row>
    <row r="29" spans="1:19" x14ac:dyDescent="0.25">
      <c r="A29" s="13" t="s">
        <v>780</v>
      </c>
      <c r="B29" s="13" t="s">
        <v>950</v>
      </c>
      <c r="C29" s="13" t="s">
        <v>0</v>
      </c>
      <c r="D29">
        <f t="shared" ca="1" si="6"/>
        <v>93072</v>
      </c>
      <c r="E29" t="str">
        <f t="shared" ca="1" si="0"/>
        <v>0x00016B90</v>
      </c>
      <c r="F29">
        <f t="shared" ca="1" si="1"/>
        <v>118374</v>
      </c>
      <c r="G29" s="12">
        <v>1</v>
      </c>
      <c r="H29">
        <f t="shared" ca="1" si="2"/>
        <v>1183</v>
      </c>
      <c r="I29" s="12">
        <v>0</v>
      </c>
      <c r="J29">
        <f t="shared" ca="1" si="3"/>
        <v>1194</v>
      </c>
      <c r="K29" s="12">
        <v>16</v>
      </c>
      <c r="L29" s="12">
        <v>0</v>
      </c>
      <c r="M29" s="13">
        <v>90992</v>
      </c>
      <c r="N29" s="13">
        <v>90992</v>
      </c>
      <c r="O29" s="13">
        <v>79458</v>
      </c>
      <c r="P29" t="s">
        <v>794</v>
      </c>
      <c r="Q29" t="str">
        <f t="shared" ca="1" si="5"/>
        <v>$B$5:$J$45</v>
      </c>
      <c r="R29" s="4" t="str">
        <f t="shared" ca="1" si="8"/>
        <v>define symbol wolfSSL_Lib_MTU_TEXT = 0x00016B90;</v>
      </c>
    </row>
    <row r="30" spans="1:19" x14ac:dyDescent="0.25">
      <c r="A30" s="13" t="s">
        <v>777</v>
      </c>
      <c r="B30" s="13" t="s">
        <v>939</v>
      </c>
      <c r="C30" s="13" t="s">
        <v>609</v>
      </c>
      <c r="D30">
        <f t="shared" ca="1" si="6"/>
        <v>212640</v>
      </c>
      <c r="E30" t="str">
        <f t="shared" ca="1" si="0"/>
        <v>0x00033EA0</v>
      </c>
      <c r="F30">
        <f t="shared" ca="1" si="1"/>
        <v>896</v>
      </c>
      <c r="G30" s="12">
        <v>1</v>
      </c>
      <c r="H30">
        <f t="shared" ca="1" si="2"/>
        <v>8</v>
      </c>
      <c r="I30" s="12">
        <v>200</v>
      </c>
      <c r="J30">
        <f t="shared" ca="1" si="3"/>
        <v>200</v>
      </c>
      <c r="K30" s="12">
        <v>4</v>
      </c>
      <c r="L30" s="12">
        <v>0</v>
      </c>
      <c r="M30" s="13">
        <v>170464</v>
      </c>
      <c r="N30" s="13">
        <v>170464</v>
      </c>
      <c r="O30" s="13">
        <v>812</v>
      </c>
      <c r="P30" t="s">
        <v>849</v>
      </c>
      <c r="Q30" t="str">
        <f t="shared" ca="1" si="5"/>
        <v>$B$5:$J$6</v>
      </c>
      <c r="R30" s="4" t="str">
        <f t="shared" ca="1" si="8"/>
        <v>define symbol IAR_DINIT = 0x00033EA0;</v>
      </c>
      <c r="S30" t="s">
        <v>845</v>
      </c>
    </row>
    <row r="31" spans="1:19" x14ac:dyDescent="0.25">
      <c r="A31" s="13" t="s">
        <v>710</v>
      </c>
      <c r="B31" s="13" t="s">
        <v>34</v>
      </c>
      <c r="C31" s="13" t="s">
        <v>609</v>
      </c>
      <c r="D31">
        <f t="shared" ca="1" si="6"/>
        <v>213736</v>
      </c>
      <c r="E31" t="str">
        <f ca="1">"0x"&amp;DEC2HEX(D31,8)</f>
        <v>0x000342E8</v>
      </c>
      <c r="F31">
        <f t="shared" ca="1" si="1"/>
        <v>2</v>
      </c>
      <c r="G31" s="12">
        <v>1</v>
      </c>
      <c r="H31">
        <f t="shared" ca="1" si="2"/>
        <v>0</v>
      </c>
      <c r="I31" s="12">
        <v>0</v>
      </c>
      <c r="J31">
        <f t="shared" ca="1" si="3"/>
        <v>2</v>
      </c>
      <c r="K31" s="12">
        <v>4</v>
      </c>
      <c r="L31" s="12">
        <v>0</v>
      </c>
      <c r="M31" s="13">
        <v>171284</v>
      </c>
      <c r="N31" s="13">
        <v>171284</v>
      </c>
      <c r="O31" s="13">
        <v>2</v>
      </c>
      <c r="P31" t="s">
        <v>792</v>
      </c>
      <c r="Q31" t="str">
        <f t="shared" ca="1" si="5"/>
        <v>$B$5:$J$41</v>
      </c>
      <c r="R31" s="4" t="str">
        <f t="shared" ca="1" si="8"/>
        <v>define symbol DLIB_DINIT            = 0x000342E8;</v>
      </c>
      <c r="S31" t="s">
        <v>846</v>
      </c>
    </row>
    <row r="32" spans="1:19" x14ac:dyDescent="0.25">
      <c r="A32" s="13" t="s">
        <v>635</v>
      </c>
      <c r="B32" s="13" t="s">
        <v>37</v>
      </c>
      <c r="C32" s="13" t="s">
        <v>609</v>
      </c>
      <c r="D32">
        <f t="shared" ca="1" si="6"/>
        <v>213740</v>
      </c>
      <c r="E32" t="str">
        <f ca="1">"0x"&amp;DEC2HEX(D32,8)</f>
        <v>0x000342EC</v>
      </c>
      <c r="F32">
        <f t="shared" ca="1" si="1"/>
        <v>68</v>
      </c>
      <c r="G32" s="12">
        <v>1</v>
      </c>
      <c r="H32">
        <f t="shared" ca="1" si="2"/>
        <v>0</v>
      </c>
      <c r="I32" s="12">
        <v>0</v>
      </c>
      <c r="J32">
        <f t="shared" ca="1" si="3"/>
        <v>4</v>
      </c>
      <c r="K32" s="12">
        <v>4</v>
      </c>
      <c r="L32" s="12">
        <v>0</v>
      </c>
      <c r="M32" s="13">
        <v>171288</v>
      </c>
      <c r="N32" s="13">
        <v>171288</v>
      </c>
      <c r="O32" s="13">
        <v>68</v>
      </c>
      <c r="P32" t="s">
        <v>793</v>
      </c>
      <c r="Q32" t="str">
        <f t="shared" ref="Q32:Q71" ca="1" si="9">VLOOKUP("_start",INDIRECT("'"&amp;P32&amp;"'!$A$1:$B$2313"),2,FALSE)&amp;":"&amp;VLOOKUP("_end",INDIRECT("'"&amp;P32&amp;"'!$A$1:$B$2313"),2,FALSE)</f>
        <v>$B$5:$J$234</v>
      </c>
      <c r="R32" s="4" t="str">
        <f t="shared" ca="1" si="8"/>
        <v>define symbol utils_DINIT      = 0x000342EC;</v>
      </c>
    </row>
    <row r="33" spans="1:19" x14ac:dyDescent="0.25">
      <c r="A33" s="13" t="s">
        <v>636</v>
      </c>
      <c r="B33" s="13" t="s">
        <v>37</v>
      </c>
      <c r="C33" s="13" t="s">
        <v>609</v>
      </c>
      <c r="D33">
        <f t="shared" ca="1" si="6"/>
        <v>213812</v>
      </c>
      <c r="E33" t="str">
        <f ca="1">"0x"&amp;DEC2HEX(D33,8)</f>
        <v>0x00034334</v>
      </c>
      <c r="F33">
        <f t="shared" ca="1" si="1"/>
        <v>2</v>
      </c>
      <c r="G33" s="12">
        <v>1</v>
      </c>
      <c r="H33">
        <f t="shared" ca="1" si="2"/>
        <v>0</v>
      </c>
      <c r="I33" s="12">
        <v>0</v>
      </c>
      <c r="J33">
        <f t="shared" ca="1" si="3"/>
        <v>2</v>
      </c>
      <c r="K33" s="12">
        <v>4</v>
      </c>
      <c r="L33" s="12">
        <v>0</v>
      </c>
      <c r="M33" s="13">
        <v>171360</v>
      </c>
      <c r="N33" s="13">
        <v>171360</v>
      </c>
      <c r="O33" s="13">
        <v>2</v>
      </c>
      <c r="P33" t="s">
        <v>793</v>
      </c>
      <c r="Q33" t="str">
        <f t="shared" ca="1" si="9"/>
        <v>$B$5:$J$234</v>
      </c>
      <c r="R33" s="4" t="str">
        <f t="shared" ca="1" si="8"/>
        <v>define symbol dfw_DINIT        = 0x00034334;</v>
      </c>
    </row>
    <row r="34" spans="1:19" x14ac:dyDescent="0.25">
      <c r="A34" s="13" t="s">
        <v>637</v>
      </c>
      <c r="B34" s="13" t="s">
        <v>37</v>
      </c>
      <c r="C34" s="13" t="s">
        <v>609</v>
      </c>
      <c r="D34">
        <f t="shared" ca="1" si="6"/>
        <v>213816</v>
      </c>
      <c r="E34" t="str">
        <f ca="1">"0x"&amp;DEC2HEX(D34,8)</f>
        <v>0x00034338</v>
      </c>
      <c r="F34">
        <f t="shared" ca="1" si="1"/>
        <v>10</v>
      </c>
      <c r="G34" s="12">
        <v>1</v>
      </c>
      <c r="H34">
        <f t="shared" ca="1" si="2"/>
        <v>0</v>
      </c>
      <c r="I34" s="12">
        <v>0</v>
      </c>
      <c r="J34">
        <f t="shared" ca="1" si="3"/>
        <v>2</v>
      </c>
      <c r="K34" s="12">
        <v>4</v>
      </c>
      <c r="L34" s="12">
        <v>0</v>
      </c>
      <c r="M34" s="13">
        <v>171364</v>
      </c>
      <c r="N34" s="13">
        <v>171364</v>
      </c>
      <c r="O34" s="13">
        <v>10</v>
      </c>
      <c r="P34" t="s">
        <v>793</v>
      </c>
      <c r="Q34" t="str">
        <f t="shared" ca="1" si="9"/>
        <v>$B$5:$J$234</v>
      </c>
      <c r="R34" s="4" t="str">
        <f t="shared" ca="1" si="8"/>
        <v>define symbol driver_DINIT     = 0x00034338;</v>
      </c>
    </row>
    <row r="35" spans="1:19" x14ac:dyDescent="0.25">
      <c r="A35" s="13" t="s">
        <v>774</v>
      </c>
      <c r="B35" s="13" t="s">
        <v>37</v>
      </c>
      <c r="C35" s="13" t="s">
        <v>0</v>
      </c>
      <c r="D35">
        <f t="shared" ca="1" si="6"/>
        <v>213828</v>
      </c>
      <c r="E35" t="str">
        <f ca="1">"0x"&amp;DEC2HEX(D35,8)</f>
        <v>0x00034344</v>
      </c>
      <c r="F35">
        <f t="shared" ca="1" si="1"/>
        <v>69</v>
      </c>
      <c r="G35" s="12">
        <v>0</v>
      </c>
      <c r="H35">
        <f t="shared" ca="1" si="2"/>
        <v>0</v>
      </c>
      <c r="I35" s="12">
        <v>0</v>
      </c>
      <c r="J35">
        <f t="shared" ca="1" si="3"/>
        <v>3</v>
      </c>
      <c r="K35" s="12">
        <v>4</v>
      </c>
      <c r="L35" s="40">
        <v>0</v>
      </c>
      <c r="M35" s="13">
        <v>171376</v>
      </c>
      <c r="N35" s="13">
        <v>171376</v>
      </c>
      <c r="O35" s="13">
        <v>81</v>
      </c>
      <c r="P35" s="1" t="s">
        <v>793</v>
      </c>
      <c r="Q35" t="str">
        <f t="shared" ca="1" si="9"/>
        <v>$B$5:$J$234</v>
      </c>
      <c r="R35" s="4" t="str">
        <f t="shared" ca="1" si="8"/>
        <v>define symbol APP_RO_TEXT      = 0x00034344;</v>
      </c>
      <c r="S35" t="s">
        <v>851</v>
      </c>
    </row>
    <row r="36" spans="1:19" x14ac:dyDescent="0.25">
      <c r="A36" s="13" t="s">
        <v>638</v>
      </c>
      <c r="B36" s="13" t="s">
        <v>37</v>
      </c>
      <c r="C36" s="13" t="s">
        <v>609</v>
      </c>
      <c r="D36">
        <f t="shared" ca="1" si="6"/>
        <v>213900</v>
      </c>
      <c r="E36" t="str">
        <f t="shared" ref="E36:E56" ca="1" si="10">"0x"&amp;DEC2HEX(D36,8)</f>
        <v>0x0003438C</v>
      </c>
      <c r="F36">
        <f t="shared" ca="1" si="1"/>
        <v>358</v>
      </c>
      <c r="G36" s="12">
        <v>1</v>
      </c>
      <c r="H36">
        <f t="shared" ca="1" si="2"/>
        <v>3</v>
      </c>
      <c r="I36" s="12">
        <v>0</v>
      </c>
      <c r="J36">
        <f t="shared" ca="1" si="3"/>
        <v>18</v>
      </c>
      <c r="K36" s="12">
        <v>4</v>
      </c>
      <c r="L36" s="12">
        <v>0</v>
      </c>
      <c r="M36" s="13">
        <v>171460</v>
      </c>
      <c r="N36" s="13">
        <v>171460</v>
      </c>
      <c r="O36" s="13">
        <v>341</v>
      </c>
      <c r="P36" t="s">
        <v>793</v>
      </c>
      <c r="Q36" t="str">
        <f t="shared" ca="1" si="9"/>
        <v>$B$5:$J$234</v>
      </c>
      <c r="R36" s="4" t="str">
        <f t="shared" ca="1" si="8"/>
        <v>define symbol stack_DINIT      = 0x0003438C;</v>
      </c>
    </row>
    <row r="37" spans="1:19" x14ac:dyDescent="0.25">
      <c r="A37" s="13" t="s">
        <v>639</v>
      </c>
      <c r="B37" s="13" t="s">
        <v>37</v>
      </c>
      <c r="C37" s="13" t="s">
        <v>609</v>
      </c>
      <c r="D37">
        <f t="shared" ca="1" si="6"/>
        <v>214276</v>
      </c>
      <c r="E37" t="str">
        <f t="shared" ca="1" si="10"/>
        <v>0x00034504</v>
      </c>
      <c r="F37">
        <f t="shared" ca="1" si="1"/>
        <v>0</v>
      </c>
      <c r="G37" s="12">
        <v>1</v>
      </c>
      <c r="H37">
        <f t="shared" ca="1" si="2"/>
        <v>0</v>
      </c>
      <c r="I37" s="12">
        <v>0</v>
      </c>
      <c r="J37">
        <f t="shared" ca="1" si="3"/>
        <v>0</v>
      </c>
      <c r="K37" s="12">
        <v>4</v>
      </c>
      <c r="L37" s="12">
        <v>0</v>
      </c>
      <c r="M37" s="13">
        <v>171816</v>
      </c>
      <c r="N37" s="13">
        <v>171816</v>
      </c>
      <c r="O37" s="13">
        <v>0</v>
      </c>
      <c r="P37" t="s">
        <v>793</v>
      </c>
      <c r="Q37" t="str">
        <f t="shared" ca="1" si="9"/>
        <v>$B$5:$J$234</v>
      </c>
      <c r="R37" s="4" t="str">
        <f t="shared" ca="1" si="8"/>
        <v>//define symbol OS_API_DINIT     = 0x00034504;</v>
      </c>
    </row>
    <row r="38" spans="1:19" x14ac:dyDescent="0.25">
      <c r="A38" s="13" t="s">
        <v>640</v>
      </c>
      <c r="B38" s="13" t="s">
        <v>37</v>
      </c>
      <c r="C38" s="13" t="s">
        <v>609</v>
      </c>
      <c r="D38">
        <f t="shared" ca="1" si="6"/>
        <v>214276</v>
      </c>
      <c r="E38" t="str">
        <f t="shared" ca="1" si="10"/>
        <v>0x00034504</v>
      </c>
      <c r="F38">
        <f t="shared" ca="1" si="1"/>
        <v>57</v>
      </c>
      <c r="G38" s="12">
        <v>1</v>
      </c>
      <c r="H38">
        <f t="shared" ca="1" si="2"/>
        <v>0</v>
      </c>
      <c r="I38" s="12">
        <v>200</v>
      </c>
      <c r="J38">
        <f t="shared" ca="1" si="3"/>
        <v>203</v>
      </c>
      <c r="K38" s="12">
        <v>4</v>
      </c>
      <c r="L38" s="12">
        <v>0</v>
      </c>
      <c r="M38" s="13">
        <v>171816</v>
      </c>
      <c r="N38" s="13">
        <v>171816</v>
      </c>
      <c r="O38" s="13">
        <v>59</v>
      </c>
      <c r="P38" t="s">
        <v>793</v>
      </c>
      <c r="Q38" t="str">
        <f t="shared" ca="1" si="9"/>
        <v>$B$5:$J$234</v>
      </c>
      <c r="R38" s="4" t="str">
        <f t="shared" ca="1" si="8"/>
        <v>define symbol radio_DINIT      = 0x00034504;</v>
      </c>
    </row>
    <row r="39" spans="1:19" x14ac:dyDescent="0.25">
      <c r="A39" s="13" t="s">
        <v>641</v>
      </c>
      <c r="B39" s="13" t="s">
        <v>37</v>
      </c>
      <c r="C39" s="13" t="s">
        <v>609</v>
      </c>
      <c r="D39">
        <f t="shared" ca="1" si="6"/>
        <v>214536</v>
      </c>
      <c r="E39" t="str">
        <f t="shared" ca="1" si="10"/>
        <v>0x00034608</v>
      </c>
      <c r="F39">
        <f t="shared" ca="1" si="1"/>
        <v>0</v>
      </c>
      <c r="G39" s="12">
        <v>1</v>
      </c>
      <c r="H39">
        <f t="shared" ca="1" si="2"/>
        <v>0</v>
      </c>
      <c r="I39" s="12">
        <v>0</v>
      </c>
      <c r="J39">
        <f t="shared" ca="1" si="3"/>
        <v>0</v>
      </c>
      <c r="K39" s="12">
        <v>4</v>
      </c>
      <c r="L39" s="12">
        <v>0</v>
      </c>
      <c r="M39" s="13">
        <v>171876</v>
      </c>
      <c r="N39" s="13">
        <v>171876</v>
      </c>
      <c r="O39" s="13">
        <v>0</v>
      </c>
      <c r="P39" t="s">
        <v>793</v>
      </c>
      <c r="Q39" t="str">
        <f t="shared" ca="1" si="9"/>
        <v>$B$5:$J$234</v>
      </c>
      <c r="R39" s="4" t="str">
        <f t="shared" ca="1" si="8"/>
        <v>//define symbol security_DINIT   = 0x00034608;</v>
      </c>
    </row>
    <row r="40" spans="1:19" x14ac:dyDescent="0.25">
      <c r="A40" s="13" t="s">
        <v>642</v>
      </c>
      <c r="B40" s="13" t="s">
        <v>37</v>
      </c>
      <c r="C40" s="13" t="s">
        <v>609</v>
      </c>
      <c r="D40">
        <f t="shared" ca="1" si="6"/>
        <v>214536</v>
      </c>
      <c r="E40" t="str">
        <f t="shared" ca="1" si="10"/>
        <v>0x00034608</v>
      </c>
      <c r="F40">
        <f t="shared" ref="F40:F68" ca="1" si="11">VLOOKUP(A40&amp;"_end",INDIRECT("'"&amp;P40&amp;"'!"&amp;Q40),5,FALSE)</f>
        <v>7</v>
      </c>
      <c r="G40" s="12">
        <v>1</v>
      </c>
      <c r="H40">
        <f t="shared" ref="H40:H68" ca="1" si="12">VLOOKUP(A40&amp;"_end",INDIRECT("'"&amp;P40&amp;"'!"&amp;Q40),6,FALSE)</f>
        <v>0</v>
      </c>
      <c r="I40" s="12">
        <v>0</v>
      </c>
      <c r="J40">
        <f t="shared" ref="J40:J71" ca="1" si="13">D41-D40-F40</f>
        <v>5</v>
      </c>
      <c r="K40" s="12">
        <v>4</v>
      </c>
      <c r="L40" s="12">
        <v>0</v>
      </c>
      <c r="M40" s="13">
        <v>171876</v>
      </c>
      <c r="N40" s="13">
        <v>171876</v>
      </c>
      <c r="O40" s="13">
        <v>2</v>
      </c>
      <c r="P40" t="s">
        <v>793</v>
      </c>
      <c r="Q40" t="str">
        <f t="shared" ca="1" si="9"/>
        <v>$B$5:$J$234</v>
      </c>
      <c r="R40" s="4" t="str">
        <f t="shared" ca="1" si="8"/>
        <v>define symbol AclaraBSP_DINIT  = 0x00034608;</v>
      </c>
    </row>
    <row r="41" spans="1:19" x14ac:dyDescent="0.25">
      <c r="A41" s="13" t="s">
        <v>643</v>
      </c>
      <c r="B41" s="13" t="s">
        <v>37</v>
      </c>
      <c r="C41" s="13" t="s">
        <v>609</v>
      </c>
      <c r="D41">
        <f t="shared" ca="1" si="6"/>
        <v>214548</v>
      </c>
      <c r="E41" t="str">
        <f t="shared" ca="1" si="10"/>
        <v>0x00034614</v>
      </c>
      <c r="F41">
        <f t="shared" ca="1" si="11"/>
        <v>73</v>
      </c>
      <c r="G41" s="12">
        <v>1</v>
      </c>
      <c r="H41">
        <f t="shared" ca="1" si="12"/>
        <v>0</v>
      </c>
      <c r="I41" s="12">
        <v>0</v>
      </c>
      <c r="J41">
        <f t="shared" ca="1" si="13"/>
        <v>7</v>
      </c>
      <c r="K41" s="12">
        <v>4</v>
      </c>
      <c r="L41" s="12">
        <v>0</v>
      </c>
      <c r="M41" s="13">
        <v>171880</v>
      </c>
      <c r="N41" s="13">
        <v>171880</v>
      </c>
      <c r="O41" s="13">
        <v>73</v>
      </c>
      <c r="P41" t="s">
        <v>793</v>
      </c>
      <c r="Q41" t="str">
        <f t="shared" ca="1" si="9"/>
        <v>$B$5:$J$234</v>
      </c>
      <c r="R41" s="4" t="str">
        <f t="shared" ca="1" si="8"/>
        <v>define symbol Common_DINIT     = 0x00034614;</v>
      </c>
    </row>
    <row r="42" spans="1:19" x14ac:dyDescent="0.25">
      <c r="A42" s="13" t="s">
        <v>644</v>
      </c>
      <c r="B42" s="13" t="s">
        <v>37</v>
      </c>
      <c r="C42" s="13" t="s">
        <v>609</v>
      </c>
      <c r="D42">
        <f t="shared" ca="1" si="6"/>
        <v>214628</v>
      </c>
      <c r="E42" t="str">
        <f t="shared" ca="1" si="10"/>
        <v>0x00034664</v>
      </c>
      <c r="F42">
        <f t="shared" ca="1" si="11"/>
        <v>0</v>
      </c>
      <c r="G42" s="12">
        <v>1</v>
      </c>
      <c r="H42">
        <f t="shared" ca="1" si="12"/>
        <v>0</v>
      </c>
      <c r="I42" s="12">
        <v>0</v>
      </c>
      <c r="J42">
        <f t="shared" ca="1" si="13"/>
        <v>0</v>
      </c>
      <c r="K42" s="12">
        <v>4</v>
      </c>
      <c r="L42" s="12">
        <v>0</v>
      </c>
      <c r="M42" s="13">
        <v>171960</v>
      </c>
      <c r="N42" s="13">
        <v>171960</v>
      </c>
      <c r="O42" s="13">
        <v>0</v>
      </c>
      <c r="P42" t="s">
        <v>793</v>
      </c>
      <c r="Q42" t="str">
        <f t="shared" ca="1" si="9"/>
        <v>$B$5:$J$234</v>
      </c>
      <c r="R42" s="4" t="str">
        <f t="shared" ca="1" si="8"/>
        <v>//define symbol HMC_DINIT        = 0x00034664;</v>
      </c>
    </row>
    <row r="43" spans="1:19" x14ac:dyDescent="0.25">
      <c r="A43" s="13" t="s">
        <v>1139</v>
      </c>
      <c r="B43" s="13" t="s">
        <v>37</v>
      </c>
      <c r="C43" s="13" t="s">
        <v>609</v>
      </c>
      <c r="D43">
        <f t="shared" ca="1" si="6"/>
        <v>214628</v>
      </c>
      <c r="E43" t="str">
        <f ca="1">"0x"&amp;DEC2HEX(D43,8)</f>
        <v>0x00034664</v>
      </c>
      <c r="F43">
        <f t="shared" ca="1" si="11"/>
        <v>0</v>
      </c>
      <c r="G43" s="12">
        <v>1</v>
      </c>
      <c r="H43">
        <f t="shared" ca="1" si="12"/>
        <v>0</v>
      </c>
      <c r="I43" s="12">
        <v>0</v>
      </c>
      <c r="J43">
        <f t="shared" ca="1" si="13"/>
        <v>0</v>
      </c>
      <c r="K43" s="12">
        <v>4</v>
      </c>
      <c r="L43" s="12">
        <v>0</v>
      </c>
      <c r="M43" s="13">
        <v>171960</v>
      </c>
      <c r="N43" s="13">
        <v>171960</v>
      </c>
      <c r="O43" s="13">
        <v>0</v>
      </c>
      <c r="P43" t="s">
        <v>793</v>
      </c>
      <c r="Q43" t="str">
        <f t="shared" ca="1" si="9"/>
        <v>$B$5:$J$234</v>
      </c>
      <c r="R43" s="4" t="str">
        <f t="shared" ca="1" si="8"/>
        <v>//define symbol AclaraDA_DINIT    = 0x00034664;</v>
      </c>
    </row>
    <row r="44" spans="1:19" x14ac:dyDescent="0.25">
      <c r="A44" s="13" t="s">
        <v>645</v>
      </c>
      <c r="B44" s="13" t="s">
        <v>37</v>
      </c>
      <c r="C44" s="13" t="s">
        <v>609</v>
      </c>
      <c r="D44">
        <f t="shared" ca="1" si="6"/>
        <v>214628</v>
      </c>
      <c r="E44" t="str">
        <f t="shared" ca="1" si="10"/>
        <v>0x00034664</v>
      </c>
      <c r="F44">
        <f t="shared" ca="1" si="11"/>
        <v>10</v>
      </c>
      <c r="G44" s="12">
        <v>1</v>
      </c>
      <c r="H44">
        <f t="shared" ca="1" si="12"/>
        <v>0</v>
      </c>
      <c r="I44" s="12">
        <v>0</v>
      </c>
      <c r="J44">
        <f t="shared" ca="1" si="13"/>
        <v>6</v>
      </c>
      <c r="K44" s="12">
        <v>4</v>
      </c>
      <c r="L44" s="12">
        <v>0</v>
      </c>
      <c r="M44" s="13">
        <v>171960</v>
      </c>
      <c r="N44" s="13">
        <v>171960</v>
      </c>
      <c r="O44" s="13">
        <v>8</v>
      </c>
      <c r="P44" t="s">
        <v>793</v>
      </c>
      <c r="Q44" t="str">
        <f t="shared" ca="1" si="9"/>
        <v>$B$5:$J$234</v>
      </c>
      <c r="R44" s="4" t="str">
        <f t="shared" ca="1" si="8"/>
        <v>define symbol MTU_Common_DINIT = 0x00034664;</v>
      </c>
    </row>
    <row r="45" spans="1:19" x14ac:dyDescent="0.25">
      <c r="A45" s="13" t="s">
        <v>624</v>
      </c>
      <c r="B45" s="13" t="s">
        <v>37</v>
      </c>
      <c r="C45" s="13" t="s">
        <v>604</v>
      </c>
      <c r="D45">
        <f t="shared" ca="1" si="6"/>
        <v>214644</v>
      </c>
      <c r="E45" t="str">
        <f t="shared" ca="1" si="10"/>
        <v>0x00034674</v>
      </c>
      <c r="F45">
        <f t="shared" ca="1" si="11"/>
        <v>96</v>
      </c>
      <c r="G45" s="12">
        <v>1</v>
      </c>
      <c r="H45">
        <f t="shared" ca="1" si="12"/>
        <v>0</v>
      </c>
      <c r="I45" s="12">
        <v>0</v>
      </c>
      <c r="J45">
        <f t="shared" ca="1" si="13"/>
        <v>0</v>
      </c>
      <c r="K45" s="12">
        <v>4</v>
      </c>
      <c r="L45" s="12">
        <v>0</v>
      </c>
      <c r="M45" s="13">
        <v>171972</v>
      </c>
      <c r="N45" s="13">
        <v>171972</v>
      </c>
      <c r="O45" s="13">
        <v>84</v>
      </c>
      <c r="P45" t="s">
        <v>791</v>
      </c>
      <c r="Q45" t="str">
        <f t="shared" ca="1" si="9"/>
        <v>$B$5:$J$232</v>
      </c>
      <c r="R45" s="4" t="str">
        <f t="shared" ca="1" si="8"/>
        <v>define symbol utils_CONST      = 0x00034674;</v>
      </c>
    </row>
    <row r="46" spans="1:19" x14ac:dyDescent="0.25">
      <c r="A46" s="13" t="s">
        <v>625</v>
      </c>
      <c r="B46" s="13" t="s">
        <v>37</v>
      </c>
      <c r="C46" s="13" t="s">
        <v>604</v>
      </c>
      <c r="D46">
        <f t="shared" ca="1" si="6"/>
        <v>214740</v>
      </c>
      <c r="E46" t="str">
        <f t="shared" ca="1" si="10"/>
        <v>0x000346D4</v>
      </c>
      <c r="F46">
        <f t="shared" ca="1" si="11"/>
        <v>3472</v>
      </c>
      <c r="G46" s="12">
        <v>1</v>
      </c>
      <c r="H46">
        <f t="shared" ca="1" si="12"/>
        <v>34</v>
      </c>
      <c r="I46" s="12">
        <v>0</v>
      </c>
      <c r="J46">
        <f t="shared" ca="1" si="13"/>
        <v>36</v>
      </c>
      <c r="K46" s="12">
        <v>4</v>
      </c>
      <c r="L46" s="12">
        <v>0</v>
      </c>
      <c r="M46" s="13">
        <v>172056</v>
      </c>
      <c r="N46" s="13">
        <v>172056</v>
      </c>
      <c r="O46" s="13">
        <v>3244</v>
      </c>
      <c r="P46" t="s">
        <v>791</v>
      </c>
      <c r="Q46" t="str">
        <f t="shared" ca="1" si="9"/>
        <v>$B$5:$J$232</v>
      </c>
      <c r="R46" s="4" t="str">
        <f t="shared" ca="1" si="8"/>
        <v>define symbol dfw_CONST        = 0x000346D4;</v>
      </c>
    </row>
    <row r="47" spans="1:19" x14ac:dyDescent="0.25">
      <c r="A47" s="13" t="s">
        <v>626</v>
      </c>
      <c r="B47" s="13" t="s">
        <v>37</v>
      </c>
      <c r="C47" s="13" t="s">
        <v>604</v>
      </c>
      <c r="D47">
        <f t="shared" ca="1" si="6"/>
        <v>218248</v>
      </c>
      <c r="E47" t="str">
        <f t="shared" ca="1" si="10"/>
        <v>0x00035488</v>
      </c>
      <c r="F47">
        <f t="shared" ca="1" si="11"/>
        <v>960</v>
      </c>
      <c r="G47" s="12">
        <v>1</v>
      </c>
      <c r="H47">
        <f t="shared" ca="1" si="12"/>
        <v>9</v>
      </c>
      <c r="I47" s="12">
        <v>0</v>
      </c>
      <c r="J47">
        <f t="shared" ca="1" si="13"/>
        <v>12</v>
      </c>
      <c r="K47" s="12">
        <v>4</v>
      </c>
      <c r="L47" s="12">
        <v>0</v>
      </c>
      <c r="M47" s="13">
        <v>175332</v>
      </c>
      <c r="N47" s="13">
        <v>175332</v>
      </c>
      <c r="O47" s="13">
        <v>932</v>
      </c>
      <c r="P47" t="s">
        <v>791</v>
      </c>
      <c r="Q47" t="str">
        <f t="shared" ca="1" si="9"/>
        <v>$B$5:$J$232</v>
      </c>
      <c r="R47" s="4" t="str">
        <f t="shared" ca="1" si="8"/>
        <v>define symbol driver_CONST     = 0x00035488;</v>
      </c>
    </row>
    <row r="48" spans="1:19" x14ac:dyDescent="0.25">
      <c r="A48" s="13" t="s">
        <v>634</v>
      </c>
      <c r="B48" s="13" t="s">
        <v>37</v>
      </c>
      <c r="C48" s="13" t="s">
        <v>604</v>
      </c>
      <c r="D48">
        <f t="shared" ca="1" si="6"/>
        <v>219220</v>
      </c>
      <c r="E48" t="str">
        <f t="shared" ca="1" si="10"/>
        <v>0x00035854</v>
      </c>
      <c r="F48">
        <f t="shared" ca="1" si="11"/>
        <v>21112</v>
      </c>
      <c r="G48" s="12">
        <v>1</v>
      </c>
      <c r="H48">
        <f t="shared" ca="1" si="12"/>
        <v>211</v>
      </c>
      <c r="I48" s="12">
        <v>0</v>
      </c>
      <c r="J48">
        <f t="shared" ca="1" si="13"/>
        <v>212</v>
      </c>
      <c r="K48" s="12">
        <v>4</v>
      </c>
      <c r="L48" s="12">
        <v>0</v>
      </c>
      <c r="M48" s="13">
        <v>176276</v>
      </c>
      <c r="N48" s="13">
        <v>176276</v>
      </c>
      <c r="O48" s="13">
        <v>19914</v>
      </c>
      <c r="P48" t="s">
        <v>791</v>
      </c>
      <c r="Q48" t="str">
        <f t="shared" ca="1" si="9"/>
        <v>$B$5:$J$232</v>
      </c>
      <c r="R48" s="4" t="str">
        <f t="shared" ca="1" si="8"/>
        <v>define symbol stack_CONST      = 0x00035854;</v>
      </c>
    </row>
    <row r="49" spans="1:18" x14ac:dyDescent="0.25">
      <c r="A49" s="13" t="s">
        <v>627</v>
      </c>
      <c r="B49" s="13" t="s">
        <v>37</v>
      </c>
      <c r="C49" s="13" t="s">
        <v>604</v>
      </c>
      <c r="D49">
        <f t="shared" ca="1" si="6"/>
        <v>240544</v>
      </c>
      <c r="E49" t="str">
        <f t="shared" ca="1" si="10"/>
        <v>0x0003ABA0</v>
      </c>
      <c r="F49">
        <f t="shared" ca="1" si="11"/>
        <v>876</v>
      </c>
      <c r="G49" s="12">
        <v>1</v>
      </c>
      <c r="H49">
        <f t="shared" ca="1" si="12"/>
        <v>8</v>
      </c>
      <c r="I49" s="12">
        <v>0</v>
      </c>
      <c r="J49">
        <f t="shared" ca="1" si="13"/>
        <v>8</v>
      </c>
      <c r="K49" s="12">
        <v>4</v>
      </c>
      <c r="L49" s="12">
        <v>0</v>
      </c>
      <c r="M49" s="13">
        <v>196392</v>
      </c>
      <c r="N49" s="13">
        <v>196392</v>
      </c>
      <c r="O49" s="13">
        <v>864</v>
      </c>
      <c r="P49" t="s">
        <v>791</v>
      </c>
      <c r="Q49" t="str">
        <f t="shared" ca="1" si="9"/>
        <v>$B$5:$J$232</v>
      </c>
      <c r="R49" s="4" t="str">
        <f t="shared" ca="1" si="8"/>
        <v>define symbol OS_API_CONST     = 0x0003ABA0;</v>
      </c>
    </row>
    <row r="50" spans="1:18" x14ac:dyDescent="0.25">
      <c r="A50" s="13" t="s">
        <v>628</v>
      </c>
      <c r="B50" s="13" t="s">
        <v>37</v>
      </c>
      <c r="C50" s="13" t="s">
        <v>604</v>
      </c>
      <c r="D50">
        <f t="shared" ca="1" si="6"/>
        <v>241428</v>
      </c>
      <c r="E50" t="str">
        <f t="shared" ca="1" si="10"/>
        <v>0x0003AF14</v>
      </c>
      <c r="F50">
        <f t="shared" ca="1" si="11"/>
        <v>3924</v>
      </c>
      <c r="G50" s="12">
        <v>1</v>
      </c>
      <c r="H50">
        <f t="shared" ca="1" si="12"/>
        <v>39</v>
      </c>
      <c r="I50" s="12">
        <v>0</v>
      </c>
      <c r="J50">
        <f t="shared" ca="1" si="13"/>
        <v>40</v>
      </c>
      <c r="K50" s="12">
        <v>4</v>
      </c>
      <c r="L50" s="12">
        <v>0</v>
      </c>
      <c r="M50" s="13">
        <v>197264</v>
      </c>
      <c r="N50" s="13">
        <v>197264</v>
      </c>
      <c r="O50" s="13">
        <v>3556</v>
      </c>
      <c r="P50" t="s">
        <v>791</v>
      </c>
      <c r="Q50" t="str">
        <f t="shared" ca="1" si="9"/>
        <v>$B$5:$J$232</v>
      </c>
      <c r="R50" s="4" t="str">
        <f t="shared" ca="1" si="8"/>
        <v>define symbol radio_CONST      = 0x0003AF14;</v>
      </c>
    </row>
    <row r="51" spans="1:18" x14ac:dyDescent="0.25">
      <c r="A51" s="13" t="s">
        <v>629</v>
      </c>
      <c r="B51" s="13" t="s">
        <v>37</v>
      </c>
      <c r="C51" s="13" t="s">
        <v>604</v>
      </c>
      <c r="D51">
        <f t="shared" ca="1" si="6"/>
        <v>245392</v>
      </c>
      <c r="E51" t="str">
        <f t="shared" ca="1" si="10"/>
        <v>0x0003BE90</v>
      </c>
      <c r="F51">
        <f t="shared" ca="1" si="11"/>
        <v>5472</v>
      </c>
      <c r="G51" s="12">
        <v>1</v>
      </c>
      <c r="H51">
        <f t="shared" ca="1" si="12"/>
        <v>54</v>
      </c>
      <c r="I51" s="12">
        <v>0</v>
      </c>
      <c r="J51">
        <f t="shared" ca="1" si="13"/>
        <v>56</v>
      </c>
      <c r="K51" s="12">
        <v>4</v>
      </c>
      <c r="L51" s="12">
        <v>0</v>
      </c>
      <c r="M51" s="13">
        <v>200856</v>
      </c>
      <c r="N51" s="13">
        <v>200856</v>
      </c>
      <c r="O51" s="13">
        <v>5440</v>
      </c>
      <c r="P51" t="s">
        <v>791</v>
      </c>
      <c r="Q51" t="str">
        <f t="shared" ca="1" si="9"/>
        <v>$B$5:$J$232</v>
      </c>
      <c r="R51" s="4" t="str">
        <f t="shared" ca="1" si="8"/>
        <v>define symbol security_CONST   = 0x0003BE90;</v>
      </c>
    </row>
    <row r="52" spans="1:18" x14ac:dyDescent="0.25">
      <c r="A52" s="13" t="s">
        <v>630</v>
      </c>
      <c r="B52" s="13" t="s">
        <v>37</v>
      </c>
      <c r="C52" s="13" t="s">
        <v>604</v>
      </c>
      <c r="D52">
        <f t="shared" ca="1" si="6"/>
        <v>250920</v>
      </c>
      <c r="E52" t="str">
        <f t="shared" ca="1" si="10"/>
        <v>0x0003D428</v>
      </c>
      <c r="F52">
        <f t="shared" ca="1" si="11"/>
        <v>840</v>
      </c>
      <c r="G52" s="12">
        <v>1</v>
      </c>
      <c r="H52">
        <f t="shared" ca="1" si="12"/>
        <v>8</v>
      </c>
      <c r="I52" s="12">
        <v>200</v>
      </c>
      <c r="J52">
        <f t="shared" ca="1" si="13"/>
        <v>200</v>
      </c>
      <c r="K52" s="12">
        <v>4</v>
      </c>
      <c r="L52" s="12">
        <v>0</v>
      </c>
      <c r="M52" s="13">
        <v>206352</v>
      </c>
      <c r="N52" s="13">
        <v>206352</v>
      </c>
      <c r="O52" s="13">
        <v>900</v>
      </c>
      <c r="P52" t="s">
        <v>791</v>
      </c>
      <c r="Q52" t="str">
        <f t="shared" ca="1" si="9"/>
        <v>$B$5:$J$232</v>
      </c>
      <c r="R52" s="4" t="str">
        <f t="shared" ca="1" si="8"/>
        <v>define symbol AclaraBSP_CONST  = 0x0003D428;</v>
      </c>
    </row>
    <row r="53" spans="1:18" x14ac:dyDescent="0.25">
      <c r="A53" s="13" t="s">
        <v>631</v>
      </c>
      <c r="B53" s="13" t="s">
        <v>37</v>
      </c>
      <c r="C53" s="13" t="s">
        <v>604</v>
      </c>
      <c r="D53">
        <f t="shared" ca="1" si="6"/>
        <v>251960</v>
      </c>
      <c r="E53" t="str">
        <f t="shared" ca="1" si="10"/>
        <v>0x0003D838</v>
      </c>
      <c r="F53">
        <f t="shared" ca="1" si="11"/>
        <v>48410</v>
      </c>
      <c r="G53" s="12">
        <v>1</v>
      </c>
      <c r="H53">
        <f t="shared" ca="1" si="12"/>
        <v>484</v>
      </c>
      <c r="I53" s="12">
        <v>0</v>
      </c>
      <c r="J53">
        <f t="shared" ca="1" si="13"/>
        <v>486</v>
      </c>
      <c r="K53" s="12">
        <v>4</v>
      </c>
      <c r="L53" s="12">
        <v>0</v>
      </c>
      <c r="M53" s="13">
        <v>207264</v>
      </c>
      <c r="N53" s="13">
        <v>207264</v>
      </c>
      <c r="O53" s="13">
        <v>40519</v>
      </c>
      <c r="P53" t="s">
        <v>791</v>
      </c>
      <c r="Q53" t="str">
        <f t="shared" ca="1" si="9"/>
        <v>$B$5:$J$232</v>
      </c>
      <c r="R53" s="4" t="str">
        <f t="shared" ca="1" si="8"/>
        <v>define symbol Common_CONST     = 0x0003D838;</v>
      </c>
    </row>
    <row r="54" spans="1:18" x14ac:dyDescent="0.25">
      <c r="A54" s="13" t="s">
        <v>632</v>
      </c>
      <c r="B54" s="13" t="s">
        <v>37</v>
      </c>
      <c r="C54" s="13" t="s">
        <v>604</v>
      </c>
      <c r="D54">
        <f t="shared" ca="1" si="6"/>
        <v>300856</v>
      </c>
      <c r="E54" t="str">
        <f t="shared" ca="1" si="10"/>
        <v>0x00049738</v>
      </c>
      <c r="F54">
        <f t="shared" ca="1" si="11"/>
        <v>0</v>
      </c>
      <c r="G54" s="12">
        <v>1</v>
      </c>
      <c r="H54">
        <f t="shared" ca="1" si="12"/>
        <v>0</v>
      </c>
      <c r="I54" s="12">
        <v>0</v>
      </c>
      <c r="J54">
        <f t="shared" ca="1" si="13"/>
        <v>0</v>
      </c>
      <c r="K54" s="12">
        <v>4</v>
      </c>
      <c r="L54" s="12">
        <v>0</v>
      </c>
      <c r="M54" s="13">
        <v>248192</v>
      </c>
      <c r="N54" s="13">
        <v>248192</v>
      </c>
      <c r="O54" s="13">
        <v>0</v>
      </c>
      <c r="P54" t="s">
        <v>791</v>
      </c>
      <c r="Q54" t="str">
        <f t="shared" ca="1" si="9"/>
        <v>$B$5:$J$232</v>
      </c>
      <c r="R54" s="4" t="str">
        <f t="shared" ca="1" si="8"/>
        <v>//define symbol HMC_CONST        = 0x00049738;</v>
      </c>
    </row>
    <row r="55" spans="1:18" x14ac:dyDescent="0.25">
      <c r="A55" s="13" t="s">
        <v>1140</v>
      </c>
      <c r="B55" s="13" t="s">
        <v>37</v>
      </c>
      <c r="C55" s="13" t="s">
        <v>604</v>
      </c>
      <c r="D55">
        <f t="shared" ca="1" si="6"/>
        <v>300856</v>
      </c>
      <c r="E55" t="str">
        <f t="shared" ca="1" si="10"/>
        <v>0x00049738</v>
      </c>
      <c r="F55">
        <f t="shared" ca="1" si="11"/>
        <v>1440</v>
      </c>
      <c r="G55" s="12">
        <v>1</v>
      </c>
      <c r="H55">
        <f t="shared" ca="1" si="12"/>
        <v>14</v>
      </c>
      <c r="I55" s="12">
        <v>0</v>
      </c>
      <c r="J55">
        <f t="shared" ca="1" si="13"/>
        <v>16</v>
      </c>
      <c r="K55" s="12">
        <v>4</v>
      </c>
      <c r="L55" s="12">
        <v>0</v>
      </c>
      <c r="M55" s="13">
        <v>248192</v>
      </c>
      <c r="N55" s="13">
        <v>248192</v>
      </c>
      <c r="O55" s="13">
        <v>1145</v>
      </c>
      <c r="P55" t="s">
        <v>791</v>
      </c>
      <c r="Q55" t="str">
        <f t="shared" ca="1" si="9"/>
        <v>$B$5:$J$232</v>
      </c>
      <c r="R55" s="4" t="str">
        <f t="shared" ca="1" si="8"/>
        <v>define symbol AclaraDA_CONST    = 0x00049738;</v>
      </c>
    </row>
    <row r="56" spans="1:18" x14ac:dyDescent="0.25">
      <c r="A56" s="13" t="s">
        <v>633</v>
      </c>
      <c r="B56" s="13" t="s">
        <v>37</v>
      </c>
      <c r="C56" s="13" t="s">
        <v>604</v>
      </c>
      <c r="D56">
        <f t="shared" ca="1" si="6"/>
        <v>302312</v>
      </c>
      <c r="E56" t="str">
        <f t="shared" ca="1" si="10"/>
        <v>0x00049CE8</v>
      </c>
      <c r="F56">
        <f t="shared" ca="1" si="11"/>
        <v>6975</v>
      </c>
      <c r="G56" s="12">
        <v>1</v>
      </c>
      <c r="H56">
        <f t="shared" ca="1" si="12"/>
        <v>69</v>
      </c>
      <c r="I56" s="12">
        <v>0</v>
      </c>
      <c r="J56">
        <f t="shared" ca="1" si="13"/>
        <v>77</v>
      </c>
      <c r="K56" s="12">
        <v>4</v>
      </c>
      <c r="L56" s="12">
        <v>0</v>
      </c>
      <c r="M56" s="13">
        <v>249348</v>
      </c>
      <c r="N56" s="13">
        <v>249348</v>
      </c>
      <c r="O56" s="13">
        <v>5945</v>
      </c>
      <c r="P56" t="s">
        <v>791</v>
      </c>
      <c r="Q56" t="str">
        <f t="shared" ca="1" si="9"/>
        <v>$B$5:$J$232</v>
      </c>
      <c r="R56" s="4" t="str">
        <f t="shared" ca="1" si="8"/>
        <v>define symbol MTU_Common_CONST = 0x00049CE8;</v>
      </c>
    </row>
    <row r="57" spans="1:18" x14ac:dyDescent="0.25">
      <c r="A57" s="13" t="s">
        <v>613</v>
      </c>
      <c r="B57" s="13" t="s">
        <v>37</v>
      </c>
      <c r="C57" s="13" t="s">
        <v>0</v>
      </c>
      <c r="D57">
        <f t="shared" ca="1" si="6"/>
        <v>309364</v>
      </c>
      <c r="E57" t="str">
        <f ca="1">"0x"&amp;DEC2HEX(D57,8)</f>
        <v>0x0004B874</v>
      </c>
      <c r="F57">
        <f t="shared" ca="1" si="11"/>
        <v>3864</v>
      </c>
      <c r="G57" s="12">
        <v>1</v>
      </c>
      <c r="H57">
        <f t="shared" ca="1" si="12"/>
        <v>38</v>
      </c>
      <c r="I57" s="12">
        <v>0</v>
      </c>
      <c r="J57">
        <f t="shared" ca="1" si="13"/>
        <v>100</v>
      </c>
      <c r="K57" s="12">
        <v>16</v>
      </c>
      <c r="L57" s="12">
        <v>0</v>
      </c>
      <c r="M57" s="13">
        <v>255360</v>
      </c>
      <c r="N57" s="13">
        <v>255360</v>
      </c>
      <c r="O57" s="13">
        <v>4368</v>
      </c>
      <c r="P57" s="1" t="s">
        <v>789</v>
      </c>
      <c r="Q57" t="str">
        <f t="shared" ca="1" si="9"/>
        <v>$B$5:$J$226</v>
      </c>
      <c r="R57" s="4" t="str">
        <f t="shared" ca="1" si="8"/>
        <v>define symbol utils_TEXT       = 0x0004B874;</v>
      </c>
    </row>
    <row r="58" spans="1:18" x14ac:dyDescent="0.25">
      <c r="A58" s="13" t="s">
        <v>614</v>
      </c>
      <c r="B58" s="13" t="s">
        <v>37</v>
      </c>
      <c r="C58" s="13" t="s">
        <v>0</v>
      </c>
      <c r="D58">
        <f t="shared" ca="1" si="6"/>
        <v>313328</v>
      </c>
      <c r="E58" t="str">
        <f t="shared" ref="E58:E68" ca="1" si="14">"0x"&amp;DEC2HEX(D58,8)</f>
        <v>0x0004C7F0</v>
      </c>
      <c r="F58">
        <f t="shared" ca="1" si="11"/>
        <v>21300</v>
      </c>
      <c r="G58" s="12">
        <v>1</v>
      </c>
      <c r="H58">
        <f t="shared" ca="1" si="12"/>
        <v>213</v>
      </c>
      <c r="I58" s="12">
        <v>0</v>
      </c>
      <c r="J58">
        <f t="shared" ca="1" si="13"/>
        <v>252</v>
      </c>
      <c r="K58" s="12">
        <v>16</v>
      </c>
      <c r="L58" s="12">
        <v>0</v>
      </c>
      <c r="M58" s="13">
        <v>259808</v>
      </c>
      <c r="N58" s="13">
        <v>259808</v>
      </c>
      <c r="O58" s="13">
        <v>21648</v>
      </c>
      <c r="P58" s="1" t="s">
        <v>789</v>
      </c>
      <c r="Q58" t="str">
        <f t="shared" ca="1" si="9"/>
        <v>$B$5:$J$226</v>
      </c>
      <c r="R58" s="4" t="str">
        <f t="shared" ca="1" si="8"/>
        <v>define symbol dfw_TEXT         = 0x0004C7F0;</v>
      </c>
    </row>
    <row r="59" spans="1:18" x14ac:dyDescent="0.25">
      <c r="A59" s="13" t="s">
        <v>615</v>
      </c>
      <c r="B59" s="13" t="s">
        <v>37</v>
      </c>
      <c r="C59" s="13" t="s">
        <v>0</v>
      </c>
      <c r="D59">
        <f t="shared" ca="1" si="6"/>
        <v>334880</v>
      </c>
      <c r="E59" t="str">
        <f t="shared" ca="1" si="14"/>
        <v>0x00051C20</v>
      </c>
      <c r="F59">
        <f t="shared" ca="1" si="11"/>
        <v>8984</v>
      </c>
      <c r="G59" s="12">
        <v>1</v>
      </c>
      <c r="H59">
        <f t="shared" ca="1" si="12"/>
        <v>89</v>
      </c>
      <c r="I59" s="12">
        <v>0</v>
      </c>
      <c r="J59">
        <f t="shared" ca="1" si="13"/>
        <v>136</v>
      </c>
      <c r="K59" s="12">
        <v>16</v>
      </c>
      <c r="L59" s="12">
        <v>0</v>
      </c>
      <c r="M59" s="13">
        <v>281696</v>
      </c>
      <c r="N59" s="13">
        <v>281696</v>
      </c>
      <c r="O59" s="13">
        <v>9880</v>
      </c>
      <c r="P59" s="1" t="s">
        <v>789</v>
      </c>
      <c r="Q59" t="str">
        <f t="shared" ca="1" si="9"/>
        <v>$B$5:$J$226</v>
      </c>
      <c r="R59" s="4" t="str">
        <f t="shared" ca="1" si="8"/>
        <v>define symbol driver_TEXT      = 0x00051C20;</v>
      </c>
    </row>
    <row r="60" spans="1:18" x14ac:dyDescent="0.25">
      <c r="A60" s="13" t="s">
        <v>616</v>
      </c>
      <c r="B60" s="13" t="s">
        <v>37</v>
      </c>
      <c r="C60" s="13" t="s">
        <v>0</v>
      </c>
      <c r="D60">
        <f t="shared" ca="1" si="6"/>
        <v>344000</v>
      </c>
      <c r="E60" t="str">
        <f t="shared" ca="1" si="14"/>
        <v>0x00053FC0</v>
      </c>
      <c r="F60">
        <f t="shared" ca="1" si="11"/>
        <v>74396</v>
      </c>
      <c r="G60" s="12">
        <v>1</v>
      </c>
      <c r="H60">
        <f t="shared" ca="1" si="12"/>
        <v>743</v>
      </c>
      <c r="I60" s="12">
        <v>0</v>
      </c>
      <c r="J60">
        <f t="shared" ca="1" si="13"/>
        <v>948</v>
      </c>
      <c r="K60" s="12">
        <v>16</v>
      </c>
      <c r="L60" s="12">
        <v>0</v>
      </c>
      <c r="M60" s="13">
        <v>291728</v>
      </c>
      <c r="N60" s="13">
        <v>291728</v>
      </c>
      <c r="O60" s="13">
        <v>65770</v>
      </c>
      <c r="P60" s="1" t="s">
        <v>789</v>
      </c>
      <c r="Q60" t="str">
        <f t="shared" ca="1" si="9"/>
        <v>$B$5:$J$226</v>
      </c>
      <c r="R60" s="4" t="str">
        <f t="shared" ca="1" si="8"/>
        <v>define symbol stack_TEXT       = 0x00053FC0;</v>
      </c>
    </row>
    <row r="61" spans="1:18" x14ac:dyDescent="0.25">
      <c r="A61" s="13" t="s">
        <v>617</v>
      </c>
      <c r="B61" s="13" t="s">
        <v>37</v>
      </c>
      <c r="C61" s="13" t="s">
        <v>0</v>
      </c>
      <c r="D61">
        <f t="shared" ca="1" si="6"/>
        <v>419344</v>
      </c>
      <c r="E61" t="str">
        <f t="shared" ca="1" si="14"/>
        <v>0x00066610</v>
      </c>
      <c r="F61">
        <f t="shared" ca="1" si="11"/>
        <v>1296</v>
      </c>
      <c r="G61" s="12">
        <v>1</v>
      </c>
      <c r="H61">
        <f t="shared" ca="1" si="12"/>
        <v>12</v>
      </c>
      <c r="I61" s="12">
        <v>0</v>
      </c>
      <c r="J61">
        <f t="shared" ca="1" si="13"/>
        <v>48</v>
      </c>
      <c r="K61" s="12">
        <v>16</v>
      </c>
      <c r="L61" s="12">
        <v>0</v>
      </c>
      <c r="M61" s="13">
        <v>358160</v>
      </c>
      <c r="N61" s="13">
        <v>358160</v>
      </c>
      <c r="O61" s="13">
        <v>1334</v>
      </c>
      <c r="P61" s="1" t="s">
        <v>789</v>
      </c>
      <c r="Q61" t="str">
        <f t="shared" ca="1" si="9"/>
        <v>$B$5:$J$226</v>
      </c>
      <c r="R61" s="4" t="str">
        <f t="shared" ca="1" si="8"/>
        <v>define symbol OS_API_TEXT      = 0x00066610;</v>
      </c>
    </row>
    <row r="62" spans="1:18" x14ac:dyDescent="0.25">
      <c r="A62" s="13" t="s">
        <v>618</v>
      </c>
      <c r="B62" s="13" t="s">
        <v>37</v>
      </c>
      <c r="C62" s="13" t="s">
        <v>0</v>
      </c>
      <c r="D62">
        <f t="shared" ca="1" si="6"/>
        <v>420688</v>
      </c>
      <c r="E62" t="str">
        <f t="shared" ca="1" si="14"/>
        <v>0x00066B50</v>
      </c>
      <c r="F62">
        <f t="shared" ca="1" si="11"/>
        <v>18320</v>
      </c>
      <c r="G62" s="12">
        <v>1</v>
      </c>
      <c r="H62">
        <f t="shared" ca="1" si="12"/>
        <v>183</v>
      </c>
      <c r="I62" s="12">
        <v>0</v>
      </c>
      <c r="J62">
        <f t="shared" ca="1" si="13"/>
        <v>192</v>
      </c>
      <c r="K62" s="12">
        <v>16</v>
      </c>
      <c r="L62" s="12">
        <v>0</v>
      </c>
      <c r="M62" s="13">
        <v>359552</v>
      </c>
      <c r="N62" s="13">
        <v>359552</v>
      </c>
      <c r="O62" s="13">
        <v>17608</v>
      </c>
      <c r="P62" s="1" t="s">
        <v>789</v>
      </c>
      <c r="Q62" t="str">
        <f t="shared" ca="1" si="9"/>
        <v>$B$5:$J$226</v>
      </c>
      <c r="R62" s="4" t="str">
        <f t="shared" ca="1" si="8"/>
        <v>define symbol radio_TEXT       = 0x00066B50;</v>
      </c>
    </row>
    <row r="63" spans="1:18" x14ac:dyDescent="0.25">
      <c r="A63" s="13" t="s">
        <v>619</v>
      </c>
      <c r="B63" s="13" t="s">
        <v>37</v>
      </c>
      <c r="C63" s="13" t="s">
        <v>0</v>
      </c>
      <c r="D63">
        <f t="shared" ca="1" si="6"/>
        <v>439200</v>
      </c>
      <c r="E63" t="str">
        <f t="shared" ca="1" si="14"/>
        <v>0x0006B3A0</v>
      </c>
      <c r="F63">
        <f t="shared" ca="1" si="11"/>
        <v>12100</v>
      </c>
      <c r="G63" s="12">
        <v>1</v>
      </c>
      <c r="H63">
        <f t="shared" ca="1" si="12"/>
        <v>121</v>
      </c>
      <c r="I63" s="12">
        <v>0</v>
      </c>
      <c r="J63">
        <f t="shared" ca="1" si="13"/>
        <v>172</v>
      </c>
      <c r="K63" s="12">
        <v>16</v>
      </c>
      <c r="L63" s="12">
        <v>0</v>
      </c>
      <c r="M63" s="13">
        <v>377344</v>
      </c>
      <c r="N63" s="13">
        <v>377344</v>
      </c>
      <c r="O63" s="13">
        <v>13612</v>
      </c>
      <c r="P63" s="1" t="s">
        <v>789</v>
      </c>
      <c r="Q63" t="str">
        <f t="shared" ca="1" si="9"/>
        <v>$B$5:$J$226</v>
      </c>
      <c r="R63" s="4" t="str">
        <f t="shared" ca="1" si="8"/>
        <v>define symbol security_TEXT    = 0x0006B3A0;</v>
      </c>
    </row>
    <row r="64" spans="1:18" x14ac:dyDescent="0.25">
      <c r="A64" s="13" t="s">
        <v>620</v>
      </c>
      <c r="B64" s="13" t="s">
        <v>37</v>
      </c>
      <c r="C64" s="13" t="s">
        <v>0</v>
      </c>
      <c r="D64">
        <f t="shared" ca="1" si="6"/>
        <v>451472</v>
      </c>
      <c r="E64" t="str">
        <f t="shared" ca="1" si="14"/>
        <v>0x0006E390</v>
      </c>
      <c r="F64">
        <f t="shared" ca="1" si="11"/>
        <v>3980</v>
      </c>
      <c r="G64" s="12">
        <v>1</v>
      </c>
      <c r="H64">
        <f t="shared" ca="1" si="12"/>
        <v>39</v>
      </c>
      <c r="I64" s="12">
        <v>0</v>
      </c>
      <c r="J64">
        <f t="shared" ca="1" si="13"/>
        <v>68836</v>
      </c>
      <c r="K64" s="12">
        <v>16</v>
      </c>
      <c r="L64" s="12">
        <v>0</v>
      </c>
      <c r="M64" s="13">
        <v>391152</v>
      </c>
      <c r="N64" s="13">
        <v>391152</v>
      </c>
      <c r="O64" s="13">
        <v>4864</v>
      </c>
      <c r="P64" s="1" t="s">
        <v>789</v>
      </c>
      <c r="Q64" t="str">
        <f t="shared" ca="1" si="9"/>
        <v>$B$5:$J$226</v>
      </c>
      <c r="R64" s="4" t="str">
        <f t="shared" ca="1" si="8"/>
        <v>define symbol AclaraBSP_TEXT   = 0x0006E390;</v>
      </c>
    </row>
    <row r="65" spans="1:19" x14ac:dyDescent="0.25">
      <c r="A65" s="13" t="s">
        <v>621</v>
      </c>
      <c r="B65" s="13" t="s">
        <v>37</v>
      </c>
      <c r="C65" s="13" t="s">
        <v>0</v>
      </c>
      <c r="D65">
        <f t="shared" ca="1" si="6"/>
        <v>524288</v>
      </c>
      <c r="E65" t="str">
        <f t="shared" ca="1" si="14"/>
        <v>0x00080000</v>
      </c>
      <c r="F65">
        <f t="shared" ca="1" si="11"/>
        <v>100226</v>
      </c>
      <c r="G65" s="12">
        <v>1</v>
      </c>
      <c r="H65">
        <f t="shared" ca="1" si="12"/>
        <v>1002</v>
      </c>
      <c r="I65" s="12">
        <v>1500</v>
      </c>
      <c r="J65">
        <f t="shared" ca="1" si="13"/>
        <v>1502</v>
      </c>
      <c r="K65" s="12">
        <v>16</v>
      </c>
      <c r="L65" s="12">
        <v>0</v>
      </c>
      <c r="M65" s="13">
        <v>396128</v>
      </c>
      <c r="N65" s="13">
        <v>396128</v>
      </c>
      <c r="O65" s="13">
        <v>86808</v>
      </c>
      <c r="P65" s="1" t="s">
        <v>789</v>
      </c>
      <c r="Q65" t="str">
        <f t="shared" ca="1" si="9"/>
        <v>$B$5:$J$226</v>
      </c>
      <c r="R65" s="4" t="str">
        <f t="shared" ca="1" si="8"/>
        <v>define symbol Common_TEXT      = 0x00080000;</v>
      </c>
    </row>
    <row r="66" spans="1:19" x14ac:dyDescent="0.25">
      <c r="A66" s="13" t="s">
        <v>622</v>
      </c>
      <c r="B66" s="13" t="s">
        <v>37</v>
      </c>
      <c r="C66" s="13" t="s">
        <v>0</v>
      </c>
      <c r="D66">
        <f t="shared" ca="1" si="6"/>
        <v>626016</v>
      </c>
      <c r="E66" t="str">
        <f t="shared" ca="1" si="14"/>
        <v>0x00098D60</v>
      </c>
      <c r="F66">
        <f t="shared" ca="1" si="11"/>
        <v>74</v>
      </c>
      <c r="G66" s="12">
        <v>1</v>
      </c>
      <c r="H66">
        <f t="shared" ca="1" si="12"/>
        <v>0</v>
      </c>
      <c r="I66" s="12">
        <v>0</v>
      </c>
      <c r="J66">
        <f t="shared" ca="1" si="13"/>
        <v>6</v>
      </c>
      <c r="K66" s="12">
        <v>16</v>
      </c>
      <c r="L66" s="12">
        <v>0</v>
      </c>
      <c r="M66" s="13">
        <v>483936</v>
      </c>
      <c r="N66" s="13">
        <v>483936</v>
      </c>
      <c r="O66" s="13">
        <v>848</v>
      </c>
      <c r="P66" s="1" t="s">
        <v>789</v>
      </c>
      <c r="Q66" t="str">
        <f t="shared" ca="1" si="9"/>
        <v>$B$5:$J$226</v>
      </c>
      <c r="R66" s="4" t="str">
        <f t="shared" ca="1" si="8"/>
        <v>define symbol HMC_TEXT         = 0x00098D60;</v>
      </c>
    </row>
    <row r="67" spans="1:19" x14ac:dyDescent="0.25">
      <c r="A67" s="13" t="s">
        <v>1141</v>
      </c>
      <c r="B67" s="13" t="s">
        <v>37</v>
      </c>
      <c r="C67" s="13" t="s">
        <v>0</v>
      </c>
      <c r="D67">
        <f t="shared" ca="1" si="6"/>
        <v>626096</v>
      </c>
      <c r="E67" t="str">
        <f t="shared" ca="1" si="14"/>
        <v>0x00098DB0</v>
      </c>
      <c r="F67">
        <f t="shared" ca="1" si="11"/>
        <v>5862</v>
      </c>
      <c r="G67" s="12">
        <v>1</v>
      </c>
      <c r="H67">
        <f t="shared" ca="1" si="12"/>
        <v>58</v>
      </c>
      <c r="I67" s="12">
        <v>0</v>
      </c>
      <c r="J67">
        <f t="shared" ca="1" si="13"/>
        <v>106</v>
      </c>
      <c r="K67" s="12">
        <v>16</v>
      </c>
      <c r="L67" s="12">
        <v>0</v>
      </c>
      <c r="M67" s="13">
        <v>484800</v>
      </c>
      <c r="N67" s="13">
        <v>484800</v>
      </c>
      <c r="O67" s="13">
        <v>4360</v>
      </c>
      <c r="P67" s="1" t="s">
        <v>789</v>
      </c>
      <c r="Q67" t="str">
        <f t="shared" ca="1" si="9"/>
        <v>$B$5:$J$226</v>
      </c>
      <c r="R67" s="4" t="str">
        <f ca="1">IF(MAX(F67,I67)=0,"//","")&amp;VLOOKUP(A67,INDIRECT("'"&amp;P67&amp;"'!"&amp;Q67),9,FALSE)</f>
        <v>define symbol AclaraDA_TEXT    = 0x00098DB0;</v>
      </c>
    </row>
    <row r="68" spans="1:19" x14ac:dyDescent="0.25">
      <c r="A68" s="13" t="s">
        <v>623</v>
      </c>
      <c r="B68" s="13" t="s">
        <v>37</v>
      </c>
      <c r="C68" s="13" t="s">
        <v>0</v>
      </c>
      <c r="D68">
        <f t="shared" ca="1" si="6"/>
        <v>632064</v>
      </c>
      <c r="E68" t="str">
        <f t="shared" ca="1" si="14"/>
        <v>0x0009A500</v>
      </c>
      <c r="F68">
        <f t="shared" ca="1" si="11"/>
        <v>19468</v>
      </c>
      <c r="G68" s="12">
        <v>1</v>
      </c>
      <c r="H68">
        <f t="shared" ca="1" si="12"/>
        <v>194</v>
      </c>
      <c r="I68" s="12">
        <v>0</v>
      </c>
      <c r="J68">
        <f t="shared" ca="1" si="13"/>
        <v>308</v>
      </c>
      <c r="K68" s="12">
        <v>16</v>
      </c>
      <c r="L68" s="12">
        <v>0</v>
      </c>
      <c r="M68" s="13">
        <v>489216</v>
      </c>
      <c r="N68" s="13">
        <v>489216</v>
      </c>
      <c r="O68" s="13">
        <v>17250</v>
      </c>
      <c r="P68" s="1" t="s">
        <v>789</v>
      </c>
      <c r="Q68" t="str">
        <f t="shared" ca="1" si="9"/>
        <v>$B$5:$J$226</v>
      </c>
      <c r="R68" s="4" t="str">
        <f t="shared" ca="1" si="8"/>
        <v>define symbol MTU_Common_TEXT  = 0x0009A500;</v>
      </c>
    </row>
    <row r="69" spans="1:19" x14ac:dyDescent="0.25">
      <c r="A69" s="13" t="s">
        <v>799</v>
      </c>
      <c r="B69" s="13" t="s">
        <v>9</v>
      </c>
      <c r="C69" s="13" t="s">
        <v>0</v>
      </c>
      <c r="D69">
        <f t="shared" ca="1" si="6"/>
        <v>651840</v>
      </c>
      <c r="E69" t="str">
        <f ca="1">"0x"&amp;DEC2HEX(D69,8)</f>
        <v>0x0009F240</v>
      </c>
      <c r="F69">
        <v>0</v>
      </c>
      <c r="G69" s="12">
        <v>0</v>
      </c>
      <c r="H69">
        <v>0</v>
      </c>
      <c r="I69" s="12">
        <v>0</v>
      </c>
      <c r="J69">
        <f t="shared" ca="1" si="13"/>
        <v>0</v>
      </c>
      <c r="K69" s="12">
        <v>16</v>
      </c>
      <c r="L69" s="12">
        <v>0</v>
      </c>
      <c r="M69" s="13">
        <v>506704</v>
      </c>
      <c r="N69" s="13">
        <v>506704</v>
      </c>
      <c r="O69" s="13">
        <v>0</v>
      </c>
      <c r="P69" t="s">
        <v>802</v>
      </c>
      <c r="Q69" t="str">
        <f t="shared" ca="1" si="9"/>
        <v>$B$5:$J$30</v>
      </c>
      <c r="R69" s="4" t="str">
        <f t="shared" ca="1" si="8"/>
        <v>//define symbol CommandLine_TEXT  = 0x0009F240;</v>
      </c>
    </row>
    <row r="70" spans="1:19" x14ac:dyDescent="0.25">
      <c r="A70" s="13" t="s">
        <v>800</v>
      </c>
      <c r="B70" s="13" t="s">
        <v>9</v>
      </c>
      <c r="C70" s="13" t="s">
        <v>604</v>
      </c>
      <c r="D70">
        <f t="shared" ca="1" si="6"/>
        <v>651840</v>
      </c>
      <c r="E70" t="str">
        <f ca="1">"0x"&amp;DEC2HEX(D70,8)</f>
        <v>0x0009F240</v>
      </c>
      <c r="F70">
        <v>0</v>
      </c>
      <c r="G70" s="12">
        <v>0</v>
      </c>
      <c r="H70">
        <v>0</v>
      </c>
      <c r="I70" s="12">
        <v>0</v>
      </c>
      <c r="J70">
        <f t="shared" ca="1" si="13"/>
        <v>0</v>
      </c>
      <c r="K70" s="12">
        <v>16</v>
      </c>
      <c r="L70" s="12">
        <v>0</v>
      </c>
      <c r="M70" s="13">
        <v>506704</v>
      </c>
      <c r="N70" s="13">
        <v>506704</v>
      </c>
      <c r="O70" s="13">
        <v>0</v>
      </c>
      <c r="P70" t="s">
        <v>802</v>
      </c>
      <c r="Q70" t="str">
        <f t="shared" ca="1" si="9"/>
        <v>$B$5:$J$30</v>
      </c>
      <c r="R70" s="4" t="str">
        <f t="shared" ca="1" si="8"/>
        <v>//define symbol CommandLine_CONST = 0x0009F240;</v>
      </c>
    </row>
    <row r="71" spans="1:19" x14ac:dyDescent="0.25">
      <c r="A71" s="13" t="s">
        <v>801</v>
      </c>
      <c r="B71" s="13" t="s">
        <v>9</v>
      </c>
      <c r="C71" s="13" t="s">
        <v>609</v>
      </c>
      <c r="D71">
        <f t="shared" ca="1" si="6"/>
        <v>651840</v>
      </c>
      <c r="E71" t="str">
        <f ca="1">"0x"&amp;DEC2HEX(D71,8)</f>
        <v>0x0009F240</v>
      </c>
      <c r="F71">
        <v>0</v>
      </c>
      <c r="G71" s="12">
        <v>0</v>
      </c>
      <c r="H71">
        <v>0</v>
      </c>
      <c r="I71" s="12">
        <v>0</v>
      </c>
      <c r="J71">
        <f t="shared" ca="1" si="13"/>
        <v>0</v>
      </c>
      <c r="K71" s="12">
        <v>16</v>
      </c>
      <c r="L71" s="12">
        <v>0</v>
      </c>
      <c r="M71" s="13">
        <v>506704</v>
      </c>
      <c r="N71" s="13">
        <v>506704</v>
      </c>
      <c r="O71" s="13">
        <v>0</v>
      </c>
      <c r="P71" t="s">
        <v>802</v>
      </c>
      <c r="Q71" t="str">
        <f t="shared" ca="1" si="9"/>
        <v>$B$5:$J$30</v>
      </c>
      <c r="R71" s="4" t="str">
        <f t="shared" ca="1" si="8"/>
        <v>//define symbol CommandLine_DINIT = 0x0009F240;</v>
      </c>
    </row>
    <row r="72" spans="1:19" x14ac:dyDescent="0.25">
      <c r="B72" s="47" t="s">
        <v>753</v>
      </c>
      <c r="C72" s="47"/>
      <c r="D72">
        <f ca="1">VLOOKUP(A71&amp;"_end",INDIRECT("'"&amp;P71&amp;"'!"&amp;Q71),7,FALSE)</f>
        <v>651840</v>
      </c>
      <c r="E72" t="str">
        <f ca="1">"0x"&amp;DEC2HEX(D72,8)</f>
        <v>0x0009F240</v>
      </c>
      <c r="M72">
        <v>556176</v>
      </c>
      <c r="N72">
        <v>556176</v>
      </c>
      <c r="S72" t="s">
        <v>812</v>
      </c>
    </row>
    <row r="73" spans="1:19" x14ac:dyDescent="0.25">
      <c r="A73" t="s">
        <v>870</v>
      </c>
      <c r="B73" t="str">
        <f ca="1">CELL("address",$K$71)</f>
        <v>$K$71</v>
      </c>
      <c r="M73" s="49" t="s">
        <v>1034</v>
      </c>
      <c r="N73" s="49"/>
    </row>
    <row r="74" spans="1:19" x14ac:dyDescent="0.25">
      <c r="A74" t="s">
        <v>889</v>
      </c>
      <c r="F74">
        <f ca="1">SUM(F8:F71)</f>
        <v>556283</v>
      </c>
      <c r="H74">
        <f ca="1">SUM(H8:H71)</f>
        <v>5516</v>
      </c>
      <c r="J74">
        <f ca="1">SUM(J8:J71)</f>
        <v>78149</v>
      </c>
      <c r="K74" s="1"/>
    </row>
    <row r="75" spans="1:19" x14ac:dyDescent="0.25">
      <c r="A75" t="s">
        <v>890</v>
      </c>
      <c r="D75" s="39">
        <f ca="1">MemoryMap!C49-F74</f>
        <v>447235</v>
      </c>
      <c r="E75" s="1" t="s">
        <v>1091</v>
      </c>
      <c r="K75" s="1"/>
    </row>
    <row r="77" spans="1:19" x14ac:dyDescent="0.25">
      <c r="A77" t="s">
        <v>868</v>
      </c>
      <c r="B77" t="str">
        <f ca="1">CELL("address",$A$82)</f>
        <v>$A$82</v>
      </c>
    </row>
    <row r="78" spans="1:19" x14ac:dyDescent="0.25">
      <c r="A78" s="47" t="s">
        <v>750</v>
      </c>
      <c r="B78" s="47"/>
      <c r="C78" s="47"/>
      <c r="D78" s="47"/>
      <c r="E78" s="47"/>
      <c r="F78" s="47"/>
      <c r="G78" s="47"/>
      <c r="H78" s="47"/>
      <c r="I78" s="47"/>
      <c r="J78" s="47"/>
      <c r="K78" s="47"/>
      <c r="L78" s="3"/>
      <c r="M78" s="3"/>
      <c r="N78" s="3"/>
      <c r="O78" s="3"/>
      <c r="P78" s="8"/>
      <c r="Q78" t="s">
        <v>770</v>
      </c>
    </row>
    <row r="79" spans="1:19" x14ac:dyDescent="0.25">
      <c r="D79" s="47" t="s">
        <v>446</v>
      </c>
      <c r="E79" s="47"/>
      <c r="F79" s="3" t="s">
        <v>447</v>
      </c>
      <c r="G79" s="47" t="s">
        <v>563</v>
      </c>
      <c r="H79" s="47"/>
      <c r="I79" s="47"/>
      <c r="J79" s="47"/>
      <c r="K79" t="s">
        <v>608</v>
      </c>
      <c r="L79" t="s">
        <v>854</v>
      </c>
      <c r="M79" s="3" t="s">
        <v>853</v>
      </c>
      <c r="N79" s="3" t="s">
        <v>958</v>
      </c>
      <c r="O79" s="3" t="s">
        <v>958</v>
      </c>
      <c r="P79" s="9"/>
      <c r="Q79" t="s">
        <v>772</v>
      </c>
      <c r="S79" t="s">
        <v>746</v>
      </c>
    </row>
    <row r="80" spans="1:19" x14ac:dyDescent="0.25">
      <c r="A80" t="s">
        <v>586</v>
      </c>
      <c r="B80" t="s">
        <v>585</v>
      </c>
      <c r="D80" s="3" t="s">
        <v>582</v>
      </c>
      <c r="E80" s="3" t="s">
        <v>583</v>
      </c>
      <c r="F80" s="3" t="s">
        <v>582</v>
      </c>
      <c r="G80" s="3" t="s">
        <v>605</v>
      </c>
      <c r="H80" s="3" t="s">
        <v>607</v>
      </c>
      <c r="I80" s="3"/>
      <c r="J80" s="3" t="s">
        <v>606</v>
      </c>
      <c r="L80" t="s">
        <v>852</v>
      </c>
      <c r="M80" s="3" t="s">
        <v>854</v>
      </c>
      <c r="N80" s="3" t="s">
        <v>854</v>
      </c>
      <c r="O80" s="3" t="s">
        <v>447</v>
      </c>
      <c r="P80" s="10"/>
      <c r="Q80" t="s">
        <v>771</v>
      </c>
      <c r="S80" t="s">
        <v>813</v>
      </c>
    </row>
    <row r="81" spans="1:19" x14ac:dyDescent="0.25">
      <c r="B81" s="47" t="s">
        <v>754</v>
      </c>
      <c r="C81" s="47"/>
      <c r="D81">
        <f>MemoryMap!C52</f>
        <v>536805376</v>
      </c>
      <c r="E81" t="str">
        <f t="shared" ref="E81:E96" si="15">"0x"&amp;DEC2HEX(D81,8)</f>
        <v>0x1FFF0000</v>
      </c>
      <c r="P81" s="11"/>
      <c r="Q81" t="s">
        <v>769</v>
      </c>
    </row>
    <row r="82" spans="1:19" x14ac:dyDescent="0.25">
      <c r="A82" s="13" t="s">
        <v>749</v>
      </c>
      <c r="B82" s="13" t="s">
        <v>34</v>
      </c>
      <c r="C82" s="13" t="s">
        <v>610</v>
      </c>
      <c r="D82">
        <f>IF(L82=0,D81+F81+MAX(H81:I81)+IF(MOD(D81+F81+MAX(H81:I81),K82)=0,0,K82-MOD(D81+F81+MAX(H81:I81),K82)),M82)</f>
        <v>536805376</v>
      </c>
      <c r="E82" t="str">
        <f t="shared" si="15"/>
        <v>0x1FFF0000</v>
      </c>
      <c r="F82">
        <f t="shared" ref="F82:F108" ca="1" si="16">VLOOKUP(A82&amp;"_end",INDIRECT("'"&amp;P82&amp;"'!"&amp;Q82),5,FALSE)</f>
        <v>8</v>
      </c>
      <c r="G82" s="12">
        <v>5</v>
      </c>
      <c r="H82">
        <f t="shared" ref="H82:H108" ca="1" si="17">VLOOKUP(A82&amp;"_end",INDIRECT("'"&amp;P82&amp;"'!"&amp;Q82),6,FALSE)</f>
        <v>0</v>
      </c>
      <c r="I82" s="12">
        <v>0</v>
      </c>
      <c r="J82">
        <f t="shared" ref="J82:J125" ca="1" si="18">D83-D82-F82</f>
        <v>0</v>
      </c>
      <c r="K82" s="12">
        <v>8</v>
      </c>
      <c r="L82" s="12">
        <v>1</v>
      </c>
      <c r="M82" s="13">
        <v>536805376</v>
      </c>
      <c r="N82" s="13">
        <v>536805376</v>
      </c>
      <c r="O82" s="13">
        <v>8</v>
      </c>
      <c r="P82" t="s">
        <v>796</v>
      </c>
      <c r="Q82" t="str">
        <f t="shared" ref="Q82:Q125" ca="1" si="19">VLOOKUP("_start",INDIRECT("'"&amp;P82&amp;"'!$A$1:$B$2313"),2,FALSE)&amp;":"&amp;VLOOKUP("_end",INDIRECT("'"&amp;P82&amp;"'!$A$1:$B$2313"),2,FALSE)</f>
        <v>$B$5:$J$46</v>
      </c>
      <c r="R82" s="4" t="str">
        <f ca="1">IF(MAX(F82,I82)=0,"//","")&amp;VLOOKUP(A82,INDIRECT("'"&amp;P82&amp;"'!"&amp;Q82),9,FALSE)</f>
        <v>define symbol DLIB_INIT            = 0x1FFF0000;</v>
      </c>
      <c r="S82" t="s">
        <v>850</v>
      </c>
    </row>
    <row r="83" spans="1:19" x14ac:dyDescent="0.25">
      <c r="A83" s="13" t="s">
        <v>712</v>
      </c>
      <c r="B83" s="13" t="s">
        <v>34</v>
      </c>
      <c r="C83" s="13" t="s">
        <v>610</v>
      </c>
      <c r="D83">
        <f ca="1">IF(L83=0,MAX(D82+F82+MAX(H82:I82)+IF(MOD(D82+F82+MAX(H82:I82),K83)=0,0,K83-MOD(D82+F82+MAX(H82:I82),K83)),VLOOKUP(A82&amp;"_end",INDIRECT("'"&amp;P82&amp;"'!"&amp;Q82),7,FALSE)),M83)</f>
        <v>536805384</v>
      </c>
      <c r="E83" t="str">
        <f t="shared" ca="1" si="15"/>
        <v>0x1FFF0008</v>
      </c>
      <c r="F83">
        <f t="shared" ca="1" si="16"/>
        <v>0</v>
      </c>
      <c r="G83" s="12">
        <v>5</v>
      </c>
      <c r="H83">
        <f t="shared" ca="1" si="17"/>
        <v>0</v>
      </c>
      <c r="I83" s="12">
        <v>0</v>
      </c>
      <c r="J83">
        <f t="shared" ca="1" si="18"/>
        <v>0</v>
      </c>
      <c r="K83" s="12">
        <v>8</v>
      </c>
      <c r="L83" s="12">
        <v>0</v>
      </c>
      <c r="M83" s="13">
        <v>536805384</v>
      </c>
      <c r="N83" s="13">
        <v>536805384</v>
      </c>
      <c r="O83" s="13">
        <v>8</v>
      </c>
      <c r="P83" t="s">
        <v>796</v>
      </c>
      <c r="Q83" t="str">
        <f t="shared" ca="1" si="19"/>
        <v>$B$5:$J$46</v>
      </c>
      <c r="R83" s="4" t="str">
        <f t="shared" ref="R83:R125" ca="1" si="20">IF(MAX(F83,I83)=0,"//","")&amp;VLOOKUP(A83,INDIRECT("'"&amp;P83&amp;"'!"&amp;Q83),9,FALSE)</f>
        <v>//define symbol dl7M_tln_INIT        = 0x1FFF0008;</v>
      </c>
    </row>
    <row r="84" spans="1:19" x14ac:dyDescent="0.25">
      <c r="A84" s="13" t="s">
        <v>718</v>
      </c>
      <c r="B84" s="13" t="s">
        <v>34</v>
      </c>
      <c r="C84" s="13" t="s">
        <v>472</v>
      </c>
      <c r="D84">
        <f t="shared" ref="D84:D125" ca="1" si="21">IF(L84=0,MAX(D83+F83+MAX(H83:I83)+IF(MOD(D83+F83+MAX(H83:I83),K84)=0,0,K84-MOD(D83+F83+MAX(H83:I83),K84)),VLOOKUP(A83&amp;"_end",INDIRECT("'"&amp;P83&amp;"'!"&amp;Q83),7,FALSE)),M84)</f>
        <v>536805384</v>
      </c>
      <c r="E84" t="str">
        <f t="shared" ca="1" si="15"/>
        <v>0x1FFF0008</v>
      </c>
      <c r="F84">
        <f t="shared" ca="1" si="16"/>
        <v>0</v>
      </c>
      <c r="G84" s="12">
        <v>5</v>
      </c>
      <c r="H84">
        <f t="shared" ca="1" si="17"/>
        <v>0</v>
      </c>
      <c r="I84" s="12">
        <v>0</v>
      </c>
      <c r="J84">
        <f t="shared" ca="1" si="18"/>
        <v>0</v>
      </c>
      <c r="K84" s="12">
        <v>8</v>
      </c>
      <c r="L84" s="12">
        <v>0</v>
      </c>
      <c r="M84" s="13">
        <v>536805392</v>
      </c>
      <c r="N84" s="13">
        <v>536805392</v>
      </c>
      <c r="O84" s="13">
        <v>0</v>
      </c>
      <c r="P84" t="s">
        <v>798</v>
      </c>
      <c r="Q84" t="str">
        <f t="shared" ca="1" si="19"/>
        <v>$B$5:$J$36</v>
      </c>
      <c r="R84" s="4" t="str">
        <f t="shared" ca="1" si="20"/>
        <v>//define symbol dl7M_tln_BSS        = 0x1FFF0008;</v>
      </c>
    </row>
    <row r="85" spans="1:19" x14ac:dyDescent="0.25">
      <c r="A85" s="13" t="s">
        <v>713</v>
      </c>
      <c r="B85" s="13" t="s">
        <v>3</v>
      </c>
      <c r="C85" s="13" t="s">
        <v>610</v>
      </c>
      <c r="D85">
        <f t="shared" ca="1" si="21"/>
        <v>536805384</v>
      </c>
      <c r="E85" t="str">
        <f t="shared" ca="1" si="15"/>
        <v>0x1FFF0008</v>
      </c>
      <c r="F85">
        <f t="shared" ca="1" si="16"/>
        <v>0</v>
      </c>
      <c r="G85" s="12">
        <v>5</v>
      </c>
      <c r="H85">
        <f t="shared" ca="1" si="17"/>
        <v>0</v>
      </c>
      <c r="I85" s="12">
        <v>0</v>
      </c>
      <c r="J85">
        <f t="shared" ca="1" si="18"/>
        <v>0</v>
      </c>
      <c r="K85" s="12">
        <v>8</v>
      </c>
      <c r="L85" s="12">
        <v>0</v>
      </c>
      <c r="M85" s="13">
        <v>536805392</v>
      </c>
      <c r="N85" s="13">
        <v>536805392</v>
      </c>
      <c r="O85" s="13">
        <v>0</v>
      </c>
      <c r="P85" t="s">
        <v>796</v>
      </c>
      <c r="Q85" t="str">
        <f t="shared" ca="1" si="19"/>
        <v>$B$5:$J$46</v>
      </c>
      <c r="R85" s="4" t="str">
        <f t="shared" ca="1" si="20"/>
        <v>//define symbol m7M_tls_INIT         = 0x1FFF0008;</v>
      </c>
    </row>
    <row r="86" spans="1:19" x14ac:dyDescent="0.25">
      <c r="A86" s="13" t="s">
        <v>719</v>
      </c>
      <c r="B86" s="13" t="s">
        <v>3</v>
      </c>
      <c r="C86" s="13" t="s">
        <v>472</v>
      </c>
      <c r="D86">
        <f t="shared" ca="1" si="21"/>
        <v>536805384</v>
      </c>
      <c r="E86" t="str">
        <f t="shared" ca="1" si="15"/>
        <v>0x1FFF0008</v>
      </c>
      <c r="F86">
        <f t="shared" ca="1" si="16"/>
        <v>0</v>
      </c>
      <c r="G86" s="12">
        <v>5</v>
      </c>
      <c r="H86">
        <f t="shared" ca="1" si="17"/>
        <v>0</v>
      </c>
      <c r="I86" s="12">
        <v>0</v>
      </c>
      <c r="J86">
        <f t="shared" ca="1" si="18"/>
        <v>0</v>
      </c>
      <c r="K86" s="12">
        <v>8</v>
      </c>
      <c r="L86" s="12">
        <v>0</v>
      </c>
      <c r="M86" s="13">
        <v>536805392</v>
      </c>
      <c r="N86" s="13">
        <v>536805392</v>
      </c>
      <c r="O86" s="13">
        <v>0</v>
      </c>
      <c r="P86" t="s">
        <v>798</v>
      </c>
      <c r="Q86" t="str">
        <f t="shared" ca="1" si="19"/>
        <v>$B$5:$J$36</v>
      </c>
      <c r="R86" s="4" t="str">
        <f t="shared" ca="1" si="20"/>
        <v>//define symbol m7M_tls_BSS         = 0x1FFF0008;</v>
      </c>
    </row>
    <row r="87" spans="1:19" x14ac:dyDescent="0.25">
      <c r="A87" s="13" t="s">
        <v>714</v>
      </c>
      <c r="B87" s="13" t="s">
        <v>174</v>
      </c>
      <c r="C87" s="13" t="s">
        <v>610</v>
      </c>
      <c r="D87">
        <f t="shared" ca="1" si="21"/>
        <v>536805384</v>
      </c>
      <c r="E87" t="str">
        <f t="shared" ca="1" si="15"/>
        <v>0x1FFF0008</v>
      </c>
      <c r="F87">
        <f t="shared" ca="1" si="16"/>
        <v>0</v>
      </c>
      <c r="G87" s="12">
        <v>5</v>
      </c>
      <c r="H87">
        <f t="shared" ca="1" si="17"/>
        <v>0</v>
      </c>
      <c r="I87" s="12">
        <v>0</v>
      </c>
      <c r="J87">
        <f t="shared" ca="1" si="18"/>
        <v>0</v>
      </c>
      <c r="K87" s="12">
        <v>8</v>
      </c>
      <c r="L87" s="12">
        <v>0</v>
      </c>
      <c r="M87" s="13">
        <v>536805392</v>
      </c>
      <c r="N87" s="13">
        <v>536805392</v>
      </c>
      <c r="O87" s="13">
        <v>0</v>
      </c>
      <c r="P87" t="s">
        <v>796</v>
      </c>
      <c r="Q87" t="str">
        <f t="shared" ca="1" si="19"/>
        <v>$B$5:$J$46</v>
      </c>
      <c r="R87" s="4" t="str">
        <f t="shared" ca="1" si="20"/>
        <v>//define symbol rt7M_tl_INIT         = 0x1FFF0008;</v>
      </c>
    </row>
    <row r="88" spans="1:19" x14ac:dyDescent="0.25">
      <c r="A88" s="13" t="s">
        <v>720</v>
      </c>
      <c r="B88" s="13" t="s">
        <v>174</v>
      </c>
      <c r="C88" s="13" t="s">
        <v>472</v>
      </c>
      <c r="D88">
        <f t="shared" ca="1" si="21"/>
        <v>536805384</v>
      </c>
      <c r="E88" t="str">
        <f t="shared" ca="1" si="15"/>
        <v>0x1FFF0008</v>
      </c>
      <c r="F88">
        <f t="shared" ca="1" si="16"/>
        <v>16</v>
      </c>
      <c r="G88" s="12">
        <v>5</v>
      </c>
      <c r="H88">
        <f t="shared" ca="1" si="17"/>
        <v>0</v>
      </c>
      <c r="I88" s="12">
        <v>0</v>
      </c>
      <c r="J88">
        <f t="shared" ca="1" si="18"/>
        <v>0</v>
      </c>
      <c r="K88" s="12">
        <v>8</v>
      </c>
      <c r="L88" s="12">
        <v>0</v>
      </c>
      <c r="M88" s="13">
        <v>536805392</v>
      </c>
      <c r="N88" s="13">
        <v>536805392</v>
      </c>
      <c r="O88" s="13">
        <v>16</v>
      </c>
      <c r="P88" t="s">
        <v>798</v>
      </c>
      <c r="Q88" t="str">
        <f t="shared" ca="1" si="19"/>
        <v>$B$5:$J$36</v>
      </c>
      <c r="R88" s="4" t="str">
        <f t="shared" ca="1" si="20"/>
        <v>define symbol rt7M_tl_BSS         = 0x1FFF0008;</v>
      </c>
    </row>
    <row r="89" spans="1:19" x14ac:dyDescent="0.25">
      <c r="A89" s="13" t="s">
        <v>715</v>
      </c>
      <c r="B89" s="13" t="s">
        <v>241</v>
      </c>
      <c r="C89" s="13" t="s">
        <v>610</v>
      </c>
      <c r="D89">
        <f t="shared" ca="1" si="21"/>
        <v>536805400</v>
      </c>
      <c r="E89" t="str">
        <f t="shared" ca="1" si="15"/>
        <v>0x1FFF0018</v>
      </c>
      <c r="F89">
        <f t="shared" ca="1" si="16"/>
        <v>0</v>
      </c>
      <c r="G89" s="12">
        <v>5</v>
      </c>
      <c r="H89">
        <f t="shared" ca="1" si="17"/>
        <v>0</v>
      </c>
      <c r="I89" s="12">
        <v>0</v>
      </c>
      <c r="J89">
        <f t="shared" ca="1" si="18"/>
        <v>0</v>
      </c>
      <c r="K89" s="12">
        <v>8</v>
      </c>
      <c r="L89" s="12">
        <v>0</v>
      </c>
      <c r="M89" s="13">
        <v>536805408</v>
      </c>
      <c r="N89" s="13">
        <v>536805408</v>
      </c>
      <c r="O89" s="13">
        <v>0</v>
      </c>
      <c r="P89" t="s">
        <v>796</v>
      </c>
      <c r="Q89" t="str">
        <f t="shared" ca="1" si="19"/>
        <v>$B$5:$J$46</v>
      </c>
      <c r="R89" s="4" t="str">
        <f t="shared" ca="1" si="20"/>
        <v>//define symbol shb_l_INIT           = 0x1FFF0018;</v>
      </c>
    </row>
    <row r="90" spans="1:19" x14ac:dyDescent="0.25">
      <c r="A90" s="13" t="s">
        <v>721</v>
      </c>
      <c r="B90" s="13" t="s">
        <v>241</v>
      </c>
      <c r="C90" s="13" t="s">
        <v>472</v>
      </c>
      <c r="D90">
        <f t="shared" ca="1" si="21"/>
        <v>536805400</v>
      </c>
      <c r="E90" t="str">
        <f t="shared" ca="1" si="15"/>
        <v>0x1FFF0018</v>
      </c>
      <c r="F90">
        <f t="shared" ca="1" si="16"/>
        <v>0</v>
      </c>
      <c r="G90" s="12">
        <v>5</v>
      </c>
      <c r="H90">
        <f t="shared" ca="1" si="17"/>
        <v>0</v>
      </c>
      <c r="I90" s="12">
        <v>0</v>
      </c>
      <c r="J90">
        <f t="shared" ca="1" si="18"/>
        <v>0</v>
      </c>
      <c r="K90" s="12">
        <v>8</v>
      </c>
      <c r="L90" s="12">
        <v>0</v>
      </c>
      <c r="M90" s="13">
        <v>536805408</v>
      </c>
      <c r="N90" s="13">
        <v>536805408</v>
      </c>
      <c r="O90" s="13">
        <v>0</v>
      </c>
      <c r="P90" t="s">
        <v>798</v>
      </c>
      <c r="Q90" t="str">
        <f t="shared" ca="1" si="19"/>
        <v>$B$5:$J$36</v>
      </c>
      <c r="R90" s="4" t="str">
        <f t="shared" ca="1" si="20"/>
        <v>//define symbol shb_l_BSS           = 0x1FFF0018;</v>
      </c>
    </row>
    <row r="91" spans="1:19" x14ac:dyDescent="0.25">
      <c r="A91" s="13" t="s">
        <v>717</v>
      </c>
      <c r="B91" s="13" t="s">
        <v>15</v>
      </c>
      <c r="C91" s="13" t="s">
        <v>610</v>
      </c>
      <c r="D91">
        <f t="shared" ca="1" si="21"/>
        <v>536805400</v>
      </c>
      <c r="E91" t="str">
        <f t="shared" ca="1" si="15"/>
        <v>0x1FFF0018</v>
      </c>
      <c r="F91">
        <f t="shared" ca="1" si="16"/>
        <v>8</v>
      </c>
      <c r="G91" s="12">
        <v>5</v>
      </c>
      <c r="H91">
        <f t="shared" ca="1" si="17"/>
        <v>0</v>
      </c>
      <c r="I91" s="12">
        <v>0</v>
      </c>
      <c r="J91">
        <f t="shared" ca="1" si="18"/>
        <v>0</v>
      </c>
      <c r="K91" s="12">
        <v>8</v>
      </c>
      <c r="L91" s="12">
        <v>0</v>
      </c>
      <c r="M91" s="13">
        <v>536805408</v>
      </c>
      <c r="N91" s="13">
        <v>536805408</v>
      </c>
      <c r="O91" s="13">
        <v>8</v>
      </c>
      <c r="P91" t="s">
        <v>796</v>
      </c>
      <c r="Q91" t="str">
        <f t="shared" ca="1" si="19"/>
        <v>$B$5:$J$46</v>
      </c>
      <c r="R91" s="4" t="str">
        <f t="shared" ca="1" si="20"/>
        <v>define symbol PSP_INIT             = 0x1FFF0018;</v>
      </c>
    </row>
    <row r="92" spans="1:19" x14ac:dyDescent="0.25">
      <c r="A92" s="13" t="s">
        <v>723</v>
      </c>
      <c r="B92" s="13" t="s">
        <v>15</v>
      </c>
      <c r="C92" s="13" t="s">
        <v>472</v>
      </c>
      <c r="D92">
        <f t="shared" ca="1" si="21"/>
        <v>536805408</v>
      </c>
      <c r="E92" t="str">
        <f t="shared" ca="1" si="15"/>
        <v>0x1FFF0020</v>
      </c>
      <c r="F92">
        <f t="shared" ca="1" si="16"/>
        <v>8</v>
      </c>
      <c r="G92" s="12">
        <v>5</v>
      </c>
      <c r="H92">
        <f t="shared" ca="1" si="17"/>
        <v>0</v>
      </c>
      <c r="I92" s="12">
        <v>0</v>
      </c>
      <c r="J92">
        <f t="shared" ca="1" si="18"/>
        <v>0</v>
      </c>
      <c r="K92" s="12">
        <v>8</v>
      </c>
      <c r="L92" s="12">
        <v>0</v>
      </c>
      <c r="M92" s="13">
        <v>536805416</v>
      </c>
      <c r="N92" s="13">
        <v>536805416</v>
      </c>
      <c r="O92" s="13">
        <v>16</v>
      </c>
      <c r="P92" t="s">
        <v>798</v>
      </c>
      <c r="Q92" t="str">
        <f t="shared" ca="1" si="19"/>
        <v>$B$5:$J$36</v>
      </c>
      <c r="R92" s="4" t="str">
        <f t="shared" ca="1" si="20"/>
        <v>define symbol PSP_BSS             = 0x1FFF0020;</v>
      </c>
    </row>
    <row r="93" spans="1:19" x14ac:dyDescent="0.25">
      <c r="A93" s="13" t="s">
        <v>716</v>
      </c>
      <c r="B93" s="13" t="s">
        <v>12</v>
      </c>
      <c r="C93" s="13" t="s">
        <v>610</v>
      </c>
      <c r="D93">
        <f t="shared" ca="1" si="21"/>
        <v>536805416</v>
      </c>
      <c r="E93" t="str">
        <f t="shared" ca="1" si="15"/>
        <v>0x1FFF0028</v>
      </c>
      <c r="F93">
        <f t="shared" ca="1" si="16"/>
        <v>172</v>
      </c>
      <c r="G93" s="12">
        <v>5</v>
      </c>
      <c r="H93">
        <f t="shared" ca="1" si="17"/>
        <v>8</v>
      </c>
      <c r="I93" s="12">
        <v>0</v>
      </c>
      <c r="J93">
        <f t="shared" ca="1" si="18"/>
        <v>12</v>
      </c>
      <c r="K93" s="12">
        <v>8</v>
      </c>
      <c r="L93" s="12">
        <v>0</v>
      </c>
      <c r="M93" s="13">
        <v>536805432</v>
      </c>
      <c r="N93" s="13">
        <v>536805432</v>
      </c>
      <c r="O93" s="13">
        <v>192</v>
      </c>
      <c r="P93" t="s">
        <v>796</v>
      </c>
      <c r="Q93" t="str">
        <f t="shared" ca="1" si="19"/>
        <v>$B$5:$J$46</v>
      </c>
      <c r="R93" s="4" t="str">
        <f t="shared" ca="1" si="20"/>
        <v>define symbol BSP_INIT             = 0x1FFF0028;</v>
      </c>
    </row>
    <row r="94" spans="1:19" x14ac:dyDescent="0.25">
      <c r="A94" s="13" t="s">
        <v>722</v>
      </c>
      <c r="B94" s="13" t="s">
        <v>12</v>
      </c>
      <c r="C94" s="13" t="s">
        <v>472</v>
      </c>
      <c r="D94">
        <f t="shared" ca="1" si="21"/>
        <v>536805600</v>
      </c>
      <c r="E94" t="str">
        <f t="shared" ca="1" si="15"/>
        <v>0x1FFF00E0</v>
      </c>
      <c r="F94">
        <f t="shared" ca="1" si="16"/>
        <v>165</v>
      </c>
      <c r="G94" s="12">
        <v>5</v>
      </c>
      <c r="H94">
        <f t="shared" ca="1" si="17"/>
        <v>8</v>
      </c>
      <c r="I94" s="12">
        <v>0</v>
      </c>
      <c r="J94">
        <f t="shared" ca="1" si="18"/>
        <v>11</v>
      </c>
      <c r="K94" s="12">
        <v>8</v>
      </c>
      <c r="L94" s="12">
        <v>0</v>
      </c>
      <c r="M94" s="13">
        <v>536805640</v>
      </c>
      <c r="N94" s="13">
        <v>536805640</v>
      </c>
      <c r="O94" s="13">
        <v>165</v>
      </c>
      <c r="P94" t="s">
        <v>798</v>
      </c>
      <c r="Q94" t="str">
        <f t="shared" ca="1" si="19"/>
        <v>$B$5:$J$36</v>
      </c>
      <c r="R94" s="4" t="str">
        <f t="shared" ca="1" si="20"/>
        <v>define symbol BSP_BSS             = 0x1FFF00E0;</v>
      </c>
    </row>
    <row r="95" spans="1:19" x14ac:dyDescent="0.25">
      <c r="A95" s="13" t="s">
        <v>787</v>
      </c>
      <c r="B95" s="13" t="s">
        <v>950</v>
      </c>
      <c r="C95" s="13" t="s">
        <v>610</v>
      </c>
      <c r="D95">
        <f t="shared" ca="1" si="21"/>
        <v>536805776</v>
      </c>
      <c r="E95" t="str">
        <f t="shared" ca="1" si="15"/>
        <v>0x1FFF0190</v>
      </c>
      <c r="F95">
        <f t="shared" ca="1" si="16"/>
        <v>1</v>
      </c>
      <c r="G95" s="12">
        <v>5</v>
      </c>
      <c r="H95">
        <f t="shared" ca="1" si="17"/>
        <v>0</v>
      </c>
      <c r="I95" s="12">
        <v>0</v>
      </c>
      <c r="J95">
        <f t="shared" ca="1" si="18"/>
        <v>7</v>
      </c>
      <c r="K95" s="12">
        <v>8</v>
      </c>
      <c r="L95" s="12">
        <v>0</v>
      </c>
      <c r="M95" s="13">
        <v>536805816</v>
      </c>
      <c r="N95" s="13">
        <v>536805816</v>
      </c>
      <c r="O95" s="13">
        <v>32</v>
      </c>
      <c r="P95" t="s">
        <v>796</v>
      </c>
      <c r="Q95" t="str">
        <f t="shared" ca="1" si="19"/>
        <v>$B$5:$J$46</v>
      </c>
      <c r="R95" s="4" t="str">
        <f t="shared" ca="1" si="20"/>
        <v>define symbol wolfSSL_Lib_MTU_INIT = 0x1FFF0190;</v>
      </c>
    </row>
    <row r="96" spans="1:19" x14ac:dyDescent="0.25">
      <c r="A96" s="13" t="s">
        <v>788</v>
      </c>
      <c r="B96" s="13" t="s">
        <v>950</v>
      </c>
      <c r="C96" s="13" t="s">
        <v>472</v>
      </c>
      <c r="D96">
        <f t="shared" ca="1" si="21"/>
        <v>536805784</v>
      </c>
      <c r="E96" t="str">
        <f t="shared" ca="1" si="15"/>
        <v>0x1FFF0198</v>
      </c>
      <c r="F96">
        <f t="shared" ca="1" si="16"/>
        <v>837</v>
      </c>
      <c r="G96" s="12">
        <v>5</v>
      </c>
      <c r="H96">
        <f t="shared" ca="1" si="17"/>
        <v>41</v>
      </c>
      <c r="I96" s="12">
        <v>0</v>
      </c>
      <c r="J96">
        <f t="shared" ca="1" si="18"/>
        <v>43</v>
      </c>
      <c r="K96" s="12">
        <v>8</v>
      </c>
      <c r="L96" s="12">
        <v>0</v>
      </c>
      <c r="M96" s="13">
        <v>536805856</v>
      </c>
      <c r="N96" s="13">
        <v>536805856</v>
      </c>
      <c r="O96" s="13">
        <v>813</v>
      </c>
      <c r="P96" t="s">
        <v>798</v>
      </c>
      <c r="Q96" t="str">
        <f t="shared" ca="1" si="19"/>
        <v>$B$5:$J$36</v>
      </c>
      <c r="R96" s="4" t="str">
        <f t="shared" ca="1" si="20"/>
        <v>define symbol wolfSSL_Lib_MTU_BSS = 0x1FFF0198;</v>
      </c>
    </row>
    <row r="97" spans="1:19" x14ac:dyDescent="0.25">
      <c r="A97" s="13" t="s">
        <v>647</v>
      </c>
      <c r="B97" s="13" t="s">
        <v>37</v>
      </c>
      <c r="C97" s="13" t="s">
        <v>610</v>
      </c>
      <c r="D97">
        <f t="shared" ca="1" si="21"/>
        <v>536806664</v>
      </c>
      <c r="E97" t="str">
        <f t="shared" ref="E97:E123" ca="1" si="22">"0x"&amp;DEC2HEX(D97,8)</f>
        <v>0x1FFF0508</v>
      </c>
      <c r="F97">
        <f t="shared" ca="1" si="16"/>
        <v>66</v>
      </c>
      <c r="G97" s="12">
        <v>5</v>
      </c>
      <c r="H97">
        <f t="shared" ca="1" si="17"/>
        <v>3</v>
      </c>
      <c r="I97" s="12">
        <v>0</v>
      </c>
      <c r="J97">
        <f t="shared" ca="1" si="18"/>
        <v>6</v>
      </c>
      <c r="K97" s="12">
        <v>8</v>
      </c>
      <c r="L97" s="12">
        <v>0</v>
      </c>
      <c r="M97" s="13">
        <v>536806712</v>
      </c>
      <c r="N97" s="13">
        <v>536806712</v>
      </c>
      <c r="O97" s="13">
        <v>66</v>
      </c>
      <c r="P97" t="s">
        <v>790</v>
      </c>
      <c r="Q97" t="str">
        <f t="shared" ca="1" si="19"/>
        <v>$B$5:$J$239</v>
      </c>
      <c r="R97" s="4" t="str">
        <f t="shared" ca="1" si="20"/>
        <v>define symbol utils_INIT      = 0x1FFF0508;</v>
      </c>
    </row>
    <row r="98" spans="1:19" x14ac:dyDescent="0.25">
      <c r="A98" s="13" t="s">
        <v>648</v>
      </c>
      <c r="B98" s="13" t="s">
        <v>37</v>
      </c>
      <c r="C98" s="13" t="s">
        <v>610</v>
      </c>
      <c r="D98">
        <f t="shared" ca="1" si="21"/>
        <v>536806736</v>
      </c>
      <c r="E98" t="str">
        <f t="shared" ca="1" si="22"/>
        <v>0x1FFF0550</v>
      </c>
      <c r="F98">
        <f t="shared" ca="1" si="16"/>
        <v>1</v>
      </c>
      <c r="G98" s="12">
        <v>5</v>
      </c>
      <c r="H98">
        <f t="shared" ca="1" si="17"/>
        <v>0</v>
      </c>
      <c r="I98" s="12">
        <v>0</v>
      </c>
      <c r="J98">
        <f t="shared" ca="1" si="18"/>
        <v>7</v>
      </c>
      <c r="K98" s="12">
        <v>8</v>
      </c>
      <c r="L98" s="12">
        <v>0</v>
      </c>
      <c r="M98" s="13">
        <v>536806784</v>
      </c>
      <c r="N98" s="13">
        <v>536806784</v>
      </c>
      <c r="O98" s="13">
        <v>1</v>
      </c>
      <c r="P98" t="s">
        <v>790</v>
      </c>
      <c r="Q98" t="str">
        <f t="shared" ca="1" si="19"/>
        <v>$B$5:$J$239</v>
      </c>
      <c r="R98" s="4" t="str">
        <f t="shared" ca="1" si="20"/>
        <v>define symbol dfw_INIT        = 0x1FFF0550;</v>
      </c>
    </row>
    <row r="99" spans="1:19" x14ac:dyDescent="0.25">
      <c r="A99" s="13" t="s">
        <v>649</v>
      </c>
      <c r="B99" s="13" t="s">
        <v>37</v>
      </c>
      <c r="C99" s="13" t="s">
        <v>610</v>
      </c>
      <c r="D99">
        <f t="shared" ca="1" si="21"/>
        <v>536806744</v>
      </c>
      <c r="E99" t="str">
        <f t="shared" ca="1" si="22"/>
        <v>0x1FFF0558</v>
      </c>
      <c r="F99">
        <f t="shared" ca="1" si="16"/>
        <v>8</v>
      </c>
      <c r="G99" s="12">
        <v>5</v>
      </c>
      <c r="H99">
        <f t="shared" ca="1" si="17"/>
        <v>0</v>
      </c>
      <c r="I99" s="12">
        <v>0</v>
      </c>
      <c r="J99">
        <f t="shared" ca="1" si="18"/>
        <v>8</v>
      </c>
      <c r="K99" s="12">
        <v>8</v>
      </c>
      <c r="L99" s="12">
        <v>0</v>
      </c>
      <c r="M99" s="13">
        <v>536806792</v>
      </c>
      <c r="N99" s="13">
        <v>536806792</v>
      </c>
      <c r="O99" s="13">
        <v>8</v>
      </c>
      <c r="P99" t="s">
        <v>790</v>
      </c>
      <c r="Q99" t="str">
        <f t="shared" ca="1" si="19"/>
        <v>$B$5:$J$239</v>
      </c>
      <c r="R99" s="4" t="str">
        <f t="shared" ca="1" si="20"/>
        <v>define symbol driver_INIT     = 0x1FFF0558;</v>
      </c>
    </row>
    <row r="100" spans="1:19" x14ac:dyDescent="0.25">
      <c r="A100" s="13" t="s">
        <v>650</v>
      </c>
      <c r="B100" s="13" t="s">
        <v>37</v>
      </c>
      <c r="C100" s="13" t="s">
        <v>610</v>
      </c>
      <c r="D100">
        <f t="shared" ca="1" si="21"/>
        <v>536806760</v>
      </c>
      <c r="E100" t="str">
        <f t="shared" ca="1" si="22"/>
        <v>0x1FFF0568</v>
      </c>
      <c r="F100">
        <f t="shared" ca="1" si="16"/>
        <v>526</v>
      </c>
      <c r="G100" s="12">
        <v>5</v>
      </c>
      <c r="H100">
        <f t="shared" ca="1" si="17"/>
        <v>26</v>
      </c>
      <c r="I100" s="12">
        <v>0</v>
      </c>
      <c r="J100">
        <f t="shared" ca="1" si="18"/>
        <v>26</v>
      </c>
      <c r="K100" s="12">
        <v>8</v>
      </c>
      <c r="L100" s="12">
        <v>0</v>
      </c>
      <c r="M100" s="13">
        <v>536806808</v>
      </c>
      <c r="N100" s="13">
        <v>536806808</v>
      </c>
      <c r="O100" s="13">
        <v>588</v>
      </c>
      <c r="P100" t="s">
        <v>790</v>
      </c>
      <c r="Q100" t="str">
        <f t="shared" ca="1" si="19"/>
        <v>$B$5:$J$239</v>
      </c>
      <c r="R100" s="4" t="str">
        <f t="shared" ca="1" si="20"/>
        <v>define symbol stack_INIT      = 0x1FFF0568;</v>
      </c>
    </row>
    <row r="101" spans="1:19" x14ac:dyDescent="0.25">
      <c r="A101" s="13" t="s">
        <v>651</v>
      </c>
      <c r="B101" s="13" t="s">
        <v>37</v>
      </c>
      <c r="C101" s="13" t="s">
        <v>610</v>
      </c>
      <c r="D101">
        <f t="shared" ca="1" si="21"/>
        <v>536807312</v>
      </c>
      <c r="E101" t="str">
        <f t="shared" ca="1" si="22"/>
        <v>0x1FFF0790</v>
      </c>
      <c r="F101">
        <f t="shared" ca="1" si="16"/>
        <v>0</v>
      </c>
      <c r="G101" s="12">
        <v>5</v>
      </c>
      <c r="H101">
        <f t="shared" ca="1" si="17"/>
        <v>0</v>
      </c>
      <c r="I101" s="12">
        <v>0</v>
      </c>
      <c r="J101">
        <f t="shared" ca="1" si="18"/>
        <v>0</v>
      </c>
      <c r="K101" s="12">
        <v>8</v>
      </c>
      <c r="L101" s="12">
        <v>0</v>
      </c>
      <c r="M101" s="13">
        <v>536807432</v>
      </c>
      <c r="N101" s="13">
        <v>536807432</v>
      </c>
      <c r="O101" s="13">
        <v>0</v>
      </c>
      <c r="P101" t="s">
        <v>790</v>
      </c>
      <c r="Q101" t="str">
        <f t="shared" ca="1" si="19"/>
        <v>$B$5:$J$239</v>
      </c>
      <c r="R101" s="4" t="str">
        <f t="shared" ca="1" si="20"/>
        <v>//define symbol OS_API_INIT     = 0x1FFF0790;</v>
      </c>
    </row>
    <row r="102" spans="1:19" x14ac:dyDescent="0.25">
      <c r="A102" s="13" t="s">
        <v>652</v>
      </c>
      <c r="B102" s="13" t="s">
        <v>37</v>
      </c>
      <c r="C102" s="13" t="s">
        <v>610</v>
      </c>
      <c r="D102">
        <f t="shared" ca="1" si="21"/>
        <v>536807312</v>
      </c>
      <c r="E102" t="str">
        <f t="shared" ca="1" si="22"/>
        <v>0x1FFF0790</v>
      </c>
      <c r="F102">
        <f t="shared" ca="1" si="16"/>
        <v>56</v>
      </c>
      <c r="G102" s="12">
        <v>5</v>
      </c>
      <c r="H102">
        <f t="shared" ca="1" si="17"/>
        <v>2</v>
      </c>
      <c r="I102" s="12">
        <v>0</v>
      </c>
      <c r="J102">
        <f t="shared" ca="1" si="18"/>
        <v>8</v>
      </c>
      <c r="K102" s="12">
        <v>8</v>
      </c>
      <c r="L102" s="12">
        <v>0</v>
      </c>
      <c r="M102" s="13">
        <v>536807432</v>
      </c>
      <c r="N102" s="13">
        <v>536807432</v>
      </c>
      <c r="O102" s="13">
        <v>60</v>
      </c>
      <c r="P102" t="s">
        <v>790</v>
      </c>
      <c r="Q102" t="str">
        <f t="shared" ca="1" si="19"/>
        <v>$B$5:$J$239</v>
      </c>
      <c r="R102" s="4" t="str">
        <f t="shared" ca="1" si="20"/>
        <v>define symbol radio_INIT      = 0x1FFF0790;</v>
      </c>
    </row>
    <row r="103" spans="1:19" x14ac:dyDescent="0.25">
      <c r="A103" s="13" t="s">
        <v>653</v>
      </c>
      <c r="B103" s="13" t="s">
        <v>37</v>
      </c>
      <c r="C103" s="13" t="s">
        <v>610</v>
      </c>
      <c r="D103">
        <f t="shared" ca="1" si="21"/>
        <v>536807376</v>
      </c>
      <c r="E103" t="str">
        <f t="shared" ca="1" si="22"/>
        <v>0x1FFF07D0</v>
      </c>
      <c r="F103">
        <f t="shared" ca="1" si="16"/>
        <v>0</v>
      </c>
      <c r="G103" s="12">
        <v>5</v>
      </c>
      <c r="H103">
        <f t="shared" ca="1" si="17"/>
        <v>0</v>
      </c>
      <c r="I103" s="12">
        <v>0</v>
      </c>
      <c r="J103">
        <f t="shared" ca="1" si="18"/>
        <v>0</v>
      </c>
      <c r="K103" s="12">
        <v>8</v>
      </c>
      <c r="L103" s="12">
        <v>0</v>
      </c>
      <c r="M103" s="13">
        <v>536807504</v>
      </c>
      <c r="N103" s="13">
        <v>536807504</v>
      </c>
      <c r="O103" s="13">
        <v>0</v>
      </c>
      <c r="P103" t="s">
        <v>790</v>
      </c>
      <c r="Q103" t="str">
        <f t="shared" ca="1" si="19"/>
        <v>$B$5:$J$239</v>
      </c>
      <c r="R103" s="4" t="str">
        <f t="shared" ca="1" si="20"/>
        <v>//define symbol security_INIT   = 0x1FFF07D0;</v>
      </c>
    </row>
    <row r="104" spans="1:19" x14ac:dyDescent="0.25">
      <c r="A104" s="13" t="s">
        <v>654</v>
      </c>
      <c r="B104" s="13" t="s">
        <v>37</v>
      </c>
      <c r="C104" s="13" t="s">
        <v>610</v>
      </c>
      <c r="D104">
        <f t="shared" ca="1" si="21"/>
        <v>536807376</v>
      </c>
      <c r="E104" t="str">
        <f t="shared" ca="1" si="22"/>
        <v>0x1FFF07D0</v>
      </c>
      <c r="F104">
        <f t="shared" ca="1" si="16"/>
        <v>5</v>
      </c>
      <c r="G104" s="12">
        <v>5</v>
      </c>
      <c r="H104">
        <f t="shared" ca="1" si="17"/>
        <v>0</v>
      </c>
      <c r="I104" s="12">
        <v>0</v>
      </c>
      <c r="J104">
        <f t="shared" ca="1" si="18"/>
        <v>11</v>
      </c>
      <c r="K104" s="12">
        <v>8</v>
      </c>
      <c r="L104" s="12">
        <v>0</v>
      </c>
      <c r="M104" s="13">
        <v>536807504</v>
      </c>
      <c r="N104" s="13">
        <v>536807504</v>
      </c>
      <c r="O104" s="13">
        <v>1</v>
      </c>
      <c r="P104" t="s">
        <v>790</v>
      </c>
      <c r="Q104" t="str">
        <f t="shared" ca="1" si="19"/>
        <v>$B$5:$J$239</v>
      </c>
      <c r="R104" s="4" t="str">
        <f t="shared" ca="1" si="20"/>
        <v>define symbol AclaraBSP_INIT  = 0x1FFF07D0;</v>
      </c>
    </row>
    <row r="105" spans="1:19" x14ac:dyDescent="0.25">
      <c r="A105" s="13" t="s">
        <v>655</v>
      </c>
      <c r="B105" s="13" t="s">
        <v>37</v>
      </c>
      <c r="C105" s="13" t="s">
        <v>610</v>
      </c>
      <c r="D105">
        <f t="shared" ca="1" si="21"/>
        <v>536807392</v>
      </c>
      <c r="E105" t="str">
        <f t="shared" ca="1" si="22"/>
        <v>0x1FFF07E0</v>
      </c>
      <c r="F105">
        <f t="shared" ca="1" si="16"/>
        <v>94</v>
      </c>
      <c r="G105" s="12">
        <v>5</v>
      </c>
      <c r="H105">
        <f t="shared" ca="1" si="17"/>
        <v>4</v>
      </c>
      <c r="I105" s="12">
        <v>0</v>
      </c>
      <c r="J105">
        <f t="shared" ca="1" si="18"/>
        <v>18</v>
      </c>
      <c r="K105" s="12">
        <v>8</v>
      </c>
      <c r="L105" s="12">
        <v>0</v>
      </c>
      <c r="M105" s="13">
        <v>536807512</v>
      </c>
      <c r="N105" s="13">
        <v>536807512</v>
      </c>
      <c r="O105" s="13">
        <v>94</v>
      </c>
      <c r="P105" t="s">
        <v>790</v>
      </c>
      <c r="Q105" t="str">
        <f t="shared" ca="1" si="19"/>
        <v>$B$5:$J$239</v>
      </c>
      <c r="R105" s="4" t="str">
        <f t="shared" ca="1" si="20"/>
        <v>define symbol Common_INIT     = 0x1FFF07E0;</v>
      </c>
    </row>
    <row r="106" spans="1:19" x14ac:dyDescent="0.25">
      <c r="A106" s="13" t="s">
        <v>656</v>
      </c>
      <c r="B106" s="13" t="s">
        <v>37</v>
      </c>
      <c r="C106" s="13" t="s">
        <v>610</v>
      </c>
      <c r="D106">
        <f t="shared" ca="1" si="21"/>
        <v>536807504</v>
      </c>
      <c r="E106" t="str">
        <f t="shared" ca="1" si="22"/>
        <v>0x1FFF0850</v>
      </c>
      <c r="F106">
        <f t="shared" ca="1" si="16"/>
        <v>0</v>
      </c>
      <c r="G106" s="12">
        <v>5</v>
      </c>
      <c r="H106">
        <f t="shared" ca="1" si="17"/>
        <v>0</v>
      </c>
      <c r="I106" s="12">
        <v>0</v>
      </c>
      <c r="J106">
        <f ca="1">D108-D106-F106</f>
        <v>0</v>
      </c>
      <c r="K106" s="12">
        <v>8</v>
      </c>
      <c r="L106" s="12">
        <v>0</v>
      </c>
      <c r="M106" s="13">
        <v>536807632</v>
      </c>
      <c r="N106" s="13">
        <v>536807632</v>
      </c>
      <c r="O106" s="13">
        <v>56</v>
      </c>
      <c r="P106" t="s">
        <v>790</v>
      </c>
      <c r="Q106" t="str">
        <f t="shared" ca="1" si="19"/>
        <v>$B$5:$J$239</v>
      </c>
      <c r="R106" s="4" t="str">
        <f t="shared" ca="1" si="20"/>
        <v>//define symbol HMC_INIT        = 0x1FFF0850;</v>
      </c>
    </row>
    <row r="107" spans="1:19" x14ac:dyDescent="0.25">
      <c r="A107" s="13" t="s">
        <v>1142</v>
      </c>
      <c r="B107" s="13" t="s">
        <v>37</v>
      </c>
      <c r="C107" s="13" t="s">
        <v>610</v>
      </c>
      <c r="D107">
        <f t="shared" ca="1" si="21"/>
        <v>536807504</v>
      </c>
      <c r="E107" t="str">
        <f t="shared" ca="1" si="22"/>
        <v>0x1FFF0850</v>
      </c>
      <c r="F107">
        <f t="shared" ca="1" si="16"/>
        <v>0</v>
      </c>
      <c r="G107" s="12">
        <v>5</v>
      </c>
      <c r="H107">
        <f t="shared" ca="1" si="17"/>
        <v>0</v>
      </c>
      <c r="I107" s="12">
        <f ca="1">IF(F233&gt;F107,F233-F107,0)</f>
        <v>0</v>
      </c>
      <c r="J107">
        <f t="shared" ref="J107" ca="1" si="23">D109-D107-F107</f>
        <v>24</v>
      </c>
      <c r="K107" s="12">
        <v>8</v>
      </c>
      <c r="L107" s="12">
        <v>0</v>
      </c>
      <c r="M107" s="13">
        <v>536807624</v>
      </c>
      <c r="N107" s="13">
        <v>536807624</v>
      </c>
      <c r="O107" s="13">
        <v>0</v>
      </c>
      <c r="P107" t="s">
        <v>790</v>
      </c>
      <c r="Q107" t="str">
        <f t="shared" ca="1" si="19"/>
        <v>$B$5:$J$239</v>
      </c>
      <c r="R107" s="4" t="str">
        <f t="shared" ca="1" si="20"/>
        <v>//define symbol AclaraDA_INIT    = 0x1FFF0850;</v>
      </c>
    </row>
    <row r="108" spans="1:19" x14ac:dyDescent="0.25">
      <c r="A108" s="13" t="s">
        <v>657</v>
      </c>
      <c r="B108" s="13" t="s">
        <v>37</v>
      </c>
      <c r="C108" s="13" t="s">
        <v>610</v>
      </c>
      <c r="D108">
        <f t="shared" ca="1" si="21"/>
        <v>536807504</v>
      </c>
      <c r="E108" t="str">
        <f t="shared" ca="1" si="22"/>
        <v>0x1FFF0850</v>
      </c>
      <c r="F108">
        <f t="shared" ca="1" si="16"/>
        <v>7</v>
      </c>
      <c r="G108" s="12">
        <v>5</v>
      </c>
      <c r="H108">
        <f t="shared" ca="1" si="17"/>
        <v>0</v>
      </c>
      <c r="I108" s="12">
        <v>0</v>
      </c>
      <c r="J108">
        <f t="shared" ca="1" si="18"/>
        <v>17</v>
      </c>
      <c r="K108" s="12">
        <v>8</v>
      </c>
      <c r="L108" s="12">
        <v>0</v>
      </c>
      <c r="M108" s="13">
        <v>536807760</v>
      </c>
      <c r="N108" s="13">
        <v>536807760</v>
      </c>
      <c r="O108" s="13">
        <v>76</v>
      </c>
      <c r="P108" t="s">
        <v>790</v>
      </c>
      <c r="Q108" t="str">
        <f t="shared" ca="1" si="19"/>
        <v>$B$5:$J$239</v>
      </c>
      <c r="R108" s="4" t="str">
        <f t="shared" ca="1" si="20"/>
        <v>define symbol MTU_Common_INIT = 0x1FFF0850;</v>
      </c>
    </row>
    <row r="109" spans="1:19" x14ac:dyDescent="0.25">
      <c r="A109" s="13" t="s">
        <v>744</v>
      </c>
      <c r="B109" s="13" t="s">
        <v>9</v>
      </c>
      <c r="C109" s="13" t="s">
        <v>610</v>
      </c>
      <c r="D109">
        <f t="shared" ca="1" si="21"/>
        <v>536807528</v>
      </c>
      <c r="E109" t="str">
        <f t="shared" ca="1" si="22"/>
        <v>0x1FFF0868</v>
      </c>
      <c r="F109">
        <v>0</v>
      </c>
      <c r="G109" s="12">
        <v>5</v>
      </c>
      <c r="H109">
        <v>0</v>
      </c>
      <c r="I109" s="12">
        <v>0</v>
      </c>
      <c r="J109">
        <f t="shared" ca="1" si="18"/>
        <v>0</v>
      </c>
      <c r="K109" s="12">
        <v>8</v>
      </c>
      <c r="L109" s="12">
        <v>0</v>
      </c>
      <c r="M109" s="13">
        <v>536807864</v>
      </c>
      <c r="N109" s="13">
        <v>536807864</v>
      </c>
      <c r="O109" s="13">
        <v>0</v>
      </c>
      <c r="P109" t="s">
        <v>802</v>
      </c>
      <c r="Q109" t="str">
        <f t="shared" ca="1" si="19"/>
        <v>$B$5:$J$30</v>
      </c>
      <c r="R109" s="4" t="str">
        <f t="shared" ca="1" si="20"/>
        <v>//define symbol CommandLine_INIT  = 0x1FFF0868;</v>
      </c>
    </row>
    <row r="110" spans="1:19" x14ac:dyDescent="0.25">
      <c r="A110" s="13" t="s">
        <v>775</v>
      </c>
      <c r="B110" s="13" t="s">
        <v>37</v>
      </c>
      <c r="C110" s="13" t="s">
        <v>610</v>
      </c>
      <c r="D110">
        <f t="shared" ca="1" si="21"/>
        <v>536807528</v>
      </c>
      <c r="E110" t="str">
        <f t="shared" ca="1" si="22"/>
        <v>0x1FFF0868</v>
      </c>
      <c r="F110">
        <f t="shared" ref="F110:F123" ca="1" si="24">VLOOKUP(A110&amp;"_end",INDIRECT("'"&amp;P110&amp;"'!"&amp;Q110),5,FALSE)</f>
        <v>68</v>
      </c>
      <c r="G110" s="12">
        <v>5</v>
      </c>
      <c r="H110">
        <f t="shared" ref="H110:H123" ca="1" si="25">VLOOKUP(A110&amp;"_end",INDIRECT("'"&amp;P110&amp;"'!"&amp;Q110),6,FALSE)</f>
        <v>3</v>
      </c>
      <c r="I110" s="12">
        <v>0</v>
      </c>
      <c r="J110">
        <f t="shared" ca="1" si="18"/>
        <v>4</v>
      </c>
      <c r="K110" s="12">
        <v>8</v>
      </c>
      <c r="L110" s="12">
        <v>0</v>
      </c>
      <c r="M110" s="13">
        <v>536807864</v>
      </c>
      <c r="N110" s="13">
        <v>536807864</v>
      </c>
      <c r="O110" s="13">
        <v>60</v>
      </c>
      <c r="P110" t="s">
        <v>790</v>
      </c>
      <c r="Q110" t="str">
        <f t="shared" ca="1" si="19"/>
        <v>$B$5:$J$239</v>
      </c>
      <c r="R110" s="4" t="str">
        <f t="shared" ca="1" si="20"/>
        <v>define symbol APP_RW_TEXT     = 0x1FFF0868;</v>
      </c>
      <c r="S110" t="s">
        <v>851</v>
      </c>
    </row>
    <row r="111" spans="1:19" x14ac:dyDescent="0.25">
      <c r="A111" s="13" t="s">
        <v>594</v>
      </c>
      <c r="B111" s="13" t="s">
        <v>37</v>
      </c>
      <c r="C111" s="13" t="s">
        <v>473</v>
      </c>
      <c r="D111">
        <f t="shared" ca="1" si="21"/>
        <v>536807600</v>
      </c>
      <c r="E111" t="str">
        <f t="shared" ca="1" si="22"/>
        <v>0x1FFF08B0</v>
      </c>
      <c r="F111">
        <f t="shared" ca="1" si="24"/>
        <v>2048</v>
      </c>
      <c r="G111" s="12">
        <v>0</v>
      </c>
      <c r="H111">
        <f t="shared" ca="1" si="25"/>
        <v>0</v>
      </c>
      <c r="I111" s="12">
        <v>0</v>
      </c>
      <c r="J111">
        <f t="shared" ca="1" si="18"/>
        <v>0</v>
      </c>
      <c r="K111" s="12">
        <v>16</v>
      </c>
      <c r="L111" s="12">
        <v>0</v>
      </c>
      <c r="M111" s="13">
        <v>536807936</v>
      </c>
      <c r="N111" s="13">
        <v>536807936</v>
      </c>
      <c r="O111" s="13">
        <v>1024</v>
      </c>
      <c r="P111" t="s">
        <v>790</v>
      </c>
      <c r="Q111" t="str">
        <f t="shared" ca="1" si="19"/>
        <v>$B$5:$J$239</v>
      </c>
      <c r="R111" s="4" t="str">
        <f t="shared" ca="1" si="20"/>
        <v>define symbol APP_NOINIT      = 0x1FFF08B0;</v>
      </c>
      <c r="S111" t="s">
        <v>773</v>
      </c>
    </row>
    <row r="112" spans="1:19" x14ac:dyDescent="0.25">
      <c r="A112" s="13" t="s">
        <v>659</v>
      </c>
      <c r="B112" s="13" t="s">
        <v>37</v>
      </c>
      <c r="C112" s="13" t="s">
        <v>472</v>
      </c>
      <c r="D112">
        <f t="shared" ca="1" si="21"/>
        <v>536809648</v>
      </c>
      <c r="E112" t="str">
        <f t="shared" ca="1" si="22"/>
        <v>0x1FFF10B0</v>
      </c>
      <c r="F112">
        <f t="shared" ca="1" si="24"/>
        <v>1858</v>
      </c>
      <c r="G112" s="12">
        <v>5</v>
      </c>
      <c r="H112">
        <f t="shared" ca="1" si="25"/>
        <v>92</v>
      </c>
      <c r="I112" s="12">
        <v>0</v>
      </c>
      <c r="J112">
        <f t="shared" ca="1" si="18"/>
        <v>102</v>
      </c>
      <c r="K112" s="12">
        <v>8</v>
      </c>
      <c r="L112" s="12">
        <v>0</v>
      </c>
      <c r="M112" s="13">
        <v>536808960</v>
      </c>
      <c r="N112" s="13">
        <v>536808960</v>
      </c>
      <c r="O112" s="13">
        <v>1858</v>
      </c>
      <c r="P112" t="s">
        <v>797</v>
      </c>
      <c r="Q112" t="str">
        <f t="shared" ca="1" si="19"/>
        <v>$B$5:$J$226</v>
      </c>
      <c r="R112" s="4" t="str">
        <f t="shared" ca="1" si="20"/>
        <v>define symbol utils_BSS      = 0x1FFF10B0;</v>
      </c>
    </row>
    <row r="113" spans="1:19" x14ac:dyDescent="0.25">
      <c r="A113" s="13" t="s">
        <v>660</v>
      </c>
      <c r="B113" s="13" t="s">
        <v>37</v>
      </c>
      <c r="C113" s="13" t="s">
        <v>472</v>
      </c>
      <c r="D113">
        <f t="shared" ca="1" si="21"/>
        <v>536811608</v>
      </c>
      <c r="E113" t="str">
        <f t="shared" ca="1" si="22"/>
        <v>0x1FFF1858</v>
      </c>
      <c r="F113">
        <f t="shared" ca="1" si="24"/>
        <v>298</v>
      </c>
      <c r="G113" s="12">
        <v>5</v>
      </c>
      <c r="H113">
        <f t="shared" ca="1" si="25"/>
        <v>14</v>
      </c>
      <c r="I113" s="12">
        <v>0</v>
      </c>
      <c r="J113">
        <f t="shared" ca="1" si="18"/>
        <v>22</v>
      </c>
      <c r="K113" s="12">
        <v>8</v>
      </c>
      <c r="L113" s="12">
        <v>0</v>
      </c>
      <c r="M113" s="13">
        <v>536810920</v>
      </c>
      <c r="N113" s="13">
        <v>536810920</v>
      </c>
      <c r="O113" s="13">
        <v>301</v>
      </c>
      <c r="P113" t="s">
        <v>797</v>
      </c>
      <c r="Q113" t="str">
        <f t="shared" ca="1" si="19"/>
        <v>$B$5:$J$226</v>
      </c>
      <c r="R113" s="4" t="str">
        <f t="shared" ca="1" si="20"/>
        <v>define symbol dfw_BSS        = 0x1FFF1858;</v>
      </c>
    </row>
    <row r="114" spans="1:19" x14ac:dyDescent="0.25">
      <c r="A114" s="13" t="s">
        <v>661</v>
      </c>
      <c r="B114" s="13" t="s">
        <v>37</v>
      </c>
      <c r="C114" s="13" t="s">
        <v>472</v>
      </c>
      <c r="D114">
        <f t="shared" ca="1" si="21"/>
        <v>536811928</v>
      </c>
      <c r="E114" t="str">
        <f t="shared" ca="1" si="22"/>
        <v>0x1FFF1998</v>
      </c>
      <c r="F114">
        <f t="shared" ca="1" si="24"/>
        <v>770</v>
      </c>
      <c r="G114" s="12">
        <v>5</v>
      </c>
      <c r="H114">
        <f t="shared" ca="1" si="25"/>
        <v>38</v>
      </c>
      <c r="I114" s="12">
        <v>0</v>
      </c>
      <c r="J114">
        <f t="shared" ca="1" si="18"/>
        <v>78</v>
      </c>
      <c r="K114" s="12">
        <v>8</v>
      </c>
      <c r="L114" s="12">
        <v>0</v>
      </c>
      <c r="M114" s="13">
        <v>536811248</v>
      </c>
      <c r="N114" s="13">
        <v>536811248</v>
      </c>
      <c r="O114" s="13">
        <v>758</v>
      </c>
      <c r="P114" t="s">
        <v>797</v>
      </c>
      <c r="Q114" t="str">
        <f t="shared" ca="1" si="19"/>
        <v>$B$5:$J$226</v>
      </c>
      <c r="R114" s="4" t="str">
        <f t="shared" ca="1" si="20"/>
        <v>define symbol driver_BSS     = 0x1FFF1998;</v>
      </c>
    </row>
    <row r="115" spans="1:19" x14ac:dyDescent="0.25">
      <c r="A115" s="13" t="s">
        <v>662</v>
      </c>
      <c r="B115" s="13" t="s">
        <v>37</v>
      </c>
      <c r="C115" s="13" t="s">
        <v>472</v>
      </c>
      <c r="D115">
        <f t="shared" ca="1" si="21"/>
        <v>536812776</v>
      </c>
      <c r="E115" t="str">
        <f t="shared" ca="1" si="22"/>
        <v>0x1FFF1CE8</v>
      </c>
      <c r="F115">
        <f t="shared" ca="1" si="24"/>
        <v>27027</v>
      </c>
      <c r="G115" s="12">
        <v>5</v>
      </c>
      <c r="H115">
        <f t="shared" ca="1" si="25"/>
        <v>1351</v>
      </c>
      <c r="I115" s="12">
        <v>0</v>
      </c>
      <c r="J115">
        <f t="shared" ca="1" si="18"/>
        <v>1397</v>
      </c>
      <c r="K115" s="12">
        <v>8</v>
      </c>
      <c r="L115" s="12">
        <v>0</v>
      </c>
      <c r="M115" s="13">
        <v>536812080</v>
      </c>
      <c r="N115" s="13">
        <v>536812080</v>
      </c>
      <c r="O115" s="13">
        <v>10965</v>
      </c>
      <c r="P115" t="s">
        <v>797</v>
      </c>
      <c r="Q115" t="str">
        <f t="shared" ca="1" si="19"/>
        <v>$B$5:$J$226</v>
      </c>
      <c r="R115" s="4" t="str">
        <f t="shared" ca="1" si="20"/>
        <v>define symbol stack_BSS      = 0x1FFF1CE8;</v>
      </c>
    </row>
    <row r="116" spans="1:19" x14ac:dyDescent="0.25">
      <c r="A116" s="13" t="s">
        <v>663</v>
      </c>
      <c r="B116" s="13" t="s">
        <v>37</v>
      </c>
      <c r="C116" s="13" t="s">
        <v>472</v>
      </c>
      <c r="D116">
        <f t="shared" ca="1" si="21"/>
        <v>536841200</v>
      </c>
      <c r="E116" t="str">
        <f t="shared" ca="1" si="22"/>
        <v>0x1FFF8BF0</v>
      </c>
      <c r="F116">
        <f t="shared" ca="1" si="24"/>
        <v>0</v>
      </c>
      <c r="G116" s="12">
        <v>5</v>
      </c>
      <c r="H116">
        <f t="shared" ca="1" si="25"/>
        <v>0</v>
      </c>
      <c r="I116" s="12">
        <v>0</v>
      </c>
      <c r="J116">
        <f t="shared" ca="1" si="18"/>
        <v>0</v>
      </c>
      <c r="K116" s="12">
        <v>8</v>
      </c>
      <c r="L116" s="12">
        <v>0</v>
      </c>
      <c r="M116" s="13">
        <v>536823600</v>
      </c>
      <c r="N116" s="13">
        <v>536823600</v>
      </c>
      <c r="O116" s="13">
        <v>0</v>
      </c>
      <c r="P116" t="s">
        <v>797</v>
      </c>
      <c r="Q116" t="str">
        <f t="shared" ca="1" si="19"/>
        <v>$B$5:$J$226</v>
      </c>
      <c r="R116" s="4" t="str">
        <f t="shared" ca="1" si="20"/>
        <v>//define symbol OS_API_BSS     = 0x1FFF8BF0;</v>
      </c>
    </row>
    <row r="117" spans="1:19" x14ac:dyDescent="0.25">
      <c r="A117" s="13" t="s">
        <v>664</v>
      </c>
      <c r="B117" s="13" t="s">
        <v>37</v>
      </c>
      <c r="C117" s="13" t="s">
        <v>472</v>
      </c>
      <c r="D117">
        <f t="shared" ca="1" si="21"/>
        <v>536841200</v>
      </c>
      <c r="E117" t="str">
        <f t="shared" ca="1" si="22"/>
        <v>0x1FFF8BF0</v>
      </c>
      <c r="F117">
        <f t="shared" ca="1" si="24"/>
        <v>3208</v>
      </c>
      <c r="G117" s="12">
        <v>5</v>
      </c>
      <c r="H117">
        <f t="shared" ca="1" si="25"/>
        <v>160</v>
      </c>
      <c r="I117" s="12">
        <v>0</v>
      </c>
      <c r="J117">
        <f t="shared" ca="1" si="18"/>
        <v>160</v>
      </c>
      <c r="K117" s="12">
        <v>8</v>
      </c>
      <c r="L117" s="12">
        <v>0</v>
      </c>
      <c r="M117" s="13">
        <v>536823600</v>
      </c>
      <c r="N117" s="13">
        <v>536823600</v>
      </c>
      <c r="O117" s="13">
        <v>543</v>
      </c>
      <c r="P117" t="s">
        <v>797</v>
      </c>
      <c r="Q117" t="str">
        <f t="shared" ca="1" si="19"/>
        <v>$B$5:$J$226</v>
      </c>
      <c r="R117" s="4" t="str">
        <f t="shared" ca="1" si="20"/>
        <v>define symbol radio_BSS      = 0x1FFF8BF0;</v>
      </c>
    </row>
    <row r="118" spans="1:19" x14ac:dyDescent="0.25">
      <c r="A118" s="13" t="s">
        <v>665</v>
      </c>
      <c r="B118" s="13" t="s">
        <v>37</v>
      </c>
      <c r="C118" s="13" t="s">
        <v>472</v>
      </c>
      <c r="D118">
        <f t="shared" ca="1" si="21"/>
        <v>536844568</v>
      </c>
      <c r="E118" t="str">
        <f t="shared" ca="1" si="22"/>
        <v>0x1FFF9918</v>
      </c>
      <c r="F118">
        <f t="shared" ca="1" si="24"/>
        <v>196</v>
      </c>
      <c r="G118" s="12">
        <v>5</v>
      </c>
      <c r="H118">
        <f t="shared" ca="1" si="25"/>
        <v>9</v>
      </c>
      <c r="I118" s="12">
        <v>0</v>
      </c>
      <c r="J118">
        <f t="shared" ca="1" si="18"/>
        <v>20</v>
      </c>
      <c r="K118" s="12">
        <v>8</v>
      </c>
      <c r="L118" s="12">
        <v>0</v>
      </c>
      <c r="M118" s="13">
        <v>536824192</v>
      </c>
      <c r="N118" s="13">
        <v>536824192</v>
      </c>
      <c r="O118" s="13">
        <v>196</v>
      </c>
      <c r="P118" t="s">
        <v>797</v>
      </c>
      <c r="Q118" t="str">
        <f t="shared" ca="1" si="19"/>
        <v>$B$5:$J$226</v>
      </c>
      <c r="R118" s="4" t="str">
        <f t="shared" ca="1" si="20"/>
        <v>define symbol security_BSS   = 0x1FFF9918;</v>
      </c>
    </row>
    <row r="119" spans="1:19" x14ac:dyDescent="0.25">
      <c r="A119" s="13" t="s">
        <v>666</v>
      </c>
      <c r="B119" s="13" t="s">
        <v>37</v>
      </c>
      <c r="C119" s="13" t="s">
        <v>472</v>
      </c>
      <c r="D119">
        <f t="shared" ca="1" si="21"/>
        <v>536844784</v>
      </c>
      <c r="E119" t="str">
        <f t="shared" ca="1" si="22"/>
        <v>0x1FFF99F0</v>
      </c>
      <c r="F119">
        <f t="shared" ca="1" si="24"/>
        <v>151</v>
      </c>
      <c r="G119" s="12">
        <v>5</v>
      </c>
      <c r="H119">
        <f t="shared" ca="1" si="25"/>
        <v>7</v>
      </c>
      <c r="I119" s="12">
        <v>0</v>
      </c>
      <c r="J119">
        <f t="shared" ca="1" si="18"/>
        <v>33</v>
      </c>
      <c r="K119" s="12">
        <v>8</v>
      </c>
      <c r="L119" s="12">
        <v>0</v>
      </c>
      <c r="M119" s="13">
        <v>536824472</v>
      </c>
      <c r="N119" s="13">
        <v>536824472</v>
      </c>
      <c r="O119" s="13">
        <v>764</v>
      </c>
      <c r="P119" t="s">
        <v>797</v>
      </c>
      <c r="Q119" t="str">
        <f t="shared" ca="1" si="19"/>
        <v>$B$5:$J$226</v>
      </c>
      <c r="R119" s="4" t="str">
        <f t="shared" ca="1" si="20"/>
        <v>define symbol AclaraBSP_BSS  = 0x1FFF99F0;</v>
      </c>
    </row>
    <row r="120" spans="1:19" x14ac:dyDescent="0.25">
      <c r="A120" s="13" t="s">
        <v>667</v>
      </c>
      <c r="B120" s="13" t="s">
        <v>37</v>
      </c>
      <c r="C120" s="13" t="s">
        <v>472</v>
      </c>
      <c r="D120">
        <f t="shared" ca="1" si="21"/>
        <v>536844968</v>
      </c>
      <c r="E120" t="str">
        <f t="shared" ca="1" si="22"/>
        <v>0x1FFF9AA8</v>
      </c>
      <c r="F120">
        <f t="shared" ca="1" si="24"/>
        <v>8840</v>
      </c>
      <c r="G120" s="12">
        <v>5</v>
      </c>
      <c r="H120">
        <f t="shared" ca="1" si="25"/>
        <v>442</v>
      </c>
      <c r="I120" s="12">
        <v>0</v>
      </c>
      <c r="J120">
        <f t="shared" ca="1" si="18"/>
        <v>448</v>
      </c>
      <c r="K120" s="12">
        <v>8</v>
      </c>
      <c r="L120" s="12">
        <v>0</v>
      </c>
      <c r="M120" s="13">
        <v>536826024</v>
      </c>
      <c r="N120" s="13">
        <v>536826024</v>
      </c>
      <c r="O120" s="13">
        <v>7994</v>
      </c>
      <c r="P120" t="s">
        <v>797</v>
      </c>
      <c r="Q120" t="str">
        <f t="shared" ca="1" si="19"/>
        <v>$B$5:$J$226</v>
      </c>
      <c r="R120" s="4" t="str">
        <f t="shared" ca="1" si="20"/>
        <v>define symbol Common_BSS     = 0x1FFF9AA8;</v>
      </c>
    </row>
    <row r="121" spans="1:19" x14ac:dyDescent="0.25">
      <c r="A121" s="13" t="s">
        <v>668</v>
      </c>
      <c r="B121" s="13" t="s">
        <v>37</v>
      </c>
      <c r="C121" s="13" t="s">
        <v>472</v>
      </c>
      <c r="D121">
        <f t="shared" ca="1" si="21"/>
        <v>536854256</v>
      </c>
      <c r="E121" t="str">
        <f t="shared" ca="1" si="22"/>
        <v>0x1FFFBEF0</v>
      </c>
      <c r="F121">
        <f t="shared" ca="1" si="24"/>
        <v>0</v>
      </c>
      <c r="G121" s="12">
        <v>5</v>
      </c>
      <c r="H121">
        <f t="shared" ca="1" si="25"/>
        <v>0</v>
      </c>
      <c r="I121" s="12">
        <v>0</v>
      </c>
      <c r="J121">
        <f ca="1">D123-D121-F121</f>
        <v>2656</v>
      </c>
      <c r="K121" s="12">
        <v>8</v>
      </c>
      <c r="L121" s="12">
        <v>0</v>
      </c>
      <c r="M121" s="13">
        <v>536842448</v>
      </c>
      <c r="N121" s="13">
        <v>536842448</v>
      </c>
      <c r="O121" s="13">
        <v>1244</v>
      </c>
      <c r="P121" t="s">
        <v>797</v>
      </c>
      <c r="Q121" t="str">
        <f t="shared" ca="1" si="19"/>
        <v>$B$5:$J$226</v>
      </c>
      <c r="R121" s="4" t="str">
        <f t="shared" ca="1" si="20"/>
        <v>//define symbol HMC_BSS        = 0x1FFFBEF0;</v>
      </c>
    </row>
    <row r="122" spans="1:19" x14ac:dyDescent="0.25">
      <c r="A122" s="13" t="s">
        <v>1143</v>
      </c>
      <c r="B122" s="13" t="s">
        <v>37</v>
      </c>
      <c r="C122" s="13" t="s">
        <v>472</v>
      </c>
      <c r="D122">
        <f t="shared" ca="1" si="21"/>
        <v>536854256</v>
      </c>
      <c r="E122" t="str">
        <f t="shared" ca="1" si="22"/>
        <v>0x1FFFBEF0</v>
      </c>
      <c r="F122">
        <f t="shared" ca="1" si="24"/>
        <v>2506</v>
      </c>
      <c r="G122" s="12">
        <v>5</v>
      </c>
      <c r="H122">
        <f t="shared" ca="1" si="25"/>
        <v>125</v>
      </c>
      <c r="I122" s="12">
        <f t="shared" ref="I122" ca="1" si="26">IF(F247&gt;F122,F247-F122,0)</f>
        <v>0</v>
      </c>
      <c r="J122">
        <f t="shared" ref="J122" ca="1" si="27">D124-D122-F122</f>
        <v>3006</v>
      </c>
      <c r="K122" s="12">
        <v>8</v>
      </c>
      <c r="L122" s="12">
        <v>0</v>
      </c>
      <c r="M122" s="13">
        <v>536834496</v>
      </c>
      <c r="N122" s="13">
        <v>536834496</v>
      </c>
      <c r="O122" s="13">
        <v>2506</v>
      </c>
      <c r="P122" t="s">
        <v>797</v>
      </c>
      <c r="Q122" t="str">
        <f t="shared" ca="1" si="19"/>
        <v>$B$5:$J$226</v>
      </c>
      <c r="R122" s="4" t="str">
        <f t="shared" ca="1" si="20"/>
        <v>define symbol AclaraDA_BSS   = 0x1FFFBEF0;</v>
      </c>
    </row>
    <row r="123" spans="1:19" x14ac:dyDescent="0.25">
      <c r="A123" s="13" t="s">
        <v>669</v>
      </c>
      <c r="B123" s="13" t="s">
        <v>37</v>
      </c>
      <c r="C123" s="13" t="s">
        <v>472</v>
      </c>
      <c r="D123">
        <f t="shared" ca="1" si="21"/>
        <v>536856912</v>
      </c>
      <c r="E123" t="str">
        <f t="shared" ca="1" si="22"/>
        <v>0x1FFFC950</v>
      </c>
      <c r="F123">
        <f t="shared" ca="1" si="24"/>
        <v>2698</v>
      </c>
      <c r="G123" s="12">
        <v>5</v>
      </c>
      <c r="H123">
        <f t="shared" ca="1" si="25"/>
        <v>134</v>
      </c>
      <c r="I123" s="12">
        <v>0</v>
      </c>
      <c r="J123">
        <f t="shared" ca="1" si="18"/>
        <v>158</v>
      </c>
      <c r="K123" s="12">
        <v>8</v>
      </c>
      <c r="L123" s="12">
        <v>0</v>
      </c>
      <c r="M123" s="13">
        <v>536844808</v>
      </c>
      <c r="N123" s="13">
        <v>536844808</v>
      </c>
      <c r="O123" s="13">
        <v>1953</v>
      </c>
      <c r="P123" t="s">
        <v>797</v>
      </c>
      <c r="Q123" t="str">
        <f t="shared" ca="1" si="19"/>
        <v>$B$5:$J$226</v>
      </c>
      <c r="R123" s="4" t="str">
        <f t="shared" ca="1" si="20"/>
        <v>define symbol MTU_Common_BSS = 0x1FFFC950;</v>
      </c>
    </row>
    <row r="124" spans="1:19" x14ac:dyDescent="0.25">
      <c r="A124" s="13" t="s">
        <v>745</v>
      </c>
      <c r="B124" s="13" t="s">
        <v>9</v>
      </c>
      <c r="C124" s="13" t="s">
        <v>472</v>
      </c>
      <c r="D124">
        <f t="shared" ca="1" si="21"/>
        <v>536859768</v>
      </c>
      <c r="E124" t="str">
        <f ca="1">"0x"&amp;DEC2HEX(D124,8)</f>
        <v>0x1FFFD478</v>
      </c>
      <c r="F124">
        <v>0</v>
      </c>
      <c r="G124" s="12">
        <v>5</v>
      </c>
      <c r="H124">
        <v>0</v>
      </c>
      <c r="I124" s="12">
        <v>0</v>
      </c>
      <c r="J124">
        <f t="shared" ca="1" si="18"/>
        <v>8</v>
      </c>
      <c r="K124" s="12">
        <v>8</v>
      </c>
      <c r="L124" s="12">
        <v>0</v>
      </c>
      <c r="M124" s="13">
        <v>536848456</v>
      </c>
      <c r="N124" s="13">
        <v>536848456</v>
      </c>
      <c r="O124" s="13">
        <v>0</v>
      </c>
      <c r="P124" t="s">
        <v>802</v>
      </c>
      <c r="Q124" t="str">
        <f t="shared" ca="1" si="19"/>
        <v>$B$5:$J$30</v>
      </c>
      <c r="R124" s="4" t="str">
        <f t="shared" ca="1" si="20"/>
        <v>//define symbol CommandLine_BSS   = 0x1FFFD478;</v>
      </c>
    </row>
    <row r="125" spans="1:19" x14ac:dyDescent="0.25">
      <c r="A125" s="13" t="s">
        <v>732</v>
      </c>
      <c r="B125" s="13" t="s">
        <v>15</v>
      </c>
      <c r="C125" s="13" t="s">
        <v>610</v>
      </c>
      <c r="D125">
        <f t="shared" ca="1" si="21"/>
        <v>536859776</v>
      </c>
      <c r="E125" t="str">
        <f ca="1">"0x"&amp;DEC2HEX(D125,8)</f>
        <v>0x1FFFD480</v>
      </c>
      <c r="F125">
        <f ca="1">VLOOKUP(A125&amp;"_end",INDIRECT("'"&amp;P125&amp;"'!"&amp;Q125),5,FALSE)</f>
        <v>4</v>
      </c>
      <c r="G125" s="12">
        <v>0</v>
      </c>
      <c r="H125">
        <f ca="1">VLOOKUP(A125&amp;"_end",INDIRECT("'"&amp;P125&amp;"'!"&amp;Q125),6,FALSE)</f>
        <v>0</v>
      </c>
      <c r="I125" s="12">
        <v>0</v>
      </c>
      <c r="J125">
        <f t="shared" ca="1" si="18"/>
        <v>12</v>
      </c>
      <c r="K125" s="12">
        <v>16</v>
      </c>
      <c r="L125" s="12">
        <v>0</v>
      </c>
      <c r="M125" s="13">
        <v>536848464</v>
      </c>
      <c r="N125" s="13">
        <v>536848464</v>
      </c>
      <c r="O125" s="13">
        <v>4</v>
      </c>
      <c r="P125" t="s">
        <v>796</v>
      </c>
      <c r="Q125" t="str">
        <f t="shared" ca="1" si="19"/>
        <v>$B$5:$J$46</v>
      </c>
      <c r="R125" s="4" t="str">
        <f t="shared" ca="1" si="20"/>
        <v>define symbol KERNEL_DATA_INIT     = 0x1FFFD480;</v>
      </c>
      <c r="S125" t="s">
        <v>741</v>
      </c>
    </row>
    <row r="126" spans="1:19" x14ac:dyDescent="0.25">
      <c r="B126" s="47" t="s">
        <v>755</v>
      </c>
      <c r="C126" s="47"/>
      <c r="D126">
        <f ca="1">IF(L126=0,MAX(D125+F125+MAX(H125:I125),VLOOKUP(A125&amp;"_end",INDIRECT("'"&amp;P125&amp;"'!"&amp;Q125),7,FALSE)),M126)</f>
        <v>536859792</v>
      </c>
      <c r="E126" t="str">
        <f ca="1">"0x"&amp;DEC2HEX(D126,8)</f>
        <v>0x1FFFD490</v>
      </c>
      <c r="M126">
        <v>536848480</v>
      </c>
      <c r="N126">
        <v>536848480</v>
      </c>
    </row>
    <row r="127" spans="1:19" x14ac:dyDescent="0.25">
      <c r="A127" t="s">
        <v>869</v>
      </c>
      <c r="B127" t="str">
        <f ca="1">CELL("address",$K$125)</f>
        <v>$K$125</v>
      </c>
      <c r="M127" s="49" t="s">
        <v>1034</v>
      </c>
      <c r="N127" s="49"/>
    </row>
    <row r="128" spans="1:19" x14ac:dyDescent="0.25">
      <c r="A128" t="s">
        <v>889</v>
      </c>
      <c r="F128">
        <f ca="1">SUM(F82:F125)</f>
        <v>51650</v>
      </c>
      <c r="H128">
        <f ca="1">SUM(H82:H125)</f>
        <v>2467</v>
      </c>
      <c r="J128">
        <f ca="1">SUM(J82:J125)</f>
        <v>8302</v>
      </c>
      <c r="K128" t="s">
        <v>891</v>
      </c>
    </row>
    <row r="129" spans="1:18" x14ac:dyDescent="0.25">
      <c r="R129" s="4"/>
    </row>
    <row r="130" spans="1:18" x14ac:dyDescent="0.25">
      <c r="A130" t="s">
        <v>892</v>
      </c>
      <c r="D130">
        <f ca="1">MemoryMap!C59-MemoryMap!C64-D125</f>
        <v>206800</v>
      </c>
      <c r="R130" s="4"/>
    </row>
    <row r="131" spans="1:18" x14ac:dyDescent="0.25">
      <c r="A131" t="s">
        <v>890</v>
      </c>
      <c r="D131">
        <f ca="1">D130-MemoryMap!$C$63</f>
        <v>108429</v>
      </c>
      <c r="E131" s="1" t="s">
        <v>893</v>
      </c>
      <c r="J131">
        <f ca="1">D131+J128</f>
        <v>116731</v>
      </c>
      <c r="K131" s="1" t="s">
        <v>894</v>
      </c>
      <c r="R131" s="4"/>
    </row>
    <row r="132" spans="1:18" x14ac:dyDescent="0.25">
      <c r="E132" s="48" t="s">
        <v>914</v>
      </c>
      <c r="F132" s="48"/>
      <c r="G132" s="48"/>
      <c r="H132" s="48"/>
      <c r="I132" s="48"/>
      <c r="J132" s="48"/>
      <c r="K132" s="48"/>
      <c r="L132" s="48"/>
      <c r="M132" s="48"/>
      <c r="N132" s="34"/>
      <c r="O132" s="34"/>
      <c r="R132" s="4"/>
    </row>
    <row r="133" spans="1:18" x14ac:dyDescent="0.25">
      <c r="A133" t="s">
        <v>843</v>
      </c>
      <c r="B133" t="str">
        <f ca="1">"GlobalPlcmnt!"&amp;VLOOKUP($A$133&amp;"_start",$A$1:$B$127,2,FALSE)&amp;":"&amp;VLOOKUP($A$133&amp;"_end",$A$1:$B$127,2,FALSE)</f>
        <v>GlobalPlcmnt!$A$6:$K$71</v>
      </c>
      <c r="R133" s="4"/>
    </row>
    <row r="134" spans="1:18" x14ac:dyDescent="0.25">
      <c r="A134" t="s">
        <v>844</v>
      </c>
      <c r="B134" t="str">
        <f ca="1">"GlobalPlcmnt!"&amp;VLOOKUP($A$134&amp;"_start",$A$1:$B$127,2,FALSE)&amp;":"&amp;VLOOKUP($A$134&amp;"_end",$A$1:$B$127,2,FALSE)</f>
        <v>GlobalPlcmnt!$A$82:$K$125</v>
      </c>
      <c r="R134" s="4"/>
    </row>
    <row r="135" spans="1:18" x14ac:dyDescent="0.25">
      <c r="R135" s="4"/>
    </row>
    <row r="136" spans="1:18" x14ac:dyDescent="0.25">
      <c r="A136" s="47" t="s">
        <v>873</v>
      </c>
      <c r="B136" s="47"/>
      <c r="C136" s="47"/>
      <c r="R136" s="4"/>
    </row>
    <row r="137" spans="1:18" x14ac:dyDescent="0.25">
      <c r="A137" t="s">
        <v>854</v>
      </c>
      <c r="B137" t="s">
        <v>563</v>
      </c>
      <c r="C137" t="s">
        <v>872</v>
      </c>
      <c r="R137" s="4"/>
    </row>
    <row r="138" spans="1:18" x14ac:dyDescent="0.25">
      <c r="A138">
        <f ca="1">COLUMN($D$82)-COLUMN(INDIRECT($B$77))+1</f>
        <v>4</v>
      </c>
      <c r="B138">
        <f ca="1">COLUMN($G$82)-COLUMN(INDIRECT($B$77))+1</f>
        <v>7</v>
      </c>
      <c r="C138">
        <f ca="1">COLUMN($K$82)-COLUMN(INDIRECT($B$77))+1</f>
        <v>11</v>
      </c>
      <c r="R138" s="4"/>
    </row>
    <row r="139" spans="1:18" x14ac:dyDescent="0.25">
      <c r="R139" s="4"/>
    </row>
    <row r="140" spans="1:18" x14ac:dyDescent="0.25">
      <c r="R140" s="4"/>
    </row>
  </sheetData>
  <sortState xmlns:xlrd2="http://schemas.microsoft.com/office/spreadsheetml/2017/richdata2" ref="A26:F136">
    <sortCondition ref="A26:A136"/>
  </sortState>
  <mergeCells count="14">
    <mergeCell ref="A136:C136"/>
    <mergeCell ref="A78:K78"/>
    <mergeCell ref="A2:K2"/>
    <mergeCell ref="B81:C81"/>
    <mergeCell ref="B126:C126"/>
    <mergeCell ref="B5:C5"/>
    <mergeCell ref="B72:C72"/>
    <mergeCell ref="D79:E79"/>
    <mergeCell ref="G79:J79"/>
    <mergeCell ref="D3:E3"/>
    <mergeCell ref="G3:J3"/>
    <mergeCell ref="E132:M132"/>
    <mergeCell ref="M73:N73"/>
    <mergeCell ref="M127:N127"/>
  </mergeCells>
  <conditionalFormatting sqref="M6:M72 M82:M126">
    <cfRule type="cellIs" dxfId="8" priority="58" operator="notEqual">
      <formula>D6</formula>
    </cfRule>
  </conditionalFormatting>
  <conditionalFormatting sqref="D82:D126 D6:D72">
    <cfRule type="cellIs" dxfId="7" priority="66" operator="notEqual">
      <formula>M6</formula>
    </cfRule>
  </conditionalFormatting>
  <conditionalFormatting sqref="N6:N72 N82:N126">
    <cfRule type="cellIs" dxfId="6" priority="59" operator="notEqual">
      <formula>D6</formula>
    </cfRule>
  </conditionalFormatting>
  <conditionalFormatting sqref="J82:J125 J6:J71">
    <cfRule type="expression" dxfId="5" priority="186">
      <formula>AND(F6=0,J6=0)</formula>
    </cfRule>
    <cfRule type="expression" dxfId="4" priority="195">
      <formula>AND(H6&gt;0,J6&lt;0)</formula>
    </cfRule>
    <cfRule type="cellIs" dxfId="3" priority="196" operator="lessThan">
      <formula>MAX(H6:I6)</formula>
    </cfRule>
    <cfRule type="cellIs" dxfId="2" priority="392" operator="greaterThanOrEqual">
      <formula>INT(F6*G6/100)</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7" stopIfTrue="1" operator="greaterThanOrEqual" id="{4BE20092-06D5-4BB5-A847-394C13F203F6}">
            <xm:f>MemoryMap!$C$42</xm:f>
            <x14:dxf>
              <fill>
                <patternFill>
                  <bgColor rgb="FFFF0000"/>
                </patternFill>
              </fill>
            </x14:dxf>
          </x14:cfRule>
          <xm:sqref>D6:D72</xm:sqref>
        </x14:conditionalFormatting>
        <x14:conditionalFormatting xmlns:xm="http://schemas.microsoft.com/office/excel/2006/main">
          <x14:cfRule type="cellIs" priority="1" operator="greaterThanOrEqual" id="{2AA67476-FFC0-4AA8-9C58-45E9C0FF9C4E}">
            <xm:f>MemoryMap!$C$51</xm:f>
            <x14:dxf>
              <fill>
                <patternFill>
                  <bgColor rgb="FFFF0000"/>
                </patternFill>
              </fill>
            </x14:dxf>
          </x14:cfRule>
          <xm:sqref>D111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1165"/>
  <sheetViews>
    <sheetView topLeftCell="A1131" workbookViewId="0">
      <selection sqref="A1:A1165"/>
    </sheetView>
  </sheetViews>
  <sheetFormatPr defaultRowHeight="15" x14ac:dyDescent="0.25"/>
  <cols>
    <col min="1" max="1" width="148.5703125" style="42" bestFit="1" customWidth="1"/>
  </cols>
  <sheetData>
    <row r="1" spans="1:1" x14ac:dyDescent="0.25">
      <c r="A1" s="41" t="s">
        <v>978</v>
      </c>
    </row>
    <row r="2" spans="1:1" x14ac:dyDescent="0.25">
      <c r="A2" s="41" t="s">
        <v>855</v>
      </c>
    </row>
    <row r="3" spans="1:1" x14ac:dyDescent="0.25">
      <c r="A3" s="41" t="s">
        <v>924</v>
      </c>
    </row>
    <row r="4" spans="1:1" x14ac:dyDescent="0.25">
      <c r="A4" s="41" t="s">
        <v>879</v>
      </c>
    </row>
    <row r="5" spans="1:1" x14ac:dyDescent="0.25">
      <c r="A5" s="41" t="s">
        <v>880</v>
      </c>
    </row>
    <row r="6" spans="1:1" x14ac:dyDescent="0.25">
      <c r="A6" s="41" t="s">
        <v>881</v>
      </c>
    </row>
    <row r="7" spans="1:1" x14ac:dyDescent="0.25">
      <c r="A7" s="41" t="s">
        <v>882</v>
      </c>
    </row>
    <row r="8" spans="1:1" x14ac:dyDescent="0.25">
      <c r="A8" s="41" t="s">
        <v>883</v>
      </c>
    </row>
    <row r="9" spans="1:1" x14ac:dyDescent="0.25">
      <c r="A9" s="41" t="s">
        <v>884</v>
      </c>
    </row>
    <row r="10" spans="1:1" x14ac:dyDescent="0.25">
      <c r="A10" s="41" t="s">
        <v>885</v>
      </c>
    </row>
    <row r="11" spans="1:1" x14ac:dyDescent="0.25">
      <c r="A11" s="41" t="s">
        <v>886</v>
      </c>
    </row>
    <row r="12" spans="1:1" x14ac:dyDescent="0.25">
      <c r="A12" s="41" t="s">
        <v>887</v>
      </c>
    </row>
    <row r="13" spans="1:1" x14ac:dyDescent="0.25">
      <c r="A13" s="41" t="s">
        <v>1066</v>
      </c>
    </row>
    <row r="14" spans="1:1" x14ac:dyDescent="0.25">
      <c r="A14" s="41"/>
    </row>
    <row r="15" spans="1:1" x14ac:dyDescent="0.25">
      <c r="A15" s="41" t="s">
        <v>925</v>
      </c>
    </row>
    <row r="16" spans="1:1" x14ac:dyDescent="0.25">
      <c r="A16" s="41" t="s">
        <v>855</v>
      </c>
    </row>
    <row r="17" spans="1:1" x14ac:dyDescent="0.25">
      <c r="A17" s="41" t="s">
        <v>857</v>
      </c>
    </row>
    <row r="18" spans="1:1" x14ac:dyDescent="0.25">
      <c r="A18" s="41" t="s">
        <v>888</v>
      </c>
    </row>
    <row r="19" spans="1:1" x14ac:dyDescent="0.25">
      <c r="A19" s="41" t="s">
        <v>857</v>
      </c>
    </row>
    <row r="20" spans="1:1" x14ac:dyDescent="0.25">
      <c r="A20" s="41"/>
    </row>
    <row r="21" spans="1:1" x14ac:dyDescent="0.25">
      <c r="A21" s="41" t="s">
        <v>857</v>
      </c>
    </row>
    <row r="22" spans="1:1" x14ac:dyDescent="0.25">
      <c r="A22" s="41" t="s">
        <v>875</v>
      </c>
    </row>
    <row r="23" spans="1:1" x14ac:dyDescent="0.25">
      <c r="A23" s="41" t="s">
        <v>857</v>
      </c>
    </row>
    <row r="24" spans="1:1" x14ac:dyDescent="0.25">
      <c r="A24" s="41" t="s">
        <v>858</v>
      </c>
    </row>
    <row r="25" spans="1:1" x14ac:dyDescent="0.25">
      <c r="A25" s="41" t="s">
        <v>855</v>
      </c>
    </row>
    <row r="26" spans="1:1" x14ac:dyDescent="0.25">
      <c r="A26" s="41" t="str">
        <f ca="1">GlobalPlcmnt!R10</f>
        <v>define symbol dl7M_tln_TEXT        = 0x00004400;</v>
      </c>
    </row>
    <row r="27" spans="1:1" x14ac:dyDescent="0.25">
      <c r="A27" s="41" t="str">
        <f ca="1">GlobalPlcmnt!R13</f>
        <v>define symbol m7M_tls_TEXT         = 0x000070A0;</v>
      </c>
    </row>
    <row r="28" spans="1:1" x14ac:dyDescent="0.25">
      <c r="A28" s="41" t="str">
        <f ca="1">GlobalPlcmnt!R16</f>
        <v>define symbol rt7M_tl_TEXT         = 0x00009D50;</v>
      </c>
    </row>
    <row r="29" spans="1:1" x14ac:dyDescent="0.25">
      <c r="A29" s="41" t="str">
        <f ca="1">GlobalPlcmnt!R19</f>
        <v>define symbol shb_l_TEXT           = 0x0000A3B0;</v>
      </c>
    </row>
    <row r="30" spans="1:1" x14ac:dyDescent="0.25">
      <c r="A30" s="41" t="str">
        <f ca="1">GlobalPlcmnt!R22</f>
        <v>define symbol PSP_TEXT             = 0x0000A460;</v>
      </c>
    </row>
    <row r="31" spans="1:1" x14ac:dyDescent="0.25">
      <c r="A31" s="41" t="str">
        <f ca="1">GlobalPlcmnt!R23</f>
        <v>define symbol KERNEL_TEXT          = 0x0000FEF0;</v>
      </c>
    </row>
    <row r="32" spans="1:1" x14ac:dyDescent="0.25">
      <c r="A32" s="41" t="str">
        <f ca="1">GlobalPlcmnt!R26</f>
        <v>define symbol BSP_TEXT             = 0x000104A0;</v>
      </c>
    </row>
    <row r="33" spans="1:1" x14ac:dyDescent="0.25">
      <c r="A33" s="41" t="str">
        <f ca="1">GlobalPlcmnt!R29</f>
        <v>define symbol wolfSSL_Lib_MTU_TEXT = 0x00016B90;</v>
      </c>
    </row>
    <row r="34" spans="1:1" x14ac:dyDescent="0.25">
      <c r="A34" s="41" t="s">
        <v>856</v>
      </c>
    </row>
    <row r="35" spans="1:1" x14ac:dyDescent="0.25">
      <c r="A35" s="41"/>
    </row>
    <row r="36" spans="1:1" x14ac:dyDescent="0.25">
      <c r="A36" s="41" t="s">
        <v>857</v>
      </c>
    </row>
    <row r="37" spans="1:1" x14ac:dyDescent="0.25">
      <c r="A37" s="41" t="s">
        <v>859</v>
      </c>
    </row>
    <row r="38" spans="1:1" x14ac:dyDescent="0.25">
      <c r="A38" s="41" t="s">
        <v>855</v>
      </c>
    </row>
    <row r="39" spans="1:1" x14ac:dyDescent="0.25">
      <c r="A39" s="41" t="str">
        <f ca="1">GlobalPlcmnt!R57</f>
        <v>define symbol utils_TEXT       = 0x0004B874;</v>
      </c>
    </row>
    <row r="40" spans="1:1" x14ac:dyDescent="0.25">
      <c r="A40" s="41" t="str">
        <f ca="1">GlobalPlcmnt!R58</f>
        <v>define symbol dfw_TEXT         = 0x0004C7F0;</v>
      </c>
    </row>
    <row r="41" spans="1:1" x14ac:dyDescent="0.25">
      <c r="A41" s="41" t="str">
        <f ca="1">GlobalPlcmnt!R59</f>
        <v>define symbol driver_TEXT      = 0x00051C20;</v>
      </c>
    </row>
    <row r="42" spans="1:1" x14ac:dyDescent="0.25">
      <c r="A42" s="41" t="str">
        <f ca="1">GlobalPlcmnt!R60</f>
        <v>define symbol stack_TEXT       = 0x00053FC0;</v>
      </c>
    </row>
    <row r="43" spans="1:1" x14ac:dyDescent="0.25">
      <c r="A43" s="41" t="str">
        <f ca="1">GlobalPlcmnt!R61</f>
        <v>define symbol OS_API_TEXT      = 0x00066610;</v>
      </c>
    </row>
    <row r="44" spans="1:1" x14ac:dyDescent="0.25">
      <c r="A44" s="41" t="str">
        <f ca="1">GlobalPlcmnt!R62</f>
        <v>define symbol radio_TEXT       = 0x00066B50;</v>
      </c>
    </row>
    <row r="45" spans="1:1" x14ac:dyDescent="0.25">
      <c r="A45" s="41" t="str">
        <f ca="1">GlobalPlcmnt!R63</f>
        <v>define symbol security_TEXT    = 0x0006B3A0;</v>
      </c>
    </row>
    <row r="46" spans="1:1" x14ac:dyDescent="0.25">
      <c r="A46" s="41" t="str">
        <f ca="1">GlobalPlcmnt!R64</f>
        <v>define symbol AclaraBSP_TEXT   = 0x0006E390;</v>
      </c>
    </row>
    <row r="47" spans="1:1" x14ac:dyDescent="0.25">
      <c r="A47" s="41" t="str">
        <f ca="1">GlobalPlcmnt!R65</f>
        <v>define symbol Common_TEXT      = 0x00080000;</v>
      </c>
    </row>
    <row r="48" spans="1:1" x14ac:dyDescent="0.25">
      <c r="A48" s="41" t="str">
        <f ca="1">GlobalPlcmnt!R66</f>
        <v>define symbol HMC_TEXT         = 0x00098D60;</v>
      </c>
    </row>
    <row r="49" spans="1:1" x14ac:dyDescent="0.25">
      <c r="A49" s="41" t="str">
        <f ca="1">GlobalPlcmnt!R67</f>
        <v>define symbol AclaraDA_TEXT    = 0x00098DB0;</v>
      </c>
    </row>
    <row r="50" spans="1:1" x14ac:dyDescent="0.25">
      <c r="A50" s="41" t="str">
        <f ca="1">GlobalPlcmnt!R68</f>
        <v>define symbol MTU_Common_TEXT  = 0x0009A500;</v>
      </c>
    </row>
    <row r="51" spans="1:1" x14ac:dyDescent="0.25">
      <c r="A51" s="41" t="s">
        <v>856</v>
      </c>
    </row>
    <row r="52" spans="1:1" x14ac:dyDescent="0.25">
      <c r="A52" s="41"/>
    </row>
    <row r="53" spans="1:1" x14ac:dyDescent="0.25">
      <c r="A53" s="41" t="s">
        <v>857</v>
      </c>
    </row>
    <row r="54" spans="1:1" x14ac:dyDescent="0.25">
      <c r="A54" s="41" t="s">
        <v>860</v>
      </c>
    </row>
    <row r="55" spans="1:1" x14ac:dyDescent="0.25">
      <c r="A55" s="41" t="s">
        <v>855</v>
      </c>
    </row>
    <row r="56" spans="1:1" x14ac:dyDescent="0.25">
      <c r="A56" s="41" t="str">
        <f ca="1">GlobalPlcmnt!R9</f>
        <v>//define symbol dl7M_tln_CONST        = 0x00004400;</v>
      </c>
    </row>
    <row r="57" spans="1:1" x14ac:dyDescent="0.25">
      <c r="A57" s="41" t="str">
        <f ca="1">GlobalPlcmnt!R12</f>
        <v>//define symbol m7M_tls_CONST         = 0x000070A0;</v>
      </c>
    </row>
    <row r="58" spans="1:1" x14ac:dyDescent="0.25">
      <c r="A58" s="41" t="str">
        <f ca="1">GlobalPlcmnt!R15</f>
        <v>define symbol rt7M_tl_CONST         = 0x00009D40;</v>
      </c>
    </row>
    <row r="59" spans="1:1" x14ac:dyDescent="0.25">
      <c r="A59" s="41" t="str">
        <f ca="1">GlobalPlcmnt!R18</f>
        <v>//define symbol shb_l_CONST           = 0x0000A3B0;</v>
      </c>
    </row>
    <row r="60" spans="1:1" x14ac:dyDescent="0.25">
      <c r="A60" s="41" t="str">
        <f ca="1">GlobalPlcmnt!R25</f>
        <v>define symbol BSP_CONST             = 0x0001027C;</v>
      </c>
    </row>
    <row r="61" spans="1:1" x14ac:dyDescent="0.25">
      <c r="A61" s="41" t="str">
        <f ca="1">GlobalPlcmnt!R21</f>
        <v>define symbol PSP_CONST             = 0x0000A3F8;</v>
      </c>
    </row>
    <row r="62" spans="1:1" x14ac:dyDescent="0.25">
      <c r="A62" s="41" t="str">
        <f ca="1">GlobalPlcmnt!R28</f>
        <v>define symbol wolfSSL_Lib_MTU_CONST = 0x00014AF8;</v>
      </c>
    </row>
    <row r="63" spans="1:1" x14ac:dyDescent="0.25">
      <c r="A63" s="41" t="s">
        <v>856</v>
      </c>
    </row>
    <row r="64" spans="1:1" x14ac:dyDescent="0.25">
      <c r="A64" s="41"/>
    </row>
    <row r="65" spans="1:1" x14ac:dyDescent="0.25">
      <c r="A65" s="41" t="s">
        <v>857</v>
      </c>
    </row>
    <row r="66" spans="1:1" x14ac:dyDescent="0.25">
      <c r="A66" s="41" t="s">
        <v>861</v>
      </c>
    </row>
    <row r="67" spans="1:1" x14ac:dyDescent="0.25">
      <c r="A67" s="41" t="s">
        <v>855</v>
      </c>
    </row>
    <row r="68" spans="1:1" x14ac:dyDescent="0.25">
      <c r="A68" s="41" t="str">
        <f ca="1">GlobalPlcmnt!R45</f>
        <v>define symbol utils_CONST      = 0x00034674;</v>
      </c>
    </row>
    <row r="69" spans="1:1" x14ac:dyDescent="0.25">
      <c r="A69" s="41" t="str">
        <f ca="1">GlobalPlcmnt!R46</f>
        <v>define symbol dfw_CONST        = 0x000346D4;</v>
      </c>
    </row>
    <row r="70" spans="1:1" x14ac:dyDescent="0.25">
      <c r="A70" s="41" t="str">
        <f ca="1">GlobalPlcmnt!R47</f>
        <v>define symbol driver_CONST     = 0x00035488;</v>
      </c>
    </row>
    <row r="71" spans="1:1" x14ac:dyDescent="0.25">
      <c r="A71" s="41" t="str">
        <f ca="1">GlobalPlcmnt!R48</f>
        <v>define symbol stack_CONST      = 0x00035854;</v>
      </c>
    </row>
    <row r="72" spans="1:1" x14ac:dyDescent="0.25">
      <c r="A72" s="41" t="str">
        <f ca="1">GlobalPlcmnt!R49</f>
        <v>define symbol OS_API_CONST     = 0x0003ABA0;</v>
      </c>
    </row>
    <row r="73" spans="1:1" x14ac:dyDescent="0.25">
      <c r="A73" s="41" t="str">
        <f ca="1">GlobalPlcmnt!R50</f>
        <v>define symbol radio_CONST      = 0x0003AF14;</v>
      </c>
    </row>
    <row r="74" spans="1:1" x14ac:dyDescent="0.25">
      <c r="A74" s="41" t="str">
        <f ca="1">GlobalPlcmnt!R51</f>
        <v>define symbol security_CONST   = 0x0003BE90;</v>
      </c>
    </row>
    <row r="75" spans="1:1" x14ac:dyDescent="0.25">
      <c r="A75" s="41" t="str">
        <f ca="1">GlobalPlcmnt!R52</f>
        <v>define symbol AclaraBSP_CONST  = 0x0003D428;</v>
      </c>
    </row>
    <row r="76" spans="1:1" x14ac:dyDescent="0.25">
      <c r="A76" s="41" t="str">
        <f ca="1">GlobalPlcmnt!R53</f>
        <v>define symbol Common_CONST     = 0x0003D838;</v>
      </c>
    </row>
    <row r="77" spans="1:1" x14ac:dyDescent="0.25">
      <c r="A77" s="41" t="str">
        <f ca="1">GlobalPlcmnt!R54</f>
        <v>//define symbol HMC_CONST        = 0x00049738;</v>
      </c>
    </row>
    <row r="78" spans="1:1" x14ac:dyDescent="0.25">
      <c r="A78" s="41" t="str">
        <f ca="1">GlobalPlcmnt!R55</f>
        <v>define symbol AclaraDA_CONST    = 0x00049738;</v>
      </c>
    </row>
    <row r="79" spans="1:1" x14ac:dyDescent="0.25">
      <c r="A79" s="41" t="str">
        <f ca="1">GlobalPlcmnt!R56</f>
        <v>define symbol MTU_Common_CONST = 0x00049CE8;</v>
      </c>
    </row>
    <row r="80" spans="1:1" x14ac:dyDescent="0.25">
      <c r="A80" s="41" t="s">
        <v>856</v>
      </c>
    </row>
    <row r="81" spans="1:1" x14ac:dyDescent="0.25">
      <c r="A81" s="41"/>
    </row>
    <row r="82" spans="1:1" x14ac:dyDescent="0.25">
      <c r="A82" s="41" t="s">
        <v>857</v>
      </c>
    </row>
    <row r="83" spans="1:1" x14ac:dyDescent="0.25">
      <c r="A83" s="41" t="s">
        <v>862</v>
      </c>
    </row>
    <row r="84" spans="1:1" x14ac:dyDescent="0.25">
      <c r="A84" s="41" t="s">
        <v>855</v>
      </c>
    </row>
    <row r="85" spans="1:1" x14ac:dyDescent="0.25">
      <c r="A85" s="41" t="str">
        <f ca="1">GlobalPlcmnt!R30</f>
        <v>define symbol IAR_DINIT = 0x00033EA0;</v>
      </c>
    </row>
    <row r="86" spans="1:1" x14ac:dyDescent="0.25">
      <c r="A86" s="41" t="s">
        <v>856</v>
      </c>
    </row>
    <row r="87" spans="1:1" x14ac:dyDescent="0.25">
      <c r="A87" s="41"/>
    </row>
    <row r="88" spans="1:1" x14ac:dyDescent="0.25">
      <c r="A88" s="41" t="s">
        <v>857</v>
      </c>
    </row>
    <row r="89" spans="1:1" x14ac:dyDescent="0.25">
      <c r="A89" s="41" t="s">
        <v>1035</v>
      </c>
    </row>
    <row r="90" spans="1:1" x14ac:dyDescent="0.25">
      <c r="A90" s="41" t="s">
        <v>855</v>
      </c>
    </row>
    <row r="91" spans="1:1" x14ac:dyDescent="0.25">
      <c r="A91" s="41" t="s">
        <v>1065</v>
      </c>
    </row>
    <row r="92" spans="1:1" x14ac:dyDescent="0.25">
      <c r="A92" s="41" t="str">
        <f ca="1">GlobalPlcmnt!R69</f>
        <v>//define symbol CommandLine_TEXT  = 0x0009F240;</v>
      </c>
    </row>
    <row r="93" spans="1:1" x14ac:dyDescent="0.25">
      <c r="A93" s="41" t="str">
        <f ca="1">GlobalPlcmnt!R70</f>
        <v>//define symbol CommandLine_CONST = 0x0009F240;</v>
      </c>
    </row>
    <row r="94" spans="1:1" x14ac:dyDescent="0.25">
      <c r="A94" s="41" t="str">
        <f ca="1">GlobalPlcmnt!R71</f>
        <v>//define symbol CommandLine_DINIT = 0x0009F240;</v>
      </c>
    </row>
    <row r="95" spans="1:1" x14ac:dyDescent="0.25">
      <c r="A95" s="41" t="str">
        <f ca="1">GlobalPlcmnt!R109</f>
        <v>//define symbol CommandLine_INIT  = 0x1FFF0868;</v>
      </c>
    </row>
    <row r="96" spans="1:1" x14ac:dyDescent="0.25">
      <c r="A96" s="41" t="str">
        <f ca="1">GlobalPlcmnt!R124</f>
        <v>//define symbol CommandLine_BSS   = 0x1FFFD478;</v>
      </c>
    </row>
    <row r="97" spans="1:1" x14ac:dyDescent="0.25">
      <c r="A97" s="41" t="s">
        <v>856</v>
      </c>
    </row>
    <row r="98" spans="1:1" x14ac:dyDescent="0.25">
      <c r="A98" s="41"/>
    </row>
    <row r="99" spans="1:1" x14ac:dyDescent="0.25">
      <c r="A99" s="41" t="s">
        <v>857</v>
      </c>
    </row>
    <row r="100" spans="1:1" x14ac:dyDescent="0.25">
      <c r="A100" s="41" t="s">
        <v>863</v>
      </c>
    </row>
    <row r="101" spans="1:1" x14ac:dyDescent="0.25">
      <c r="A101" s="41" t="s">
        <v>855</v>
      </c>
    </row>
    <row r="102" spans="1:1" x14ac:dyDescent="0.25">
      <c r="A102" s="41" t="str">
        <f ca="1">GlobalPlcmnt!R8</f>
        <v>//define symbol dl7M_tln_DINIT        = 0x00004400;</v>
      </c>
    </row>
    <row r="103" spans="1:1" x14ac:dyDescent="0.25">
      <c r="A103" s="41" t="str">
        <f ca="1">GlobalPlcmnt!R11</f>
        <v>//define symbol m7M_tls_DINIT         = 0x000070A0;</v>
      </c>
    </row>
    <row r="104" spans="1:1" x14ac:dyDescent="0.25">
      <c r="A104" s="41" t="str">
        <f ca="1">GlobalPlcmnt!R14</f>
        <v>//define symbol rt7M_tl_DINIT         = 0x00009D40;</v>
      </c>
    </row>
    <row r="105" spans="1:1" x14ac:dyDescent="0.25">
      <c r="A105" s="41" t="str">
        <f ca="1">GlobalPlcmnt!R17</f>
        <v>//define symbol shb_l_DINIT           = 0x0000A3B0;</v>
      </c>
    </row>
    <row r="106" spans="1:1" x14ac:dyDescent="0.25">
      <c r="A106" s="41" t="str">
        <f ca="1">GlobalPlcmnt!R20</f>
        <v>define symbol PSP_DINIT             = 0x0000A3F0;</v>
      </c>
    </row>
    <row r="107" spans="1:1" x14ac:dyDescent="0.25">
      <c r="A107" s="41" t="str">
        <f ca="1">GlobalPlcmnt!R24</f>
        <v>define symbol BSP_DINIT             = 0x00010230;</v>
      </c>
    </row>
    <row r="108" spans="1:1" x14ac:dyDescent="0.25">
      <c r="A108" s="41" t="str">
        <f ca="1">GlobalPlcmnt!R27</f>
        <v>define symbol wolfSSL_Lib_MTU_DINIT = 0x00014AF0;</v>
      </c>
    </row>
    <row r="109" spans="1:1" x14ac:dyDescent="0.25">
      <c r="A109" s="41"/>
    </row>
    <row r="110" spans="1:1" x14ac:dyDescent="0.25">
      <c r="A110" s="41" t="str">
        <f ca="1">GlobalPlcmnt!R31</f>
        <v>define symbol DLIB_DINIT            = 0x000342E8;</v>
      </c>
    </row>
    <row r="111" spans="1:1" x14ac:dyDescent="0.25">
      <c r="A111" s="41"/>
    </row>
    <row r="112" spans="1:1" x14ac:dyDescent="0.25">
      <c r="A112" s="41" t="str">
        <f ca="1">GlobalPlcmnt!R82</f>
        <v>define symbol DLIB_INIT            = 0x1FFF0000;</v>
      </c>
    </row>
    <row r="113" spans="1:1" x14ac:dyDescent="0.25">
      <c r="A113" s="41" t="str">
        <f ca="1">GlobalPlcmnt!R83</f>
        <v>//define symbol dl7M_tln_INIT        = 0x1FFF0008;</v>
      </c>
    </row>
    <row r="114" spans="1:1" x14ac:dyDescent="0.25">
      <c r="A114" s="41" t="str">
        <f ca="1">GlobalPlcmnt!R85</f>
        <v>//define symbol m7M_tls_INIT         = 0x1FFF0008;</v>
      </c>
    </row>
    <row r="115" spans="1:1" x14ac:dyDescent="0.25">
      <c r="A115" s="41" t="str">
        <f ca="1">GlobalPlcmnt!R87</f>
        <v>//define symbol rt7M_tl_INIT         = 0x1FFF0008;</v>
      </c>
    </row>
    <row r="116" spans="1:1" x14ac:dyDescent="0.25">
      <c r="A116" s="41" t="str">
        <f ca="1">GlobalPlcmnt!R89</f>
        <v>//define symbol shb_l_INIT           = 0x1FFF0018;</v>
      </c>
    </row>
    <row r="117" spans="1:1" x14ac:dyDescent="0.25">
      <c r="A117" s="41" t="str">
        <f ca="1">GlobalPlcmnt!R91</f>
        <v>define symbol PSP_INIT             = 0x1FFF0018;</v>
      </c>
    </row>
    <row r="118" spans="1:1" x14ac:dyDescent="0.25">
      <c r="A118" s="41" t="str">
        <f ca="1">GlobalPlcmnt!R93</f>
        <v>define symbol BSP_INIT             = 0x1FFF0028;</v>
      </c>
    </row>
    <row r="119" spans="1:1" x14ac:dyDescent="0.25">
      <c r="A119" s="41" t="str">
        <f ca="1">GlobalPlcmnt!R95</f>
        <v>define symbol wolfSSL_Lib_MTU_INIT = 0x1FFF0190;</v>
      </c>
    </row>
    <row r="120" spans="1:1" x14ac:dyDescent="0.25">
      <c r="A120" s="41"/>
    </row>
    <row r="121" spans="1:1" x14ac:dyDescent="0.25">
      <c r="A121" s="41" t="str">
        <f ca="1">GlobalPlcmnt!R125</f>
        <v>define symbol KERNEL_DATA_INIT     = 0x1FFFD480;</v>
      </c>
    </row>
    <row r="122" spans="1:1" x14ac:dyDescent="0.25">
      <c r="A122" s="41" t="s">
        <v>856</v>
      </c>
    </row>
    <row r="123" spans="1:1" x14ac:dyDescent="0.25">
      <c r="A123" s="41"/>
    </row>
    <row r="124" spans="1:1" x14ac:dyDescent="0.25">
      <c r="A124" s="41" t="s">
        <v>857</v>
      </c>
    </row>
    <row r="125" spans="1:1" x14ac:dyDescent="0.25">
      <c r="A125" s="41" t="s">
        <v>864</v>
      </c>
    </row>
    <row r="126" spans="1:1" x14ac:dyDescent="0.25">
      <c r="A126" s="41" t="s">
        <v>855</v>
      </c>
    </row>
    <row r="127" spans="1:1" x14ac:dyDescent="0.25">
      <c r="A127" s="41" t="str">
        <f ca="1">GlobalPlcmnt!R32</f>
        <v>define symbol utils_DINIT      = 0x000342EC;</v>
      </c>
    </row>
    <row r="128" spans="1:1" x14ac:dyDescent="0.25">
      <c r="A128" s="41" t="str">
        <f ca="1">GlobalPlcmnt!R33</f>
        <v>define symbol dfw_DINIT        = 0x00034334;</v>
      </c>
    </row>
    <row r="129" spans="1:1" x14ac:dyDescent="0.25">
      <c r="A129" s="41" t="str">
        <f ca="1">GlobalPlcmnt!R34</f>
        <v>define symbol driver_DINIT     = 0x00034338;</v>
      </c>
    </row>
    <row r="130" spans="1:1" x14ac:dyDescent="0.25">
      <c r="A130" s="41" t="str">
        <f ca="1">GlobalPlcmnt!R36</f>
        <v>define symbol stack_DINIT      = 0x0003438C;</v>
      </c>
    </row>
    <row r="131" spans="1:1" x14ac:dyDescent="0.25">
      <c r="A131" s="41" t="str">
        <f ca="1">GlobalPlcmnt!R37</f>
        <v>//define symbol OS_API_DINIT     = 0x00034504;</v>
      </c>
    </row>
    <row r="132" spans="1:1" x14ac:dyDescent="0.25">
      <c r="A132" s="41" t="str">
        <f ca="1">GlobalPlcmnt!R38</f>
        <v>define symbol radio_DINIT      = 0x00034504;</v>
      </c>
    </row>
    <row r="133" spans="1:1" x14ac:dyDescent="0.25">
      <c r="A133" s="41" t="str">
        <f ca="1">GlobalPlcmnt!R39</f>
        <v>//define symbol security_DINIT   = 0x00034608;</v>
      </c>
    </row>
    <row r="134" spans="1:1" x14ac:dyDescent="0.25">
      <c r="A134" s="41" t="str">
        <f ca="1">GlobalPlcmnt!R40</f>
        <v>define symbol AclaraBSP_DINIT  = 0x00034608;</v>
      </c>
    </row>
    <row r="135" spans="1:1" x14ac:dyDescent="0.25">
      <c r="A135" s="41" t="str">
        <f ca="1">GlobalPlcmnt!R41</f>
        <v>define symbol Common_DINIT     = 0x00034614;</v>
      </c>
    </row>
    <row r="136" spans="1:1" x14ac:dyDescent="0.25">
      <c r="A136" s="41" t="str">
        <f ca="1">GlobalPlcmnt!R42</f>
        <v>//define symbol HMC_DINIT        = 0x00034664;</v>
      </c>
    </row>
    <row r="137" spans="1:1" x14ac:dyDescent="0.25">
      <c r="A137" s="41" t="str">
        <f ca="1">GlobalPlcmnt!R43</f>
        <v>//define symbol AclaraDA_DINIT    = 0x00034664;</v>
      </c>
    </row>
    <row r="138" spans="1:1" x14ac:dyDescent="0.25">
      <c r="A138" s="41" t="str">
        <f ca="1">GlobalPlcmnt!R44</f>
        <v>define symbol MTU_Common_DINIT = 0x00034664;</v>
      </c>
    </row>
    <row r="139" spans="1:1" x14ac:dyDescent="0.25">
      <c r="A139" s="41"/>
    </row>
    <row r="140" spans="1:1" x14ac:dyDescent="0.25">
      <c r="A140" s="41" t="str">
        <f ca="1">GlobalPlcmnt!R35</f>
        <v>define symbol APP_RO_TEXT      = 0x00034344;</v>
      </c>
    </row>
    <row r="141" spans="1:1" x14ac:dyDescent="0.25">
      <c r="A141" s="41"/>
    </row>
    <row r="142" spans="1:1" x14ac:dyDescent="0.25">
      <c r="A142" s="41" t="str">
        <f ca="1">GlobalPlcmnt!R97</f>
        <v>define symbol utils_INIT      = 0x1FFF0508;</v>
      </c>
    </row>
    <row r="143" spans="1:1" x14ac:dyDescent="0.25">
      <c r="A143" s="41" t="str">
        <f ca="1">GlobalPlcmnt!R98</f>
        <v>define symbol dfw_INIT        = 0x1FFF0550;</v>
      </c>
    </row>
    <row r="144" spans="1:1" x14ac:dyDescent="0.25">
      <c r="A144" s="41" t="str">
        <f ca="1">GlobalPlcmnt!R99</f>
        <v>define symbol driver_INIT     = 0x1FFF0558;</v>
      </c>
    </row>
    <row r="145" spans="1:1" x14ac:dyDescent="0.25">
      <c r="A145" s="41" t="str">
        <f ca="1">GlobalPlcmnt!R100</f>
        <v>define symbol stack_INIT      = 0x1FFF0568;</v>
      </c>
    </row>
    <row r="146" spans="1:1" x14ac:dyDescent="0.25">
      <c r="A146" s="41" t="str">
        <f ca="1">GlobalPlcmnt!R101</f>
        <v>//define symbol OS_API_INIT     = 0x1FFF0790;</v>
      </c>
    </row>
    <row r="147" spans="1:1" x14ac:dyDescent="0.25">
      <c r="A147" s="41" t="str">
        <f ca="1">GlobalPlcmnt!R102</f>
        <v>define symbol radio_INIT      = 0x1FFF0790;</v>
      </c>
    </row>
    <row r="148" spans="1:1" x14ac:dyDescent="0.25">
      <c r="A148" s="41" t="str">
        <f ca="1">GlobalPlcmnt!R103</f>
        <v>//define symbol security_INIT   = 0x1FFF07D0;</v>
      </c>
    </row>
    <row r="149" spans="1:1" x14ac:dyDescent="0.25">
      <c r="A149" s="41" t="str">
        <f ca="1">GlobalPlcmnt!R104</f>
        <v>define symbol AclaraBSP_INIT  = 0x1FFF07D0;</v>
      </c>
    </row>
    <row r="150" spans="1:1" x14ac:dyDescent="0.25">
      <c r="A150" s="41" t="str">
        <f ca="1">GlobalPlcmnt!R105</f>
        <v>define symbol Common_INIT     = 0x1FFF07E0;</v>
      </c>
    </row>
    <row r="151" spans="1:1" x14ac:dyDescent="0.25">
      <c r="A151" s="41" t="str">
        <f ca="1">GlobalPlcmnt!R106</f>
        <v>//define symbol HMC_INIT        = 0x1FFF0850;</v>
      </c>
    </row>
    <row r="152" spans="1:1" x14ac:dyDescent="0.25">
      <c r="A152" s="41" t="str">
        <f ca="1">GlobalPlcmnt!R107</f>
        <v>//define symbol AclaraDA_INIT    = 0x1FFF0850;</v>
      </c>
    </row>
    <row r="153" spans="1:1" x14ac:dyDescent="0.25">
      <c r="A153" s="41" t="str">
        <f ca="1">GlobalPlcmnt!R108</f>
        <v>define symbol MTU_Common_INIT = 0x1FFF0850;</v>
      </c>
    </row>
    <row r="154" spans="1:1" x14ac:dyDescent="0.25">
      <c r="A154" s="41"/>
    </row>
    <row r="155" spans="1:1" x14ac:dyDescent="0.25">
      <c r="A155" s="41" t="str">
        <f ca="1">GlobalPlcmnt!R110</f>
        <v>define symbol APP_RW_TEXT     = 0x1FFF0868;</v>
      </c>
    </row>
    <row r="156" spans="1:1" x14ac:dyDescent="0.25">
      <c r="A156" s="41"/>
    </row>
    <row r="157" spans="1:1" x14ac:dyDescent="0.25">
      <c r="A157" s="41" t="str">
        <f ca="1">GlobalPlcmnt!R111</f>
        <v>define symbol APP_NOINIT      = 0x1FFF08B0;</v>
      </c>
    </row>
    <row r="158" spans="1:1" x14ac:dyDescent="0.25">
      <c r="A158" s="41" t="s">
        <v>856</v>
      </c>
    </row>
    <row r="159" spans="1:1" x14ac:dyDescent="0.25">
      <c r="A159" s="41"/>
    </row>
    <row r="160" spans="1:1" x14ac:dyDescent="0.25">
      <c r="A160" s="41" t="s">
        <v>857</v>
      </c>
    </row>
    <row r="161" spans="1:1" x14ac:dyDescent="0.25">
      <c r="A161" s="41" t="s">
        <v>865</v>
      </c>
    </row>
    <row r="162" spans="1:1" x14ac:dyDescent="0.25">
      <c r="A162" s="41" t="s">
        <v>855</v>
      </c>
    </row>
    <row r="163" spans="1:1" x14ac:dyDescent="0.25">
      <c r="A163" s="41" t="str">
        <f ca="1">GlobalPlcmnt!R84</f>
        <v>//define symbol dl7M_tln_BSS        = 0x1FFF0008;</v>
      </c>
    </row>
    <row r="164" spans="1:1" x14ac:dyDescent="0.25">
      <c r="A164" s="41" t="str">
        <f ca="1">GlobalPlcmnt!R86</f>
        <v>//define symbol m7M_tls_BSS         = 0x1FFF0008;</v>
      </c>
    </row>
    <row r="165" spans="1:1" x14ac:dyDescent="0.25">
      <c r="A165" s="41" t="str">
        <f ca="1">GlobalPlcmnt!R88</f>
        <v>define symbol rt7M_tl_BSS         = 0x1FFF0008;</v>
      </c>
    </row>
    <row r="166" spans="1:1" x14ac:dyDescent="0.25">
      <c r="A166" s="41" t="str">
        <f ca="1">GlobalPlcmnt!R90</f>
        <v>//define symbol shb_l_BSS           = 0x1FFF0018;</v>
      </c>
    </row>
    <row r="167" spans="1:1" x14ac:dyDescent="0.25">
      <c r="A167" s="41" t="str">
        <f ca="1">GlobalPlcmnt!R92</f>
        <v>define symbol PSP_BSS             = 0x1FFF0020;</v>
      </c>
    </row>
    <row r="168" spans="1:1" x14ac:dyDescent="0.25">
      <c r="A168" s="41" t="str">
        <f ca="1">GlobalPlcmnt!R94</f>
        <v>define symbol BSP_BSS             = 0x1FFF00E0;</v>
      </c>
    </row>
    <row r="169" spans="1:1" x14ac:dyDescent="0.25">
      <c r="A169" s="41" t="str">
        <f ca="1">GlobalPlcmnt!R96</f>
        <v>define symbol wolfSSL_Lib_MTU_BSS = 0x1FFF0198;</v>
      </c>
    </row>
    <row r="170" spans="1:1" x14ac:dyDescent="0.25">
      <c r="A170" s="41" t="s">
        <v>856</v>
      </c>
    </row>
    <row r="171" spans="1:1" x14ac:dyDescent="0.25">
      <c r="A171" s="41"/>
    </row>
    <row r="172" spans="1:1" x14ac:dyDescent="0.25">
      <c r="A172" s="41" t="s">
        <v>857</v>
      </c>
    </row>
    <row r="173" spans="1:1" x14ac:dyDescent="0.25">
      <c r="A173" s="41" t="s">
        <v>866</v>
      </c>
    </row>
    <row r="174" spans="1:1" x14ac:dyDescent="0.25">
      <c r="A174" s="41" t="s">
        <v>855</v>
      </c>
    </row>
    <row r="175" spans="1:1" x14ac:dyDescent="0.25">
      <c r="A175" s="41" t="str">
        <f ca="1">GlobalPlcmnt!R112</f>
        <v>define symbol utils_BSS      = 0x1FFF10B0;</v>
      </c>
    </row>
    <row r="176" spans="1:1" x14ac:dyDescent="0.25">
      <c r="A176" s="41" t="str">
        <f ca="1">GlobalPlcmnt!R113</f>
        <v>define symbol dfw_BSS        = 0x1FFF1858;</v>
      </c>
    </row>
    <row r="177" spans="1:1" x14ac:dyDescent="0.25">
      <c r="A177" s="41" t="str">
        <f ca="1">GlobalPlcmnt!R114</f>
        <v>define symbol driver_BSS     = 0x1FFF1998;</v>
      </c>
    </row>
    <row r="178" spans="1:1" x14ac:dyDescent="0.25">
      <c r="A178" s="41" t="str">
        <f ca="1">GlobalPlcmnt!R115</f>
        <v>define symbol stack_BSS      = 0x1FFF1CE8;</v>
      </c>
    </row>
    <row r="179" spans="1:1" x14ac:dyDescent="0.25">
      <c r="A179" s="41" t="str">
        <f ca="1">GlobalPlcmnt!R116</f>
        <v>//define symbol OS_API_BSS     = 0x1FFF8BF0;</v>
      </c>
    </row>
    <row r="180" spans="1:1" x14ac:dyDescent="0.25">
      <c r="A180" s="41" t="str">
        <f ca="1">GlobalPlcmnt!R117</f>
        <v>define symbol radio_BSS      = 0x1FFF8BF0;</v>
      </c>
    </row>
    <row r="181" spans="1:1" x14ac:dyDescent="0.25">
      <c r="A181" s="41" t="str">
        <f ca="1">GlobalPlcmnt!R118</f>
        <v>define symbol security_BSS   = 0x1FFF9918;</v>
      </c>
    </row>
    <row r="182" spans="1:1" x14ac:dyDescent="0.25">
      <c r="A182" s="41" t="str">
        <f ca="1">GlobalPlcmnt!R119</f>
        <v>define symbol AclaraBSP_BSS  = 0x1FFF99F0;</v>
      </c>
    </row>
    <row r="183" spans="1:1" x14ac:dyDescent="0.25">
      <c r="A183" s="41" t="str">
        <f ca="1">GlobalPlcmnt!R120</f>
        <v>define symbol Common_BSS     = 0x1FFF9AA8;</v>
      </c>
    </row>
    <row r="184" spans="1:1" x14ac:dyDescent="0.25">
      <c r="A184" s="41" t="str">
        <f ca="1">GlobalPlcmnt!R121</f>
        <v>//define symbol HMC_BSS        = 0x1FFFBEF0;</v>
      </c>
    </row>
    <row r="185" spans="1:1" x14ac:dyDescent="0.25">
      <c r="A185" s="41" t="str">
        <f ca="1">GlobalPlcmnt!R122</f>
        <v>define symbol AclaraDA_BSS   = 0x1FFFBEF0;</v>
      </c>
    </row>
    <row r="186" spans="1:1" x14ac:dyDescent="0.25">
      <c r="A186" s="41" t="str">
        <f ca="1">GlobalPlcmnt!R123</f>
        <v>define symbol MTU_Common_BSS = 0x1FFFC950;</v>
      </c>
    </row>
    <row r="187" spans="1:1" x14ac:dyDescent="0.25">
      <c r="A187" s="41" t="s">
        <v>856</v>
      </c>
    </row>
    <row r="188" spans="1:1" x14ac:dyDescent="0.25">
      <c r="A188" s="41"/>
    </row>
    <row r="189" spans="1:1" x14ac:dyDescent="0.25">
      <c r="A189" s="41" t="s">
        <v>857</v>
      </c>
    </row>
    <row r="190" spans="1:1" x14ac:dyDescent="0.25">
      <c r="A190" s="41" t="s">
        <v>876</v>
      </c>
    </row>
    <row r="191" spans="1:1" x14ac:dyDescent="0.25">
      <c r="A191" s="41" t="s">
        <v>857</v>
      </c>
    </row>
    <row r="192" spans="1:1" x14ac:dyDescent="0.25">
      <c r="A192" s="41" t="s">
        <v>858</v>
      </c>
    </row>
    <row r="193" spans="1:1" x14ac:dyDescent="0.25">
      <c r="A193" s="41" t="s">
        <v>855</v>
      </c>
    </row>
    <row r="194" spans="1:1" x14ac:dyDescent="0.25">
      <c r="A194" s="41" t="str">
        <f ca="1">IF(MID(A26,1,2)="//","//","")&amp;'Lib Code'!K50</f>
        <v>"dl7M_tln_TEXT":        place at address mem: dl7M_tln_TEXT        { ro code section .text object *(dl7M_tln.a) };</v>
      </c>
    </row>
    <row r="195" spans="1:1" x14ac:dyDescent="0.25">
      <c r="A195" s="41" t="str">
        <f ca="1">IF(MID(A27,1,2)="//","//","")&amp;'Lib Code'!K51</f>
        <v>"m7M_tls_TEXT":         place at address mem: m7M_tls_TEXT         { ro code section .text object *(m7M_tls.a) };</v>
      </c>
    </row>
    <row r="196" spans="1:1" x14ac:dyDescent="0.25">
      <c r="A196" s="41" t="str">
        <f ca="1">IF(MID(A28,1,2)="//","//","")&amp;'Lib Code'!K52</f>
        <v>"rt7M_tl_TEXT":         place at address mem: rt7M_tl_TEXT         { ro code section .text object *(rt7M_tl.a) };</v>
      </c>
    </row>
    <row r="197" spans="1:1" x14ac:dyDescent="0.25">
      <c r="A197" s="41" t="str">
        <f ca="1">IF(MID(A29,1,2)="//","//","")&amp;'Lib Code'!K53</f>
        <v>"shb_l_TEXT":           place at address mem: shb_l_TEXT           { ro code section .text object *(shb_l.a) };</v>
      </c>
    </row>
    <row r="198" spans="1:1" x14ac:dyDescent="0.25">
      <c r="A198" s="41" t="str">
        <f ca="1">IF(MID(A30,1,2)="//","//","")&amp;'Lib Code'!K54</f>
        <v>"BSP_TEXT":             place at address mem: BSP_TEXT             { ro code section .text object *(BSP.a),</v>
      </c>
    </row>
    <row r="199" spans="1:1" x14ac:dyDescent="0.25">
      <c r="A199" s="41" t="str">
        <f ca="1">IF(MID(A30,1,2)="//","//","")&amp;'Lib Code'!K55</f>
        <v xml:space="preserve">                                                                     ro code section .text object adc.o(BSP.a) };</v>
      </c>
    </row>
    <row r="200" spans="1:1" x14ac:dyDescent="0.25">
      <c r="A200" s="41" t="str">
        <f ca="1">IF(MID(A31,1,2)="//","//","")&amp;'Lib Code'!K56</f>
        <v>"PSP_TEXT":             place at address mem: PSP_TEXT             { ro code section .text object *(PSP.a),</v>
      </c>
    </row>
    <row r="201" spans="1:1" x14ac:dyDescent="0.25">
      <c r="A201" s="41" t="str">
        <f ca="1">IF(MID(A31,1,2)="//","//","")&amp;'Lib Code'!K57</f>
        <v xml:space="preserve">                                                                     ro code section .text object mutex.o(PSP.a),</v>
      </c>
    </row>
    <row r="202" spans="1:1" x14ac:dyDescent="0.25">
      <c r="A202" s="41" t="str">
        <f ca="1">IF(MID(A31,1,2)="//","//","")&amp;'Lib Code'!K58</f>
        <v xml:space="preserve">                                                                     ro code section .text object queue.o(PSP.a),</v>
      </c>
    </row>
    <row r="203" spans="1:1" x14ac:dyDescent="0.25">
      <c r="A203" s="41" t="str">
        <f ca="1">IF(MID(A31,1,2)="//","//","")&amp;'Lib Code'!K59</f>
        <v xml:space="preserve">                                                                     ro code section .text object task.o(PSP.a) };</v>
      </c>
    </row>
    <row r="204" spans="1:1" x14ac:dyDescent="0.25">
      <c r="A204" s="41" t="str">
        <f ca="1">IF(MID(A32,1,2)="//","//","")&amp;'Lib Code'!K60</f>
        <v>"KERNEL_TEXT":          place at address mem: KERNEL_TEXT          { ro code section KERNEL object * };</v>
      </c>
    </row>
    <row r="205" spans="1:1" x14ac:dyDescent="0.25">
      <c r="A205" s="41" t="str">
        <f ca="1">IF(MID(A33,1,2)="//","//","")&amp;'Lib Code'!K61</f>
        <v>"wolfSSL_Lib_MTU_TEXT": place at address mem: wolfSSL_Lib_MTU_TEXT { ro code section .text object *(wolfSSL-Lib_MTU.a) };</v>
      </c>
    </row>
    <row r="206" spans="1:1" x14ac:dyDescent="0.25">
      <c r="A206" s="41" t="s">
        <v>856</v>
      </c>
    </row>
    <row r="207" spans="1:1" x14ac:dyDescent="0.25">
      <c r="A207" s="41"/>
    </row>
    <row r="208" spans="1:1" x14ac:dyDescent="0.25">
      <c r="A208" s="41" t="s">
        <v>857</v>
      </c>
    </row>
    <row r="209" spans="1:1" x14ac:dyDescent="0.25">
      <c r="A209" s="41" t="s">
        <v>859</v>
      </c>
    </row>
    <row r="210" spans="1:1" x14ac:dyDescent="0.25">
      <c r="A210" s="41" t="s">
        <v>855</v>
      </c>
    </row>
    <row r="211" spans="1:1" x14ac:dyDescent="0.25">
      <c r="A211" s="41" t="str">
        <f ca="1">IF(MID(A$39,1,2)="//","//","")&amp;'App Code'!K229</f>
        <v>"utils_TEXT":      place at address mem: utils_TEXT      { ro code section .text object ascii.o,</v>
      </c>
    </row>
    <row r="212" spans="1:1" x14ac:dyDescent="0.25">
      <c r="A212" s="41" t="str">
        <f ca="1">IF(MID(A$39,1,2)="//","//","")&amp;'App Code'!K230</f>
        <v xml:space="preserve">                                                           ro code section .text object bcd.o,</v>
      </c>
    </row>
    <row r="213" spans="1:1" x14ac:dyDescent="0.25">
      <c r="A213" s="41" t="str">
        <f ca="1">IF(MID(A$39,1,2)="//","//","")&amp;'App Code'!K231</f>
        <v xml:space="preserve">                                                           ro code section .text object bit_util.o,</v>
      </c>
    </row>
    <row r="214" spans="1:1" x14ac:dyDescent="0.25">
      <c r="A214" s="41" t="str">
        <f ca="1">IF(MID(A$39,1,2)="//","//","")&amp;'App Code'!K232</f>
        <v xml:space="preserve">                                                           ro code section .text object byteswap.o,</v>
      </c>
    </row>
    <row r="215" spans="1:1" x14ac:dyDescent="0.25">
      <c r="A215" s="41" t="str">
        <f ca="1">IF(MID(A$39,1,2)="//","//","")&amp;'App Code'!K233</f>
        <v xml:space="preserve">                                                           ro code section .text object crc16_m.o,</v>
      </c>
    </row>
    <row r="216" spans="1:1" x14ac:dyDescent="0.25">
      <c r="A216" s="41" t="str">
        <f ca="1">IF(MID(A$39,1,2)="//","//","")&amp;'App Code'!K234</f>
        <v xml:space="preserve">                                                           ro code section .text object crc32.o,</v>
      </c>
    </row>
    <row r="217" spans="1:1" x14ac:dyDescent="0.25">
      <c r="A217" s="41" t="str">
        <f ca="1">IF(MID(A$39,1,2)="//","//","")&amp;'App Code'!K235</f>
        <v xml:space="preserve">                                                           ro code section .text object invert_bits.o,</v>
      </c>
    </row>
    <row r="218" spans="1:1" x14ac:dyDescent="0.25">
      <c r="A218" s="41" t="str">
        <f ca="1">IF(MID(A$39,1,2)="//","//","")&amp;'App Code'!K236</f>
        <v xml:space="preserve">                                                           ro code section .text object pack.o,</v>
      </c>
    </row>
    <row r="219" spans="1:1" x14ac:dyDescent="0.25">
      <c r="A219" s="41" t="str">
        <f ca="1">IF(MID(A$39,1,2)="//","//","")&amp;'App Code'!K237</f>
        <v xml:space="preserve">                                                           ro code section .text object rand.o,</v>
      </c>
    </row>
    <row r="220" spans="1:1" x14ac:dyDescent="0.25">
      <c r="A220" s="41" t="str">
        <f ca="1">IF(MID(A$39,1,2)="//","//","")&amp;'App Code'!K238</f>
        <v xml:space="preserve">                                                           ro code section .text object time_util.o,</v>
      </c>
    </row>
    <row r="221" spans="1:1" x14ac:dyDescent="0.25">
      <c r="A221" s="41" t="str">
        <f ca="1">IF(MID(A$39,1,2)="//","//","")&amp;'App Code'!K239</f>
        <v xml:space="preserve">                                                           ro code section .text object timer_util.o };</v>
      </c>
    </row>
    <row r="222" spans="1:1" x14ac:dyDescent="0.25">
      <c r="A222" s="41" t="str">
        <f ca="1">IF(MID(A$40,1,2)="//","//","")&amp;'App Code'!K240</f>
        <v>"dfw_TEXT":        place at address mem: dfw_TEXT        { ro code section .text object dfw_app.o,</v>
      </c>
    </row>
    <row r="223" spans="1:1" x14ac:dyDescent="0.25">
      <c r="A223" s="41" t="str">
        <f ca="1">IF(MID(A$40,1,2)="//","//","")&amp;'App Code'!K241</f>
        <v xml:space="preserve">                                                           ro code section .text object dfw_interface.o,</v>
      </c>
    </row>
    <row r="224" spans="1:1" x14ac:dyDescent="0.25">
      <c r="A224" s="41" t="str">
        <f ca="1">IF(MID(A$40,1,2)="//","//","")&amp;'App Code'!K242</f>
        <v xml:space="preserve">                                                           ro code section .text object dfw_pckt.o,</v>
      </c>
    </row>
    <row r="225" spans="1:1" x14ac:dyDescent="0.25">
      <c r="A225" s="41" t="str">
        <f ca="1">IF(MID(A$40,1,2)="//","//","")&amp;'App Code'!K243</f>
        <v xml:space="preserve">                                                           ro code section .text object dfwtd_config.o };</v>
      </c>
    </row>
    <row r="226" spans="1:1" x14ac:dyDescent="0.25">
      <c r="A226" s="41" t="str">
        <f ca="1">IF(MID(A$41,1,2)="//","//","")&amp;'App Code'!K244</f>
        <v>"driver_TEXT":     place at address mem: driver_TEXT     { ro code section .text object dvr_banked.o,</v>
      </c>
    </row>
    <row r="227" spans="1:1" x14ac:dyDescent="0.25">
      <c r="A227" s="41" t="str">
        <f ca="1">IF(MID(A$41,1,2)="//","//","")&amp;'App Code'!K245</f>
        <v xml:space="preserve">                                                           ro code section .text object dvr_cache.o,</v>
      </c>
    </row>
    <row r="228" spans="1:1" x14ac:dyDescent="0.25">
      <c r="A228" s="41" t="str">
        <f ca="1">IF(MID(A$41,1,2)="//","//","")&amp;'App Code'!K246</f>
        <v xml:space="preserve">                                                           ro code section .text object dvr_extflash.o,</v>
      </c>
    </row>
    <row r="229" spans="1:1" x14ac:dyDescent="0.25">
      <c r="A229" s="41" t="str">
        <f ca="1">IF(MID(A$41,1,2)="//","//","")&amp;'App Code'!K247</f>
        <v xml:space="preserve">                                                           ro code section .text object dvr_sectPreErase.o,</v>
      </c>
    </row>
    <row r="230" spans="1:1" x14ac:dyDescent="0.25">
      <c r="A230" s="41" t="str">
        <f ca="1">IF(MID(A$41,1,2)="//","//","")&amp;'App Code'!K248</f>
        <v xml:space="preserve">                                                           ro code section .text object dvr_sharedMem.o,</v>
      </c>
    </row>
    <row r="231" spans="1:1" x14ac:dyDescent="0.25">
      <c r="A231" s="41" t="str">
        <f ca="1">IF(MID(A$41,1,2)="//","//","")&amp;'App Code'!K249</f>
        <v xml:space="preserve">                                                           ro code section .text object IF_intFlash.o,</v>
      </c>
    </row>
    <row r="232" spans="1:1" x14ac:dyDescent="0.25">
      <c r="A232" s="41" t="str">
        <f ca="1">IF(MID(A$41,1,2)="//","//","")&amp;'App Code'!K250</f>
        <v xml:space="preserve">                                                           ro code section .text object spi_mstr.o };</v>
      </c>
    </row>
    <row r="233" spans="1:1" x14ac:dyDescent="0.25">
      <c r="A233" s="41" t="str">
        <f ca="1">IF(MID(A$42,1,2)="//","//","")&amp;'App Code'!K251</f>
        <v>"stack_TEXT":      place at address mem: stack_TEXT      { ro code section .text object COMM.o,</v>
      </c>
    </row>
    <row r="234" spans="1:1" x14ac:dyDescent="0.25">
      <c r="A234" s="41" t="str">
        <f ca="1">IF(MID(A$42,1,2)="//","//","")&amp;'App Code'!K252</f>
        <v xml:space="preserve">                                                           ro code section .text object SM.o,</v>
      </c>
    </row>
    <row r="235" spans="1:1" x14ac:dyDescent="0.25">
      <c r="A235" s="41" t="str">
        <f ca="1">IF(MID(A$42,1,2)="//","//","")&amp;'App Code'!K253</f>
        <v xml:space="preserve">                                                           ro code section .text object smtd_config.o,</v>
      </c>
    </row>
    <row r="236" spans="1:1" x14ac:dyDescent="0.25">
      <c r="A236" s="41" t="str">
        <f ca="1">IF(MID(A$42,1,2)="//","//","")&amp;'App Code'!K254</f>
        <v xml:space="preserve">                                                           ro code section .text object dtls.o,</v>
      </c>
    </row>
    <row r="237" spans="1:1" x14ac:dyDescent="0.25">
      <c r="A237" s="41" t="str">
        <f ca="1">IF(MID(A$42,1,2)="//","//","")&amp;'App Code'!K255</f>
        <v xml:space="preserve">                                                           ro code section .text object mtls.o,</v>
      </c>
    </row>
    <row r="238" spans="1:1" x14ac:dyDescent="0.25">
      <c r="A238" s="41" t="str">
        <f ca="1">IF(MID(A$42,1,2)="//","//","")&amp;'App Code'!K256</f>
        <v xml:space="preserve">                                                           ro code section .text object STACK.o,</v>
      </c>
    </row>
    <row r="239" spans="1:1" x14ac:dyDescent="0.25">
      <c r="A239" s="41" t="str">
        <f ca="1">IF(MID(A$42,1,2)="//","//","")&amp;'App Code'!K257</f>
        <v xml:space="preserve">                                                           ro code section .text object MAC.o,</v>
      </c>
    </row>
    <row r="240" spans="1:1" x14ac:dyDescent="0.25">
      <c r="A240" s="41" t="str">
        <f ca="1">IF(MID(A$42,1,2)="//","//","")&amp;'App Code'!K258</f>
        <v xml:space="preserve">                                                           ro code section .text object MAC_FrameEncoder.o,</v>
      </c>
    </row>
    <row r="241" spans="1:1" x14ac:dyDescent="0.25">
      <c r="A241" s="41" t="str">
        <f ca="1">IF(MID(A$42,1,2)="//","//","")&amp;'App Code'!K259</f>
        <v xml:space="preserve">                                                           ro code section .text object MAC_FrameManagement.o,</v>
      </c>
    </row>
    <row r="242" spans="1:1" x14ac:dyDescent="0.25">
      <c r="A242" s="41" t="str">
        <f ca="1">IF(MID(A$42,1,2)="//","//","")&amp;'App Code'!K260</f>
        <v xml:space="preserve">                                                           ro code section .text object MAC_PacketManagement.o,</v>
      </c>
    </row>
    <row r="243" spans="1:1" x14ac:dyDescent="0.25">
      <c r="A243" s="41" t="str">
        <f ca="1">IF(MID(A$42,1,2)="//","//","")&amp;'App Code'!K261</f>
        <v xml:space="preserve">                                                           ro code section .text object PHY.o,</v>
      </c>
    </row>
    <row r="244" spans="1:1" x14ac:dyDescent="0.25">
      <c r="A244" s="41" t="str">
        <f ca="1">IF(MID(A$42,1,2)="//","//","")&amp;'App Code'!K262</f>
        <v xml:space="preserve">                                                           ro code section .text object EstimateCarrierFrequencyOffset.o,</v>
      </c>
    </row>
    <row r="245" spans="1:1" x14ac:dyDescent="0.25">
      <c r="A245" s="41" t="str">
        <f ca="1">IF(MID(A$42,1,2)="//","//","")&amp;'App Code'!K263</f>
        <v xml:space="preserve">                                                           ro code section .text object MaximizeEyeOpening.o,</v>
      </c>
    </row>
    <row r="246" spans="1:1" x14ac:dyDescent="0.25">
      <c r="A246" s="41" t="str">
        <f ca="1">IF(MID(A$42,1,2)="//","//","")&amp;'App Code'!K264</f>
        <v xml:space="preserve">                                                           ro code section .text object PerformCFOCompensation.o,</v>
      </c>
    </row>
    <row r="247" spans="1:1" x14ac:dyDescent="0.25">
      <c r="A247" s="41" t="str">
        <f ca="1">IF(MID(A$42,1,2)="//","//","")&amp;'App Code'!K265</f>
        <v xml:space="preserve">                                                           ro code section .text object preamble_detect.o,</v>
      </c>
    </row>
    <row r="248" spans="1:1" x14ac:dyDescent="0.25">
      <c r="A248" s="41" t="str">
        <f ca="1">IF(MID(A$42,1,2)="//","//","")&amp;'App Code'!K266</f>
        <v xml:space="preserve">                                                           ro code section .text object preambleDetector.o,</v>
      </c>
    </row>
    <row r="249" spans="1:1" x14ac:dyDescent="0.25">
      <c r="A249" s="41" t="str">
        <f ca="1">IF(MID(A$42,1,2)="//","//","")&amp;'App Code'!K267</f>
        <v xml:space="preserve">                                                           ro code section .text object preambleDetector_Data.o,</v>
      </c>
    </row>
    <row r="250" spans="1:1" x14ac:dyDescent="0.25">
      <c r="A250" s="41" t="str">
        <f ca="1">IF(MID(A$42,1,2)="//","//","")&amp;'App Code'!K268</f>
        <v xml:space="preserve">                                                           ro code section .text object preambleDetector_initialize.o,</v>
      </c>
    </row>
    <row r="251" spans="1:1" x14ac:dyDescent="0.25">
      <c r="A251" s="41" t="str">
        <f ca="1">IF(MID(A$42,1,2)="//","//","")&amp;'App Code'!K269</f>
        <v xml:space="preserve">                                                           ro code section .text object processDerotatedSamples.o,</v>
      </c>
    </row>
    <row r="252" spans="1:1" x14ac:dyDescent="0.25">
      <c r="A252" s="41" t="str">
        <f ca="1">IF(MID(A$42,1,2)="//","//","")&amp;'App Code'!K270</f>
        <v xml:space="preserve">                                                           ro code section .text object ScaleClipFreq2phase.o,</v>
      </c>
    </row>
    <row r="253" spans="1:1" x14ac:dyDescent="0.25">
      <c r="A253" s="41" t="str">
        <f ca="1">IF(MID(A$42,1,2)="//","//","")&amp;'App Code'!K271</f>
        <v xml:space="preserve">                                                           ro code section .text object sign.o,</v>
      </c>
    </row>
    <row r="254" spans="1:1" x14ac:dyDescent="0.25">
      <c r="A254" s="41" t="str">
        <f ca="1">IF(MID(A$42,1,2)="//","//","")&amp;'App Code'!K272</f>
        <v xml:space="preserve">                                                           ro code section .text object fir_filt_circ_buff.o,</v>
      </c>
    </row>
    <row r="255" spans="1:1" x14ac:dyDescent="0.25">
      <c r="A255" s="41" t="str">
        <f ca="1">IF(MID(A$42,1,2)="//","//","")&amp;'App Code'!K273</f>
        <v xml:space="preserve">                                                           ro code section .text object gresample.o,</v>
      </c>
    </row>
    <row r="256" spans="1:1" x14ac:dyDescent="0.25">
      <c r="A256" s="41" t="str">
        <f ca="1">IF(MID(A$42,1,2)="//","//","")&amp;'App Code'!K274</f>
        <v xml:space="preserve">                                                           ro code section .text object phase2freq_wi_unwrap.o,</v>
      </c>
    </row>
    <row r="257" spans="1:1" x14ac:dyDescent="0.25">
      <c r="A257" s="41" t="str">
        <f ca="1">IF(MID(A$42,1,2)="//","//","")&amp;'App Code'!K275</f>
        <v xml:space="preserve">                                                           ro code section .text object findSYNC.o,</v>
      </c>
    </row>
    <row r="258" spans="1:1" x14ac:dyDescent="0.25">
      <c r="A258" s="41" t="str">
        <f ca="1">IF(MID(A$42,1,2)="//","//","")&amp;'App Code'!K276</f>
        <v xml:space="preserve">                                                           ro code section .text object FreqDomMlseP4GfskStruct2.o,</v>
      </c>
    </row>
    <row r="259" spans="1:1" x14ac:dyDescent="0.25">
      <c r="A259" s="41" t="str">
        <f ca="1">IF(MID(A$42,1,2)="//","//","")&amp;'App Code'!K277</f>
        <v xml:space="preserve">                                                           ro code section .text object processDerotatedSPDSamples.o,</v>
      </c>
    </row>
    <row r="260" spans="1:1" x14ac:dyDescent="0.25">
      <c r="A260" s="41" t="str">
        <f ca="1">IF(MID(A$42,1,2)="//","//","")&amp;'App Code'!K278</f>
        <v xml:space="preserve">                                                           ro code section .text object SyncAndPayloadDemodulator.o,</v>
      </c>
    </row>
    <row r="261" spans="1:1" x14ac:dyDescent="0.25">
      <c r="A261" s="41" t="str">
        <f ca="1">IF(MID(A$42,1,2)="//","//","")&amp;'App Code'!K279</f>
        <v xml:space="preserve">                                                           ro code section .text object SoftDemodulator.o,</v>
      </c>
    </row>
    <row r="262" spans="1:1" x14ac:dyDescent="0.25">
      <c r="A262" s="41" t="str">
        <f ca="1">IF(MID(A$42,1,2)="//","//","")&amp;'App Code'!K280</f>
        <v xml:space="preserve">                                                           ro code section .text object rs.o,</v>
      </c>
    </row>
    <row r="263" spans="1:1" x14ac:dyDescent="0.25">
      <c r="A263" s="41" t="str">
        <f ca="1">IF(MID(A$42,1,2)="//","//","")&amp;'App Code'!K281</f>
        <v xml:space="preserve">                                                           ro code section .text object galois.o,</v>
      </c>
    </row>
    <row r="264" spans="1:1" x14ac:dyDescent="0.25">
      <c r="A264" s="41" t="str">
        <f ca="1">IF(MID(A$42,1,2)="//","//","")&amp;'App Code'!K282</f>
        <v xml:space="preserve">                                                           ro code section .text object rsdec.o,</v>
      </c>
    </row>
    <row r="265" spans="1:1" x14ac:dyDescent="0.25">
      <c r="A265" s="41" t="str">
        <f ca="1">IF(MID(A$42,1,2)="//","//","")&amp;'App Code'!K283</f>
        <v xml:space="preserve">                                                           ro code section .text object rsenc.o,</v>
      </c>
    </row>
    <row r="266" spans="1:1" x14ac:dyDescent="0.25">
      <c r="A266" s="41" t="str">
        <f ca="1">IF(MID(A$42,1,2)="//","//","")&amp;'App Code'!K284</f>
        <v xml:space="preserve">                                                           ro code section .text object indication.o };</v>
      </c>
    </row>
    <row r="267" spans="1:1" x14ac:dyDescent="0.25">
      <c r="A267" s="41" t="str">
        <f ca="1">IF(MID(A$43,1,2)="//","//","")&amp;'App Code'!K285</f>
        <v>"OS_API_TEXT":     place at address mem: OS_API_TEXT     { ro code section .text object Event.o,</v>
      </c>
    </row>
    <row r="268" spans="1:1" x14ac:dyDescent="0.25">
      <c r="A268" s="41" t="str">
        <f ca="1">IF(MID(A$43,1,2)="//","//","")&amp;'App Code'!K286</f>
        <v xml:space="preserve">                                                           ro code section .text object MessageQ.o,</v>
      </c>
    </row>
    <row r="269" spans="1:1" x14ac:dyDescent="0.25">
      <c r="A269" s="41" t="str">
        <f ca="1">IF(MID(A$43,1,2)="//","//","")&amp;'App Code'!K287</f>
        <v xml:space="preserve">                                                           ro code section .text object Mutex.o,</v>
      </c>
    </row>
    <row r="270" spans="1:1" x14ac:dyDescent="0.25">
      <c r="A270" s="41" t="str">
        <f ca="1">IF(MID(A$43,1,2)="//","//","")&amp;'App Code'!K288</f>
        <v xml:space="preserve">                                                           ro code section .text object Queue.o,</v>
      </c>
    </row>
    <row r="271" spans="1:1" x14ac:dyDescent="0.25">
      <c r="A271" s="41" t="str">
        <f ca="1">IF(MID(A$43,1,2)="//","//","")&amp;'App Code'!K289</f>
        <v xml:space="preserve">                                                           ro code section .text object Semaphore.o,</v>
      </c>
    </row>
    <row r="272" spans="1:1" x14ac:dyDescent="0.25">
      <c r="A272" s="41" t="str">
        <f ca="1">IF(MID(A$43,1,2)="//","//","")&amp;'App Code'!K290</f>
        <v xml:space="preserve">                                                           ro code section .text object TickTime.o };</v>
      </c>
    </row>
    <row r="273" spans="1:1" x14ac:dyDescent="0.25">
      <c r="A273" s="41" t="str">
        <f ca="1">IF(MID(A$44,1,2)="//","//","")&amp;'App Code'!K291</f>
        <v>"radio_TEXT":      place at address mem: radio_TEXT      { ro code section .text object radio.o,</v>
      </c>
    </row>
    <row r="274" spans="1:1" x14ac:dyDescent="0.25">
      <c r="A274" s="41" t="str">
        <f ca="1">IF(MID(A$44,1,2)="//","//","")&amp;'App Code'!K292</f>
        <v xml:space="preserve">                                                           ro code section .text object radio_comm.o,</v>
      </c>
    </row>
    <row r="275" spans="1:1" x14ac:dyDescent="0.25">
      <c r="A275" s="41" t="str">
        <f ca="1">IF(MID(A$44,1,2)="//","//","")&amp;'App Code'!K293</f>
        <v xml:space="preserve">                                                           ro code section .text object si446x_api_lib.o,</v>
      </c>
    </row>
    <row r="276" spans="1:1" x14ac:dyDescent="0.25">
      <c r="A276" s="41" t="str">
        <f ca="1">IF(MID(A$44,1,2)="//","//","")&amp;'App Code'!K294</f>
        <v xml:space="preserve">                                                           ro code section .text object radio_config_normal.o,</v>
      </c>
    </row>
    <row r="277" spans="1:1" x14ac:dyDescent="0.25">
      <c r="A277" s="41" t="str">
        <f ca="1">IF(MID(A$44,1,2)="//","//","")&amp;'App Code'!K295</f>
        <v xml:space="preserve">                                                           ro code section .text object radio_config_cw.o,</v>
      </c>
    </row>
    <row r="278" spans="1:1" x14ac:dyDescent="0.25">
      <c r="A278" s="41" t="str">
        <f ca="1">IF(MID(A$44,1,2)="//","//","")&amp;'App Code'!K296</f>
        <v xml:space="preserve">                                                           ro code section .text object radio_config_PN9.o,</v>
      </c>
    </row>
    <row r="279" spans="1:1" x14ac:dyDescent="0.25">
      <c r="A279" s="41" t="str">
        <f ca="1">IF(MID(A$44,1,2)="//","//","")&amp;'App Code'!K297</f>
        <v xml:space="preserve">                                                           ro code section .text object radio_config_2GFSK_BER.o,</v>
      </c>
    </row>
    <row r="280" spans="1:1" x14ac:dyDescent="0.25">
      <c r="A280" s="41" t="str">
        <f ca="1">IF(MID(A$44,1,2)="//","//","")&amp;'App Code'!K298</f>
        <v xml:space="preserve">                                                           ro code section .text object radio_config_4GFSK_BER.o,</v>
      </c>
    </row>
    <row r="281" spans="1:1" x14ac:dyDescent="0.25">
      <c r="A281" s="41" t="str">
        <f ca="1">IF(MID(A$44,1,2)="//","//","")&amp;'App Code'!K299</f>
        <v xml:space="preserve">                                                           ro code section .text object radio_TCXO.o };</v>
      </c>
    </row>
    <row r="282" spans="1:1" x14ac:dyDescent="0.25">
      <c r="A282" s="41" t="str">
        <f ca="1">IF(MID(A$45,1,2)="//","//","")&amp;'App Code'!K300</f>
        <v>"security_TEXT":   place at address mem: security_TEXT   { ro code section .text object cert-builder.o,</v>
      </c>
    </row>
    <row r="283" spans="1:1" x14ac:dyDescent="0.25">
      <c r="A283" s="41" t="str">
        <f ca="1">IF(MID(A$45,1,2)="//","//","")&amp;'App Code'!K301</f>
        <v xml:space="preserve">                                                           ro code section .text object ecc108_apps.o,</v>
      </c>
    </row>
    <row r="284" spans="1:1" x14ac:dyDescent="0.25">
      <c r="A284" s="41" t="str">
        <f ca="1">IF(MID(A$45,1,2)="//","//","")&amp;'App Code'!K302</f>
        <v xml:space="preserve">                                                           ro code section .text object ecc108_comm.o,</v>
      </c>
    </row>
    <row r="285" spans="1:1" x14ac:dyDescent="0.25">
      <c r="A285" s="41" t="str">
        <f ca="1">IF(MID(A$45,1,2)="//","//","")&amp;'App Code'!K303</f>
        <v xml:space="preserve">                                                           ro code section .text object ecc108_comm_marshaling.o,</v>
      </c>
    </row>
    <row r="286" spans="1:1" x14ac:dyDescent="0.25">
      <c r="A286" s="41" t="str">
        <f ca="1">IF(MID(A$45,1,2)="//","//","")&amp;'App Code'!K304</f>
        <v xml:space="preserve">                                                           ro code section .text object ecc108_i2c.o,</v>
      </c>
    </row>
    <row r="287" spans="1:1" x14ac:dyDescent="0.25">
      <c r="A287" s="41" t="str">
        <f ca="1">IF(MID(A$45,1,2)="//","//","")&amp;'App Code'!K305</f>
        <v xml:space="preserve">                                                           ro code section .text object ecc108_mqx.o };</v>
      </c>
    </row>
    <row r="288" spans="1:1" x14ac:dyDescent="0.25">
      <c r="A288" s="41" t="str">
        <f ca="1">IF(MID(A$46,1,2)="//","//","")&amp;'App Code'!K306</f>
        <v>"AclaraBSP_TEXT":  place at address mem: AclaraBSP_TEXT  { ro code section .text object ADC.o,</v>
      </c>
    </row>
    <row r="289" spans="1:1" x14ac:dyDescent="0.25">
      <c r="A289" s="41" t="str">
        <f ca="1">IF(MID(A$46,1,2)="//","//","")&amp;'App Code'!K307</f>
        <v xml:space="preserve">                                                           ro code section .text object BSP_aclara.o,</v>
      </c>
    </row>
    <row r="290" spans="1:1" x14ac:dyDescent="0.25">
      <c r="A290" s="41" t="str">
        <f ca="1">IF(MID(A$46,1,2)="//","//","")&amp;'App Code'!K308</f>
        <v xml:space="preserve">                                                           ro code section .text object CRC.o,</v>
      </c>
    </row>
    <row r="291" spans="1:1" x14ac:dyDescent="0.25">
      <c r="A291" s="41" t="str">
        <f ca="1">IF(MID(A$46,1,2)="//","//","")&amp;'App Code'!K309</f>
        <v xml:space="preserve">                                                           ro code section .text object gpio.o,</v>
      </c>
    </row>
    <row r="292" spans="1:1" x14ac:dyDescent="0.25">
      <c r="A292" s="41" t="str">
        <f ca="1">IF(MID(A$46,1,2)="//","//","")&amp;'App Code'!K310</f>
        <v xml:space="preserve">                                                           ro code section .text object LED.o,</v>
      </c>
    </row>
    <row r="293" spans="1:1" x14ac:dyDescent="0.25">
      <c r="A293" s="41" t="str">
        <f ca="1">IF(MID(A$46,1,2)="//","//","")&amp;'App Code'!K311</f>
        <v xml:space="preserve">                                                           ro code section .text object radio_hal.o,</v>
      </c>
    </row>
    <row r="294" spans="1:1" x14ac:dyDescent="0.25">
      <c r="A294" s="41" t="str">
        <f ca="1">IF(MID(A$46,1,2)="//","//","")&amp;'App Code'!K312</f>
        <v xml:space="preserve">                                                           ro code section .text object rng.o,</v>
      </c>
    </row>
    <row r="295" spans="1:1" x14ac:dyDescent="0.25">
      <c r="A295" s="41" t="str">
        <f ca="1">IF(MID(A$46,1,2)="//","//","")&amp;'App Code'!K313</f>
        <v xml:space="preserve">                                                           ro code section .text object RTC.o,</v>
      </c>
    </row>
    <row r="296" spans="1:1" x14ac:dyDescent="0.25">
      <c r="A296" s="41" t="str">
        <f ca="1">IF(MID(A$46,1,2)="//","//","")&amp;'App Code'!K314</f>
        <v xml:space="preserve">                                                           ro code section .text object sys_clock.o,</v>
      </c>
    </row>
    <row r="297" spans="1:1" x14ac:dyDescent="0.25">
      <c r="A297" s="41" t="str">
        <f ca="1">IF(MID(A$46,1,2)="//","//","")&amp;'App Code'!K315</f>
        <v xml:space="preserve">                                                           ro code section .text object UART.o,</v>
      </c>
    </row>
    <row r="298" spans="1:1" x14ac:dyDescent="0.25">
      <c r="A298" s="41" t="str">
        <f ca="1">IF(MID(A$46,1,2)="//","//","")&amp;'App Code'!K316</f>
        <v xml:space="preserve">                                                           ro code section .text object WDOG.o };</v>
      </c>
    </row>
    <row r="299" spans="1:1" x14ac:dyDescent="0.25">
      <c r="A299" s="41" t="str">
        <f ca="1">IF(MID(A$47,1,2)="//","//","")&amp;'App Code'!K317</f>
        <v>"Common_TEXT":     place at address mem: Common_TEXT     { ro code section .text object alarm_task.o,</v>
      </c>
    </row>
    <row r="300" spans="1:1" x14ac:dyDescent="0.25">
      <c r="A300" s="41" t="str">
        <f ca="1">IF(MID(A$47,1,2)="//","//","")&amp;'App Code'!K318</f>
        <v xml:space="preserve">                                                           ro code section .text object ALRM_Handler.o,</v>
      </c>
    </row>
    <row r="301" spans="1:1" x14ac:dyDescent="0.25">
      <c r="A301" s="41" t="str">
        <f ca="1">IF(MID(A$47,1,2)="//","//","")&amp;'App Code'!K319</f>
        <v xml:space="preserve">                                                           ro code section .text object BUF_MemoryBuffers.o,</v>
      </c>
    </row>
    <row r="302" spans="1:1" x14ac:dyDescent="0.25">
      <c r="A302" s="41" t="str">
        <f ca="1">IF(MID(A$47,1,2)="//","//","")&amp;'App Code'!K320</f>
        <v xml:space="preserve">                                                           ro code section .text object buffer.o,</v>
      </c>
    </row>
    <row r="303" spans="1:1" x14ac:dyDescent="0.25">
      <c r="A303" s="41" t="str">
        <f ca="1">IF(MID(A$47,1,2)="//","//","")&amp;'App Code'!K321</f>
        <v xml:space="preserve">                                                           ro code section .text object DBG_CommandLine.o,</v>
      </c>
    </row>
    <row r="304" spans="1:1" x14ac:dyDescent="0.25">
      <c r="A304" s="41" t="str">
        <f ca="1">IF(MID(A$47,1,2)="//","//","")&amp;'App Code'!K322</f>
        <v xml:space="preserve">                                                           ro code section .text object DBG_SerialDebug.o,</v>
      </c>
    </row>
    <row r="305" spans="1:1" x14ac:dyDescent="0.25">
      <c r="A305" s="41" t="str">
        <f ca="1">IF(MID(A$47,1,2)="//","//","")&amp;'App Code'!K323</f>
        <v xml:space="preserve">                                                           ro code section .text object eng_res.o,</v>
      </c>
    </row>
    <row r="306" spans="1:1" x14ac:dyDescent="0.25">
      <c r="A306" s="41" t="str">
        <f ca="1">IF(MID(A$47,1,2)="//","//","")&amp;'App Code'!K324</f>
        <v xml:space="preserve">                                                           ro code section .text object EVL_event_log.o,</v>
      </c>
    </row>
    <row r="307" spans="1:1" x14ac:dyDescent="0.25">
      <c r="A307" s="41" t="str">
        <f ca="1">IF(MID(A$47,1,2)="//","//","")&amp;'App Code'!K325</f>
        <v xml:space="preserve">                                                           ro code section .text object exe_list.o,</v>
      </c>
    </row>
    <row r="308" spans="1:1" x14ac:dyDescent="0.25">
      <c r="A308" s="41" t="str">
        <f ca="1">IF(MID(A$47,1,2)="//","//","")&amp;'App Code'!K326</f>
        <v xml:space="preserve">                                                           ro code section .text object file_io.o,</v>
      </c>
    </row>
    <row r="309" spans="1:1" x14ac:dyDescent="0.25">
      <c r="A309" s="41" t="str">
        <f ca="1">IF(MID(A$47,1,2)="//","//","")&amp;'App Code'!K327</f>
        <v xml:space="preserve">                                                           ro code section .text object HEEP_util.o,</v>
      </c>
    </row>
    <row r="310" spans="1:1" x14ac:dyDescent="0.25">
      <c r="A310" s="41" t="str">
        <f ca="1">IF(MID(A$47,1,2)="//","//","")&amp;'App Code'!K328</f>
        <v xml:space="preserve">                                                           ro code section .text object mem_chk.o,</v>
      </c>
    </row>
    <row r="311" spans="1:1" x14ac:dyDescent="0.25">
      <c r="A311" s="41" t="str">
        <f ca="1">IF(MID(A$47,1,2)="//","//","")&amp;'App Code'!K329</f>
        <v xml:space="preserve">                                                           ro code section .text object MFG_Dtls.o,</v>
      </c>
    </row>
    <row r="312" spans="1:1" x14ac:dyDescent="0.25">
      <c r="A312" s="41" t="str">
        <f ca="1">IF(MID(A$47,1,2)="//","//","")&amp;'App Code'!K330</f>
        <v xml:space="preserve">                                                           ro code section .text object MFG_Port.o,</v>
      </c>
    </row>
    <row r="313" spans="1:1" x14ac:dyDescent="0.25">
      <c r="A313" s="41" t="str">
        <f ca="1">IF(MID(A$47,1,2)="//","//","")&amp;'App Code'!K331</f>
        <v xml:space="preserve">                                                           ro code section .text object MIMT_info.o,</v>
      </c>
    </row>
    <row r="314" spans="1:1" x14ac:dyDescent="0.25">
      <c r="A314" s="41" t="str">
        <f ca="1">IF(MID(A$47,1,2)="//","//","")&amp;'App Code'!K332</f>
        <v xml:space="preserve">                                                           ro code section .text object mode_config.o,</v>
      </c>
    </row>
    <row r="315" spans="1:1" x14ac:dyDescent="0.25">
      <c r="A315" s="41" t="str">
        <f ca="1">IF(MID(A$47,1,2)="//","//","")&amp;'App Code'!K333</f>
        <v xml:space="preserve">                                                           ro code section .text object object_list.o,</v>
      </c>
    </row>
    <row r="316" spans="1:1" x14ac:dyDescent="0.25">
      <c r="A316" s="41" t="str">
        <f ca="1">IF(MID(A$47,1,2)="//","//","")&amp;'App Code'!K334</f>
        <v xml:space="preserve">                                                           ro code section .text object partitions.o,</v>
      </c>
    </row>
    <row r="317" spans="1:1" x14ac:dyDescent="0.25">
      <c r="A317" s="41" t="str">
        <f ca="1">IF(MID(A$47,1,2)="//","//","")&amp;'App Code'!K335</f>
        <v xml:space="preserve">                                                           ro code section .text object runTimeInit.o,</v>
      </c>
    </row>
    <row r="318" spans="1:1" x14ac:dyDescent="0.25">
      <c r="A318" s="41" t="str">
        <f ca="1">IF(MID(A$47,1,2)="//","//","")&amp;'App Code'!K336</f>
        <v xml:space="preserve">                                                           ro code section .text object SELF_test.o,</v>
      </c>
    </row>
    <row r="319" spans="1:1" x14ac:dyDescent="0.25">
      <c r="A319" s="41" t="str">
        <f ca="1">IF(MID(A$47,1,2)="//","//","")&amp;'App Code'!K337</f>
        <v xml:space="preserve">                                                           ro code section .text object stack_check.o,</v>
      </c>
    </row>
    <row r="320" spans="1:1" x14ac:dyDescent="0.25">
      <c r="A320" s="41" t="str">
        <f ca="1">IF(MID(A$47,1,2)="//","//","")&amp;'App Code'!K338</f>
        <v xml:space="preserve">                                                           ro code section .text object sys_busy.o,</v>
      </c>
    </row>
    <row r="321" spans="1:1" x14ac:dyDescent="0.25">
      <c r="A321" s="41" t="str">
        <f ca="1">IF(MID(A$47,1,2)="//","//","")&amp;'App Code'!K339</f>
        <v xml:space="preserve">                                                           ro code section .text object temperature.o,</v>
      </c>
    </row>
    <row r="322" spans="1:1" x14ac:dyDescent="0.25">
      <c r="A322" s="41" t="str">
        <f ca="1">IF(MID(A$47,1,2)="//","//","")&amp;'App Code'!K340</f>
        <v xml:space="preserve">                                                           ro code section .text object time_DST.o,</v>
      </c>
    </row>
    <row r="323" spans="1:1" x14ac:dyDescent="0.25">
      <c r="A323" s="41" t="str">
        <f ca="1">IF(MID(A$47,1,2)="//","//","")&amp;'App Code'!K341</f>
        <v xml:space="preserve">                                                           ro code section .text object time_sync.o,</v>
      </c>
    </row>
    <row r="324" spans="1:1" x14ac:dyDescent="0.25">
      <c r="A324" s="41" t="str">
        <f ca="1">IF(MID(A$47,1,2)="//","//","")&amp;'App Code'!K342</f>
        <v xml:space="preserve">                                                           ro code section .text object time_sys.o,</v>
      </c>
    </row>
    <row r="325" spans="1:1" x14ac:dyDescent="0.25">
      <c r="A325" s="41" t="str">
        <f ca="1">IF(MID(A$47,1,2)="//","//","")&amp;'App Code'!K343</f>
        <v xml:space="preserve">                                                           ro code section .text object virgin_device.o,</v>
      </c>
    </row>
    <row r="326" spans="1:1" x14ac:dyDescent="0.25">
      <c r="A326" s="41" t="str">
        <f ca="1">IF(MID(A$47,1,2)="//","//","")&amp;'App Code'!K344</f>
        <v xml:space="preserve">                                                           ro code section .text object FTM0.o,</v>
      </c>
    </row>
    <row r="327" spans="1:1" x14ac:dyDescent="0.25">
      <c r="A327" s="41" t="str">
        <f ca="1">IF(MID(A$47,1,2)="//","//","")&amp;'App Code'!K345</f>
        <v xml:space="preserve">                                                           ro code section .text object FTM1.o,</v>
      </c>
    </row>
    <row r="328" spans="1:1" x14ac:dyDescent="0.25">
      <c r="A328" s="41" t="str">
        <f ca="1">IF(MID(A$47,1,2)="//","//","")&amp;'App Code'!K346</f>
        <v xml:space="preserve">                                                           ro code section .text object FTM2.o,</v>
      </c>
    </row>
    <row r="329" spans="1:1" x14ac:dyDescent="0.25">
      <c r="A329" s="41" t="str">
        <f ca="1">IF(MID(A$47,1,2)="//","//","")&amp;'App Code'!K347</f>
        <v xml:space="preserve">                                                           ro code section .text object FTM3.o };</v>
      </c>
    </row>
    <row r="330" spans="1:1" x14ac:dyDescent="0.25">
      <c r="A330" s="41" t="str">
        <f ca="1">IF(MID(A$48,1,2)="//","//","")&amp;'App Code'!K348</f>
        <v>"HMC_TEXT":        place at address mem: HMC_TEXT        { ro code section .text object hmc_app.o,</v>
      </c>
    </row>
    <row r="331" spans="1:1" x14ac:dyDescent="0.25">
      <c r="A331" s="41" t="str">
        <f ca="1">IF(MID(A$48,1,2)="//","//","")&amp;'App Code'!K349</f>
        <v xml:space="preserve">                                                           ro code section .text object hmc_demand.o,</v>
      </c>
    </row>
    <row r="332" spans="1:1" x14ac:dyDescent="0.25">
      <c r="A332" s="41" t="str">
        <f ca="1">IF(MID(A$48,1,2)="//","//","")&amp;'App Code'!K350</f>
        <v xml:space="preserve">                                                           ro code section .text object hmc_diags.o,</v>
      </c>
    </row>
    <row r="333" spans="1:1" x14ac:dyDescent="0.25">
      <c r="A333" s="41" t="str">
        <f ca="1">IF(MID(A$48,1,2)="//","//","")&amp;'App Code'!K351</f>
        <v xml:space="preserve">                                                           ro code section .text object hmc_ds.o,</v>
      </c>
    </row>
    <row r="334" spans="1:1" x14ac:dyDescent="0.25">
      <c r="A334" s="41" t="str">
        <f ca="1">IF(MID(A$48,1,2)="//","//","")&amp;'App Code'!K352</f>
        <v xml:space="preserve">                                                           ro code section .text object hmc_eng.o,</v>
      </c>
    </row>
    <row r="335" spans="1:1" x14ac:dyDescent="0.25">
      <c r="A335" s="41" t="str">
        <f ca="1">IF(MID(A$48,1,2)="//","//","")&amp;'App Code'!K353</f>
        <v xml:space="preserve">                                                           ro code section .text object hmc_finish.o,</v>
      </c>
    </row>
    <row r="336" spans="1:1" x14ac:dyDescent="0.25">
      <c r="A336" s="41" t="str">
        <f ca="1">IF(MID(A$48,1,2)="//","//","")&amp;'App Code'!K354</f>
        <v xml:space="preserve">                                                           ro code section .text object hmc_msg.o,</v>
      </c>
    </row>
    <row r="337" spans="1:1" x14ac:dyDescent="0.25">
      <c r="A337" s="41" t="str">
        <f ca="1">IF(MID(A$48,1,2)="//","//","")&amp;'App Code'!K355</f>
        <v xml:space="preserve">                                                           ro code section .text object hmc_mtr_info.o,</v>
      </c>
    </row>
    <row r="338" spans="1:1" x14ac:dyDescent="0.25">
      <c r="A338" s="41" t="str">
        <f ca="1">IF(MID(A$48,1,2)="//","//","")&amp;'App Code'!K356</f>
        <v xml:space="preserve">                                                           ro code section .text object hmc_mtr_lp.o,</v>
      </c>
    </row>
    <row r="339" spans="1:1" x14ac:dyDescent="0.25">
      <c r="A339" s="41" t="str">
        <f ca="1">IF(MID(A$48,1,2)="//","//","")&amp;'App Code'!K357</f>
        <v xml:space="preserve">                                                           ro code section .text object hmc_prot.o,</v>
      </c>
    </row>
    <row r="340" spans="1:1" x14ac:dyDescent="0.25">
      <c r="A340" s="41" t="str">
        <f ca="1">IF(MID(A$48,1,2)="//","//","")&amp;'App Code'!K358</f>
        <v xml:space="preserve">                                                           ro code section .text object hmc_request.o,</v>
      </c>
    </row>
    <row r="341" spans="1:1" x14ac:dyDescent="0.25">
      <c r="A341" s="41" t="str">
        <f ca="1">IF(MID(A$48,1,2)="//","//","")&amp;'App Code'!K359</f>
        <v xml:space="preserve">                                                           ro code section .text object hmc_seq_id.o,</v>
      </c>
    </row>
    <row r="342" spans="1:1" x14ac:dyDescent="0.25">
      <c r="A342" s="41" t="str">
        <f ca="1">IF(MID(A$48,1,2)="//","//","")&amp;'App Code'!K360</f>
        <v xml:space="preserve">                                                           ro code section .text object hmc_snapshot.o,</v>
      </c>
    </row>
    <row r="343" spans="1:1" x14ac:dyDescent="0.25">
      <c r="A343" s="41" t="str">
        <f ca="1">IF(MID(A$48,1,2)="//","//","")&amp;'App Code'!K361</f>
        <v xml:space="preserve">                                                           ro code section .text object hmc_start.o,</v>
      </c>
    </row>
    <row r="344" spans="1:1" x14ac:dyDescent="0.25">
      <c r="A344" s="41" t="str">
        <f ca="1">IF(MID(A$48,1,2)="//","//","")&amp;'App Code'!K362</f>
        <v xml:space="preserve">                                                           ro code section .text object hmc_sync.o,</v>
      </c>
    </row>
    <row r="345" spans="1:1" x14ac:dyDescent="0.25">
      <c r="A345" s="41" t="str">
        <f ca="1">IF(MID(A$48,1,2)="//","//","")&amp;'App Code'!K363</f>
        <v xml:space="preserve">                                                           ro code section .text object hmc_time.o,</v>
      </c>
    </row>
    <row r="346" spans="1:1" x14ac:dyDescent="0.25">
      <c r="A346" s="41" t="str">
        <f ca="1">IF(MID(A$48,1,2)="//","//","")&amp;'App Code'!K364</f>
        <v xml:space="preserve">                                                           ro code section .text object hmc_tsk_lst.o,</v>
      </c>
    </row>
    <row r="347" spans="1:1" x14ac:dyDescent="0.25">
      <c r="A347" s="41" t="str">
        <f ca="1">IF(MID(A$48,1,2)="//","//","")&amp;'App Code'!K365</f>
        <v xml:space="preserve">                                                           ro code section .text object intf_cim_cmd.o,</v>
      </c>
    </row>
    <row r="348" spans="1:1" x14ac:dyDescent="0.25">
      <c r="A348" s="41" t="str">
        <f ca="1">IF(MID(A$48,1,2)="//","//","")&amp;'App Code'!K366</f>
        <v xml:space="preserve">                                                           ro code section .text object hmc_prg_mtr.o,</v>
      </c>
    </row>
    <row r="349" spans="1:1" x14ac:dyDescent="0.25">
      <c r="A349" s="41" t="str">
        <f ca="1">IF(MID(A$48,1,2)="//","//","")&amp;'App Code'!K367</f>
        <v xml:space="preserve">                                                           ro code section .text object hmc_display.o };</v>
      </c>
    </row>
    <row r="350" spans="1:1" x14ac:dyDescent="0.25">
      <c r="A350" s="41" t="str">
        <f ca="1">IF(MID(A$49,1,2)="//","//","")&amp;'App Code'!K368</f>
        <v>"AclaraDA_TEXT":   place at address mem: AclaraDA_TEXT   { ro code section .text object b2b.o,</v>
      </c>
    </row>
    <row r="351" spans="1:1" x14ac:dyDescent="0.25">
      <c r="A351" s="41" t="str">
        <f ca="1">IF(MID(A$49,1,2)="//","//","")&amp;'App Code'!K369</f>
        <v xml:space="preserve">                                                           ro code section .text object b2b_req_handler.o,</v>
      </c>
    </row>
    <row r="352" spans="1:1" x14ac:dyDescent="0.25">
      <c r="A352" s="41" t="str">
        <f ca="1">IF(MID(A$49,1,2)="//","//","")&amp;'App Code'!K370</f>
        <v xml:space="preserve">                                                           ro code section .text object b2bMessage.o,</v>
      </c>
    </row>
    <row r="353" spans="1:1" x14ac:dyDescent="0.25">
      <c r="A353" s="41" t="str">
        <f ca="1">IF(MID(A$49,1,2)="//","//","")&amp;'App Code'!K371</f>
        <v xml:space="preserve">                                                           ro code section .text object da_srfn_reg.o,</v>
      </c>
    </row>
    <row r="354" spans="1:1" x14ac:dyDescent="0.25">
      <c r="A354" s="41" t="str">
        <f ca="1">IF(MID(A$49,1,2)="//","//","")&amp;'App Code'!K372</f>
        <v xml:space="preserve">                                                           ro code section .text object hdlc_frame.o,</v>
      </c>
    </row>
    <row r="355" spans="1:1" x14ac:dyDescent="0.25">
      <c r="A355" s="41" t="str">
        <f ca="1">IF(MID(A$49,1,2)="//","//","")&amp;'App Code'!K373</f>
        <v xml:space="preserve">                                                           ro code section .text object host_reset.o,</v>
      </c>
    </row>
    <row r="356" spans="1:1" x14ac:dyDescent="0.25">
      <c r="A356" s="41" t="str">
        <f ca="1">IF(MID(A$49,1,2)="//","//","")&amp;'App Code'!K374</f>
        <v xml:space="preserve">                                                           ro code section .text object nw_connected.o,</v>
      </c>
    </row>
    <row r="357" spans="1:1" x14ac:dyDescent="0.25">
      <c r="A357" s="41" t="str">
        <f ca="1">IF(MID(A$49,1,2)="//","//","")&amp;'App Code'!K375</f>
        <v xml:space="preserve">                                                           ro code section .text object TUNNEL_MSG_Handler.o,</v>
      </c>
    </row>
    <row r="358" spans="1:1" x14ac:dyDescent="0.25">
      <c r="A358" s="41" t="str">
        <f ca="1">IF(MID(A$49,1,2)="//","//","")&amp;'App Code'!K376</f>
        <v xml:space="preserve">                                                           ro code section .text object tunnel_Util.o };</v>
      </c>
    </row>
    <row r="359" spans="1:1" x14ac:dyDescent="0.25">
      <c r="A359" s="41" t="str">
        <f ca="1">IF(MID(A$50,1,2)="//","//","")&amp;'App Code'!K377</f>
        <v>"MTU_Common_TEXT": place at address mem: MTU_Common_TEXT { ro code section .text object APP_MSG_Handler.o,</v>
      </c>
    </row>
    <row r="360" spans="1:1" x14ac:dyDescent="0.25">
      <c r="A360" s="41" t="str">
        <f ca="1">IF(MID(A$50,1,2)="//","//","")&amp;'App Code'!K378</f>
        <v xml:space="preserve">                                                           ro code section .text object demand.o,</v>
      </c>
    </row>
    <row r="361" spans="1:1" x14ac:dyDescent="0.25">
      <c r="A361" s="41" t="str">
        <f ca="1">IF(MID(A$50,1,2)="//","//","")&amp;'App Code'!K379</f>
        <v xml:space="preserve">                                                           ro code section .text object ed_config.o,</v>
      </c>
    </row>
    <row r="362" spans="1:1" x14ac:dyDescent="0.25">
      <c r="A362" s="41" t="str">
        <f ca="1">IF(MID(A$50,1,2)="//","//","")&amp;'App Code'!K380</f>
        <v xml:space="preserve">                                                           ro code section .text object endpt_cim_cmd.o,</v>
      </c>
    </row>
    <row r="363" spans="1:1" x14ac:dyDescent="0.25">
      <c r="A363" s="41" t="str">
        <f ca="1">IF(MID(A$50,1,2)="//","//","")&amp;'App Code'!K381</f>
        <v xml:space="preserve">                                                           ro code section .text object historyd.o,</v>
      </c>
    </row>
    <row r="364" spans="1:1" x14ac:dyDescent="0.25">
      <c r="A364" s="41" t="str">
        <f ca="1">IF(MID(A$50,1,2)="//","//","")&amp;'App Code'!K382</f>
        <v xml:space="preserve">                                                           ro code section .text object ID_intervalTask.o,</v>
      </c>
    </row>
    <row r="365" spans="1:1" x14ac:dyDescent="0.25">
      <c r="A365" s="41" t="str">
        <f ca="1">IF(MID(A$50,1,2)="//","//","")&amp;'App Code'!K383</f>
        <v xml:space="preserve">                                                           ro code section .text object IDL_IdleProcess.o,</v>
      </c>
    </row>
    <row r="366" spans="1:1" x14ac:dyDescent="0.25">
      <c r="A366" s="41" t="str">
        <f ca="1">IF(MID(A$50,1,2)="//","//","")&amp;'App Code'!K384</f>
        <v xml:space="preserve">                                                           ro code section .text object OR_MR_Handler.o,</v>
      </c>
    </row>
    <row r="367" spans="1:1" x14ac:dyDescent="0.25">
      <c r="A367" s="41" t="str">
        <f ca="1">IF(MID(A$50,1,2)="//","//","")&amp;'App Code'!K385</f>
        <v xml:space="preserve">                                                           ro code section .text object pwr_config.o,</v>
      </c>
    </row>
    <row r="368" spans="1:1" x14ac:dyDescent="0.25">
      <c r="A368" s="41" t="str">
        <f ca="1">IF(MID(A$50,1,2)="//","//","")&amp;'App Code'!K386</f>
        <v xml:space="preserve">                                                           ro code section .text object pwr_last_gasp.o,</v>
      </c>
    </row>
    <row r="369" spans="1:1" x14ac:dyDescent="0.25">
      <c r="A369" s="41" t="str">
        <f ca="1">IF(MID(A$50,1,2)="//","//","")&amp;'App Code'!K387</f>
        <v xml:space="preserve">                                                           ro code section .text object pwr_restore.o,</v>
      </c>
    </row>
    <row r="370" spans="1:1" x14ac:dyDescent="0.25">
      <c r="A370" s="41" t="str">
        <f ca="1">IF(MID(A$50,1,2)="//","//","")&amp;'App Code'!K388</f>
        <v xml:space="preserve">                                                           ro code section .text object pwr_task.o,</v>
      </c>
    </row>
    <row r="371" spans="1:1" x14ac:dyDescent="0.25">
      <c r="A371" s="41" t="str">
        <f ca="1">IF(MID(A$50,1,2)="//","//","")&amp;'App Code'!K389</f>
        <v xml:space="preserve">                                                           ro code section .text object RG_CF_Handler.o,</v>
      </c>
    </row>
    <row r="372" spans="1:1" x14ac:dyDescent="0.25">
      <c r="A372" s="41" t="str">
        <f ca="1">IF(MID(A$50,1,2)="//","//","")&amp;'App Code'!K390</f>
        <v xml:space="preserve">                                                           ro code section .text object RG_MD_Handler.o,</v>
      </c>
    </row>
    <row r="373" spans="1:1" x14ac:dyDescent="0.25">
      <c r="A373" s="41" t="str">
        <f ca="1">IF(MID(A$50,1,2)="//","//","")&amp;'App Code'!K391</f>
        <v xml:space="preserve">                                                           ro code section .text object STRT_Startup.o,</v>
      </c>
    </row>
    <row r="374" spans="1:1" x14ac:dyDescent="0.25">
      <c r="A374" s="41" t="str">
        <f ca="1">IF(MID(A$50,1,2)="//","//","")&amp;'App Code'!K392</f>
        <v xml:space="preserve">                                                           ro code section .text object Task.o,</v>
      </c>
    </row>
    <row r="375" spans="1:1" x14ac:dyDescent="0.25">
      <c r="A375" s="41" t="str">
        <f ca="1">IF(MID(A$50,1,2)="//","//","")&amp;'App Code'!K393</f>
        <v xml:space="preserve">                                                           ro code section .text object vbat_reg.o,</v>
      </c>
    </row>
    <row r="376" spans="1:1" x14ac:dyDescent="0.25">
      <c r="A376" s="41" t="str">
        <f ca="1">IF(MID(A$50,1,2)="//","//","")&amp;'App Code'!K394</f>
        <v xml:space="preserve">                                                           ro code section .text object version.o };</v>
      </c>
    </row>
    <row r="377" spans="1:1" x14ac:dyDescent="0.25">
      <c r="A377" s="41" t="s">
        <v>856</v>
      </c>
    </row>
    <row r="378" spans="1:1" x14ac:dyDescent="0.25">
      <c r="A378" s="41"/>
    </row>
    <row r="379" spans="1:1" x14ac:dyDescent="0.25">
      <c r="A379" s="41" t="s">
        <v>857</v>
      </c>
    </row>
    <row r="380" spans="1:1" x14ac:dyDescent="0.25">
      <c r="A380" s="41" t="s">
        <v>860</v>
      </c>
    </row>
    <row r="381" spans="1:1" x14ac:dyDescent="0.25">
      <c r="A381" s="41" t="s">
        <v>855</v>
      </c>
    </row>
    <row r="382" spans="1:1" x14ac:dyDescent="0.25">
      <c r="A382" s="41" t="str">
        <f ca="1">IF(MID(A56,1,2)="//","//","")&amp;'Lib Const'!K46</f>
        <v>//"dl7M_tln_CONST":        place at address mem: dl7M_tln_CONST        { ro data section .rodata object *(dl7M_tln.a) };</v>
      </c>
    </row>
    <row r="383" spans="1:1" x14ac:dyDescent="0.25">
      <c r="A383" s="41" t="str">
        <f ca="1">IF(MID(A57,1,2)="//","//","")&amp;'Lib Const'!K47</f>
        <v>//"m7M_tls_CONST":         place at address mem: m7M_tls_CONST         { ro data section .rodata object *(m7M_tls.a) };</v>
      </c>
    </row>
    <row r="384" spans="1:1" x14ac:dyDescent="0.25">
      <c r="A384" s="41" t="str">
        <f ca="1">IF(MID(A58,1,2)="//","//","")&amp;'Lib Const'!K48</f>
        <v>"rt7M_tl_CONST":         place at address mem: rt7M_tl_CONST         { ro data section .rodata object *(rt7M_tl.a) };</v>
      </c>
    </row>
    <row r="385" spans="1:1" x14ac:dyDescent="0.25">
      <c r="A385" s="41" t="str">
        <f ca="1">IF(MID(A59,1,2)="//","//","")&amp;'Lib Const'!K49</f>
        <v>//"shb_l_CONST":           place at address mem: shb_l_CONST           { ro data section .rodata object *(shb_l.a) };</v>
      </c>
    </row>
    <row r="386" spans="1:1" x14ac:dyDescent="0.25">
      <c r="A386" s="41" t="str">
        <f ca="1">IF(MID(A60,1,2)="//","//","")&amp;'Lib Const'!K50</f>
        <v>"BSP_CONST":             place at address mem: BSP_CONST             { ro data section .rodata object *(BSP.a) };</v>
      </c>
    </row>
    <row r="387" spans="1:1" x14ac:dyDescent="0.25">
      <c r="A387" s="41" t="str">
        <f ca="1">IF(MID(A61,1,2)="//","//","")&amp;'Lib Const'!K51</f>
        <v>"PSP_CONST":             place at address mem: PSP_CONST             { ro data section .rodata object *(PSP.a) };</v>
      </c>
    </row>
    <row r="388" spans="1:1" x14ac:dyDescent="0.25">
      <c r="A388" s="41" t="str">
        <f ca="1">IF(MID(A62,1,2)="//","//","")&amp;'Lib Const'!K52</f>
        <v>"wolfSSL_Lib_MTU_CONST": place at address mem: wolfSSL_Lib_MTU_CONST { ro data section .rodata object *(wolfSSL-Lib_MTU.a) };</v>
      </c>
    </row>
    <row r="389" spans="1:1" x14ac:dyDescent="0.25">
      <c r="A389" s="41" t="s">
        <v>856</v>
      </c>
    </row>
    <row r="390" spans="1:1" x14ac:dyDescent="0.25">
      <c r="A390" s="41"/>
    </row>
    <row r="391" spans="1:1" x14ac:dyDescent="0.25">
      <c r="A391" s="41" t="s">
        <v>857</v>
      </c>
    </row>
    <row r="392" spans="1:1" x14ac:dyDescent="0.25">
      <c r="A392" s="41" t="s">
        <v>861</v>
      </c>
    </row>
    <row r="393" spans="1:1" x14ac:dyDescent="0.25">
      <c r="A393" s="41" t="s">
        <v>855</v>
      </c>
    </row>
    <row r="394" spans="1:1" x14ac:dyDescent="0.25">
      <c r="A394" s="41" t="str">
        <f ca="1">IF(MID(A$68,1,2)="//","//","")&amp;'App Const'!K235</f>
        <v>"utils_CONST":      place at address mem: utils_CONST      { ro data section .rodata object ascii.o,</v>
      </c>
    </row>
    <row r="395" spans="1:1" x14ac:dyDescent="0.25">
      <c r="A395" s="41" t="str">
        <f ca="1">IF(MID(A$68,1,2)="//","//","")&amp;'App Const'!K236</f>
        <v xml:space="preserve">                                                             ro data section .rodata object bcd.o,</v>
      </c>
    </row>
    <row r="396" spans="1:1" x14ac:dyDescent="0.25">
      <c r="A396" s="41" t="str">
        <f ca="1">IF(MID(A$68,1,2)="//","//","")&amp;'App Const'!K237</f>
        <v xml:space="preserve">                                                             ro data section .rodata object bit_util.o,</v>
      </c>
    </row>
    <row r="397" spans="1:1" x14ac:dyDescent="0.25">
      <c r="A397" s="41" t="str">
        <f ca="1">IF(MID(A$68,1,2)="//","//","")&amp;'App Const'!K238</f>
        <v xml:space="preserve">                                                             ro data section .rodata object byteswap.o,</v>
      </c>
    </row>
    <row r="398" spans="1:1" x14ac:dyDescent="0.25">
      <c r="A398" s="41" t="str">
        <f ca="1">IF(MID(A$68,1,2)="//","//","")&amp;'App Const'!K239</f>
        <v xml:space="preserve">                                                             ro data section .rodata object crc16_m.o,</v>
      </c>
    </row>
    <row r="399" spans="1:1" x14ac:dyDescent="0.25">
      <c r="A399" s="41" t="str">
        <f ca="1">IF(MID(A$68,1,2)="//","//","")&amp;'App Const'!K240</f>
        <v xml:space="preserve">                                                             ro data section .rodata object crc32.o,</v>
      </c>
    </row>
    <row r="400" spans="1:1" x14ac:dyDescent="0.25">
      <c r="A400" s="41" t="str">
        <f ca="1">IF(MID(A$68,1,2)="//","//","")&amp;'App Const'!K241</f>
        <v xml:space="preserve">                                                             ro data section .rodata object invert_bits.o,</v>
      </c>
    </row>
    <row r="401" spans="1:1" x14ac:dyDescent="0.25">
      <c r="A401" s="41" t="str">
        <f ca="1">IF(MID(A$68,1,2)="//","//","")&amp;'App Const'!K242</f>
        <v xml:space="preserve">                                                             ro data section .rodata object pack.o,</v>
      </c>
    </row>
    <row r="402" spans="1:1" x14ac:dyDescent="0.25">
      <c r="A402" s="41" t="str">
        <f ca="1">IF(MID(A$68,1,2)="//","//","")&amp;'App Const'!K243</f>
        <v xml:space="preserve">                                                             ro data section .rodata object rand.o,</v>
      </c>
    </row>
    <row r="403" spans="1:1" x14ac:dyDescent="0.25">
      <c r="A403" s="41" t="str">
        <f ca="1">IF(MID(A$68,1,2)="//","//","")&amp;'App Const'!K244</f>
        <v xml:space="preserve">                                                             ro data section .rodata object time_util.o,</v>
      </c>
    </row>
    <row r="404" spans="1:1" x14ac:dyDescent="0.25">
      <c r="A404" s="41" t="str">
        <f ca="1">IF(MID(A$68,1,2)="//","//","")&amp;'App Const'!K245</f>
        <v xml:space="preserve">                                                             ro data section .rodata object timer_util.o };</v>
      </c>
    </row>
    <row r="405" spans="1:1" x14ac:dyDescent="0.25">
      <c r="A405" s="41" t="str">
        <f ca="1">IF(MID(A$69,1,2)="//","//","")&amp;'App Const'!K246</f>
        <v>"dfw_CONST":        place at address mem: dfw_CONST        { ro data section .rodata object dfw_app.o,</v>
      </c>
    </row>
    <row r="406" spans="1:1" x14ac:dyDescent="0.25">
      <c r="A406" s="41" t="str">
        <f ca="1">IF(MID(A$69,1,2)="//","//","")&amp;'App Const'!K247</f>
        <v xml:space="preserve">                                                             ro data section .rodata object dfw_interface.o,</v>
      </c>
    </row>
    <row r="407" spans="1:1" x14ac:dyDescent="0.25">
      <c r="A407" s="41" t="str">
        <f ca="1">IF(MID(A$69,1,2)="//","//","")&amp;'App Const'!K248</f>
        <v xml:space="preserve">                                                             ro data section .rodata object dfw_pckt.o,</v>
      </c>
    </row>
    <row r="408" spans="1:1" x14ac:dyDescent="0.25">
      <c r="A408" s="41" t="str">
        <f ca="1">IF(MID(A$69,1,2)="//","//","")&amp;'App Const'!K249</f>
        <v xml:space="preserve">                                                             ro data section .rodata object dfwtd_config.o };</v>
      </c>
    </row>
    <row r="409" spans="1:1" x14ac:dyDescent="0.25">
      <c r="A409" s="41" t="str">
        <f ca="1">IF(MID(A$70,1,2)="//","//","")&amp;'App Const'!K250</f>
        <v>"driver_CONST":     place at address mem: driver_CONST     { ro data section .rodata object dvr_banked.o,</v>
      </c>
    </row>
    <row r="410" spans="1:1" x14ac:dyDescent="0.25">
      <c r="A410" s="41" t="str">
        <f ca="1">IF(MID(A$70,1,2)="//","//","")&amp;'App Const'!K251</f>
        <v xml:space="preserve">                                                             ro data section .rodata object dvr_cache.o,</v>
      </c>
    </row>
    <row r="411" spans="1:1" x14ac:dyDescent="0.25">
      <c r="A411" s="41" t="str">
        <f ca="1">IF(MID(A$70,1,2)="//","//","")&amp;'App Const'!K252</f>
        <v xml:space="preserve">                                                             ro data section .rodata object dvr_extflash.o,</v>
      </c>
    </row>
    <row r="412" spans="1:1" x14ac:dyDescent="0.25">
      <c r="A412" s="41" t="str">
        <f ca="1">IF(MID(A$70,1,2)="//","//","")&amp;'App Const'!K253</f>
        <v xml:space="preserve">                                                             ro data section .rodata object dvr_sectPreErase.o,</v>
      </c>
    </row>
    <row r="413" spans="1:1" x14ac:dyDescent="0.25">
      <c r="A413" s="41" t="str">
        <f ca="1">IF(MID(A$70,1,2)="//","//","")&amp;'App Const'!K254</f>
        <v xml:space="preserve">                                                             ro data section .rodata object dvr_sharedMem.o,</v>
      </c>
    </row>
    <row r="414" spans="1:1" x14ac:dyDescent="0.25">
      <c r="A414" s="41" t="str">
        <f ca="1">IF(MID(A$70,1,2)="//","//","")&amp;'App Const'!K255</f>
        <v xml:space="preserve">                                                             ro data section .rodata object IF_intFlash.o,</v>
      </c>
    </row>
    <row r="415" spans="1:1" x14ac:dyDescent="0.25">
      <c r="A415" s="41" t="str">
        <f ca="1">IF(MID(A$70,1,2)="//","//","")&amp;'App Const'!K256</f>
        <v xml:space="preserve">                                                             ro data section .rodata object spi_mstr.o };</v>
      </c>
    </row>
    <row r="416" spans="1:1" x14ac:dyDescent="0.25">
      <c r="A416" s="41" t="str">
        <f ca="1">IF(MID(A$71,1,2)="//","//","")&amp;'App Const'!K257</f>
        <v>"stack_CONST":      place at address mem: stack_CONST      { ro data section .rodata object COMM.o,</v>
      </c>
    </row>
    <row r="417" spans="1:1" x14ac:dyDescent="0.25">
      <c r="A417" s="41" t="str">
        <f ca="1">IF(MID(A$71,1,2)="//","//","")&amp;'App Const'!K258</f>
        <v xml:space="preserve">                                                             ro data section .rodata object SM.o,</v>
      </c>
    </row>
    <row r="418" spans="1:1" x14ac:dyDescent="0.25">
      <c r="A418" s="41" t="str">
        <f ca="1">IF(MID(A$71,1,2)="//","//","")&amp;'App Const'!K259</f>
        <v xml:space="preserve">                                                             ro data section .rodata object smtd_config.o,</v>
      </c>
    </row>
    <row r="419" spans="1:1" x14ac:dyDescent="0.25">
      <c r="A419" s="41" t="str">
        <f ca="1">IF(MID(A$71,1,2)="//","//","")&amp;'App Const'!K260</f>
        <v xml:space="preserve">                                                             ro data section .rodata object dtls.o,</v>
      </c>
    </row>
    <row r="420" spans="1:1" x14ac:dyDescent="0.25">
      <c r="A420" s="41" t="str">
        <f ca="1">IF(MID(A$71,1,2)="//","//","")&amp;'App Const'!K261</f>
        <v xml:space="preserve">                                                             ro data section .rodata object mtls.o,</v>
      </c>
    </row>
    <row r="421" spans="1:1" x14ac:dyDescent="0.25">
      <c r="A421" s="41" t="str">
        <f ca="1">IF(MID(A$71,1,2)="//","//","")&amp;'App Const'!K262</f>
        <v xml:space="preserve">                                                             ro data section .rodata object STACK.o,</v>
      </c>
    </row>
    <row r="422" spans="1:1" x14ac:dyDescent="0.25">
      <c r="A422" s="41" t="str">
        <f ca="1">IF(MID(A$71,1,2)="//","//","")&amp;'App Const'!K263</f>
        <v xml:space="preserve">                                                             ro data section .rodata object MAC.o,</v>
      </c>
    </row>
    <row r="423" spans="1:1" x14ac:dyDescent="0.25">
      <c r="A423" s="41" t="str">
        <f ca="1">IF(MID(A$71,1,2)="//","//","")&amp;'App Const'!K264</f>
        <v xml:space="preserve">                                                             ro data section .rodata object MAC_FrameEncoder.o,</v>
      </c>
    </row>
    <row r="424" spans="1:1" x14ac:dyDescent="0.25">
      <c r="A424" s="41" t="str">
        <f ca="1">IF(MID(A$71,1,2)="//","//","")&amp;'App Const'!K265</f>
        <v xml:space="preserve">                                                             ro data section .rodata object MAC_FrameManagement.o,</v>
      </c>
    </row>
    <row r="425" spans="1:1" x14ac:dyDescent="0.25">
      <c r="A425" s="41" t="str">
        <f ca="1">IF(MID(A$71,1,2)="//","//","")&amp;'App Const'!K266</f>
        <v xml:space="preserve">                                                             ro data section .rodata object MAC_PacketManagement.o,</v>
      </c>
    </row>
    <row r="426" spans="1:1" x14ac:dyDescent="0.25">
      <c r="A426" s="41" t="str">
        <f ca="1">IF(MID(A$71,1,2)="//","//","")&amp;'App Const'!K267</f>
        <v xml:space="preserve">                                                             ro data section .rodata object PHY.o,</v>
      </c>
    </row>
    <row r="427" spans="1:1" x14ac:dyDescent="0.25">
      <c r="A427" s="41" t="str">
        <f ca="1">IF(MID(A$71,1,2)="//","//","")&amp;'App Const'!K268</f>
        <v xml:space="preserve">                                                             ro data section .rodata object EstimateCarrierFrequencyOffset.o,</v>
      </c>
    </row>
    <row r="428" spans="1:1" x14ac:dyDescent="0.25">
      <c r="A428" s="41" t="str">
        <f ca="1">IF(MID(A$71,1,2)="//","//","")&amp;'App Const'!K269</f>
        <v xml:space="preserve">                                                             ro data section .rodata object MaximizeEyeOpening.o,</v>
      </c>
    </row>
    <row r="429" spans="1:1" x14ac:dyDescent="0.25">
      <c r="A429" s="41" t="str">
        <f ca="1">IF(MID(A$71,1,2)="//","//","")&amp;'App Const'!K270</f>
        <v xml:space="preserve">                                                             ro data section .rodata object PerformCFOCompensation.o,</v>
      </c>
    </row>
    <row r="430" spans="1:1" x14ac:dyDescent="0.25">
      <c r="A430" s="41" t="str">
        <f ca="1">IF(MID(A$71,1,2)="//","//","")&amp;'App Const'!K271</f>
        <v xml:space="preserve">                                                             ro data section .rodata object preamble_detect.o,</v>
      </c>
    </row>
    <row r="431" spans="1:1" x14ac:dyDescent="0.25">
      <c r="A431" s="41" t="str">
        <f ca="1">IF(MID(A$71,1,2)="//","//","")&amp;'App Const'!K272</f>
        <v xml:space="preserve">                                                             ro data section .rodata object preambleDetector.o,</v>
      </c>
    </row>
    <row r="432" spans="1:1" x14ac:dyDescent="0.25">
      <c r="A432" s="41" t="str">
        <f ca="1">IF(MID(A$71,1,2)="//","//","")&amp;'App Const'!K273</f>
        <v xml:space="preserve">                                                             ro data section .rodata object preambleDetector_Data.o,</v>
      </c>
    </row>
    <row r="433" spans="1:1" x14ac:dyDescent="0.25">
      <c r="A433" s="41" t="str">
        <f ca="1">IF(MID(A$71,1,2)="//","//","")&amp;'App Const'!K274</f>
        <v xml:space="preserve">                                                             ro data section .rodata object preambleDetector_initialize.o,</v>
      </c>
    </row>
    <row r="434" spans="1:1" x14ac:dyDescent="0.25">
      <c r="A434" s="41" t="str">
        <f ca="1">IF(MID(A$71,1,2)="//","//","")&amp;'App Const'!K275</f>
        <v xml:space="preserve">                                                             ro data section .rodata object processDerotatedSamples.o,</v>
      </c>
    </row>
    <row r="435" spans="1:1" x14ac:dyDescent="0.25">
      <c r="A435" s="41" t="str">
        <f ca="1">IF(MID(A$71,1,2)="//","//","")&amp;'App Const'!K276</f>
        <v xml:space="preserve">                                                             ro data section .rodata object ScaleClipFreq2phase.o,</v>
      </c>
    </row>
    <row r="436" spans="1:1" x14ac:dyDescent="0.25">
      <c r="A436" s="41" t="str">
        <f ca="1">IF(MID(A$71,1,2)="//","//","")&amp;'App Const'!K277</f>
        <v xml:space="preserve">                                                             ro data section .rodata object sign.o,</v>
      </c>
    </row>
    <row r="437" spans="1:1" x14ac:dyDescent="0.25">
      <c r="A437" s="41" t="str">
        <f ca="1">IF(MID(A$71,1,2)="//","//","")&amp;'App Const'!K278</f>
        <v xml:space="preserve">                                                             ro data section .rodata object fir_filt_circ_buff.o,</v>
      </c>
    </row>
    <row r="438" spans="1:1" x14ac:dyDescent="0.25">
      <c r="A438" s="41" t="str">
        <f ca="1">IF(MID(A$71,1,2)="//","//","")&amp;'App Const'!K279</f>
        <v xml:space="preserve">                                                             ro data section .rodata object gresample.o,</v>
      </c>
    </row>
    <row r="439" spans="1:1" x14ac:dyDescent="0.25">
      <c r="A439" s="41" t="str">
        <f ca="1">IF(MID(A$71,1,2)="//","//","")&amp;'App Const'!K280</f>
        <v xml:space="preserve">                                                             ro data section .rodata object phase2freq_wi_unwrap.o,</v>
      </c>
    </row>
    <row r="440" spans="1:1" x14ac:dyDescent="0.25">
      <c r="A440" s="41" t="str">
        <f ca="1">IF(MID(A$71,1,2)="//","//","")&amp;'App Const'!K281</f>
        <v xml:space="preserve">                                                             ro data section .rodata object findSYNC.o,</v>
      </c>
    </row>
    <row r="441" spans="1:1" x14ac:dyDescent="0.25">
      <c r="A441" s="41" t="str">
        <f ca="1">IF(MID(A$71,1,2)="//","//","")&amp;'App Const'!K282</f>
        <v xml:space="preserve">                                                             ro data section .rodata object FreqDomMlseP4GfskStruct2.o,</v>
      </c>
    </row>
    <row r="442" spans="1:1" x14ac:dyDescent="0.25">
      <c r="A442" s="41" t="str">
        <f ca="1">IF(MID(A$71,1,2)="//","//","")&amp;'App Const'!K283</f>
        <v xml:space="preserve">                                                             ro data section .rodata object processDerotatedSPDSamples.o,</v>
      </c>
    </row>
    <row r="443" spans="1:1" x14ac:dyDescent="0.25">
      <c r="A443" s="41" t="str">
        <f ca="1">IF(MID(A$71,1,2)="//","//","")&amp;'App Const'!K284</f>
        <v xml:space="preserve">                                                             ro data section .rodata object SyncAndPayloadDemodulator.o,</v>
      </c>
    </row>
    <row r="444" spans="1:1" x14ac:dyDescent="0.25">
      <c r="A444" s="41" t="str">
        <f ca="1">IF(MID(A$71,1,2)="//","//","")&amp;'App Const'!K285</f>
        <v xml:space="preserve">                                                             ro data section .rodata object SoftDemodulator.o,</v>
      </c>
    </row>
    <row r="445" spans="1:1" x14ac:dyDescent="0.25">
      <c r="A445" s="41" t="str">
        <f ca="1">IF(MID(A$71,1,2)="//","//","")&amp;'App Const'!K286</f>
        <v xml:space="preserve">                                                             ro data section .rodata object rs.o,</v>
      </c>
    </row>
    <row r="446" spans="1:1" x14ac:dyDescent="0.25">
      <c r="A446" s="41" t="str">
        <f ca="1">IF(MID(A$71,1,2)="//","//","")&amp;'App Const'!K287</f>
        <v xml:space="preserve">                                                             ro data section .rodata object galois.o,</v>
      </c>
    </row>
    <row r="447" spans="1:1" x14ac:dyDescent="0.25">
      <c r="A447" s="41" t="str">
        <f ca="1">IF(MID(A$71,1,2)="//","//","")&amp;'App Const'!K288</f>
        <v xml:space="preserve">                                                             ro data section .rodata object rsdec.o,</v>
      </c>
    </row>
    <row r="448" spans="1:1" x14ac:dyDescent="0.25">
      <c r="A448" s="41" t="str">
        <f ca="1">IF(MID(A$71,1,2)="//","//","")&amp;'App Const'!K289</f>
        <v xml:space="preserve">                                                             ro data section .rodata object rsenc.o,</v>
      </c>
    </row>
    <row r="449" spans="1:1" x14ac:dyDescent="0.25">
      <c r="A449" s="41" t="str">
        <f ca="1">IF(MID(A$71,1,2)="//","//","")&amp;'App Const'!K290</f>
        <v xml:space="preserve">                                                             ro data section .rodata object indication.o };</v>
      </c>
    </row>
    <row r="450" spans="1:1" x14ac:dyDescent="0.25">
      <c r="A450" s="41" t="str">
        <f ca="1">IF(MID(A$72,1,2)="//","//","")&amp;'App Const'!K291</f>
        <v>"OS_API_CONST":     place at address mem: OS_API_CONST     { ro data section .rodata object Event.o,</v>
      </c>
    </row>
    <row r="451" spans="1:1" x14ac:dyDescent="0.25">
      <c r="A451" s="41" t="str">
        <f ca="1">IF(MID(A$72,1,2)="//","//","")&amp;'App Const'!K292</f>
        <v xml:space="preserve">                                                             ro data section .rodata object MessageQ.o,</v>
      </c>
    </row>
    <row r="452" spans="1:1" x14ac:dyDescent="0.25">
      <c r="A452" s="41" t="str">
        <f ca="1">IF(MID(A$72,1,2)="//","//","")&amp;'App Const'!K293</f>
        <v xml:space="preserve">                                                             ro data section .rodata object Mutex.o,</v>
      </c>
    </row>
    <row r="453" spans="1:1" x14ac:dyDescent="0.25">
      <c r="A453" s="41" t="str">
        <f ca="1">IF(MID(A$72,1,2)="//","//","")&amp;'App Const'!K294</f>
        <v xml:space="preserve">                                                             ro data section .rodata object Queue.o,</v>
      </c>
    </row>
    <row r="454" spans="1:1" x14ac:dyDescent="0.25">
      <c r="A454" s="41" t="str">
        <f ca="1">IF(MID(A$72,1,2)="//","//","")&amp;'App Const'!K295</f>
        <v xml:space="preserve">                                                             ro data section .rodata object Semaphore.o,</v>
      </c>
    </row>
    <row r="455" spans="1:1" x14ac:dyDescent="0.25">
      <c r="A455" s="41" t="str">
        <f ca="1">IF(MID(A$72,1,2)="//","//","")&amp;'App Const'!K296</f>
        <v xml:space="preserve">                                                             ro data section .rodata object TickTime.o };</v>
      </c>
    </row>
    <row r="456" spans="1:1" x14ac:dyDescent="0.25">
      <c r="A456" s="41" t="str">
        <f ca="1">IF(MID(A$73,1,2)="//","//","")&amp;'App Const'!K297</f>
        <v>"radio_CONST":      place at address mem: radio_CONST      { ro data section .rodata object radio.o,</v>
      </c>
    </row>
    <row r="457" spans="1:1" x14ac:dyDescent="0.25">
      <c r="A457" s="41" t="str">
        <f ca="1">IF(MID(A$73,1,2)="//","//","")&amp;'App Const'!K298</f>
        <v xml:space="preserve">                                                             ro data section .rodata object radio_comm.o,</v>
      </c>
    </row>
    <row r="458" spans="1:1" x14ac:dyDescent="0.25">
      <c r="A458" s="41" t="str">
        <f ca="1">IF(MID(A$73,1,2)="//","//","")&amp;'App Const'!K299</f>
        <v xml:space="preserve">                                                             ro data section .rodata object si446x_api_lib.o,</v>
      </c>
    </row>
    <row r="459" spans="1:1" x14ac:dyDescent="0.25">
      <c r="A459" s="41" t="str">
        <f ca="1">IF(MID(A$73,1,2)="//","//","")&amp;'App Const'!K300</f>
        <v xml:space="preserve">                                                             ro data section .rodata object radio_config_normal.o,</v>
      </c>
    </row>
    <row r="460" spans="1:1" x14ac:dyDescent="0.25">
      <c r="A460" s="41" t="str">
        <f ca="1">IF(MID(A$73,1,2)="//","//","")&amp;'App Const'!K301</f>
        <v xml:space="preserve">                                                             ro data section .rodata object radio_config_cw.o,</v>
      </c>
    </row>
    <row r="461" spans="1:1" x14ac:dyDescent="0.25">
      <c r="A461" s="41" t="str">
        <f ca="1">IF(MID(A$73,1,2)="//","//","")&amp;'App Const'!K302</f>
        <v xml:space="preserve">                                                             ro data section .rodata object radio_config_PN9.o,</v>
      </c>
    </row>
    <row r="462" spans="1:1" x14ac:dyDescent="0.25">
      <c r="A462" s="41" t="str">
        <f ca="1">IF(MID(A$73,1,2)="//","//","")&amp;'App Const'!K303</f>
        <v xml:space="preserve">                                                             ro data section .rodata object radio_config_2GFSK_BER.o,</v>
      </c>
    </row>
    <row r="463" spans="1:1" x14ac:dyDescent="0.25">
      <c r="A463" s="41" t="str">
        <f ca="1">IF(MID(A$73,1,2)="//","//","")&amp;'App Const'!K304</f>
        <v xml:space="preserve">                                                             ro data section .rodata object radio_config_4GFSK_BER.o,</v>
      </c>
    </row>
    <row r="464" spans="1:1" x14ac:dyDescent="0.25">
      <c r="A464" s="41" t="str">
        <f ca="1">IF(MID(A$73,1,2)="//","//","")&amp;'App Const'!K305</f>
        <v xml:space="preserve">                                                             ro data section .rodata object radio_TCXO.o };</v>
      </c>
    </row>
    <row r="465" spans="1:1" x14ac:dyDescent="0.25">
      <c r="A465" s="41" t="str">
        <f ca="1">IF(MID(A$74,1,2)="//","//","")&amp;'App Const'!K306</f>
        <v>"security_CONST":   place at address mem: security_CONST   { ro data section .rodata object cert-builder.o,</v>
      </c>
    </row>
    <row r="466" spans="1:1" x14ac:dyDescent="0.25">
      <c r="A466" s="41" t="str">
        <f ca="1">IF(MID(A$74,1,2)="//","//","")&amp;'App Const'!K307</f>
        <v xml:space="preserve">                                                             ro data section .rodata object ecc108_apps.o,</v>
      </c>
    </row>
    <row r="467" spans="1:1" x14ac:dyDescent="0.25">
      <c r="A467" s="41" t="str">
        <f ca="1">IF(MID(A$74,1,2)="//","//","")&amp;'App Const'!K308</f>
        <v xml:space="preserve">                                                             ro data section .rodata object ecc108_comm.o,</v>
      </c>
    </row>
    <row r="468" spans="1:1" x14ac:dyDescent="0.25">
      <c r="A468" s="41" t="str">
        <f ca="1">IF(MID(A$74,1,2)="//","//","")&amp;'App Const'!K309</f>
        <v xml:space="preserve">                                                             ro data section .rodata object ecc108_comm_marshaling.o,</v>
      </c>
    </row>
    <row r="469" spans="1:1" x14ac:dyDescent="0.25">
      <c r="A469" s="41" t="str">
        <f ca="1">IF(MID(A$74,1,2)="//","//","")&amp;'App Const'!K310</f>
        <v xml:space="preserve">                                                             ro data section .rodata object ecc108_i2c.o,</v>
      </c>
    </row>
    <row r="470" spans="1:1" x14ac:dyDescent="0.25">
      <c r="A470" s="41" t="str">
        <f ca="1">IF(MID(A$74,1,2)="//","//","")&amp;'App Const'!K311</f>
        <v xml:space="preserve">                                                             ro data section .rodata object ecc108_mqx.o };</v>
      </c>
    </row>
    <row r="471" spans="1:1" x14ac:dyDescent="0.25">
      <c r="A471" s="41" t="str">
        <f ca="1">IF(MID(A$75,1,2)="//","//","")&amp;'App Const'!K312</f>
        <v>"AclaraBSP_CONST":  place at address mem: AclaraBSP_CONST  { ro data section .rodata object ADC.o,</v>
      </c>
    </row>
    <row r="472" spans="1:1" x14ac:dyDescent="0.25">
      <c r="A472" s="41" t="str">
        <f ca="1">IF(MID(A$75,1,2)="//","//","")&amp;'App Const'!K313</f>
        <v xml:space="preserve">                                                             ro data section .rodata object BSP_aclara.o,</v>
      </c>
    </row>
    <row r="473" spans="1:1" x14ac:dyDescent="0.25">
      <c r="A473" s="41" t="str">
        <f ca="1">IF(MID(A$75,1,2)="//","//","")&amp;'App Const'!K314</f>
        <v xml:space="preserve">                                                             ro data section .rodata object CRC.o,</v>
      </c>
    </row>
    <row r="474" spans="1:1" x14ac:dyDescent="0.25">
      <c r="A474" s="41" t="str">
        <f ca="1">IF(MID(A$75,1,2)="//","//","")&amp;'App Const'!K315</f>
        <v xml:space="preserve">                                                             ro data section .rodata object gpio.o,</v>
      </c>
    </row>
    <row r="475" spans="1:1" x14ac:dyDescent="0.25">
      <c r="A475" s="41" t="str">
        <f ca="1">IF(MID(A$75,1,2)="//","//","")&amp;'App Const'!K316</f>
        <v xml:space="preserve">                                                             ro data section .rodata object LED.o,</v>
      </c>
    </row>
    <row r="476" spans="1:1" x14ac:dyDescent="0.25">
      <c r="A476" s="41" t="str">
        <f ca="1">IF(MID(A$75,1,2)="//","//","")&amp;'App Const'!K317</f>
        <v xml:space="preserve">                                                             ro data section .rodata object radio_hal.o,</v>
      </c>
    </row>
    <row r="477" spans="1:1" x14ac:dyDescent="0.25">
      <c r="A477" s="41" t="str">
        <f ca="1">IF(MID(A$75,1,2)="//","//","")&amp;'App Const'!K318</f>
        <v xml:space="preserve">                                                             ro data section .rodata object rng.o,</v>
      </c>
    </row>
    <row r="478" spans="1:1" x14ac:dyDescent="0.25">
      <c r="A478" s="41" t="str">
        <f ca="1">IF(MID(A$75,1,2)="//","//","")&amp;'App Const'!K319</f>
        <v xml:space="preserve">                                                             ro data section .rodata object RTC.o,</v>
      </c>
    </row>
    <row r="479" spans="1:1" x14ac:dyDescent="0.25">
      <c r="A479" s="41" t="str">
        <f ca="1">IF(MID(A$75,1,2)="//","//","")&amp;'App Const'!K320</f>
        <v xml:space="preserve">                                                             ro data section .rodata object sys_clock.o,</v>
      </c>
    </row>
    <row r="480" spans="1:1" x14ac:dyDescent="0.25">
      <c r="A480" s="41" t="str">
        <f ca="1">IF(MID(A$75,1,2)="//","//","")&amp;'App Const'!K321</f>
        <v xml:space="preserve">                                                             ro data section .rodata object UART.o,</v>
      </c>
    </row>
    <row r="481" spans="1:1" x14ac:dyDescent="0.25">
      <c r="A481" s="41" t="str">
        <f ca="1">IF(MID(A$75,1,2)="//","//","")&amp;'App Const'!K322</f>
        <v xml:space="preserve">                                                             ro data section .rodata object WDOG.o };</v>
      </c>
    </row>
    <row r="482" spans="1:1" x14ac:dyDescent="0.25">
      <c r="A482" s="41" t="str">
        <f ca="1">IF(MID(A$76,1,2)="//","//","")&amp;'App Const'!K323</f>
        <v>"Common_CONST":     place at address mem: Common_CONST     { ro data section .rodata object alarm_task.o,</v>
      </c>
    </row>
    <row r="483" spans="1:1" x14ac:dyDescent="0.25">
      <c r="A483" s="41" t="str">
        <f ca="1">IF(MID(A$76,1,2)="//","//","")&amp;'App Const'!K324</f>
        <v xml:space="preserve">                                                             ro data section .rodata object ALRM_Handler.o,</v>
      </c>
    </row>
    <row r="484" spans="1:1" x14ac:dyDescent="0.25">
      <c r="A484" s="41" t="str">
        <f ca="1">IF(MID(A$76,1,2)="//","//","")&amp;'App Const'!K325</f>
        <v xml:space="preserve">                                                             ro data section .rodata object BUF_MemoryBuffers.o,</v>
      </c>
    </row>
    <row r="485" spans="1:1" x14ac:dyDescent="0.25">
      <c r="A485" s="41" t="str">
        <f ca="1">IF(MID(A$76,1,2)="//","//","")&amp;'App Const'!K326</f>
        <v xml:space="preserve">                                                             ro data section .rodata object buffer.o,</v>
      </c>
    </row>
    <row r="486" spans="1:1" x14ac:dyDescent="0.25">
      <c r="A486" s="41" t="str">
        <f ca="1">IF(MID(A$76,1,2)="//","//","")&amp;'App Const'!K327</f>
        <v xml:space="preserve">                                                             ro data section .rodata object DBG_CommandLine.o,</v>
      </c>
    </row>
    <row r="487" spans="1:1" x14ac:dyDescent="0.25">
      <c r="A487" s="41" t="str">
        <f ca="1">IF(MID(A$76,1,2)="//","//","")&amp;'App Const'!K328</f>
        <v xml:space="preserve">                                                             ro data section .rodata object DBG_SerialDebug.o,</v>
      </c>
    </row>
    <row r="488" spans="1:1" x14ac:dyDescent="0.25">
      <c r="A488" s="41" t="str">
        <f ca="1">IF(MID(A$76,1,2)="//","//","")&amp;'App Const'!K329</f>
        <v xml:space="preserve">                                                             ro data section .rodata object eng_res.o,</v>
      </c>
    </row>
    <row r="489" spans="1:1" x14ac:dyDescent="0.25">
      <c r="A489" s="41" t="str">
        <f ca="1">IF(MID(A$76,1,2)="//","//","")&amp;'App Const'!K330</f>
        <v xml:space="preserve">                                                             ro data section .rodata object EVL_event_log.o,</v>
      </c>
    </row>
    <row r="490" spans="1:1" x14ac:dyDescent="0.25">
      <c r="A490" s="41" t="str">
        <f ca="1">IF(MID(A$76,1,2)="//","//","")&amp;'App Const'!K331</f>
        <v xml:space="preserve">                                                             ro data section .rodata object exe_list.o,</v>
      </c>
    </row>
    <row r="491" spans="1:1" x14ac:dyDescent="0.25">
      <c r="A491" s="41" t="str">
        <f ca="1">IF(MID(A$76,1,2)="//","//","")&amp;'App Const'!K332</f>
        <v xml:space="preserve">                                                             ro data section .rodata object file_io.o,</v>
      </c>
    </row>
    <row r="492" spans="1:1" x14ac:dyDescent="0.25">
      <c r="A492" s="41" t="str">
        <f ca="1">IF(MID(A$76,1,2)="//","//","")&amp;'App Const'!K333</f>
        <v xml:space="preserve">                                                             ro data section .rodata object HEEP_util.o,</v>
      </c>
    </row>
    <row r="493" spans="1:1" x14ac:dyDescent="0.25">
      <c r="A493" s="41" t="str">
        <f ca="1">IF(MID(A$76,1,2)="//","//","")&amp;'App Const'!K334</f>
        <v xml:space="preserve">                                                             ro data section .rodata object mem_chk.o,</v>
      </c>
    </row>
    <row r="494" spans="1:1" x14ac:dyDescent="0.25">
      <c r="A494" s="41" t="str">
        <f ca="1">IF(MID(A$76,1,2)="//","//","")&amp;'App Const'!K335</f>
        <v xml:space="preserve">                                                             ro data section .rodata object MFG_Dtls.o,</v>
      </c>
    </row>
    <row r="495" spans="1:1" x14ac:dyDescent="0.25">
      <c r="A495" s="41" t="str">
        <f ca="1">IF(MID(A$76,1,2)="//","//","")&amp;'App Const'!K336</f>
        <v xml:space="preserve">                                                             ro data section .rodata object MFG_Port.o,</v>
      </c>
    </row>
    <row r="496" spans="1:1" x14ac:dyDescent="0.25">
      <c r="A496" s="41" t="str">
        <f ca="1">IF(MID(A$76,1,2)="//","//","")&amp;'App Const'!K337</f>
        <v xml:space="preserve">                                                             ro data section .rodata object MIMT_info.o,</v>
      </c>
    </row>
    <row r="497" spans="1:1" x14ac:dyDescent="0.25">
      <c r="A497" s="41" t="str">
        <f ca="1">IF(MID(A$76,1,2)="//","//","")&amp;'App Const'!K338</f>
        <v xml:space="preserve">                                                             ro data section .rodata object mode_config.o,</v>
      </c>
    </row>
    <row r="498" spans="1:1" x14ac:dyDescent="0.25">
      <c r="A498" s="41" t="str">
        <f ca="1">IF(MID(A$76,1,2)="//","//","")&amp;'App Const'!K339</f>
        <v xml:space="preserve">                                                             ro data section .rodata object object_list.o,</v>
      </c>
    </row>
    <row r="499" spans="1:1" x14ac:dyDescent="0.25">
      <c r="A499" s="41" t="str">
        <f ca="1">IF(MID(A$76,1,2)="//","//","")&amp;'App Const'!K340</f>
        <v xml:space="preserve">                                                             ro data section .rodata object partitions.o,</v>
      </c>
    </row>
    <row r="500" spans="1:1" x14ac:dyDescent="0.25">
      <c r="A500" s="41" t="str">
        <f ca="1">IF(MID(A$76,1,2)="//","//","")&amp;'App Const'!K341</f>
        <v xml:space="preserve">                                                             ro data section .rodata object runTimeInit.o,</v>
      </c>
    </row>
    <row r="501" spans="1:1" x14ac:dyDescent="0.25">
      <c r="A501" s="41" t="str">
        <f ca="1">IF(MID(A$76,1,2)="//","//","")&amp;'App Const'!K342</f>
        <v xml:space="preserve">                                                             ro data section .rodata object SELF_test.o,</v>
      </c>
    </row>
    <row r="502" spans="1:1" x14ac:dyDescent="0.25">
      <c r="A502" s="41" t="str">
        <f ca="1">IF(MID(A$76,1,2)="//","//","")&amp;'App Const'!K343</f>
        <v xml:space="preserve">                                                             ro data section .rodata object stack_check.o,</v>
      </c>
    </row>
    <row r="503" spans="1:1" x14ac:dyDescent="0.25">
      <c r="A503" s="41" t="str">
        <f ca="1">IF(MID(A$76,1,2)="//","//","")&amp;'App Const'!K344</f>
        <v xml:space="preserve">                                                             ro data section .rodata object sys_busy.o,</v>
      </c>
    </row>
    <row r="504" spans="1:1" x14ac:dyDescent="0.25">
      <c r="A504" s="41" t="str">
        <f ca="1">IF(MID(A$76,1,2)="//","//","")&amp;'App Const'!K345</f>
        <v xml:space="preserve">                                                             ro data section .rodata object temperature.o,</v>
      </c>
    </row>
    <row r="505" spans="1:1" x14ac:dyDescent="0.25">
      <c r="A505" s="41" t="str">
        <f ca="1">IF(MID(A$76,1,2)="//","//","")&amp;'App Const'!K346</f>
        <v xml:space="preserve">                                                             ro data section .rodata object time_DST.o,</v>
      </c>
    </row>
    <row r="506" spans="1:1" x14ac:dyDescent="0.25">
      <c r="A506" s="41" t="str">
        <f ca="1">IF(MID(A$76,1,2)="//","//","")&amp;'App Const'!K347</f>
        <v xml:space="preserve">                                                             ro data section .rodata object time_sync.o,</v>
      </c>
    </row>
    <row r="507" spans="1:1" x14ac:dyDescent="0.25">
      <c r="A507" s="41" t="str">
        <f ca="1">IF(MID(A$76,1,2)="//","//","")&amp;'App Const'!K348</f>
        <v xml:space="preserve">                                                             ro data section .rodata object time_sys.o,</v>
      </c>
    </row>
    <row r="508" spans="1:1" x14ac:dyDescent="0.25">
      <c r="A508" s="41" t="str">
        <f ca="1">IF(MID(A$76,1,2)="//","//","")&amp;'App Const'!K349</f>
        <v xml:space="preserve">                                                             ro data section .rodata object virgin_device.o,</v>
      </c>
    </row>
    <row r="509" spans="1:1" x14ac:dyDescent="0.25">
      <c r="A509" s="41" t="str">
        <f ca="1">IF(MID(A$76,1,2)="//","//","")&amp;'App Const'!K350</f>
        <v xml:space="preserve">                                                             ro data section .rodata object FTM0.o,</v>
      </c>
    </row>
    <row r="510" spans="1:1" x14ac:dyDescent="0.25">
      <c r="A510" s="41" t="str">
        <f ca="1">IF(MID(A$76,1,2)="//","//","")&amp;'App Const'!K351</f>
        <v xml:space="preserve">                                                             ro data section .rodata object FTM1.o,</v>
      </c>
    </row>
    <row r="511" spans="1:1" x14ac:dyDescent="0.25">
      <c r="A511" s="41" t="str">
        <f ca="1">IF(MID(A$76,1,2)="//","//","")&amp;'App Const'!K352</f>
        <v xml:space="preserve">                                                             ro data section .rodata object FTM2.o,</v>
      </c>
    </row>
    <row r="512" spans="1:1" x14ac:dyDescent="0.25">
      <c r="A512" s="41" t="str">
        <f ca="1">IF(MID(A$76,1,2)="//","//","")&amp;'App Const'!K353</f>
        <v xml:space="preserve">                                                             ro data section .rodata object FTM3.o };</v>
      </c>
    </row>
    <row r="513" spans="1:1" x14ac:dyDescent="0.25">
      <c r="A513" s="41" t="str">
        <f ca="1">IF(MID(A$77,1,2)="//","//","")&amp;'App Const'!K354</f>
        <v>//"HMC_CONST":        place at address mem: HMC_CONST        { ro data section .rodata object hmc_app.o,</v>
      </c>
    </row>
    <row r="514" spans="1:1" x14ac:dyDescent="0.25">
      <c r="A514" s="41" t="str">
        <f ca="1">IF(MID(A$77,1,2)="//","//","")&amp;'App Const'!K355</f>
        <v>//                                                             ro data section .rodata object hmc_demand.o,</v>
      </c>
    </row>
    <row r="515" spans="1:1" x14ac:dyDescent="0.25">
      <c r="A515" s="41" t="str">
        <f ca="1">IF(MID(A$77,1,2)="//","//","")&amp;'App Const'!K355</f>
        <v>//                                                             ro data section .rodata object hmc_demand.o,</v>
      </c>
    </row>
    <row r="516" spans="1:1" x14ac:dyDescent="0.25">
      <c r="A516" s="41" t="str">
        <f ca="1">IF(MID(A$77,1,2)="//","//","")&amp;'App Const'!K356</f>
        <v>//                                                             ro data section .rodata object hmc_diags.o,</v>
      </c>
    </row>
    <row r="517" spans="1:1" x14ac:dyDescent="0.25">
      <c r="A517" s="41" t="str">
        <f ca="1">IF(MID(A$77,1,2)="//","//","")&amp;'App Const'!K357</f>
        <v>//                                                             ro data section .rodata object hmc_ds.o,</v>
      </c>
    </row>
    <row r="518" spans="1:1" x14ac:dyDescent="0.25">
      <c r="A518" s="41" t="str">
        <f ca="1">IF(MID(A$77,1,2)="//","//","")&amp;'App Const'!K358</f>
        <v>//                                                             ro data section .rodata object hmc_eng.o,</v>
      </c>
    </row>
    <row r="519" spans="1:1" x14ac:dyDescent="0.25">
      <c r="A519" s="41" t="str">
        <f ca="1">IF(MID(A$77,1,2)="//","//","")&amp;'App Const'!K359</f>
        <v>//                                                             ro data section .rodata object hmc_finish.o,</v>
      </c>
    </row>
    <row r="520" spans="1:1" x14ac:dyDescent="0.25">
      <c r="A520" s="41" t="str">
        <f ca="1">IF(MID(A$77,1,2)="//","//","")&amp;'App Const'!K360</f>
        <v>//                                                             ro data section .rodata object hmc_msg.o,</v>
      </c>
    </row>
    <row r="521" spans="1:1" x14ac:dyDescent="0.25">
      <c r="A521" s="41" t="str">
        <f ca="1">IF(MID(A$77,1,2)="//","//","")&amp;'App Const'!K361</f>
        <v>//                                                             ro data section .rodata object hmc_mtr_info.o,</v>
      </c>
    </row>
    <row r="522" spans="1:1" x14ac:dyDescent="0.25">
      <c r="A522" s="41" t="str">
        <f ca="1">IF(MID(A$77,1,2)="//","//","")&amp;'App Const'!K362</f>
        <v>//                                                             ro data section .rodata object hmc_mtr_lp.o,</v>
      </c>
    </row>
    <row r="523" spans="1:1" x14ac:dyDescent="0.25">
      <c r="A523" s="41" t="str">
        <f ca="1">IF(MID(A$77,1,2)="//","//","")&amp;'App Const'!K363</f>
        <v>//                                                             ro data section .rodata object hmc_prot.o,</v>
      </c>
    </row>
    <row r="524" spans="1:1" x14ac:dyDescent="0.25">
      <c r="A524" s="41" t="str">
        <f ca="1">IF(MID(A$77,1,2)="//","//","")&amp;'App Const'!K364</f>
        <v>//                                                             ro data section .rodata object hmc_request.o,</v>
      </c>
    </row>
    <row r="525" spans="1:1" x14ac:dyDescent="0.25">
      <c r="A525" s="41" t="str">
        <f ca="1">IF(MID(A$77,1,2)="//","//","")&amp;'App Const'!K365</f>
        <v>//                                                             ro data section .rodata object hmc_seq_id.o,</v>
      </c>
    </row>
    <row r="526" spans="1:1" x14ac:dyDescent="0.25">
      <c r="A526" s="41" t="str">
        <f ca="1">IF(MID(A$77,1,2)="//","//","")&amp;'App Const'!K366</f>
        <v>//                                                             ro data section .rodata object hmc_snapshot.o,</v>
      </c>
    </row>
    <row r="527" spans="1:1" x14ac:dyDescent="0.25">
      <c r="A527" s="41" t="str">
        <f ca="1">IF(MID(A$77,1,2)="//","//","")&amp;'App Const'!K367</f>
        <v>//                                                             ro data section .rodata object hmc_start.o,</v>
      </c>
    </row>
    <row r="528" spans="1:1" x14ac:dyDescent="0.25">
      <c r="A528" s="41" t="str">
        <f ca="1">IF(MID(A$77,1,2)="//","//","")&amp;'App Const'!K368</f>
        <v>//                                                             ro data section .rodata object hmc_sync.o,</v>
      </c>
    </row>
    <row r="529" spans="1:1" x14ac:dyDescent="0.25">
      <c r="A529" s="41" t="str">
        <f ca="1">IF(MID(A$77,1,2)="//","//","")&amp;'App Const'!K369</f>
        <v>//                                                             ro data section .rodata object hmc_time.o,</v>
      </c>
    </row>
    <row r="530" spans="1:1" x14ac:dyDescent="0.25">
      <c r="A530" s="41" t="str">
        <f ca="1">IF(MID(A$77,1,2)="//","//","")&amp;'App Const'!K370</f>
        <v>//                                                             ro data section .rodata object hmc_tsk_lst.o,</v>
      </c>
    </row>
    <row r="531" spans="1:1" x14ac:dyDescent="0.25">
      <c r="A531" s="41" t="str">
        <f ca="1">IF(MID(A$77,1,2)="//","//","")&amp;'App Const'!K371</f>
        <v>//                                                             ro data section .rodata object intf_cim_cmd.o,</v>
      </c>
    </row>
    <row r="532" spans="1:1" x14ac:dyDescent="0.25">
      <c r="A532" s="41" t="str">
        <f ca="1">IF(MID(A$77,1,2)="//","//","")&amp;'App Const'!K372</f>
        <v>//                                                             ro data section .rodata object hmc_prg_mtr.o,</v>
      </c>
    </row>
    <row r="533" spans="1:1" x14ac:dyDescent="0.25">
      <c r="A533" s="41" t="str">
        <f ca="1">IF(MID(A$77,1,2)="//","//","")&amp;'App Const'!K373</f>
        <v>//                                                             ro data section .rodata object hmc_display.o };</v>
      </c>
    </row>
    <row r="534" spans="1:1" x14ac:dyDescent="0.25">
      <c r="A534" s="41" t="str">
        <f ca="1">IF(MID(A$78,1,2)="//","//","")&amp;'App Const'!K374</f>
        <v>"AclaraDA_CONST":   place at address mem: AclaraDA_CONST   { ro data section .rodata object b2b.o,</v>
      </c>
    </row>
    <row r="535" spans="1:1" x14ac:dyDescent="0.25">
      <c r="A535" s="41" t="str">
        <f ca="1">IF(MID(A$78,1,2)="//","//","")&amp;'App Const'!K375</f>
        <v xml:space="preserve">                                                             ro data section .rodata object b2b_req_handler.o,</v>
      </c>
    </row>
    <row r="536" spans="1:1" x14ac:dyDescent="0.25">
      <c r="A536" s="41" t="str">
        <f ca="1">IF(MID(A$78,1,2)="//","//","")&amp;'App Const'!K376</f>
        <v xml:space="preserve">                                                             ro data section .rodata object b2bMessage.o,</v>
      </c>
    </row>
    <row r="537" spans="1:1" x14ac:dyDescent="0.25">
      <c r="A537" s="41" t="str">
        <f ca="1">IF(MID(A$78,1,2)="//","//","")&amp;'App Const'!K377</f>
        <v xml:space="preserve">                                                             ro data section .rodata object da_srfn_reg.o,</v>
      </c>
    </row>
    <row r="538" spans="1:1" x14ac:dyDescent="0.25">
      <c r="A538" s="41" t="str">
        <f ca="1">IF(MID(A$78,1,2)="//","//","")&amp;'App Const'!K378</f>
        <v xml:space="preserve">                                                             ro data section .rodata object hdlc_frame.o,</v>
      </c>
    </row>
    <row r="539" spans="1:1" x14ac:dyDescent="0.25">
      <c r="A539" s="41" t="str">
        <f ca="1">IF(MID(A$78,1,2)="//","//","")&amp;'App Const'!K379</f>
        <v xml:space="preserve">                                                             ro data section .rodata object host_reset.o,</v>
      </c>
    </row>
    <row r="540" spans="1:1" x14ac:dyDescent="0.25">
      <c r="A540" s="41" t="str">
        <f ca="1">IF(MID(A$78,1,2)="//","//","")&amp;'App Const'!K380</f>
        <v xml:space="preserve">                                                             ro data section .rodata object nw_connected.o,</v>
      </c>
    </row>
    <row r="541" spans="1:1" x14ac:dyDescent="0.25">
      <c r="A541" s="41" t="str">
        <f ca="1">IF(MID(A$78,1,2)="//","//","")&amp;'App Const'!K381</f>
        <v xml:space="preserve">                                                             ro data section .rodata object TUNNEL_MSG_Handler.o,</v>
      </c>
    </row>
    <row r="542" spans="1:1" x14ac:dyDescent="0.25">
      <c r="A542" s="41" t="str">
        <f ca="1">IF(MID(A$78,1,2)="//","//","")&amp;'App Const'!K382</f>
        <v xml:space="preserve">                                                             ro data section .rodata object tunnel_Util.o };</v>
      </c>
    </row>
    <row r="543" spans="1:1" x14ac:dyDescent="0.25">
      <c r="A543" s="41" t="str">
        <f ca="1">IF(MID(A$79,1,2)="//","//","")&amp;'App Const'!K383</f>
        <v>"MTU_Common_CONST": place at address mem: MTU_Common_CONST { ro data section .rodata object APP_MSG_Handler.o,</v>
      </c>
    </row>
    <row r="544" spans="1:1" x14ac:dyDescent="0.25">
      <c r="A544" s="41" t="str">
        <f ca="1">IF(MID(A$79,1,2)="//","//","")&amp;'App Const'!K384</f>
        <v xml:space="preserve">                                                             ro data section .rodata object demand.o,</v>
      </c>
    </row>
    <row r="545" spans="1:1" x14ac:dyDescent="0.25">
      <c r="A545" s="41" t="str">
        <f ca="1">IF(MID(A$79,1,2)="//","//","")&amp;'App Const'!K385</f>
        <v xml:space="preserve">                                                             ro data section .rodata object ed_config.o,</v>
      </c>
    </row>
    <row r="546" spans="1:1" x14ac:dyDescent="0.25">
      <c r="A546" s="41" t="str">
        <f ca="1">IF(MID(A$79,1,2)="//","//","")&amp;'App Const'!K386</f>
        <v xml:space="preserve">                                                             ro data section .rodata object endpt_cim_cmd.o,</v>
      </c>
    </row>
    <row r="547" spans="1:1" x14ac:dyDescent="0.25">
      <c r="A547" s="41" t="str">
        <f ca="1">IF(MID(A$79,1,2)="//","//","")&amp;'App Const'!K387</f>
        <v xml:space="preserve">                                                             ro data section .rodata object historyd.o,</v>
      </c>
    </row>
    <row r="548" spans="1:1" x14ac:dyDescent="0.25">
      <c r="A548" s="41" t="str">
        <f ca="1">IF(MID(A$79,1,2)="//","//","")&amp;'App Const'!K388</f>
        <v xml:space="preserve">                                                             ro data section .rodata object ID_intervalTask.o,</v>
      </c>
    </row>
    <row r="549" spans="1:1" x14ac:dyDescent="0.25">
      <c r="A549" s="41" t="str">
        <f ca="1">IF(MID(A$79,1,2)="//","//","")&amp;'App Const'!K389</f>
        <v xml:space="preserve">                                                             ro data section .rodata object IDL_IdleProcess.o,</v>
      </c>
    </row>
    <row r="550" spans="1:1" x14ac:dyDescent="0.25">
      <c r="A550" s="41" t="str">
        <f ca="1">IF(MID(A$79,1,2)="//","//","")&amp;'App Const'!K390</f>
        <v xml:space="preserve">                                                             ro data section .rodata object OR_MR_Handler.o,</v>
      </c>
    </row>
    <row r="551" spans="1:1" x14ac:dyDescent="0.25">
      <c r="A551" s="41" t="str">
        <f ca="1">IF(MID(A$79,1,2)="//","//","")&amp;'App Const'!K391</f>
        <v xml:space="preserve">                                                             ro data section .rodata object pwr_config.o,</v>
      </c>
    </row>
    <row r="552" spans="1:1" x14ac:dyDescent="0.25">
      <c r="A552" s="41" t="str">
        <f ca="1">IF(MID(A$79,1,2)="//","//","")&amp;'App Const'!K392</f>
        <v xml:space="preserve">                                                             ro data section .rodata object pwr_last_gasp.o,</v>
      </c>
    </row>
    <row r="553" spans="1:1" x14ac:dyDescent="0.25">
      <c r="A553" s="41" t="str">
        <f ca="1">IF(MID(A$79,1,2)="//","//","")&amp;'App Const'!K393</f>
        <v xml:space="preserve">                                                             ro data section .rodata object pwr_restore.o,</v>
      </c>
    </row>
    <row r="554" spans="1:1" x14ac:dyDescent="0.25">
      <c r="A554" s="41" t="str">
        <f ca="1">IF(MID(A$79,1,2)="//","//","")&amp;'App Const'!K394</f>
        <v xml:space="preserve">                                                             ro data section .rodata object pwr_task.o,</v>
      </c>
    </row>
    <row r="555" spans="1:1" x14ac:dyDescent="0.25">
      <c r="A555" s="41" t="str">
        <f ca="1">IF(MID(A$79,1,2)="//","//","")&amp;'App Const'!K395</f>
        <v xml:space="preserve">                                                             ro data section .rodata object RG_CF_Handler.o,</v>
      </c>
    </row>
    <row r="556" spans="1:1" x14ac:dyDescent="0.25">
      <c r="A556" s="41" t="str">
        <f ca="1">IF(MID(A$79,1,2)="//","//","")&amp;'App Const'!K396</f>
        <v xml:space="preserve">                                                             ro data section .rodata object RG_MD_Handler.o,</v>
      </c>
    </row>
    <row r="557" spans="1:1" x14ac:dyDescent="0.25">
      <c r="A557" s="41" t="str">
        <f ca="1">IF(MID(A$79,1,2)="//","//","")&amp;'App Const'!K397</f>
        <v xml:space="preserve">                                                             ro data section .rodata object STRT_Startup.o,</v>
      </c>
    </row>
    <row r="558" spans="1:1" x14ac:dyDescent="0.25">
      <c r="A558" s="41" t="str">
        <f ca="1">IF(MID(A$79,1,2)="//","//","")&amp;'App Const'!K398</f>
        <v xml:space="preserve">                                                             ro data section .rodata object Task.o,</v>
      </c>
    </row>
    <row r="559" spans="1:1" x14ac:dyDescent="0.25">
      <c r="A559" s="41" t="str">
        <f ca="1">IF(MID(A$79,1,2)="//","//","")&amp;'App Const'!K399</f>
        <v xml:space="preserve">                                                             ro data section .rodata object vbat_reg.o,</v>
      </c>
    </row>
    <row r="560" spans="1:1" x14ac:dyDescent="0.25">
      <c r="A560" s="41" t="str">
        <f ca="1">IF(MID(A$79,1,2)="//","//","")&amp;'App Const'!K400</f>
        <v xml:space="preserve">                                                             ro data section .rodata object version.o };</v>
      </c>
    </row>
    <row r="561" spans="1:1" x14ac:dyDescent="0.25">
      <c r="A561" s="41" t="s">
        <v>856</v>
      </c>
    </row>
    <row r="562" spans="1:1" x14ac:dyDescent="0.25">
      <c r="A562" s="41"/>
    </row>
    <row r="563" spans="1:1" x14ac:dyDescent="0.25">
      <c r="A563" s="41" t="s">
        <v>857</v>
      </c>
    </row>
    <row r="564" spans="1:1" x14ac:dyDescent="0.25">
      <c r="A564" s="41" t="s">
        <v>863</v>
      </c>
    </row>
    <row r="565" spans="1:1" x14ac:dyDescent="0.25">
      <c r="A565" s="41" t="s">
        <v>855</v>
      </c>
    </row>
    <row r="566" spans="1:1" x14ac:dyDescent="0.25">
      <c r="A566" s="41" t="str">
        <f ca="1">IF(MID(A102,1,2)="//","//","")&amp;'Lib DInit'!K43</f>
        <v>//"dl7M_tln_DINIT":        place at address mem: dl7M_tln_DINIT        { ro data section *_init object *(dl7M_tln.a) };</v>
      </c>
    </row>
    <row r="567" spans="1:1" x14ac:dyDescent="0.25">
      <c r="A567" s="41" t="str">
        <f ca="1">IF(MID(A103,1,2)="//","//","")&amp;'Lib DInit'!K44</f>
        <v>//"m7M_tls_DINIT":         place at address mem: m7M_tls_DINIT         { ro data section *_init object *(m7M_tls.a) };</v>
      </c>
    </row>
    <row r="568" spans="1:1" x14ac:dyDescent="0.25">
      <c r="A568" s="41" t="str">
        <f ca="1">IF(MID(A104,1,2)="//","//","")&amp;'Lib DInit'!K45</f>
        <v>//"rt7M_tl_DINIT":         place at address mem: rt7M_tl_DINIT         { ro data section *_init object *(rt7M_tl.a) };</v>
      </c>
    </row>
    <row r="569" spans="1:1" x14ac:dyDescent="0.25">
      <c r="A569" s="41" t="str">
        <f ca="1">IF(MID(A105,1,2)="//","//","")&amp;'Lib DInit'!K46</f>
        <v>//"shb_l_DINIT":           place at address mem: shb_l_DINIT           { ro data section *_init object *(shb_l.a) };</v>
      </c>
    </row>
    <row r="570" spans="1:1" x14ac:dyDescent="0.25">
      <c r="A570" s="41" t="str">
        <f ca="1">IF(MID(A106,1,2)="//","//","")&amp;'Lib DInit'!K47</f>
        <v>"BSP_DINIT":             place at address mem: BSP_DINIT             { ro data section *_init object *(BSP.a) };</v>
      </c>
    </row>
    <row r="571" spans="1:1" x14ac:dyDescent="0.25">
      <c r="A571" s="41" t="str">
        <f ca="1">IF(MID(A107,1,2)="//","//","")&amp;'Lib DInit'!K48</f>
        <v>"PSP_DINIT":             place at address mem: PSP_DINIT             { ro data section *_init object *(PSP.a) };</v>
      </c>
    </row>
    <row r="572" spans="1:1" x14ac:dyDescent="0.25">
      <c r="A572" s="41" t="str">
        <f ca="1">IF(MID(A108,1,2)="//","//","")&amp;'Lib DInit'!K49</f>
        <v>"wolfSSL_Lib_MTU_DINIT": place at address mem: wolfSSL_Lib_MTU_DINIT { ro data section *_init object *(wolfSSL-Lib_MTU.a) };</v>
      </c>
    </row>
    <row r="573" spans="1:1" x14ac:dyDescent="0.25">
      <c r="A573" s="41"/>
    </row>
    <row r="574" spans="1:1" x14ac:dyDescent="0.25">
      <c r="A574" s="41" t="str">
        <f ca="1">IF(MID(A110,1,2)="//","//","")&amp;'Lib DInit'!K51</f>
        <v>"DLIB_DINIT":            place at address mem: DLIB_DINIT            { ro data section __DLIB_PERTHREAD_init object * };</v>
      </c>
    </row>
    <row r="575" spans="1:1" x14ac:dyDescent="0.25">
      <c r="A575" s="41"/>
    </row>
    <row r="576" spans="1:1" x14ac:dyDescent="0.25">
      <c r="A576" s="41" t="str">
        <f ca="1">IF(MID(A112,1,2)="//","//","")&amp;'Lib Init'!K48</f>
        <v>"DLIB_INIT":            place at address mem: DLIB_INIT            { rw data section __DLIB_PERTHREAD object * };</v>
      </c>
    </row>
    <row r="577" spans="1:1" x14ac:dyDescent="0.25">
      <c r="A577" s="41" t="str">
        <f ca="1">IF(MID(A113,1,2)="//","//","")&amp;'Lib Init'!K49</f>
        <v>//"dl7M_tln_INIT":        place at address mem: dl7M_tln_INIT        { rw data section .data object *(dl7M_tln.a) };</v>
      </c>
    </row>
    <row r="578" spans="1:1" x14ac:dyDescent="0.25">
      <c r="A578" s="41" t="str">
        <f ca="1">IF(MID(A114,1,2)="//","//","")&amp;'Lib Init'!K50</f>
        <v>//"m7M_tls_INIT":         place at address mem: m7M_tls_INIT         { rw data section .data object *(m7M_tls.a) };</v>
      </c>
    </row>
    <row r="579" spans="1:1" x14ac:dyDescent="0.25">
      <c r="A579" s="41" t="str">
        <f ca="1">IF(MID(A115,1,2)="//","//","")&amp;'Lib Init'!K51</f>
        <v>//"rt7M_tl_INIT":         place at address mem: rt7M_tl_INIT         { rw data section .data object *(rt7M_tl.a) };</v>
      </c>
    </row>
    <row r="580" spans="1:1" x14ac:dyDescent="0.25">
      <c r="A580" s="41" t="str">
        <f ca="1">IF(MID(A116,1,2)="//","//","")&amp;'Lib Init'!K52</f>
        <v>//"shb_l_INIT":           place at address mem: shb_l_INIT           { rw data section .data object *(shb_l.a) };</v>
      </c>
    </row>
    <row r="581" spans="1:1" x14ac:dyDescent="0.25">
      <c r="A581" s="41" t="str">
        <f ca="1">IF(MID(A117,1,2)="//","//","")&amp;'Lib Init'!K53</f>
        <v>"BSP_INIT":             place at address mem: BSP_INIT             { rw data section .data object *(BSP.a) };</v>
      </c>
    </row>
    <row r="582" spans="1:1" x14ac:dyDescent="0.25">
      <c r="A582" s="41" t="str">
        <f ca="1">IF(MID(A118,1,2)="//","//","")&amp;'Lib Init'!K54</f>
        <v>"PSP_INIT":             place at address mem: PSP_INIT             { rw data section .data object *(PSP.a) };</v>
      </c>
    </row>
    <row r="583" spans="1:1" x14ac:dyDescent="0.25">
      <c r="A583" s="41" t="str">
        <f ca="1">IF(MID(A119,1,2)="//","//","")&amp;'Lib Init'!K55</f>
        <v>"wolfSSL_Lib_MTU_INIT": place at address mem: wolfSSL_Lib_MTU_INIT { rw data section .data object *(wolfSSL-Lib_MTU.a) };</v>
      </c>
    </row>
    <row r="584" spans="1:1" x14ac:dyDescent="0.25">
      <c r="A584" s="41"/>
    </row>
    <row r="585" spans="1:1" x14ac:dyDescent="0.25">
      <c r="A585" s="41" t="str">
        <f ca="1">IF(MID(A121,1,2)="//","//","")&amp;'Lib Init'!K57</f>
        <v>"KERNEL_DATA_INIT":     place at address mem: KERNEL_DATA_INIT     { rw data section .kernel_data object * };</v>
      </c>
    </row>
    <row r="586" spans="1:1" x14ac:dyDescent="0.25">
      <c r="A586" s="41" t="s">
        <v>856</v>
      </c>
    </row>
    <row r="587" spans="1:1" x14ac:dyDescent="0.25">
      <c r="A587" s="41"/>
    </row>
    <row r="588" spans="1:1" x14ac:dyDescent="0.25">
      <c r="A588" s="41" t="s">
        <v>857</v>
      </c>
    </row>
    <row r="589" spans="1:1" x14ac:dyDescent="0.25">
      <c r="A589" s="41" t="s">
        <v>864</v>
      </c>
    </row>
    <row r="590" spans="1:1" x14ac:dyDescent="0.25">
      <c r="A590" s="41" t="s">
        <v>855</v>
      </c>
    </row>
    <row r="591" spans="1:1" x14ac:dyDescent="0.25">
      <c r="A591" s="41" t="str">
        <f ca="1">IF(MID(A$127,1,2)="//","//","")&amp;'App DInit'!K237</f>
        <v>"utils_DINIT":      place at address mem: utils_DINIT      { ro data section *_init object ascii.o,</v>
      </c>
    </row>
    <row r="592" spans="1:1" x14ac:dyDescent="0.25">
      <c r="A592" s="41" t="str">
        <f ca="1">IF(MID(A$127,1,2)="//","//","")&amp;'App DInit'!K238</f>
        <v xml:space="preserve">                                                             ro data section *_init object bcd.o,</v>
      </c>
    </row>
    <row r="593" spans="1:1" x14ac:dyDescent="0.25">
      <c r="A593" s="41" t="str">
        <f ca="1">IF(MID(A$127,1,2)="//","//","")&amp;'App DInit'!K239</f>
        <v xml:space="preserve">                                                             ro data section *_init object bit_util.o,</v>
      </c>
    </row>
    <row r="594" spans="1:1" x14ac:dyDescent="0.25">
      <c r="A594" s="41" t="str">
        <f ca="1">IF(MID(A$127,1,2)="//","//","")&amp;'App DInit'!K240</f>
        <v xml:space="preserve">                                                             ro data section *_init object byteswap.o,</v>
      </c>
    </row>
    <row r="595" spans="1:1" x14ac:dyDescent="0.25">
      <c r="A595" s="41" t="str">
        <f ca="1">IF(MID(A$127,1,2)="//","//","")&amp;'App DInit'!K241</f>
        <v xml:space="preserve">                                                             ro data section *_init object crc16_m.o,</v>
      </c>
    </row>
    <row r="596" spans="1:1" x14ac:dyDescent="0.25">
      <c r="A596" s="41" t="str">
        <f ca="1">IF(MID(A$127,1,2)="//","//","")&amp;'App DInit'!K242</f>
        <v xml:space="preserve">                                                             ro data section *_init object crc32.o,</v>
      </c>
    </row>
    <row r="597" spans="1:1" x14ac:dyDescent="0.25">
      <c r="A597" s="41" t="str">
        <f ca="1">IF(MID(A$127,1,2)="//","//","")&amp;'App DInit'!K243</f>
        <v xml:space="preserve">                                                             ro data section *_init object invert_bits.o,</v>
      </c>
    </row>
    <row r="598" spans="1:1" x14ac:dyDescent="0.25">
      <c r="A598" s="41" t="str">
        <f ca="1">IF(MID(A$127,1,2)="//","//","")&amp;'App DInit'!K244</f>
        <v xml:space="preserve">                                                             ro data section *_init object pack.o,</v>
      </c>
    </row>
    <row r="599" spans="1:1" x14ac:dyDescent="0.25">
      <c r="A599" s="41" t="str">
        <f ca="1">IF(MID(A$127,1,2)="//","//","")&amp;'App DInit'!K245</f>
        <v xml:space="preserve">                                                             ro data section *_init object rand.o,</v>
      </c>
    </row>
    <row r="600" spans="1:1" x14ac:dyDescent="0.25">
      <c r="A600" s="41" t="str">
        <f ca="1">IF(MID(A$127,1,2)="//","//","")&amp;'App DInit'!K246</f>
        <v xml:space="preserve">                                                             ro data section *_init object time_util.o,</v>
      </c>
    </row>
    <row r="601" spans="1:1" x14ac:dyDescent="0.25">
      <c r="A601" s="41" t="str">
        <f ca="1">IF(MID(A$127,1,2)="//","//","")&amp;'App DInit'!K247</f>
        <v xml:space="preserve">                                                             ro data section *_init object timer_util.o };</v>
      </c>
    </row>
    <row r="602" spans="1:1" x14ac:dyDescent="0.25">
      <c r="A602" s="41" t="str">
        <f ca="1">IF(MID(A$128,1,2)="//","//","")&amp;'App DInit'!K248</f>
        <v>"dfw_DINIT":        place at address mem: dfw_DINIT        { ro data section *_init object dfw_app.o,</v>
      </c>
    </row>
    <row r="603" spans="1:1" x14ac:dyDescent="0.25">
      <c r="A603" s="41" t="str">
        <f ca="1">IF(MID(A$128,1,2)="//","//","")&amp;'App DInit'!K249</f>
        <v xml:space="preserve">                                                             ro data section *_init object dfw_interface.o,</v>
      </c>
    </row>
    <row r="604" spans="1:1" x14ac:dyDescent="0.25">
      <c r="A604" s="41" t="str">
        <f ca="1">IF(MID(A$128,1,2)="//","//","")&amp;'App DInit'!K250</f>
        <v xml:space="preserve">                                                             ro data section *_init object dfw_pckt.o,</v>
      </c>
    </row>
    <row r="605" spans="1:1" x14ac:dyDescent="0.25">
      <c r="A605" s="41" t="str">
        <f ca="1">IF(MID(A$128,1,2)="//","//","")&amp;'App DInit'!K251</f>
        <v xml:space="preserve">                                                             ro data section *_init object dfwtd_config.o };</v>
      </c>
    </row>
    <row r="606" spans="1:1" x14ac:dyDescent="0.25">
      <c r="A606" s="41" t="str">
        <f ca="1">IF(MID(A$129,1,2)="//","//","")&amp;'App DInit'!K252</f>
        <v>"driver_DINIT":     place at address mem: driver_DINIT     { ro data section *_init object dvr_banked.o,</v>
      </c>
    </row>
    <row r="607" spans="1:1" x14ac:dyDescent="0.25">
      <c r="A607" s="41" t="str">
        <f ca="1">IF(MID(A$129,1,2)="//","//","")&amp;'App DInit'!K253</f>
        <v xml:space="preserve">                                                             ro data section *_init object dvr_cache.o,</v>
      </c>
    </row>
    <row r="608" spans="1:1" x14ac:dyDescent="0.25">
      <c r="A608" s="41" t="str">
        <f ca="1">IF(MID(A$129,1,2)="//","//","")&amp;'App DInit'!K254</f>
        <v xml:space="preserve">                                                             ro data section *_init object dvr_extflash.o,</v>
      </c>
    </row>
    <row r="609" spans="1:1" x14ac:dyDescent="0.25">
      <c r="A609" s="41" t="str">
        <f ca="1">IF(MID(A$129,1,2)="//","//","")&amp;'App DInit'!K255</f>
        <v xml:space="preserve">                                                             ro data section *_init object dvr_sectPreErase.o,</v>
      </c>
    </row>
    <row r="610" spans="1:1" x14ac:dyDescent="0.25">
      <c r="A610" s="41" t="str">
        <f ca="1">IF(MID(A$129,1,2)="//","//","")&amp;'App DInit'!K256</f>
        <v xml:space="preserve">                                                             ro data section *_init object dvr_sharedMem.o,</v>
      </c>
    </row>
    <row r="611" spans="1:1" x14ac:dyDescent="0.25">
      <c r="A611" s="41" t="str">
        <f ca="1">IF(MID(A$129,1,2)="//","//","")&amp;'App DInit'!K257</f>
        <v xml:space="preserve">                                                             ro data section *_init object IF_intFlash.o,</v>
      </c>
    </row>
    <row r="612" spans="1:1" x14ac:dyDescent="0.25">
      <c r="A612" s="41" t="str">
        <f ca="1">IF(MID(A$129,1,2)="//","//","")&amp;'App DInit'!K258</f>
        <v xml:space="preserve">                                                             ro data section *_init object spi_mstr.o };</v>
      </c>
    </row>
    <row r="613" spans="1:1" x14ac:dyDescent="0.25">
      <c r="A613" s="41" t="str">
        <f ca="1">IF(MID(A$130,1,2)="//","//","")&amp;'App DInit'!K259</f>
        <v>"stack_DINIT":      place at address mem: stack_DINIT      { ro data section *_init object COMM.o,</v>
      </c>
    </row>
    <row r="614" spans="1:1" x14ac:dyDescent="0.25">
      <c r="A614" s="41" t="str">
        <f ca="1">IF(MID(A$130,1,2)="//","//","")&amp;'App DInit'!K260</f>
        <v xml:space="preserve">                                                             ro data section *_init object SM.o,</v>
      </c>
    </row>
    <row r="615" spans="1:1" x14ac:dyDescent="0.25">
      <c r="A615" s="41" t="str">
        <f ca="1">IF(MID(A$130,1,2)="//","//","")&amp;'App DInit'!K261</f>
        <v xml:space="preserve">                                                             ro data section *_init object smtd_config.o,</v>
      </c>
    </row>
    <row r="616" spans="1:1" x14ac:dyDescent="0.25">
      <c r="A616" s="41" t="str">
        <f ca="1">IF(MID(A$130,1,2)="//","//","")&amp;'App DInit'!K262</f>
        <v xml:space="preserve">                                                             ro data section *_init object dtls.o,</v>
      </c>
    </row>
    <row r="617" spans="1:1" x14ac:dyDescent="0.25">
      <c r="A617" s="41" t="str">
        <f ca="1">IF(MID(A$130,1,2)="//","//","")&amp;'App DInit'!K263</f>
        <v xml:space="preserve">                                                             ro data section *_init object mtls.o,</v>
      </c>
    </row>
    <row r="618" spans="1:1" x14ac:dyDescent="0.25">
      <c r="A618" s="41" t="str">
        <f ca="1">IF(MID(A$130,1,2)="//","//","")&amp;'App DInit'!K264</f>
        <v xml:space="preserve">                                                             ro data section *_init object STACK.o,</v>
      </c>
    </row>
    <row r="619" spans="1:1" x14ac:dyDescent="0.25">
      <c r="A619" s="41" t="str">
        <f ca="1">IF(MID(A$130,1,2)="//","//","")&amp;'App DInit'!K265</f>
        <v xml:space="preserve">                                                             ro data section *_init object MAC.o,</v>
      </c>
    </row>
    <row r="620" spans="1:1" x14ac:dyDescent="0.25">
      <c r="A620" s="41" t="str">
        <f ca="1">IF(MID(A$130,1,2)="//","//","")&amp;'App DInit'!K266</f>
        <v xml:space="preserve">                                                             ro data section *_init object MAC_FrameEncoder.o,</v>
      </c>
    </row>
    <row r="621" spans="1:1" x14ac:dyDescent="0.25">
      <c r="A621" s="41" t="str">
        <f ca="1">IF(MID(A$130,1,2)="//","//","")&amp;'App DInit'!K267</f>
        <v xml:space="preserve">                                                             ro data section *_init object MAC_FrameManagement.o,</v>
      </c>
    </row>
    <row r="622" spans="1:1" x14ac:dyDescent="0.25">
      <c r="A622" s="41" t="str">
        <f ca="1">IF(MID(A$130,1,2)="//","//","")&amp;'App DInit'!K268</f>
        <v xml:space="preserve">                                                             ro data section *_init object MAC_PacketManagement.o,</v>
      </c>
    </row>
    <row r="623" spans="1:1" x14ac:dyDescent="0.25">
      <c r="A623" s="41" t="str">
        <f ca="1">IF(MID(A$130,1,2)="//","//","")&amp;'App DInit'!K269</f>
        <v xml:space="preserve">                                                             ro data section *_init object PHY.o,</v>
      </c>
    </row>
    <row r="624" spans="1:1" x14ac:dyDescent="0.25">
      <c r="A624" s="41" t="str">
        <f ca="1">IF(MID(A$130,1,2)="//","//","")&amp;'App DInit'!K270</f>
        <v xml:space="preserve">                                                             ro data section *_init object EstimateCarrierFrequencyOffset.o,</v>
      </c>
    </row>
    <row r="625" spans="1:1" x14ac:dyDescent="0.25">
      <c r="A625" s="41" t="str">
        <f ca="1">IF(MID(A$130,1,2)="//","//","")&amp;'App DInit'!K271</f>
        <v xml:space="preserve">                                                             ro data section *_init object MaximizeEyeOpening.o,</v>
      </c>
    </row>
    <row r="626" spans="1:1" x14ac:dyDescent="0.25">
      <c r="A626" s="41" t="str">
        <f ca="1">IF(MID(A$130,1,2)="//","//","")&amp;'App DInit'!K272</f>
        <v xml:space="preserve">                                                             ro data section *_init object PerformCFOCompensation.o,</v>
      </c>
    </row>
    <row r="627" spans="1:1" x14ac:dyDescent="0.25">
      <c r="A627" s="41" t="str">
        <f ca="1">IF(MID(A$130,1,2)="//","//","")&amp;'App DInit'!K273</f>
        <v xml:space="preserve">                                                             ro data section *_init object preamble_detect.o,</v>
      </c>
    </row>
    <row r="628" spans="1:1" x14ac:dyDescent="0.25">
      <c r="A628" s="41" t="str">
        <f ca="1">IF(MID(A$130,1,2)="//","//","")&amp;'App DInit'!K274</f>
        <v xml:space="preserve">                                                             ro data section *_init object preambleDetector.o,</v>
      </c>
    </row>
    <row r="629" spans="1:1" x14ac:dyDescent="0.25">
      <c r="A629" s="41" t="str">
        <f ca="1">IF(MID(A$130,1,2)="//","//","")&amp;'App DInit'!K275</f>
        <v xml:space="preserve">                                                             ro data section *_init object preambleDetector_Data.o,</v>
      </c>
    </row>
    <row r="630" spans="1:1" x14ac:dyDescent="0.25">
      <c r="A630" s="41" t="str">
        <f ca="1">IF(MID(A$130,1,2)="//","//","")&amp;'App DInit'!K276</f>
        <v xml:space="preserve">                                                             ro data section *_init object preambleDetector_initialize.o,</v>
      </c>
    </row>
    <row r="631" spans="1:1" x14ac:dyDescent="0.25">
      <c r="A631" s="41" t="str">
        <f ca="1">IF(MID(A$130,1,2)="//","//","")&amp;'App DInit'!K277</f>
        <v xml:space="preserve">                                                             ro data section *_init object processDerotatedSamples.o,</v>
      </c>
    </row>
    <row r="632" spans="1:1" x14ac:dyDescent="0.25">
      <c r="A632" s="41" t="str">
        <f ca="1">IF(MID(A$130,1,2)="//","//","")&amp;'App DInit'!K278</f>
        <v xml:space="preserve">                                                             ro data section *_init object ScaleClipFreq2phase.o,</v>
      </c>
    </row>
    <row r="633" spans="1:1" x14ac:dyDescent="0.25">
      <c r="A633" s="41" t="str">
        <f ca="1">IF(MID(A$130,1,2)="//","//","")&amp;'App DInit'!K279</f>
        <v xml:space="preserve">                                                             ro data section *_init object sign.o,</v>
      </c>
    </row>
    <row r="634" spans="1:1" x14ac:dyDescent="0.25">
      <c r="A634" s="41" t="str">
        <f ca="1">IF(MID(A$130,1,2)="//","//","")&amp;'App DInit'!K280</f>
        <v xml:space="preserve">                                                             ro data section *_init object fir_filt_circ_buff.o,</v>
      </c>
    </row>
    <row r="635" spans="1:1" x14ac:dyDescent="0.25">
      <c r="A635" s="41" t="str">
        <f ca="1">IF(MID(A$130,1,2)="//","//","")&amp;'App DInit'!K281</f>
        <v xml:space="preserve">                                                             ro data section *_init object gresample.o,</v>
      </c>
    </row>
    <row r="636" spans="1:1" x14ac:dyDescent="0.25">
      <c r="A636" s="41" t="str">
        <f ca="1">IF(MID(A$130,1,2)="//","//","")&amp;'App DInit'!K282</f>
        <v xml:space="preserve">                                                             ro data section *_init object phase2freq_wi_unwrap.o,</v>
      </c>
    </row>
    <row r="637" spans="1:1" x14ac:dyDescent="0.25">
      <c r="A637" s="41" t="str">
        <f ca="1">IF(MID(A$130,1,2)="//","//","")&amp;'App DInit'!K283</f>
        <v xml:space="preserve">                                                             ro data section *_init object findSYNC.o,</v>
      </c>
    </row>
    <row r="638" spans="1:1" x14ac:dyDescent="0.25">
      <c r="A638" s="41" t="str">
        <f ca="1">IF(MID(A$130,1,2)="//","//","")&amp;'App DInit'!K284</f>
        <v xml:space="preserve">                                                             ro data section *_init object FreqDomMlseP4GfskStruct2.o,</v>
      </c>
    </row>
    <row r="639" spans="1:1" x14ac:dyDescent="0.25">
      <c r="A639" s="41" t="str">
        <f ca="1">IF(MID(A$130,1,2)="//","//","")&amp;'App DInit'!K285</f>
        <v xml:space="preserve">                                                             ro data section *_init object processDerotatedSPDSamples.o,</v>
      </c>
    </row>
    <row r="640" spans="1:1" x14ac:dyDescent="0.25">
      <c r="A640" s="41" t="str">
        <f ca="1">IF(MID(A$130,1,2)="//","//","")&amp;'App DInit'!K286</f>
        <v xml:space="preserve">                                                             ro data section *_init object SyncAndPayloadDemodulator.o,</v>
      </c>
    </row>
    <row r="641" spans="1:1" x14ac:dyDescent="0.25">
      <c r="A641" s="41" t="str">
        <f ca="1">IF(MID(A$130,1,2)="//","//","")&amp;'App DInit'!K287</f>
        <v xml:space="preserve">                                                             ro data section *_init object SoftDemodulator.o,</v>
      </c>
    </row>
    <row r="642" spans="1:1" x14ac:dyDescent="0.25">
      <c r="A642" s="41" t="str">
        <f ca="1">IF(MID(A$130,1,2)="//","//","")&amp;'App DInit'!K288</f>
        <v xml:space="preserve">                                                             ro data section *_init object rs.o,</v>
      </c>
    </row>
    <row r="643" spans="1:1" x14ac:dyDescent="0.25">
      <c r="A643" s="41" t="str">
        <f ca="1">IF(MID(A$130,1,2)="//","//","")&amp;'App DInit'!K289</f>
        <v xml:space="preserve">                                                             ro data section *_init object galois.o,</v>
      </c>
    </row>
    <row r="644" spans="1:1" x14ac:dyDescent="0.25">
      <c r="A644" s="41" t="str">
        <f ca="1">IF(MID(A$130,1,2)="//","//","")&amp;'App DInit'!K290</f>
        <v xml:space="preserve">                                                             ro data section *_init object rsdec.o,</v>
      </c>
    </row>
    <row r="645" spans="1:1" x14ac:dyDescent="0.25">
      <c r="A645" s="41" t="str">
        <f ca="1">IF(MID(A$130,1,2)="//","//","")&amp;'App DInit'!K291</f>
        <v xml:space="preserve">                                                             ro data section *_init object rsenc.o,</v>
      </c>
    </row>
    <row r="646" spans="1:1" x14ac:dyDescent="0.25">
      <c r="A646" s="41" t="str">
        <f ca="1">IF(MID(A$130,1,2)="//","//","")&amp;'App DInit'!K292</f>
        <v xml:space="preserve">                                                             ro data section *_init object indication.o };</v>
      </c>
    </row>
    <row r="647" spans="1:1" x14ac:dyDescent="0.25">
      <c r="A647" s="41" t="str">
        <f ca="1">IF(MID(A$131,1,2)="//","//","")&amp;'App DInit'!K293</f>
        <v>//"OS_API_DINIT":     place at address mem: OS_API_DINIT     { ro data section *_init object Event.o,</v>
      </c>
    </row>
    <row r="648" spans="1:1" x14ac:dyDescent="0.25">
      <c r="A648" s="41" t="str">
        <f ca="1">IF(MID(A$131,1,2)="//","//","")&amp;'App DInit'!K294</f>
        <v>//                                                             ro data section *_init object MessageQ.o,</v>
      </c>
    </row>
    <row r="649" spans="1:1" x14ac:dyDescent="0.25">
      <c r="A649" s="41" t="str">
        <f ca="1">IF(MID(A$131,1,2)="//","//","")&amp;'App DInit'!K295</f>
        <v>//                                                             ro data section *_init object Mutex.o,</v>
      </c>
    </row>
    <row r="650" spans="1:1" x14ac:dyDescent="0.25">
      <c r="A650" s="41" t="str">
        <f ca="1">IF(MID(A$131,1,2)="//","//","")&amp;'App DInit'!K296</f>
        <v>//                                                             ro data section *_init object Queue.o,</v>
      </c>
    </row>
    <row r="651" spans="1:1" x14ac:dyDescent="0.25">
      <c r="A651" s="41" t="str">
        <f ca="1">IF(MID(A$131,1,2)="//","//","")&amp;'App DInit'!K297</f>
        <v>//                                                             ro data section *_init object Semaphore.o,</v>
      </c>
    </row>
    <row r="652" spans="1:1" x14ac:dyDescent="0.25">
      <c r="A652" s="41" t="str">
        <f ca="1">IF(MID(A$131,1,2)="//","//","")&amp;'App DInit'!K298</f>
        <v>//                                                             ro data section *_init object TickTime.o };</v>
      </c>
    </row>
    <row r="653" spans="1:1" x14ac:dyDescent="0.25">
      <c r="A653" s="41" t="str">
        <f ca="1">IF(MID(A$132,1,2)="//","//","")&amp;'App DInit'!K299</f>
        <v>"radio_DINIT":      place at address mem: radio_DINIT      { ro data section *_init object radio.o,</v>
      </c>
    </row>
    <row r="654" spans="1:1" x14ac:dyDescent="0.25">
      <c r="A654" s="41" t="str">
        <f ca="1">IF(MID(A$132,1,2)="//","//","")&amp;'App DInit'!K300</f>
        <v xml:space="preserve">                                                             ro data section *_init object radio_comm.o,</v>
      </c>
    </row>
    <row r="655" spans="1:1" x14ac:dyDescent="0.25">
      <c r="A655" s="41" t="str">
        <f ca="1">IF(MID(A$132,1,2)="//","//","")&amp;'App DInit'!K301</f>
        <v xml:space="preserve">                                                             ro data section *_init object si446x_api_lib.o,</v>
      </c>
    </row>
    <row r="656" spans="1:1" x14ac:dyDescent="0.25">
      <c r="A656" s="41" t="str">
        <f ca="1">IF(MID(A$132,1,2)="//","//","")&amp;'App DInit'!K302</f>
        <v xml:space="preserve">                                                             ro data section *_init object radio_config_normal.o,</v>
      </c>
    </row>
    <row r="657" spans="1:1" x14ac:dyDescent="0.25">
      <c r="A657" s="41" t="str">
        <f ca="1">IF(MID(A$132,1,2)="//","//","")&amp;'App DInit'!K303</f>
        <v xml:space="preserve">                                                             ro data section *_init object radio_config_cw.o,</v>
      </c>
    </row>
    <row r="658" spans="1:1" x14ac:dyDescent="0.25">
      <c r="A658" s="41" t="str">
        <f ca="1">IF(MID(A$132,1,2)="//","//","")&amp;'App DInit'!K304</f>
        <v xml:space="preserve">                                                             ro data section *_init object radio_config_PN9.o,</v>
      </c>
    </row>
    <row r="659" spans="1:1" x14ac:dyDescent="0.25">
      <c r="A659" s="41" t="str">
        <f ca="1">IF(MID(A$132,1,2)="//","//","")&amp;'App DInit'!K305</f>
        <v xml:space="preserve">                                                             ro data section *_init object radio_config_2GFSK_BER.o,</v>
      </c>
    </row>
    <row r="660" spans="1:1" x14ac:dyDescent="0.25">
      <c r="A660" s="41" t="str">
        <f ca="1">IF(MID(A$132,1,2)="//","//","")&amp;'App DInit'!K306</f>
        <v xml:space="preserve">                                                             ro data section *_init object radio_config_4GFSK_BER.o,</v>
      </c>
    </row>
    <row r="661" spans="1:1" x14ac:dyDescent="0.25">
      <c r="A661" s="41" t="str">
        <f ca="1">IF(MID(A$132,1,2)="//","//","")&amp;'App DInit'!K307</f>
        <v xml:space="preserve">                                                             ro data section *_init object radio_TCXO.o };</v>
      </c>
    </row>
    <row r="662" spans="1:1" x14ac:dyDescent="0.25">
      <c r="A662" s="41" t="str">
        <f ca="1">IF(MID(A$133,1,2)="//","//","")&amp;'App DInit'!K308</f>
        <v>//"security_DINIT":   place at address mem: security_DINIT   { ro data section *_init object cert-builder.o,</v>
      </c>
    </row>
    <row r="663" spans="1:1" x14ac:dyDescent="0.25">
      <c r="A663" s="41" t="str">
        <f ca="1">IF(MID(A$133,1,2)="//","//","")&amp;'App DInit'!K309</f>
        <v>//                                                             ro data section *_init object ecc108_apps.o,</v>
      </c>
    </row>
    <row r="664" spans="1:1" x14ac:dyDescent="0.25">
      <c r="A664" s="41" t="str">
        <f ca="1">IF(MID(A$133,1,2)="//","//","")&amp;'App DInit'!K310</f>
        <v>//                                                             ro data section *_init object ecc108_comm.o,</v>
      </c>
    </row>
    <row r="665" spans="1:1" x14ac:dyDescent="0.25">
      <c r="A665" s="41" t="str">
        <f ca="1">IF(MID(A$133,1,2)="//","//","")&amp;'App DInit'!K311</f>
        <v>//                                                             ro data section *_init object ecc108_comm_marshaling.o,</v>
      </c>
    </row>
    <row r="666" spans="1:1" x14ac:dyDescent="0.25">
      <c r="A666" s="41" t="str">
        <f ca="1">IF(MID(A$133,1,2)="//","//","")&amp;'App DInit'!K312</f>
        <v>//                                                             ro data section *_init object ecc108_i2c.o,</v>
      </c>
    </row>
    <row r="667" spans="1:1" x14ac:dyDescent="0.25">
      <c r="A667" s="41" t="str">
        <f ca="1">IF(MID(A$133,1,2)="//","//","")&amp;'App DInit'!K313</f>
        <v>//                                                             ro data section *_init object ecc108_mqx.o };</v>
      </c>
    </row>
    <row r="668" spans="1:1" x14ac:dyDescent="0.25">
      <c r="A668" s="41" t="str">
        <f ca="1">IF(MID(A$134,1,2)="//","//","")&amp;'App DInit'!K314</f>
        <v>"AclaraBSP_DINIT":  place at address mem: AclaraBSP_DINIT  { ro data section *_init object ADC.o,</v>
      </c>
    </row>
    <row r="669" spans="1:1" x14ac:dyDescent="0.25">
      <c r="A669" s="41" t="str">
        <f ca="1">IF(MID(A$134,1,2)="//","//","")&amp;'App DInit'!K315</f>
        <v xml:space="preserve">                                                             ro data section *_init object BSP_aclara.o,</v>
      </c>
    </row>
    <row r="670" spans="1:1" x14ac:dyDescent="0.25">
      <c r="A670" s="41" t="str">
        <f ca="1">IF(MID(A$134,1,2)="//","//","")&amp;'App DInit'!K316</f>
        <v xml:space="preserve">                                                             ro data section *_init object CRC.o,</v>
      </c>
    </row>
    <row r="671" spans="1:1" x14ac:dyDescent="0.25">
      <c r="A671" s="41" t="str">
        <f ca="1">IF(MID(A$134,1,2)="//","//","")&amp;'App DInit'!K317</f>
        <v xml:space="preserve">                                                             ro data section *_init object gpio.o,</v>
      </c>
    </row>
    <row r="672" spans="1:1" x14ac:dyDescent="0.25">
      <c r="A672" s="41" t="str">
        <f ca="1">IF(MID(A$134,1,2)="//","//","")&amp;'App DInit'!K318</f>
        <v xml:space="preserve">                                                             ro data section *_init object LED.o,</v>
      </c>
    </row>
    <row r="673" spans="1:1" x14ac:dyDescent="0.25">
      <c r="A673" s="41" t="str">
        <f ca="1">IF(MID(A$134,1,2)="//","//","")&amp;'App DInit'!K319</f>
        <v xml:space="preserve">                                                             ro data section *_init object radio_hal.o,</v>
      </c>
    </row>
    <row r="674" spans="1:1" x14ac:dyDescent="0.25">
      <c r="A674" s="41" t="str">
        <f ca="1">IF(MID(A$134,1,2)="//","//","")&amp;'App DInit'!K320</f>
        <v xml:space="preserve">                                                             ro data section *_init object rng.o,</v>
      </c>
    </row>
    <row r="675" spans="1:1" x14ac:dyDescent="0.25">
      <c r="A675" s="41" t="str">
        <f ca="1">IF(MID(A$134,1,2)="//","//","")&amp;'App DInit'!K321</f>
        <v xml:space="preserve">                                                             ro data section *_init object RTC.o,</v>
      </c>
    </row>
    <row r="676" spans="1:1" x14ac:dyDescent="0.25">
      <c r="A676" s="41" t="str">
        <f ca="1">IF(MID(A$134,1,2)="//","//","")&amp;'App DInit'!K322</f>
        <v xml:space="preserve">                                                             ro data section *_init object sys_clock.o,</v>
      </c>
    </row>
    <row r="677" spans="1:1" x14ac:dyDescent="0.25">
      <c r="A677" s="41" t="str">
        <f ca="1">IF(MID(A$134,1,2)="//","//","")&amp;'App DInit'!K323</f>
        <v xml:space="preserve">                                                             ro data section *_init object UART.o,</v>
      </c>
    </row>
    <row r="678" spans="1:1" x14ac:dyDescent="0.25">
      <c r="A678" s="41" t="str">
        <f ca="1">IF(MID(A$134,1,2)="//","//","")&amp;'App DInit'!K324</f>
        <v xml:space="preserve">                                                             ro data section *_init object WDOG.o };</v>
      </c>
    </row>
    <row r="679" spans="1:1" x14ac:dyDescent="0.25">
      <c r="A679" s="41" t="str">
        <f ca="1">IF(MID(A$135,1,2)="//","//","")&amp;'App DInit'!K325</f>
        <v>"Common_DINIT":     place at address mem: Common_DINIT     { ro data section *_init object alarm_task.o,</v>
      </c>
    </row>
    <row r="680" spans="1:1" x14ac:dyDescent="0.25">
      <c r="A680" s="41" t="str">
        <f ca="1">IF(MID(A$135,1,2)="//","//","")&amp;'App DInit'!K326</f>
        <v xml:space="preserve">                                                             ro data section *_init object ALRM_Handler.o,</v>
      </c>
    </row>
    <row r="681" spans="1:1" x14ac:dyDescent="0.25">
      <c r="A681" s="41" t="str">
        <f ca="1">IF(MID(A$135,1,2)="//","//","")&amp;'App DInit'!K327</f>
        <v xml:space="preserve">                                                             ro data section *_init object BUF_MemoryBuffers.o,</v>
      </c>
    </row>
    <row r="682" spans="1:1" x14ac:dyDescent="0.25">
      <c r="A682" s="41" t="str">
        <f ca="1">IF(MID(A$135,1,2)="//","//","")&amp;'App DInit'!K328</f>
        <v xml:space="preserve">                                                             ro data section *_init object buffer.o,</v>
      </c>
    </row>
    <row r="683" spans="1:1" x14ac:dyDescent="0.25">
      <c r="A683" s="41" t="str">
        <f ca="1">IF(MID(A$135,1,2)="//","//","")&amp;'App DInit'!K329</f>
        <v xml:space="preserve">                                                             ro data section *_init object DBG_CommandLine.o,</v>
      </c>
    </row>
    <row r="684" spans="1:1" x14ac:dyDescent="0.25">
      <c r="A684" s="41" t="str">
        <f ca="1">IF(MID(A$135,1,2)="//","//","")&amp;'App DInit'!K330</f>
        <v xml:space="preserve">                                                             ro data section *_init object DBG_SerialDebug.o,</v>
      </c>
    </row>
    <row r="685" spans="1:1" x14ac:dyDescent="0.25">
      <c r="A685" s="41" t="str">
        <f ca="1">IF(MID(A$135,1,2)="//","//","")&amp;'App DInit'!K331</f>
        <v xml:space="preserve">                                                             ro data section *_init object eng_res.o,</v>
      </c>
    </row>
    <row r="686" spans="1:1" x14ac:dyDescent="0.25">
      <c r="A686" s="41" t="str">
        <f ca="1">IF(MID(A$135,1,2)="//","//","")&amp;'App DInit'!K332</f>
        <v xml:space="preserve">                                                             ro data section *_init object EVL_event_log.o,</v>
      </c>
    </row>
    <row r="687" spans="1:1" x14ac:dyDescent="0.25">
      <c r="A687" s="41" t="str">
        <f ca="1">IF(MID(A$135,1,2)="//","//","")&amp;'App DInit'!K333</f>
        <v xml:space="preserve">                                                             ro data section *_init object exe_list.o,</v>
      </c>
    </row>
    <row r="688" spans="1:1" x14ac:dyDescent="0.25">
      <c r="A688" s="41" t="str">
        <f ca="1">IF(MID(A$135,1,2)="//","//","")&amp;'App DInit'!K334</f>
        <v xml:space="preserve">                                                             ro data section *_init object file_io.o,</v>
      </c>
    </row>
    <row r="689" spans="1:1" x14ac:dyDescent="0.25">
      <c r="A689" s="41" t="str">
        <f ca="1">IF(MID(A$135,1,2)="//","//","")&amp;'App DInit'!K335</f>
        <v xml:space="preserve">                                                             ro data section *_init object HEEP_util.o,</v>
      </c>
    </row>
    <row r="690" spans="1:1" x14ac:dyDescent="0.25">
      <c r="A690" s="41" t="str">
        <f ca="1">IF(MID(A$135,1,2)="//","//","")&amp;'App DInit'!K336</f>
        <v xml:space="preserve">                                                             ro data section *_init object mem_chk.o,</v>
      </c>
    </row>
    <row r="691" spans="1:1" x14ac:dyDescent="0.25">
      <c r="A691" s="41" t="str">
        <f ca="1">IF(MID(A$135,1,2)="//","//","")&amp;'App DInit'!K337</f>
        <v xml:space="preserve">                                                             ro data section *_init object MFG_Dtls.o,</v>
      </c>
    </row>
    <row r="692" spans="1:1" x14ac:dyDescent="0.25">
      <c r="A692" s="41" t="str">
        <f ca="1">IF(MID(A$135,1,2)="//","//","")&amp;'App DInit'!K338</f>
        <v xml:space="preserve">                                                             ro data section *_init object MFG_Port.o,</v>
      </c>
    </row>
    <row r="693" spans="1:1" x14ac:dyDescent="0.25">
      <c r="A693" s="41" t="str">
        <f ca="1">IF(MID(A$135,1,2)="//","//","")&amp;'App DInit'!K339</f>
        <v xml:space="preserve">                                                             ro data section *_init object MIMT_info.o,</v>
      </c>
    </row>
    <row r="694" spans="1:1" x14ac:dyDescent="0.25">
      <c r="A694" s="41" t="str">
        <f ca="1">IF(MID(A$135,1,2)="//","//","")&amp;'App DInit'!K340</f>
        <v xml:space="preserve">                                                             ro data section *_init object mode_config.o,</v>
      </c>
    </row>
    <row r="695" spans="1:1" x14ac:dyDescent="0.25">
      <c r="A695" s="41" t="str">
        <f ca="1">IF(MID(A$135,1,2)="//","//","")&amp;'App DInit'!K341</f>
        <v xml:space="preserve">                                                             ro data section *_init object object_list.o,</v>
      </c>
    </row>
    <row r="696" spans="1:1" x14ac:dyDescent="0.25">
      <c r="A696" s="41" t="str">
        <f ca="1">IF(MID(A$135,1,2)="//","//","")&amp;'App DInit'!K342</f>
        <v xml:space="preserve">                                                             ro data section *_init object partitions.o,</v>
      </c>
    </row>
    <row r="697" spans="1:1" x14ac:dyDescent="0.25">
      <c r="A697" s="41" t="str">
        <f ca="1">IF(MID(A$135,1,2)="//","//","")&amp;'App DInit'!K343</f>
        <v xml:space="preserve">                                                             ro data section *_init object runTimeInit.o,</v>
      </c>
    </row>
    <row r="698" spans="1:1" x14ac:dyDescent="0.25">
      <c r="A698" s="41" t="str">
        <f ca="1">IF(MID(A$135,1,2)="//","//","")&amp;'App DInit'!K344</f>
        <v xml:space="preserve">                                                             ro data section *_init object SELF_test.o,</v>
      </c>
    </row>
    <row r="699" spans="1:1" x14ac:dyDescent="0.25">
      <c r="A699" s="41" t="str">
        <f ca="1">IF(MID(A$135,1,2)="//","//","")&amp;'App DInit'!K345</f>
        <v xml:space="preserve">                                                             ro data section *_init object stack_check.o,</v>
      </c>
    </row>
    <row r="700" spans="1:1" x14ac:dyDescent="0.25">
      <c r="A700" s="41" t="str">
        <f ca="1">IF(MID(A$135,1,2)="//","//","")&amp;'App DInit'!K346</f>
        <v xml:space="preserve">                                                             ro data section *_init object sys_busy.o,</v>
      </c>
    </row>
    <row r="701" spans="1:1" x14ac:dyDescent="0.25">
      <c r="A701" s="41" t="str">
        <f ca="1">IF(MID(A$135,1,2)="//","//","")&amp;'App DInit'!K347</f>
        <v xml:space="preserve">                                                             ro data section *_init object temperature.o,</v>
      </c>
    </row>
    <row r="702" spans="1:1" x14ac:dyDescent="0.25">
      <c r="A702" s="41" t="str">
        <f ca="1">IF(MID(A$135,1,2)="//","//","")&amp;'App DInit'!K348</f>
        <v xml:space="preserve">                                                             ro data section *_init object time_DST.o,</v>
      </c>
    </row>
    <row r="703" spans="1:1" x14ac:dyDescent="0.25">
      <c r="A703" s="41" t="str">
        <f ca="1">IF(MID(A$135,1,2)="//","//","")&amp;'App DInit'!K349</f>
        <v xml:space="preserve">                                                             ro data section *_init object time_sync.o,</v>
      </c>
    </row>
    <row r="704" spans="1:1" x14ac:dyDescent="0.25">
      <c r="A704" s="41" t="str">
        <f ca="1">IF(MID(A$135,1,2)="//","//","")&amp;'App DInit'!K350</f>
        <v xml:space="preserve">                                                             ro data section *_init object time_sys.o,</v>
      </c>
    </row>
    <row r="705" spans="1:1" x14ac:dyDescent="0.25">
      <c r="A705" s="41" t="str">
        <f ca="1">IF(MID(A$135,1,2)="//","//","")&amp;'App DInit'!K351</f>
        <v xml:space="preserve">                                                             ro data section *_init object virgin_device.o,</v>
      </c>
    </row>
    <row r="706" spans="1:1" x14ac:dyDescent="0.25">
      <c r="A706" s="41" t="str">
        <f ca="1">IF(MID(A$135,1,2)="//","//","")&amp;'App DInit'!K352</f>
        <v xml:space="preserve">                                                             ro data section *_init object FTM0.o,</v>
      </c>
    </row>
    <row r="707" spans="1:1" x14ac:dyDescent="0.25">
      <c r="A707" s="41" t="str">
        <f ca="1">IF(MID(A$135,1,2)="//","//","")&amp;'App DInit'!K353</f>
        <v xml:space="preserve">                                                             ro data section *_init object FTM1.o,</v>
      </c>
    </row>
    <row r="708" spans="1:1" x14ac:dyDescent="0.25">
      <c r="A708" s="41" t="str">
        <f ca="1">IF(MID(A$135,1,2)="//","//","")&amp;'App DInit'!K354</f>
        <v xml:space="preserve">                                                             ro data section *_init object FTM2.o,</v>
      </c>
    </row>
    <row r="709" spans="1:1" x14ac:dyDescent="0.25">
      <c r="A709" s="41" t="str">
        <f ca="1">IF(MID(A$135,1,2)="//","//","")&amp;'App DInit'!K355</f>
        <v xml:space="preserve">                                                             ro data section *_init object FTM3.o };</v>
      </c>
    </row>
    <row r="710" spans="1:1" x14ac:dyDescent="0.25">
      <c r="A710" s="41" t="str">
        <f ca="1">IF(MID(A$136,1,2)="//","//","")&amp;'App DInit'!K356</f>
        <v>//"HMC_DINIT":        place at address mem: HMC_DINIT        { ro data section *_init object hmc_app.o,</v>
      </c>
    </row>
    <row r="711" spans="1:1" x14ac:dyDescent="0.25">
      <c r="A711" s="41" t="str">
        <f ca="1">IF(MID(A$136,1,2)="//","//","")&amp;'App DInit'!K357</f>
        <v>//                                                             ro data section *_init object hmc_demand.o,</v>
      </c>
    </row>
    <row r="712" spans="1:1" x14ac:dyDescent="0.25">
      <c r="A712" s="41" t="str">
        <f ca="1">IF(MID(A$136,1,2)="//","//","")&amp;'App DInit'!K357</f>
        <v>//                                                             ro data section *_init object hmc_demand.o,</v>
      </c>
    </row>
    <row r="713" spans="1:1" x14ac:dyDescent="0.25">
      <c r="A713" s="41" t="str">
        <f ca="1">IF(MID(A$136,1,2)="//","//","")&amp;'App DInit'!K358</f>
        <v>//                                                             ro data section *_init object hmc_diags.o,</v>
      </c>
    </row>
    <row r="714" spans="1:1" x14ac:dyDescent="0.25">
      <c r="A714" s="41" t="str">
        <f ca="1">IF(MID(A$136,1,2)="//","//","")&amp;'App DInit'!K359</f>
        <v>//                                                             ro data section *_init object hmc_ds.o,</v>
      </c>
    </row>
    <row r="715" spans="1:1" x14ac:dyDescent="0.25">
      <c r="A715" s="41" t="str">
        <f ca="1">IF(MID(A$136,1,2)="//","//","")&amp;'App DInit'!K360</f>
        <v>//                                                             ro data section *_init object hmc_eng.o,</v>
      </c>
    </row>
    <row r="716" spans="1:1" x14ac:dyDescent="0.25">
      <c r="A716" s="41" t="str">
        <f ca="1">IF(MID(A$136,1,2)="//","//","")&amp;'App DInit'!K361</f>
        <v>//                                                             ro data section *_init object hmc_finish.o,</v>
      </c>
    </row>
    <row r="717" spans="1:1" x14ac:dyDescent="0.25">
      <c r="A717" s="41" t="str">
        <f ca="1">IF(MID(A$136,1,2)="//","//","")&amp;'App DInit'!K362</f>
        <v>//                                                             ro data section *_init object hmc_msg.o,</v>
      </c>
    </row>
    <row r="718" spans="1:1" x14ac:dyDescent="0.25">
      <c r="A718" s="41" t="str">
        <f ca="1">IF(MID(A$136,1,2)="//","//","")&amp;'App DInit'!K363</f>
        <v>//                                                             ro data section *_init object hmc_mtr_info.o,</v>
      </c>
    </row>
    <row r="719" spans="1:1" x14ac:dyDescent="0.25">
      <c r="A719" s="41" t="str">
        <f ca="1">IF(MID(A$136,1,2)="//","//","")&amp;'App DInit'!K364</f>
        <v>//                                                             ro data section *_init object hmc_mtr_lp.o,</v>
      </c>
    </row>
    <row r="720" spans="1:1" x14ac:dyDescent="0.25">
      <c r="A720" s="41" t="str">
        <f ca="1">IF(MID(A$136,1,2)="//","//","")&amp;'App DInit'!K365</f>
        <v>//                                                             ro data section *_init object hmc_prot.o,</v>
      </c>
    </row>
    <row r="721" spans="1:1" x14ac:dyDescent="0.25">
      <c r="A721" s="41" t="str">
        <f ca="1">IF(MID(A$136,1,2)="//","//","")&amp;'App DInit'!K366</f>
        <v>//                                                             ro data section *_init object hmc_request.o,</v>
      </c>
    </row>
    <row r="722" spans="1:1" x14ac:dyDescent="0.25">
      <c r="A722" s="41" t="str">
        <f ca="1">IF(MID(A$136,1,2)="//","//","")&amp;'App DInit'!K367</f>
        <v>//                                                             ro data section *_init object hmc_seq_id.o,</v>
      </c>
    </row>
    <row r="723" spans="1:1" x14ac:dyDescent="0.25">
      <c r="A723" s="41" t="str">
        <f ca="1">IF(MID(A$136,1,2)="//","//","")&amp;'App DInit'!K368</f>
        <v>//                                                             ro data section *_init object hmc_snapshot.o,</v>
      </c>
    </row>
    <row r="724" spans="1:1" x14ac:dyDescent="0.25">
      <c r="A724" s="41" t="str">
        <f ca="1">IF(MID(A$136,1,2)="//","//","")&amp;'App DInit'!K369</f>
        <v>//                                                             ro data section *_init object hmc_start.o,</v>
      </c>
    </row>
    <row r="725" spans="1:1" x14ac:dyDescent="0.25">
      <c r="A725" s="41" t="str">
        <f ca="1">IF(MID(A$136,1,2)="//","//","")&amp;'App DInit'!K370</f>
        <v>//                                                             ro data section *_init object hmc_sync.o,</v>
      </c>
    </row>
    <row r="726" spans="1:1" x14ac:dyDescent="0.25">
      <c r="A726" s="41" t="str">
        <f ca="1">IF(MID(A$136,1,2)="//","//","")&amp;'App DInit'!K371</f>
        <v>//                                                             ro data section *_init object hmc_time.o,</v>
      </c>
    </row>
    <row r="727" spans="1:1" x14ac:dyDescent="0.25">
      <c r="A727" s="41" t="str">
        <f ca="1">IF(MID(A$136,1,2)="//","//","")&amp;'App DInit'!K372</f>
        <v>//                                                             ro data section *_init object hmc_tsk_lst.o,</v>
      </c>
    </row>
    <row r="728" spans="1:1" x14ac:dyDescent="0.25">
      <c r="A728" s="41" t="str">
        <f ca="1">IF(MID(A$136,1,2)="//","//","")&amp;'App DInit'!K373</f>
        <v>//                                                             ro data section *_init object intf_cim_cmd.o,</v>
      </c>
    </row>
    <row r="729" spans="1:1" x14ac:dyDescent="0.25">
      <c r="A729" s="41" t="str">
        <f ca="1">IF(MID(A$136,1,2)="//","//","")&amp;'App DInit'!K374</f>
        <v>//                                                             ro data section *_init object hmc_prg_mtr.o,</v>
      </c>
    </row>
    <row r="730" spans="1:1" x14ac:dyDescent="0.25">
      <c r="A730" s="41" t="str">
        <f ca="1">IF(MID(A$136,1,2)="//","//","")&amp;'App DInit'!K375</f>
        <v>//                                                             ro data section *_init object hmc_display.o };</v>
      </c>
    </row>
    <row r="731" spans="1:1" x14ac:dyDescent="0.25">
      <c r="A731" s="41" t="str">
        <f ca="1">IF(MID(A$137,1,2)="//","//","")&amp;'App DInit'!K376</f>
        <v>//"AclaraDA_DINIT":   place at address mem: AclaraDA_DINIT   { ro data section *_init object b2b.o,</v>
      </c>
    </row>
    <row r="732" spans="1:1" x14ac:dyDescent="0.25">
      <c r="A732" s="41" t="str">
        <f ca="1">IF(MID(A$137,1,2)="//","//","")&amp;'App DInit'!K377</f>
        <v>//                                                             ro data section *_init object b2b_req_handler.o,</v>
      </c>
    </row>
    <row r="733" spans="1:1" x14ac:dyDescent="0.25">
      <c r="A733" s="41" t="str">
        <f ca="1">IF(MID(A$137,1,2)="//","//","")&amp;'App DInit'!K378</f>
        <v>//                                                             ro data section *_init object b2bMessage.o,</v>
      </c>
    </row>
    <row r="734" spans="1:1" x14ac:dyDescent="0.25">
      <c r="A734" s="41" t="str">
        <f ca="1">IF(MID(A$137,1,2)="//","//","")&amp;'App DInit'!K379</f>
        <v>//                                                             ro data section *_init object da_srfn_reg.o,</v>
      </c>
    </row>
    <row r="735" spans="1:1" x14ac:dyDescent="0.25">
      <c r="A735" s="41" t="str">
        <f ca="1">IF(MID(A$137,1,2)="//","//","")&amp;'App DInit'!K380</f>
        <v>//                                                             ro data section *_init object hdlc_frame.o,</v>
      </c>
    </row>
    <row r="736" spans="1:1" x14ac:dyDescent="0.25">
      <c r="A736" s="41" t="str">
        <f ca="1">IF(MID(A$137,1,2)="//","//","")&amp;'App DInit'!K381</f>
        <v>//                                                             ro data section *_init object host_reset.o,</v>
      </c>
    </row>
    <row r="737" spans="1:1" x14ac:dyDescent="0.25">
      <c r="A737" s="41" t="str">
        <f ca="1">IF(MID(A$137,1,2)="//","//","")&amp;'App DInit'!K382</f>
        <v>//                                                             ro data section *_init object nw_connected.o,</v>
      </c>
    </row>
    <row r="738" spans="1:1" x14ac:dyDescent="0.25">
      <c r="A738" s="41" t="str">
        <f ca="1">IF(MID(A$137,1,2)="//","//","")&amp;'App DInit'!K383</f>
        <v>//                                                             ro data section *_init object TUNNEL_MSG_Handler.o,</v>
      </c>
    </row>
    <row r="739" spans="1:1" x14ac:dyDescent="0.25">
      <c r="A739" s="41" t="str">
        <f ca="1">IF(MID(A$137,1,2)="//","//","")&amp;'App DInit'!K384</f>
        <v>//                                                             ro data section *_init object tunnel_Util.o };</v>
      </c>
    </row>
    <row r="740" spans="1:1" x14ac:dyDescent="0.25">
      <c r="A740" s="41" t="str">
        <f ca="1">IF(MID(A$138,1,2)="//","//","")&amp;'App DInit'!K385</f>
        <v>"MTU_Common_DINIT": place at address mem: MTU_Common_DINIT { ro data section *_init object APP_MSG_Handler.o,</v>
      </c>
    </row>
    <row r="741" spans="1:1" x14ac:dyDescent="0.25">
      <c r="A741" s="41" t="str">
        <f ca="1">IF(MID(A$138,1,2)="//","//","")&amp;'App DInit'!K386</f>
        <v xml:space="preserve">                                                             ro data section *_init object demand.o,</v>
      </c>
    </row>
    <row r="742" spans="1:1" x14ac:dyDescent="0.25">
      <c r="A742" s="41" t="str">
        <f ca="1">IF(MID(A$138,1,2)="//","//","")&amp;'App DInit'!K387</f>
        <v xml:space="preserve">                                                             ro data section *_init object ed_config.o,</v>
      </c>
    </row>
    <row r="743" spans="1:1" x14ac:dyDescent="0.25">
      <c r="A743" s="41" t="str">
        <f ca="1">IF(MID(A$138,1,2)="//","//","")&amp;'App DInit'!K388</f>
        <v xml:space="preserve">                                                             ro data section *_init object endpt_cim_cmd.o,</v>
      </c>
    </row>
    <row r="744" spans="1:1" x14ac:dyDescent="0.25">
      <c r="A744" s="41" t="str">
        <f ca="1">IF(MID(A$138,1,2)="//","//","")&amp;'App DInit'!K389</f>
        <v xml:space="preserve">                                                             ro data section *_init object historyd.o,</v>
      </c>
    </row>
    <row r="745" spans="1:1" x14ac:dyDescent="0.25">
      <c r="A745" s="41" t="str">
        <f ca="1">IF(MID(A$138,1,2)="//","//","")&amp;'App DInit'!K390</f>
        <v xml:space="preserve">                                                             ro data section *_init object ID_intervalTask.o,</v>
      </c>
    </row>
    <row r="746" spans="1:1" x14ac:dyDescent="0.25">
      <c r="A746" s="41" t="str">
        <f ca="1">IF(MID(A$138,1,2)="//","//","")&amp;'App DInit'!K391</f>
        <v xml:space="preserve">                                                             ro data section *_init object IDL_IdleProcess.o,</v>
      </c>
    </row>
    <row r="747" spans="1:1" x14ac:dyDescent="0.25">
      <c r="A747" s="41" t="str">
        <f ca="1">IF(MID(A$138,1,2)="//","//","")&amp;'App DInit'!K392</f>
        <v xml:space="preserve">                                                             ro data section *_init object OR_MR_Handler.o,</v>
      </c>
    </row>
    <row r="748" spans="1:1" x14ac:dyDescent="0.25">
      <c r="A748" s="41" t="str">
        <f ca="1">IF(MID(A$138,1,2)="//","//","")&amp;'App DInit'!K393</f>
        <v xml:space="preserve">                                                             ro data section *_init object pwr_config.o,</v>
      </c>
    </row>
    <row r="749" spans="1:1" x14ac:dyDescent="0.25">
      <c r="A749" s="41" t="str">
        <f ca="1">IF(MID(A$138,1,2)="//","//","")&amp;'App DInit'!K394</f>
        <v xml:space="preserve">                                                             ro data section *_init object pwr_last_gasp.o,</v>
      </c>
    </row>
    <row r="750" spans="1:1" x14ac:dyDescent="0.25">
      <c r="A750" s="41" t="str">
        <f ca="1">IF(MID(A$138,1,2)="//","//","")&amp;'App DInit'!K395</f>
        <v xml:space="preserve">                                                             ro data section *_init object pwr_restore.o,</v>
      </c>
    </row>
    <row r="751" spans="1:1" x14ac:dyDescent="0.25">
      <c r="A751" s="41" t="str">
        <f ca="1">IF(MID(A$138,1,2)="//","//","")&amp;'App DInit'!K396</f>
        <v xml:space="preserve">                                                             ro data section *_init object pwr_task.o,</v>
      </c>
    </row>
    <row r="752" spans="1:1" x14ac:dyDescent="0.25">
      <c r="A752" s="41" t="str">
        <f ca="1">IF(MID(A$138,1,2)="//","//","")&amp;'App DInit'!K397</f>
        <v xml:space="preserve">                                                             ro data section *_init object RG_CF_Handler.o,</v>
      </c>
    </row>
    <row r="753" spans="1:1" x14ac:dyDescent="0.25">
      <c r="A753" s="41" t="str">
        <f ca="1">IF(MID(A$138,1,2)="//","//","")&amp;'App DInit'!K398</f>
        <v xml:space="preserve">                                                             ro data section *_init object RG_MD_Handler.o,</v>
      </c>
    </row>
    <row r="754" spans="1:1" x14ac:dyDescent="0.25">
      <c r="A754" s="41" t="str">
        <f ca="1">IF(MID(A$138,1,2)="//","//","")&amp;'App DInit'!K399</f>
        <v xml:space="preserve">                                                             ro data section *_init object STRT_Startup.o,</v>
      </c>
    </row>
    <row r="755" spans="1:1" x14ac:dyDescent="0.25">
      <c r="A755" s="41" t="str">
        <f ca="1">IF(MID(A$138,1,2)="//","//","")&amp;'App DInit'!K400</f>
        <v xml:space="preserve">                                                             ro data section *_init object Task.o,</v>
      </c>
    </row>
    <row r="756" spans="1:1" x14ac:dyDescent="0.25">
      <c r="A756" s="41" t="str">
        <f ca="1">IF(MID(A$138,1,2)="//","//","")&amp;'App DInit'!K401</f>
        <v xml:space="preserve">                                                             ro data section *_init object vbat_reg.o,</v>
      </c>
    </row>
    <row r="757" spans="1:1" x14ac:dyDescent="0.25">
      <c r="A757" s="41" t="str">
        <f ca="1">IF(MID(A$138,1,2)="//","//","")&amp;'App DInit'!K402</f>
        <v xml:space="preserve">                                                             ro data section *_init object version.o };</v>
      </c>
    </row>
    <row r="758" spans="1:1" x14ac:dyDescent="0.25">
      <c r="A758" s="41"/>
    </row>
    <row r="759" spans="1:1" x14ac:dyDescent="0.25">
      <c r="A759" s="41" t="str">
        <f ca="1">IF(MID(A$142,1,2)="//","//","")&amp;'App Init'!K241</f>
        <v>"utils_INIT":      place at address mem: utils_INIT      { rw data section .data object ascii.o,</v>
      </c>
    </row>
    <row r="760" spans="1:1" x14ac:dyDescent="0.25">
      <c r="A760" s="41" t="str">
        <f ca="1">IF(MID(A$142,1,2)="//","//","")&amp;'App Init'!K242</f>
        <v xml:space="preserve">                                                           rw data section .data object bcd.o,</v>
      </c>
    </row>
    <row r="761" spans="1:1" x14ac:dyDescent="0.25">
      <c r="A761" s="41" t="str">
        <f ca="1">IF(MID(A$142,1,2)="//","//","")&amp;'App Init'!K243</f>
        <v xml:space="preserve">                                                           rw data section .data object bit_util.o,</v>
      </c>
    </row>
    <row r="762" spans="1:1" x14ac:dyDescent="0.25">
      <c r="A762" s="41" t="str">
        <f ca="1">IF(MID(A$142,1,2)="//","//","")&amp;'App Init'!K244</f>
        <v xml:space="preserve">                                                           rw data section .data object byteswap.o,</v>
      </c>
    </row>
    <row r="763" spans="1:1" x14ac:dyDescent="0.25">
      <c r="A763" s="41" t="str">
        <f ca="1">IF(MID(A$142,1,2)="//","//","")&amp;'App Init'!K245</f>
        <v xml:space="preserve">                                                           rw data section .data object crc16_m.o,</v>
      </c>
    </row>
    <row r="764" spans="1:1" x14ac:dyDescent="0.25">
      <c r="A764" s="41" t="str">
        <f ca="1">IF(MID(A$142,1,2)="//","//","")&amp;'App Init'!K246</f>
        <v xml:space="preserve">                                                           rw data section .data object crc32.o,</v>
      </c>
    </row>
    <row r="765" spans="1:1" x14ac:dyDescent="0.25">
      <c r="A765" s="41" t="str">
        <f ca="1">IF(MID(A$142,1,2)="//","//","")&amp;'App Init'!K247</f>
        <v xml:space="preserve">                                                           rw data section .data object invert_bits.o,</v>
      </c>
    </row>
    <row r="766" spans="1:1" x14ac:dyDescent="0.25">
      <c r="A766" s="41" t="str">
        <f ca="1">IF(MID(A$142,1,2)="//","//","")&amp;'App Init'!K248</f>
        <v xml:space="preserve">                                                           rw data section .data object pack.o,</v>
      </c>
    </row>
    <row r="767" spans="1:1" x14ac:dyDescent="0.25">
      <c r="A767" s="41" t="str">
        <f ca="1">IF(MID(A$142,1,2)="//","//","")&amp;'App Init'!K249</f>
        <v xml:space="preserve">                                                           rw data section .data object rand.o,</v>
      </c>
    </row>
    <row r="768" spans="1:1" x14ac:dyDescent="0.25">
      <c r="A768" s="41" t="str">
        <f ca="1">IF(MID(A$142,1,2)="//","//","")&amp;'App Init'!K250</f>
        <v xml:space="preserve">                                                           rw data section .data object time_util.o,</v>
      </c>
    </row>
    <row r="769" spans="1:1" x14ac:dyDescent="0.25">
      <c r="A769" s="41" t="str">
        <f ca="1">IF(MID(A$142,1,2)="//","//","")&amp;'App Init'!K251</f>
        <v xml:space="preserve">                                                           rw data section .data object timer_util.o };</v>
      </c>
    </row>
    <row r="770" spans="1:1" x14ac:dyDescent="0.25">
      <c r="A770" s="41" t="str">
        <f ca="1">IF(MID(A$143,1,2)="//","//","")&amp;'App Init'!K252</f>
        <v>"dfw_INIT":        place at address mem: dfw_INIT        { rw data section .data object dfw_app.o,</v>
      </c>
    </row>
    <row r="771" spans="1:1" x14ac:dyDescent="0.25">
      <c r="A771" s="41" t="str">
        <f ca="1">IF(MID(A$143,1,2)="//","//","")&amp;'App Init'!K253</f>
        <v xml:space="preserve">                                                           rw data section .data object dfw_interface.o,</v>
      </c>
    </row>
    <row r="772" spans="1:1" x14ac:dyDescent="0.25">
      <c r="A772" s="41" t="str">
        <f ca="1">IF(MID(A$143,1,2)="//","//","")&amp;'App Init'!K254</f>
        <v xml:space="preserve">                                                           rw data section .data object dfw_pckt.o,</v>
      </c>
    </row>
    <row r="773" spans="1:1" x14ac:dyDescent="0.25">
      <c r="A773" s="41" t="str">
        <f ca="1">IF(MID(A$143,1,2)="//","//","")&amp;'App Init'!K255</f>
        <v xml:space="preserve">                                                           rw data section .data object dfwtd_config.o };</v>
      </c>
    </row>
    <row r="774" spans="1:1" x14ac:dyDescent="0.25">
      <c r="A774" s="41" t="str">
        <f ca="1">IF(MID(A$144,1,2)="//","//","")&amp;'App Init'!K256</f>
        <v>"driver_INIT":     place at address mem: driver_INIT     { rw data section .data object dvr_banked.o,</v>
      </c>
    </row>
    <row r="775" spans="1:1" x14ac:dyDescent="0.25">
      <c r="A775" s="41" t="str">
        <f ca="1">IF(MID(A$144,1,2)="//","//","")&amp;'App Init'!K257</f>
        <v xml:space="preserve">                                                           rw data section .data object dvr_cache.o,</v>
      </c>
    </row>
    <row r="776" spans="1:1" x14ac:dyDescent="0.25">
      <c r="A776" s="41" t="str">
        <f ca="1">IF(MID(A$144,1,2)="//","//","")&amp;'App Init'!K258</f>
        <v xml:space="preserve">                                                           rw data section .data object dvr_extflash.o,</v>
      </c>
    </row>
    <row r="777" spans="1:1" x14ac:dyDescent="0.25">
      <c r="A777" s="41" t="str">
        <f ca="1">IF(MID(A$144,1,2)="//","//","")&amp;'App Init'!K259</f>
        <v xml:space="preserve">                                                           rw data section .data object dvr_sectPreErase.o,</v>
      </c>
    </row>
    <row r="778" spans="1:1" x14ac:dyDescent="0.25">
      <c r="A778" s="41" t="str">
        <f ca="1">IF(MID(A$144,1,2)="//","//","")&amp;'App Init'!K260</f>
        <v xml:space="preserve">                                                           rw data section .data object dvr_sharedMem.o,</v>
      </c>
    </row>
    <row r="779" spans="1:1" x14ac:dyDescent="0.25">
      <c r="A779" s="41" t="str">
        <f ca="1">IF(MID(A$144,1,2)="//","//","")&amp;'App Init'!K261</f>
        <v xml:space="preserve">                                                           rw data section .data object IF_intFlash.o,</v>
      </c>
    </row>
    <row r="780" spans="1:1" x14ac:dyDescent="0.25">
      <c r="A780" s="41" t="str">
        <f ca="1">IF(MID(A$144,1,2)="//","//","")&amp;'App Init'!K262</f>
        <v xml:space="preserve">                                                           rw data section .data object spi_mstr.o };</v>
      </c>
    </row>
    <row r="781" spans="1:1" x14ac:dyDescent="0.25">
      <c r="A781" s="41" t="str">
        <f ca="1">IF(MID(A$145,1,2)="//","//","")&amp;'App Init'!K263</f>
        <v>"stack_INIT":      place at address mem: stack_INIT      { rw data section .data object COMM.o,</v>
      </c>
    </row>
    <row r="782" spans="1:1" x14ac:dyDescent="0.25">
      <c r="A782" s="41" t="str">
        <f ca="1">IF(MID(A$145,1,2)="//","//","")&amp;'App Init'!K264</f>
        <v xml:space="preserve">                                                           rw data section .data object SM.o,</v>
      </c>
    </row>
    <row r="783" spans="1:1" x14ac:dyDescent="0.25">
      <c r="A783" s="41" t="str">
        <f ca="1">IF(MID(A$145,1,2)="//","//","")&amp;'App Init'!K265</f>
        <v xml:space="preserve">                                                           rw data section .data object smtd_config.o,</v>
      </c>
    </row>
    <row r="784" spans="1:1" x14ac:dyDescent="0.25">
      <c r="A784" s="41" t="str">
        <f ca="1">IF(MID(A$145,1,2)="//","//","")&amp;'App Init'!K266</f>
        <v xml:space="preserve">                                                           rw data section .data object dtls.o,</v>
      </c>
    </row>
    <row r="785" spans="1:1" x14ac:dyDescent="0.25">
      <c r="A785" s="41" t="str">
        <f ca="1">IF(MID(A$145,1,2)="//","//","")&amp;'App Init'!K267</f>
        <v xml:space="preserve">                                                           rw data section .data object mtls.o,</v>
      </c>
    </row>
    <row r="786" spans="1:1" x14ac:dyDescent="0.25">
      <c r="A786" s="41" t="str">
        <f ca="1">IF(MID(A$145,1,2)="//","//","")&amp;'App Init'!K268</f>
        <v xml:space="preserve">                                                           rw data section .data object STACK.o,</v>
      </c>
    </row>
    <row r="787" spans="1:1" x14ac:dyDescent="0.25">
      <c r="A787" s="41" t="str">
        <f ca="1">IF(MID(A$145,1,2)="//","//","")&amp;'App Init'!K269</f>
        <v xml:space="preserve">                                                           rw data section .data object MAC.o,</v>
      </c>
    </row>
    <row r="788" spans="1:1" x14ac:dyDescent="0.25">
      <c r="A788" s="41" t="str">
        <f ca="1">IF(MID(A$145,1,2)="//","//","")&amp;'App Init'!K270</f>
        <v xml:space="preserve">                                                           rw data section .data object MAC_FrameEncoder.o,</v>
      </c>
    </row>
    <row r="789" spans="1:1" x14ac:dyDescent="0.25">
      <c r="A789" s="41" t="str">
        <f ca="1">IF(MID(A$145,1,2)="//","//","")&amp;'App Init'!K271</f>
        <v xml:space="preserve">                                                           rw data section .data object MAC_FrameManagement.o,</v>
      </c>
    </row>
    <row r="790" spans="1:1" x14ac:dyDescent="0.25">
      <c r="A790" s="41" t="str">
        <f ca="1">IF(MID(A$145,1,2)="//","//","")&amp;'App Init'!K272</f>
        <v xml:space="preserve">                                                           rw data section .data object MAC_PacketManagement.o,</v>
      </c>
    </row>
    <row r="791" spans="1:1" x14ac:dyDescent="0.25">
      <c r="A791" s="41" t="str">
        <f ca="1">IF(MID(A$145,1,2)="//","//","")&amp;'App Init'!K273</f>
        <v xml:space="preserve">                                                           rw data section .data object PHY.o,</v>
      </c>
    </row>
    <row r="792" spans="1:1" x14ac:dyDescent="0.25">
      <c r="A792" s="41" t="str">
        <f ca="1">IF(MID(A$145,1,2)="//","//","")&amp;'App Init'!K274</f>
        <v xml:space="preserve">                                                           rw data section .data object EstimateCarrierFrequencyOffset.o,</v>
      </c>
    </row>
    <row r="793" spans="1:1" x14ac:dyDescent="0.25">
      <c r="A793" s="41" t="str">
        <f ca="1">IF(MID(A$145,1,2)="//","//","")&amp;'App Init'!K275</f>
        <v xml:space="preserve">                                                           rw data section .data object MaximizeEyeOpening.o,</v>
      </c>
    </row>
    <row r="794" spans="1:1" x14ac:dyDescent="0.25">
      <c r="A794" s="41" t="str">
        <f ca="1">IF(MID(A$145,1,2)="//","//","")&amp;'App Init'!K276</f>
        <v xml:space="preserve">                                                           rw data section .data object PerformCFOCompensation.o,</v>
      </c>
    </row>
    <row r="795" spans="1:1" x14ac:dyDescent="0.25">
      <c r="A795" s="41" t="str">
        <f ca="1">IF(MID(A$145,1,2)="//","//","")&amp;'App Init'!K277</f>
        <v xml:space="preserve">                                                           rw data section .data object preamble_detect.o,</v>
      </c>
    </row>
    <row r="796" spans="1:1" x14ac:dyDescent="0.25">
      <c r="A796" s="41" t="str">
        <f ca="1">IF(MID(A$145,1,2)="//","//","")&amp;'App Init'!K278</f>
        <v xml:space="preserve">                                                           rw data section .data object preambleDetector.o,</v>
      </c>
    </row>
    <row r="797" spans="1:1" x14ac:dyDescent="0.25">
      <c r="A797" s="41" t="str">
        <f ca="1">IF(MID(A$145,1,2)="//","//","")&amp;'App Init'!K279</f>
        <v xml:space="preserve">                                                           rw data section .data object preambleDetector_Data.o,</v>
      </c>
    </row>
    <row r="798" spans="1:1" x14ac:dyDescent="0.25">
      <c r="A798" s="41" t="str">
        <f ca="1">IF(MID(A$145,1,2)="//","//","")&amp;'App Init'!K280</f>
        <v xml:space="preserve">                                                           rw data section .data object preambleDetector_initialize.o,</v>
      </c>
    </row>
    <row r="799" spans="1:1" x14ac:dyDescent="0.25">
      <c r="A799" s="41" t="str">
        <f ca="1">IF(MID(A$145,1,2)="//","//","")&amp;'App Init'!K281</f>
        <v xml:space="preserve">                                                           rw data section .data object processDerotatedSamples.o,</v>
      </c>
    </row>
    <row r="800" spans="1:1" x14ac:dyDescent="0.25">
      <c r="A800" s="41" t="str">
        <f ca="1">IF(MID(A$145,1,2)="//","//","")&amp;'App Init'!K282</f>
        <v xml:space="preserve">                                                           rw data section .data object ScaleClipFreq2phase.o,</v>
      </c>
    </row>
    <row r="801" spans="1:1" x14ac:dyDescent="0.25">
      <c r="A801" s="41" t="str">
        <f ca="1">IF(MID(A$145,1,2)="//","//","")&amp;'App Init'!K283</f>
        <v xml:space="preserve">                                                           rw data section .data object sign.o,</v>
      </c>
    </row>
    <row r="802" spans="1:1" x14ac:dyDescent="0.25">
      <c r="A802" s="41" t="str">
        <f ca="1">IF(MID(A$145,1,2)="//","//","")&amp;'App Init'!K284</f>
        <v xml:space="preserve">                                                           rw data section .data object fir_filt_circ_buff.o,</v>
      </c>
    </row>
    <row r="803" spans="1:1" x14ac:dyDescent="0.25">
      <c r="A803" s="41" t="str">
        <f ca="1">IF(MID(A$145,1,2)="//","//","")&amp;'App Init'!K285</f>
        <v xml:space="preserve">                                                           rw data section .data object gresample.o,</v>
      </c>
    </row>
    <row r="804" spans="1:1" x14ac:dyDescent="0.25">
      <c r="A804" s="41" t="str">
        <f ca="1">IF(MID(A$145,1,2)="//","//","")&amp;'App Init'!K286</f>
        <v xml:space="preserve">                                                           rw data section .data object phase2freq_wi_unwrap.o,</v>
      </c>
    </row>
    <row r="805" spans="1:1" x14ac:dyDescent="0.25">
      <c r="A805" s="41" t="str">
        <f ca="1">IF(MID(A$145,1,2)="//","//","")&amp;'App Init'!K287</f>
        <v xml:space="preserve">                                                           rw data section .data object findSYNC.o,</v>
      </c>
    </row>
    <row r="806" spans="1:1" x14ac:dyDescent="0.25">
      <c r="A806" s="41" t="str">
        <f ca="1">IF(MID(A$145,1,2)="//","//","")&amp;'App Init'!K288</f>
        <v xml:space="preserve">                                                           rw data section .data object FreqDomMlseP4GfskStruct2.o,</v>
      </c>
    </row>
    <row r="807" spans="1:1" x14ac:dyDescent="0.25">
      <c r="A807" s="41" t="str">
        <f ca="1">IF(MID(A$145,1,2)="//","//","")&amp;'App Init'!K289</f>
        <v xml:space="preserve">                                                           rw data section .data object processDerotatedSPDSamples.o,</v>
      </c>
    </row>
    <row r="808" spans="1:1" x14ac:dyDescent="0.25">
      <c r="A808" s="41" t="str">
        <f ca="1">IF(MID(A$145,1,2)="//","//","")&amp;'App Init'!K290</f>
        <v xml:space="preserve">                                                           rw data section .data object SyncAndPayloadDemodulator.o,</v>
      </c>
    </row>
    <row r="809" spans="1:1" x14ac:dyDescent="0.25">
      <c r="A809" s="41" t="str">
        <f ca="1">IF(MID(A$145,1,2)="//","//","")&amp;'App Init'!K291</f>
        <v xml:space="preserve">                                                           rw data section .data object SoftDemodulator.o,</v>
      </c>
    </row>
    <row r="810" spans="1:1" x14ac:dyDescent="0.25">
      <c r="A810" s="41" t="str">
        <f ca="1">IF(MID(A$145,1,2)="//","//","")&amp;'App Init'!K292</f>
        <v xml:space="preserve">                                                           rw data section .data object rs.o,</v>
      </c>
    </row>
    <row r="811" spans="1:1" x14ac:dyDescent="0.25">
      <c r="A811" s="41" t="str">
        <f ca="1">IF(MID(A$145,1,2)="//","//","")&amp;'App Init'!K293</f>
        <v xml:space="preserve">                                                           rw data section .data object galois.o,</v>
      </c>
    </row>
    <row r="812" spans="1:1" x14ac:dyDescent="0.25">
      <c r="A812" s="41" t="str">
        <f ca="1">IF(MID(A$145,1,2)="//","//","")&amp;'App Init'!K294</f>
        <v xml:space="preserve">                                                           rw data section .data object rsdec.o,</v>
      </c>
    </row>
    <row r="813" spans="1:1" x14ac:dyDescent="0.25">
      <c r="A813" s="41" t="str">
        <f ca="1">IF(MID(A$145,1,2)="//","//","")&amp;'App Init'!K295</f>
        <v xml:space="preserve">                                                           rw data section .data object rsenc.o,</v>
      </c>
    </row>
    <row r="814" spans="1:1" x14ac:dyDescent="0.25">
      <c r="A814" s="41" t="str">
        <f ca="1">IF(MID(A$145,1,2)="//","//","")&amp;'App Init'!K296</f>
        <v xml:space="preserve">                                                           rw data section .data object indication.o };</v>
      </c>
    </row>
    <row r="815" spans="1:1" x14ac:dyDescent="0.25">
      <c r="A815" s="41" t="str">
        <f ca="1">IF(MID(A$146,1,2)="//","//","")&amp;'App Init'!K297</f>
        <v>//"OS_API_INIT":     place at address mem: OS_API_INIT     { rw data section .data object Event.o,</v>
      </c>
    </row>
    <row r="816" spans="1:1" x14ac:dyDescent="0.25">
      <c r="A816" s="41" t="str">
        <f ca="1">IF(MID(A$146,1,2)="//","//","")&amp;'App Init'!K298</f>
        <v>//                                                           rw data section .data object MessageQ.o,</v>
      </c>
    </row>
    <row r="817" spans="1:1" x14ac:dyDescent="0.25">
      <c r="A817" s="41" t="str">
        <f ca="1">IF(MID(A$146,1,2)="//","//","")&amp;'App Init'!K299</f>
        <v>//                                                           rw data section .data object Mutex.o,</v>
      </c>
    </row>
    <row r="818" spans="1:1" x14ac:dyDescent="0.25">
      <c r="A818" s="41" t="str">
        <f ca="1">IF(MID(A$146,1,2)="//","//","")&amp;'App Init'!K300</f>
        <v>//                                                           rw data section .data object Queue.o,</v>
      </c>
    </row>
    <row r="819" spans="1:1" x14ac:dyDescent="0.25">
      <c r="A819" s="41" t="str">
        <f ca="1">IF(MID(A$146,1,2)="//","//","")&amp;'App Init'!K301</f>
        <v>//                                                           rw data section .data object Semaphore.o,</v>
      </c>
    </row>
    <row r="820" spans="1:1" x14ac:dyDescent="0.25">
      <c r="A820" s="41" t="str">
        <f ca="1">IF(MID(A$146,1,2)="//","//","")&amp;'App Init'!K302</f>
        <v>//                                                           rw data section .data object TickTime.o };</v>
      </c>
    </row>
    <row r="821" spans="1:1" x14ac:dyDescent="0.25">
      <c r="A821" s="41" t="str">
        <f ca="1">IF(MID(A$147,1,2)="//","//","")&amp;'App Init'!K303</f>
        <v>"radio_INIT":      place at address mem: radio_INIT      { rw data section .data object radio.o,</v>
      </c>
    </row>
    <row r="822" spans="1:1" x14ac:dyDescent="0.25">
      <c r="A822" s="41" t="str">
        <f ca="1">IF(MID(A$147,1,2)="//","//","")&amp;'App Init'!K304</f>
        <v xml:space="preserve">                                                           rw data section .data object radio_comm.o,</v>
      </c>
    </row>
    <row r="823" spans="1:1" x14ac:dyDescent="0.25">
      <c r="A823" s="41" t="str">
        <f ca="1">IF(MID(A$147,1,2)="//","//","")&amp;'App Init'!K305</f>
        <v xml:space="preserve">                                                           rw data section .data object si446x_api_lib.o,</v>
      </c>
    </row>
    <row r="824" spans="1:1" x14ac:dyDescent="0.25">
      <c r="A824" s="41" t="str">
        <f ca="1">IF(MID(A$147,1,2)="//","//","")&amp;'App Init'!K306</f>
        <v xml:space="preserve">                                                           rw data section .data object radio_config_normal.o,</v>
      </c>
    </row>
    <row r="825" spans="1:1" x14ac:dyDescent="0.25">
      <c r="A825" s="41" t="str">
        <f ca="1">IF(MID(A$147,1,2)="//","//","")&amp;'App Init'!K307</f>
        <v xml:space="preserve">                                                           rw data section .data object radio_config_cw.o,</v>
      </c>
    </row>
    <row r="826" spans="1:1" x14ac:dyDescent="0.25">
      <c r="A826" s="41" t="str">
        <f ca="1">IF(MID(A$147,1,2)="//","//","")&amp;'App Init'!K308</f>
        <v xml:space="preserve">                                                           rw data section .data object radio_config_PN9.o,</v>
      </c>
    </row>
    <row r="827" spans="1:1" x14ac:dyDescent="0.25">
      <c r="A827" s="41" t="str">
        <f ca="1">IF(MID(A$147,1,2)="//","//","")&amp;'App Init'!K309</f>
        <v xml:space="preserve">                                                           rw data section .data object radio_config_2GFSK_BER.o,</v>
      </c>
    </row>
    <row r="828" spans="1:1" x14ac:dyDescent="0.25">
      <c r="A828" s="41" t="str">
        <f ca="1">IF(MID(A$147,1,2)="//","//","")&amp;'App Init'!K310</f>
        <v xml:space="preserve">                                                           rw data section .data object radio_config_4GFSK_BER.o,</v>
      </c>
    </row>
    <row r="829" spans="1:1" x14ac:dyDescent="0.25">
      <c r="A829" s="41" t="str">
        <f ca="1">IF(MID(A$147,1,2)="//","//","")&amp;'App Init'!K311</f>
        <v xml:space="preserve">                                                           rw data section .data object radio_TCXO.o };</v>
      </c>
    </row>
    <row r="830" spans="1:1" x14ac:dyDescent="0.25">
      <c r="A830" s="41" t="str">
        <f ca="1">IF(MID(A$148,1,2)="//","//","")&amp;'App Init'!K312</f>
        <v>//"security_INIT":   place at address mem: security_INIT   { rw data section .data object cert-builder.o,</v>
      </c>
    </row>
    <row r="831" spans="1:1" x14ac:dyDescent="0.25">
      <c r="A831" s="41" t="str">
        <f ca="1">IF(MID(A$148,1,2)="//","//","")&amp;'App Init'!K313</f>
        <v>//                                                           rw data section .data object ecc108_apps.o,</v>
      </c>
    </row>
    <row r="832" spans="1:1" x14ac:dyDescent="0.25">
      <c r="A832" s="41" t="str">
        <f ca="1">IF(MID(A$148,1,2)="//","//","")&amp;'App Init'!K314</f>
        <v>//                                                           rw data section .data object ecc108_comm.o,</v>
      </c>
    </row>
    <row r="833" spans="1:1" x14ac:dyDescent="0.25">
      <c r="A833" s="41" t="str">
        <f ca="1">IF(MID(A$148,1,2)="//","//","")&amp;'App Init'!K315</f>
        <v>//                                                           rw data section .data object ecc108_comm_marshaling.o,</v>
      </c>
    </row>
    <row r="834" spans="1:1" x14ac:dyDescent="0.25">
      <c r="A834" s="41" t="str">
        <f ca="1">IF(MID(A$148,1,2)="//","//","")&amp;'App Init'!K316</f>
        <v>//                                                           rw data section .data object ecc108_i2c.o,</v>
      </c>
    </row>
    <row r="835" spans="1:1" x14ac:dyDescent="0.25">
      <c r="A835" s="41" t="str">
        <f ca="1">IF(MID(A$148,1,2)="//","//","")&amp;'App Init'!K317</f>
        <v>//                                                           rw data section .data object ecc108_mqx.o };</v>
      </c>
    </row>
    <row r="836" spans="1:1" x14ac:dyDescent="0.25">
      <c r="A836" s="41" t="str">
        <f ca="1">IF(MID(A$149,1,2)="//","//","")&amp;'App Init'!K318</f>
        <v>"AclaraBSP_INIT":  place at address mem: AclaraBSP_INIT  { rw data section .data object ADC.o,</v>
      </c>
    </row>
    <row r="837" spans="1:1" x14ac:dyDescent="0.25">
      <c r="A837" s="41" t="str">
        <f ca="1">IF(MID(A$149,1,2)="//","//","")&amp;'App Init'!K319</f>
        <v xml:space="preserve">                                                           rw data section .data object BSP_aclara.o,</v>
      </c>
    </row>
    <row r="838" spans="1:1" x14ac:dyDescent="0.25">
      <c r="A838" s="41" t="str">
        <f ca="1">IF(MID(A$149,1,2)="//","//","")&amp;'App Init'!K320</f>
        <v xml:space="preserve">                                                           rw data section .data object CRC.o,</v>
      </c>
    </row>
    <row r="839" spans="1:1" x14ac:dyDescent="0.25">
      <c r="A839" s="41" t="str">
        <f ca="1">IF(MID(A$149,1,2)="//","//","")&amp;'App Init'!K321</f>
        <v xml:space="preserve">                                                           rw data section .data object gpio.o,</v>
      </c>
    </row>
    <row r="840" spans="1:1" x14ac:dyDescent="0.25">
      <c r="A840" s="41" t="str">
        <f ca="1">IF(MID(A$149,1,2)="//","//","")&amp;'App Init'!K322</f>
        <v xml:space="preserve">                                                           rw data section .data object LED.o,</v>
      </c>
    </row>
    <row r="841" spans="1:1" x14ac:dyDescent="0.25">
      <c r="A841" s="41" t="str">
        <f ca="1">IF(MID(A$149,1,2)="//","//","")&amp;'App Init'!K323</f>
        <v xml:space="preserve">                                                           rw data section .data object radio_hal.o,</v>
      </c>
    </row>
    <row r="842" spans="1:1" x14ac:dyDescent="0.25">
      <c r="A842" s="41" t="str">
        <f ca="1">IF(MID(A$149,1,2)="//","//","")&amp;'App Init'!K324</f>
        <v xml:space="preserve">                                                           rw data section .data object rng.o,</v>
      </c>
    </row>
    <row r="843" spans="1:1" x14ac:dyDescent="0.25">
      <c r="A843" s="41" t="str">
        <f ca="1">IF(MID(A$149,1,2)="//","//","")&amp;'App Init'!K325</f>
        <v xml:space="preserve">                                                           rw data section .data object RTC.o,</v>
      </c>
    </row>
    <row r="844" spans="1:1" x14ac:dyDescent="0.25">
      <c r="A844" s="41" t="str">
        <f ca="1">IF(MID(A$149,1,2)="//","//","")&amp;'App Init'!K326</f>
        <v xml:space="preserve">                                                           rw data section .data object sys_clock.o,</v>
      </c>
    </row>
    <row r="845" spans="1:1" x14ac:dyDescent="0.25">
      <c r="A845" s="41" t="str">
        <f ca="1">IF(MID(A$149,1,2)="//","//","")&amp;'App Init'!K327</f>
        <v xml:space="preserve">                                                           rw data section .data object UART.o,</v>
      </c>
    </row>
    <row r="846" spans="1:1" x14ac:dyDescent="0.25">
      <c r="A846" s="41" t="str">
        <f ca="1">IF(MID(A$149,1,2)="//","//","")&amp;'App Init'!K328</f>
        <v xml:space="preserve">                                                           rw data section .data object WDOG.o };</v>
      </c>
    </row>
    <row r="847" spans="1:1" x14ac:dyDescent="0.25">
      <c r="A847" s="41" t="str">
        <f ca="1">IF(MID(A$150,1,2)="//","//","")&amp;'App Init'!K329</f>
        <v>"Common_INIT":     place at address mem: Common_INIT     { rw data section .data object alarm_task.o,</v>
      </c>
    </row>
    <row r="848" spans="1:1" x14ac:dyDescent="0.25">
      <c r="A848" s="41" t="str">
        <f ca="1">IF(MID(A$150,1,2)="//","//","")&amp;'App Init'!K330</f>
        <v xml:space="preserve">                                                           rw data section .data object ALRM_Handler.o,</v>
      </c>
    </row>
    <row r="849" spans="1:1" x14ac:dyDescent="0.25">
      <c r="A849" s="41" t="str">
        <f ca="1">IF(MID(A$150,1,2)="//","//","")&amp;'App Init'!K331</f>
        <v xml:space="preserve">                                                           rw data section .data object BUF_MemoryBuffers.o,</v>
      </c>
    </row>
    <row r="850" spans="1:1" x14ac:dyDescent="0.25">
      <c r="A850" s="41" t="str">
        <f ca="1">IF(MID(A$150,1,2)="//","//","")&amp;'App Init'!K332</f>
        <v xml:space="preserve">                                                           rw data section .data object buffer.o,</v>
      </c>
    </row>
    <row r="851" spans="1:1" x14ac:dyDescent="0.25">
      <c r="A851" s="41" t="str">
        <f ca="1">IF(MID(A$150,1,2)="//","//","")&amp;'App Init'!K333</f>
        <v xml:space="preserve">                                                           rw data section .data object DBG_CommandLine.o,</v>
      </c>
    </row>
    <row r="852" spans="1:1" x14ac:dyDescent="0.25">
      <c r="A852" s="41" t="str">
        <f ca="1">IF(MID(A$150,1,2)="//","//","")&amp;'App Init'!K334</f>
        <v xml:space="preserve">                                                           rw data section .data object DBG_SerialDebug.o,</v>
      </c>
    </row>
    <row r="853" spans="1:1" x14ac:dyDescent="0.25">
      <c r="A853" s="41" t="str">
        <f ca="1">IF(MID(A$150,1,2)="//","//","")&amp;'App Init'!K335</f>
        <v xml:space="preserve">                                                           rw data section .data object eng_res.o,</v>
      </c>
    </row>
    <row r="854" spans="1:1" x14ac:dyDescent="0.25">
      <c r="A854" s="41" t="str">
        <f ca="1">IF(MID(A$150,1,2)="//","//","")&amp;'App Init'!K336</f>
        <v xml:space="preserve">                                                           rw data section .data object EVL_event_log.o,</v>
      </c>
    </row>
    <row r="855" spans="1:1" x14ac:dyDescent="0.25">
      <c r="A855" s="41" t="str">
        <f ca="1">IF(MID(A$150,1,2)="//","//","")&amp;'App Init'!K337</f>
        <v xml:space="preserve">                                                           rw data section .data object exe_list.o,</v>
      </c>
    </row>
    <row r="856" spans="1:1" x14ac:dyDescent="0.25">
      <c r="A856" s="41" t="str">
        <f ca="1">IF(MID(A$150,1,2)="//","//","")&amp;'App Init'!K338</f>
        <v xml:space="preserve">                                                           rw data section .data object file_io.o,</v>
      </c>
    </row>
    <row r="857" spans="1:1" x14ac:dyDescent="0.25">
      <c r="A857" s="41" t="str">
        <f ca="1">IF(MID(A$150,1,2)="//","//","")&amp;'App Init'!K339</f>
        <v xml:space="preserve">                                                           rw data section .data object HEEP_util.o,</v>
      </c>
    </row>
    <row r="858" spans="1:1" x14ac:dyDescent="0.25">
      <c r="A858" s="41" t="str">
        <f ca="1">IF(MID(A$150,1,2)="//","//","")&amp;'App Init'!K340</f>
        <v xml:space="preserve">                                                           rw data section .data object mem_chk.o,</v>
      </c>
    </row>
    <row r="859" spans="1:1" x14ac:dyDescent="0.25">
      <c r="A859" s="41" t="str">
        <f ca="1">IF(MID(A$150,1,2)="//","//","")&amp;'App Init'!K341</f>
        <v xml:space="preserve">                                                           rw data section .data object MFG_Dtls.o,</v>
      </c>
    </row>
    <row r="860" spans="1:1" x14ac:dyDescent="0.25">
      <c r="A860" s="41" t="str">
        <f ca="1">IF(MID(A$150,1,2)="//","//","")&amp;'App Init'!K342</f>
        <v xml:space="preserve">                                                           rw data section .data object MFG_Port.o,</v>
      </c>
    </row>
    <row r="861" spans="1:1" x14ac:dyDescent="0.25">
      <c r="A861" s="41" t="str">
        <f ca="1">IF(MID(A$150,1,2)="//","//","")&amp;'App Init'!K343</f>
        <v xml:space="preserve">                                                           rw data section .data object MIMT_info.o,</v>
      </c>
    </row>
    <row r="862" spans="1:1" x14ac:dyDescent="0.25">
      <c r="A862" s="41" t="str">
        <f ca="1">IF(MID(A$150,1,2)="//","//","")&amp;'App Init'!K344</f>
        <v xml:space="preserve">                                                           rw data section .data object mode_config.o,</v>
      </c>
    </row>
    <row r="863" spans="1:1" x14ac:dyDescent="0.25">
      <c r="A863" s="41" t="str">
        <f ca="1">IF(MID(A$150,1,2)="//","//","")&amp;'App Init'!K345</f>
        <v xml:space="preserve">                                                           rw data section .data object object_list.o,</v>
      </c>
    </row>
    <row r="864" spans="1:1" x14ac:dyDescent="0.25">
      <c r="A864" s="41" t="str">
        <f ca="1">IF(MID(A$150,1,2)="//","//","")&amp;'App Init'!K346</f>
        <v xml:space="preserve">                                                           rw data section .data object partitions.o,</v>
      </c>
    </row>
    <row r="865" spans="1:1" x14ac:dyDescent="0.25">
      <c r="A865" s="41" t="str">
        <f ca="1">IF(MID(A$150,1,2)="//","//","")&amp;'App Init'!K347</f>
        <v xml:space="preserve">                                                           rw data section .data object runTimeInit.o,</v>
      </c>
    </row>
    <row r="866" spans="1:1" x14ac:dyDescent="0.25">
      <c r="A866" s="41" t="str">
        <f ca="1">IF(MID(A$150,1,2)="//","//","")&amp;'App Init'!K348</f>
        <v xml:space="preserve">                                                           rw data section .data object SELF_test.o,</v>
      </c>
    </row>
    <row r="867" spans="1:1" x14ac:dyDescent="0.25">
      <c r="A867" s="41" t="str">
        <f ca="1">IF(MID(A$150,1,2)="//","//","")&amp;'App Init'!K349</f>
        <v xml:space="preserve">                                                           rw data section .data object stack_check.o,</v>
      </c>
    </row>
    <row r="868" spans="1:1" x14ac:dyDescent="0.25">
      <c r="A868" s="41" t="str">
        <f ca="1">IF(MID(A$150,1,2)="//","//","")&amp;'App Init'!K350</f>
        <v xml:space="preserve">                                                           rw data section .data object sys_busy.o,</v>
      </c>
    </row>
    <row r="869" spans="1:1" x14ac:dyDescent="0.25">
      <c r="A869" s="41" t="str">
        <f ca="1">IF(MID(A$150,1,2)="//","//","")&amp;'App Init'!K351</f>
        <v xml:space="preserve">                                                           rw data section .data object temperature.o,</v>
      </c>
    </row>
    <row r="870" spans="1:1" x14ac:dyDescent="0.25">
      <c r="A870" s="41" t="str">
        <f ca="1">IF(MID(A$150,1,2)="//","//","")&amp;'App Init'!K352</f>
        <v xml:space="preserve">                                                           rw data section .data object time_DST.o,</v>
      </c>
    </row>
    <row r="871" spans="1:1" x14ac:dyDescent="0.25">
      <c r="A871" s="41" t="str">
        <f ca="1">IF(MID(A$150,1,2)="//","//","")&amp;'App Init'!K353</f>
        <v xml:space="preserve">                                                           rw data section .data object time_sync.o,</v>
      </c>
    </row>
    <row r="872" spans="1:1" x14ac:dyDescent="0.25">
      <c r="A872" s="41" t="str">
        <f ca="1">IF(MID(A$150,1,2)="//","//","")&amp;'App Init'!K354</f>
        <v xml:space="preserve">                                                           rw data section .data object time_sys.o,</v>
      </c>
    </row>
    <row r="873" spans="1:1" x14ac:dyDescent="0.25">
      <c r="A873" s="41" t="str">
        <f ca="1">IF(MID(A$150,1,2)="//","//","")&amp;'App Init'!K355</f>
        <v xml:space="preserve">                                                           rw data section .data object virgin_device.o,</v>
      </c>
    </row>
    <row r="874" spans="1:1" x14ac:dyDescent="0.25">
      <c r="A874" s="41" t="str">
        <f ca="1">IF(MID(A$150,1,2)="//","//","")&amp;'App Init'!K356</f>
        <v xml:space="preserve">                                                           rw data section .data object FTM0.o,</v>
      </c>
    </row>
    <row r="875" spans="1:1" x14ac:dyDescent="0.25">
      <c r="A875" s="41" t="str">
        <f ca="1">IF(MID(A$150,1,2)="//","//","")&amp;'App Init'!K357</f>
        <v xml:space="preserve">                                                           rw data section .data object FTM1.o,</v>
      </c>
    </row>
    <row r="876" spans="1:1" x14ac:dyDescent="0.25">
      <c r="A876" s="41" t="str">
        <f ca="1">IF(MID(A$150,1,2)="//","//","")&amp;'App Init'!K358</f>
        <v xml:space="preserve">                                                           rw data section .data object FTM2.o,</v>
      </c>
    </row>
    <row r="877" spans="1:1" x14ac:dyDescent="0.25">
      <c r="A877" s="41" t="str">
        <f ca="1">IF(MID(A$150,1,2)="//","//","")&amp;'App Init'!K359</f>
        <v xml:space="preserve">                                                           rw data section .data object FTM3.o };</v>
      </c>
    </row>
    <row r="878" spans="1:1" x14ac:dyDescent="0.25">
      <c r="A878" s="41" t="str">
        <f ca="1">IF(MID(A$151,1,2)="//","//","")&amp;'App Init'!K360</f>
        <v>//"HMC_INIT":        place at address mem: HMC_INIT        { rw data section .data object hmc_app.o,</v>
      </c>
    </row>
    <row r="879" spans="1:1" x14ac:dyDescent="0.25">
      <c r="A879" s="41" t="str">
        <f ca="1">IF(MID(A$151,1,2)="//","//","")&amp;'App Init'!K361</f>
        <v>//                                                           rw data section .data object hmc_demand.o,</v>
      </c>
    </row>
    <row r="880" spans="1:1" x14ac:dyDescent="0.25">
      <c r="A880" s="41" t="str">
        <f ca="1">IF(MID(A$151,1,2)="//","//","")&amp;'App Init'!K361</f>
        <v>//                                                           rw data section .data object hmc_demand.o,</v>
      </c>
    </row>
    <row r="881" spans="1:1" x14ac:dyDescent="0.25">
      <c r="A881" s="41" t="str">
        <f ca="1">IF(MID(A$151,1,2)="//","//","")&amp;'App Init'!K362</f>
        <v>//                                                           rw data section .data object hmc_diags.o,</v>
      </c>
    </row>
    <row r="882" spans="1:1" x14ac:dyDescent="0.25">
      <c r="A882" s="41" t="str">
        <f ca="1">IF(MID(A$151,1,2)="//","//","")&amp;'App Init'!K363</f>
        <v>//                                                           rw data section .data object hmc_ds.o,</v>
      </c>
    </row>
    <row r="883" spans="1:1" x14ac:dyDescent="0.25">
      <c r="A883" s="41" t="str">
        <f ca="1">IF(MID(A$151,1,2)="//","//","")&amp;'App Init'!K364</f>
        <v>//                                                           rw data section .data object hmc_eng.o,</v>
      </c>
    </row>
    <row r="884" spans="1:1" x14ac:dyDescent="0.25">
      <c r="A884" s="41" t="str">
        <f ca="1">IF(MID(A$151,1,2)="//","//","")&amp;'App Init'!K365</f>
        <v>//                                                           rw data section .data object hmc_finish.o,</v>
      </c>
    </row>
    <row r="885" spans="1:1" x14ac:dyDescent="0.25">
      <c r="A885" s="41" t="str">
        <f ca="1">IF(MID(A$151,1,2)="//","//","")&amp;'App Init'!K366</f>
        <v>//                                                           rw data section .data object hmc_msg.o,</v>
      </c>
    </row>
    <row r="886" spans="1:1" x14ac:dyDescent="0.25">
      <c r="A886" s="41" t="str">
        <f ca="1">IF(MID(A$151,1,2)="//","//","")&amp;'App Init'!K367</f>
        <v>//                                                           rw data section .data object hmc_mtr_info.o,</v>
      </c>
    </row>
    <row r="887" spans="1:1" x14ac:dyDescent="0.25">
      <c r="A887" s="41" t="str">
        <f ca="1">IF(MID(A$151,1,2)="//","//","")&amp;'App Init'!K368</f>
        <v>//                                                           rw data section .data object hmc_mtr_lp.o,</v>
      </c>
    </row>
    <row r="888" spans="1:1" x14ac:dyDescent="0.25">
      <c r="A888" s="41" t="str">
        <f ca="1">IF(MID(A$151,1,2)="//","//","")&amp;'App Init'!K369</f>
        <v>//                                                           rw data section .data object hmc_prot.o,</v>
      </c>
    </row>
    <row r="889" spans="1:1" x14ac:dyDescent="0.25">
      <c r="A889" s="41" t="str">
        <f ca="1">IF(MID(A$151,1,2)="//","//","")&amp;'App Init'!K370</f>
        <v>//                                                           rw data section .data object hmc_request.o,</v>
      </c>
    </row>
    <row r="890" spans="1:1" x14ac:dyDescent="0.25">
      <c r="A890" s="41" t="str">
        <f ca="1">IF(MID(A$151,1,2)="//","//","")&amp;'App Init'!K371</f>
        <v>//                                                           rw data section .data object hmc_seq_id.o,</v>
      </c>
    </row>
    <row r="891" spans="1:1" x14ac:dyDescent="0.25">
      <c r="A891" s="41" t="str">
        <f ca="1">IF(MID(A$151,1,2)="//","//","")&amp;'App Init'!K372</f>
        <v>//                                                           rw data section .data object hmc_snapshot.o,</v>
      </c>
    </row>
    <row r="892" spans="1:1" x14ac:dyDescent="0.25">
      <c r="A892" s="41" t="str">
        <f ca="1">IF(MID(A$151,1,2)="//","//","")&amp;'App Init'!K373</f>
        <v>//                                                           rw data section .data object hmc_start.o,</v>
      </c>
    </row>
    <row r="893" spans="1:1" x14ac:dyDescent="0.25">
      <c r="A893" s="41" t="str">
        <f ca="1">IF(MID(A$151,1,2)="//","//","")&amp;'App Init'!K374</f>
        <v>//                                                           rw data section .data object hmc_sync.o,</v>
      </c>
    </row>
    <row r="894" spans="1:1" x14ac:dyDescent="0.25">
      <c r="A894" s="41" t="str">
        <f ca="1">IF(MID(A$151,1,2)="//","//","")&amp;'App Init'!K375</f>
        <v>//                                                           rw data section .data object hmc_time.o,</v>
      </c>
    </row>
    <row r="895" spans="1:1" x14ac:dyDescent="0.25">
      <c r="A895" s="41" t="str">
        <f ca="1">IF(MID(A$151,1,2)="//","//","")&amp;'App Init'!K376</f>
        <v>//                                                           rw data section .data object hmc_tsk_lst.o,</v>
      </c>
    </row>
    <row r="896" spans="1:1" x14ac:dyDescent="0.25">
      <c r="A896" s="41" t="str">
        <f ca="1">IF(MID(A$151,1,2)="//","//","")&amp;'App Init'!K377</f>
        <v>//                                                           rw data section .data object intf_cim_cmd.o,</v>
      </c>
    </row>
    <row r="897" spans="1:1" x14ac:dyDescent="0.25">
      <c r="A897" s="41" t="str">
        <f ca="1">IF(MID(A$151,1,2)="//","//","")&amp;'App Init'!K378</f>
        <v>//                                                           rw data section .data object hmc_prg_mtr.o,</v>
      </c>
    </row>
    <row r="898" spans="1:1" x14ac:dyDescent="0.25">
      <c r="A898" s="41" t="str">
        <f ca="1">IF(MID(A$151,1,2)="//","//","")&amp;'App Init'!K379</f>
        <v>//                                                           rw data section .data object hmc_display.o };</v>
      </c>
    </row>
    <row r="899" spans="1:1" x14ac:dyDescent="0.25">
      <c r="A899" s="41" t="str">
        <f ca="1">IF(MID(A$152,1,2)="//","//","")&amp;'App Init'!K380</f>
        <v>//"AclaraDA_INIT":   place at address mem: AclaraDA_INIT   { rw data section .data object b2b.o,</v>
      </c>
    </row>
    <row r="900" spans="1:1" x14ac:dyDescent="0.25">
      <c r="A900" s="41" t="str">
        <f ca="1">IF(MID(A$152,1,2)="//","//","")&amp;'App Init'!K381</f>
        <v>//                                                           rw data section .data object b2b_req_handler.o,</v>
      </c>
    </row>
    <row r="901" spans="1:1" x14ac:dyDescent="0.25">
      <c r="A901" s="41" t="str">
        <f ca="1">IF(MID(A$152,1,2)="//","//","")&amp;'App Init'!K382</f>
        <v>//                                                           rw data section .data object b2bMessage.o,</v>
      </c>
    </row>
    <row r="902" spans="1:1" x14ac:dyDescent="0.25">
      <c r="A902" s="41" t="str">
        <f ca="1">IF(MID(A$152,1,2)="//","//","")&amp;'App Init'!K383</f>
        <v>//                                                           rw data section .data object da_srfn_reg.o,</v>
      </c>
    </row>
    <row r="903" spans="1:1" x14ac:dyDescent="0.25">
      <c r="A903" s="41" t="str">
        <f ca="1">IF(MID(A$152,1,2)="//","//","")&amp;'App Init'!K384</f>
        <v>//                                                           rw data section .data object hdlc_frame.o,</v>
      </c>
    </row>
    <row r="904" spans="1:1" x14ac:dyDescent="0.25">
      <c r="A904" s="41" t="str">
        <f ca="1">IF(MID(A$152,1,2)="//","//","")&amp;'App Init'!K385</f>
        <v>//                                                           rw data section .data object host_reset.o,</v>
      </c>
    </row>
    <row r="905" spans="1:1" x14ac:dyDescent="0.25">
      <c r="A905" s="41" t="str">
        <f ca="1">IF(MID(A$152,1,2)="//","//","")&amp;'App Init'!K386</f>
        <v>//                                                           rw data section .data object nw_connected.o,</v>
      </c>
    </row>
    <row r="906" spans="1:1" x14ac:dyDescent="0.25">
      <c r="A906" s="41" t="str">
        <f ca="1">IF(MID(A$152,1,2)="//","//","")&amp;'App Init'!K387</f>
        <v>//                                                           rw data section .data object TUNNEL_MSG_Handler.o,</v>
      </c>
    </row>
    <row r="907" spans="1:1" x14ac:dyDescent="0.25">
      <c r="A907" s="41" t="str">
        <f ca="1">IF(MID(A$152,1,2)="//","//","")&amp;'App Init'!K388</f>
        <v>//                                                           rw data section .data object tunnel_Util.o };</v>
      </c>
    </row>
    <row r="908" spans="1:1" x14ac:dyDescent="0.25">
      <c r="A908" s="41" t="str">
        <f ca="1">IF(MID(A$153,1,2)="//","//","")&amp;'App Init'!K389</f>
        <v>"MTU_Common_INIT": place at address mem: MTU_Common_INIT { rw data section .data object APP_MSG_Handler.o,</v>
      </c>
    </row>
    <row r="909" spans="1:1" x14ac:dyDescent="0.25">
      <c r="A909" s="41" t="str">
        <f ca="1">IF(MID(A$153,1,2)="//","//","")&amp;'App Init'!K390</f>
        <v xml:space="preserve">                                                           rw data section .data object demand.o,</v>
      </c>
    </row>
    <row r="910" spans="1:1" x14ac:dyDescent="0.25">
      <c r="A910" s="41" t="str">
        <f ca="1">IF(MID(A$153,1,2)="//","//","")&amp;'App Init'!K391</f>
        <v xml:space="preserve">                                                           rw data section .data object ed_config.o,</v>
      </c>
    </row>
    <row r="911" spans="1:1" x14ac:dyDescent="0.25">
      <c r="A911" s="41" t="str">
        <f ca="1">IF(MID(A$153,1,2)="//","//","")&amp;'App Init'!K392</f>
        <v xml:space="preserve">                                                           rw data section .data object endpt_cim_cmd.o,</v>
      </c>
    </row>
    <row r="912" spans="1:1" x14ac:dyDescent="0.25">
      <c r="A912" s="41" t="str">
        <f ca="1">IF(MID(A$153,1,2)="//","//","")&amp;'App Init'!K393</f>
        <v xml:space="preserve">                                                           rw data section .data object historyd.o,</v>
      </c>
    </row>
    <row r="913" spans="1:1" x14ac:dyDescent="0.25">
      <c r="A913" s="41" t="str">
        <f ca="1">IF(MID(A$153,1,2)="//","//","")&amp;'App Init'!K394</f>
        <v xml:space="preserve">                                                           rw data section .data object ID_intervalTask.o,</v>
      </c>
    </row>
    <row r="914" spans="1:1" x14ac:dyDescent="0.25">
      <c r="A914" s="41" t="str">
        <f ca="1">IF(MID(A$153,1,2)="//","//","")&amp;'App Init'!K395</f>
        <v xml:space="preserve">                                                           rw data section .data object IDL_IdleProcess.o,</v>
      </c>
    </row>
    <row r="915" spans="1:1" x14ac:dyDescent="0.25">
      <c r="A915" s="41" t="str">
        <f ca="1">IF(MID(A$153,1,2)="//","//","")&amp;'App Init'!K396</f>
        <v xml:space="preserve">                                                           rw data section .data object OR_MR_Handler.o,</v>
      </c>
    </row>
    <row r="916" spans="1:1" x14ac:dyDescent="0.25">
      <c r="A916" s="41" t="str">
        <f ca="1">IF(MID(A$153,1,2)="//","//","")&amp;'App Init'!K397</f>
        <v xml:space="preserve">                                                           rw data section .data object pwr_config.o,</v>
      </c>
    </row>
    <row r="917" spans="1:1" x14ac:dyDescent="0.25">
      <c r="A917" s="41" t="str">
        <f ca="1">IF(MID(A$153,1,2)="//","//","")&amp;'App Init'!K398</f>
        <v xml:space="preserve">                                                           rw data section .data object pwr_last_gasp.o,</v>
      </c>
    </row>
    <row r="918" spans="1:1" x14ac:dyDescent="0.25">
      <c r="A918" s="41" t="str">
        <f ca="1">IF(MID(A$153,1,2)="//","//","")&amp;'App Init'!K399</f>
        <v xml:space="preserve">                                                           rw data section .data object pwr_restore.o,</v>
      </c>
    </row>
    <row r="919" spans="1:1" x14ac:dyDescent="0.25">
      <c r="A919" s="41" t="str">
        <f ca="1">IF(MID(A$153,1,2)="//","//","")&amp;'App Init'!K400</f>
        <v xml:space="preserve">                                                           rw data section .data object pwr_task.o,</v>
      </c>
    </row>
    <row r="920" spans="1:1" x14ac:dyDescent="0.25">
      <c r="A920" s="41" t="str">
        <f ca="1">IF(MID(A$153,1,2)="//","//","")&amp;'App Init'!K401</f>
        <v xml:space="preserve">                                                           rw data section .data object RG_CF_Handler.o,</v>
      </c>
    </row>
    <row r="921" spans="1:1" x14ac:dyDescent="0.25">
      <c r="A921" s="41" t="str">
        <f ca="1">IF(MID(A$153,1,2)="//","//","")&amp;'App Init'!K402</f>
        <v xml:space="preserve">                                                           rw data section .data object RG_MD_Handler.o,</v>
      </c>
    </row>
    <row r="922" spans="1:1" x14ac:dyDescent="0.25">
      <c r="A922" s="41" t="str">
        <f ca="1">IF(MID(A$153,1,2)="//","//","")&amp;'App Init'!K403</f>
        <v xml:space="preserve">                                                           rw data section .data object STRT_Startup.o,</v>
      </c>
    </row>
    <row r="923" spans="1:1" x14ac:dyDescent="0.25">
      <c r="A923" s="41" t="str">
        <f ca="1">IF(MID(A$153,1,2)="//","//","")&amp;'App Init'!K404</f>
        <v xml:space="preserve">                                                           rw data section .data object Task.o,</v>
      </c>
    </row>
    <row r="924" spans="1:1" x14ac:dyDescent="0.25">
      <c r="A924" s="41" t="str">
        <f ca="1">IF(MID(A$153,1,2)="//","//","")&amp;'App Init'!K405</f>
        <v xml:space="preserve">                                                           rw data section .data object vbat_reg.o,</v>
      </c>
    </row>
    <row r="925" spans="1:1" x14ac:dyDescent="0.25">
      <c r="A925" s="41" t="str">
        <f ca="1">IF(MID(A$153,1,2)="//","//","")&amp;'App Init'!K406</f>
        <v xml:space="preserve">                                                           rw data section .data object version.o };</v>
      </c>
    </row>
    <row r="926" spans="1:1" x14ac:dyDescent="0.25">
      <c r="A926" s="41"/>
    </row>
    <row r="927" spans="1:1" x14ac:dyDescent="0.25">
      <c r="A927" s="41" t="str">
        <f ca="1">IF(MID(A$140,1,2)="//","//","")&amp;'App DInit'!K403</f>
        <v>"APP_RO_TEXT": place at address mem: APP_RO_TEXT { ro code section .textrw_init object IF_intFlash.o };</v>
      </c>
    </row>
    <row r="928" spans="1:1" x14ac:dyDescent="0.25">
      <c r="A928" s="41"/>
    </row>
    <row r="929" spans="1:1" x14ac:dyDescent="0.25">
      <c r="A929" s="41" t="str">
        <f ca="1">IF(MID(A$155,1,2)="//","//","")&amp;'App Init'!K407</f>
        <v>"APP_RW_TEXT":     place at address mem: APP_RW_TEXT     { rw code section .textrw object IF_intFlash.o };</v>
      </c>
    </row>
    <row r="930" spans="1:1" x14ac:dyDescent="0.25">
      <c r="A930" s="41"/>
    </row>
    <row r="931" spans="1:1" x14ac:dyDescent="0.25">
      <c r="A931" s="41" t="str">
        <f ca="1">IF(MID(A$157,1,2)="//","//","")&amp;'App Init'!K408</f>
        <v>"APP_NOINIT": place at address mem: APP_NOINIT { rw data section .noinit object partitions.o };</v>
      </c>
    </row>
    <row r="932" spans="1:1" x14ac:dyDescent="0.25">
      <c r="A932" s="41" t="s">
        <v>856</v>
      </c>
    </row>
    <row r="933" spans="1:1" x14ac:dyDescent="0.25">
      <c r="A933" s="41"/>
    </row>
    <row r="934" spans="1:1" x14ac:dyDescent="0.25">
      <c r="A934" s="41" t="s">
        <v>857</v>
      </c>
    </row>
    <row r="935" spans="1:1" x14ac:dyDescent="0.25">
      <c r="A935" s="41" t="s">
        <v>865</v>
      </c>
    </row>
    <row r="936" spans="1:1" x14ac:dyDescent="0.25">
      <c r="A936" s="41" t="s">
        <v>855</v>
      </c>
    </row>
    <row r="937" spans="1:1" x14ac:dyDescent="0.25">
      <c r="A937" s="41" t="str">
        <f ca="1">IF(MID(A163,1,2)="//","//","")&amp;'Lib BSS'!K43</f>
        <v>//"dl7M_tln_BSS":        place at address mem: dl7M_tln_BSS        { rw data section .bss object *(dl7M_tln.a) };</v>
      </c>
    </row>
    <row r="938" spans="1:1" x14ac:dyDescent="0.25">
      <c r="A938" s="41" t="str">
        <f ca="1">IF(MID(A164,1,2)="//","//","")&amp;'Lib BSS'!K44</f>
        <v>//"m7M_tls_BSS":         place at address mem: m7M_tls_BSS         { rw data section .bss object *(m7M_tls.a) };</v>
      </c>
    </row>
    <row r="939" spans="1:1" x14ac:dyDescent="0.25">
      <c r="A939" s="41" t="str">
        <f ca="1">IF(MID(A165,1,2)="//","//","")&amp;'Lib BSS'!K45</f>
        <v>"rt7M_tl_BSS":         place at address mem: rt7M_tl_BSS         { rw data section .bss object *(rt7M_tl.a) };</v>
      </c>
    </row>
    <row r="940" spans="1:1" x14ac:dyDescent="0.25">
      <c r="A940" s="41" t="str">
        <f ca="1">IF(MID(A166,1,2)="//","//","")&amp;'Lib BSS'!K46</f>
        <v>//"shb_l_BSS":           place at address mem: shb_l_BSS           { rw data section .bss object *(shb_l.a) };</v>
      </c>
    </row>
    <row r="941" spans="1:1" x14ac:dyDescent="0.25">
      <c r="A941" s="41" t="str">
        <f ca="1">IF(MID(A167,1,2)="//","//","")&amp;'Lib BSS'!K47</f>
        <v>"BSP_BSS":             place at address mem: BSP_BSS             { rw data section .bss object *(BSP.a) };</v>
      </c>
    </row>
    <row r="942" spans="1:1" x14ac:dyDescent="0.25">
      <c r="A942" s="41" t="str">
        <f ca="1">IF(MID(A168,1,2)="//","//","")&amp;'Lib BSS'!K48</f>
        <v>"PSP_BSS":             place at address mem: PSP_BSS             { rw data section .bss object *(PSP.a) };</v>
      </c>
    </row>
    <row r="943" spans="1:1" x14ac:dyDescent="0.25">
      <c r="A943" s="41" t="str">
        <f ca="1">IF(MID(A169,1,2)="//","//","")&amp;'Lib BSS'!K49</f>
        <v>"wolfSSL_Lib_MTU_BSS": place at address mem: wolfSSL_Lib_MTU_BSS { rw data section .bss object *(wolfSSL-Lib_MTU.a) };</v>
      </c>
    </row>
    <row r="944" spans="1:1" x14ac:dyDescent="0.25">
      <c r="A944" s="41" t="s">
        <v>856</v>
      </c>
    </row>
    <row r="945" spans="1:1" x14ac:dyDescent="0.25">
      <c r="A945" s="41"/>
    </row>
    <row r="946" spans="1:1" x14ac:dyDescent="0.25">
      <c r="A946" s="41" t="s">
        <v>857</v>
      </c>
    </row>
    <row r="947" spans="1:1" x14ac:dyDescent="0.25">
      <c r="A947" s="41" t="s">
        <v>866</v>
      </c>
    </row>
    <row r="948" spans="1:1" x14ac:dyDescent="0.25">
      <c r="A948" s="41" t="s">
        <v>855</v>
      </c>
    </row>
    <row r="949" spans="1:1" x14ac:dyDescent="0.25">
      <c r="A949" s="41" t="s">
        <v>877</v>
      </c>
    </row>
    <row r="950" spans="1:1" x14ac:dyDescent="0.25">
      <c r="A950" s="41" t="s">
        <v>878</v>
      </c>
    </row>
    <row r="951" spans="1:1" x14ac:dyDescent="0.25">
      <c r="A951" s="41" t="str">
        <f ca="1">IF(MID(A$175,1,2)="//","//","")&amp;'App BSS'!K229</f>
        <v>define block utils_BSS_BLK with alignment = 4      { section .bss object ascii.o,</v>
      </c>
    </row>
    <row r="952" spans="1:1" x14ac:dyDescent="0.25">
      <c r="A952" s="41" t="str">
        <f ca="1">IF(MID(A$175,1,2)="//","//","")&amp;'App BSS'!K230</f>
        <v xml:space="preserve">                                                     section .bss object bcd.o,</v>
      </c>
    </row>
    <row r="953" spans="1:1" x14ac:dyDescent="0.25">
      <c r="A953" s="41" t="str">
        <f ca="1">IF(MID(A$175,1,2)="//","//","")&amp;'App BSS'!K231</f>
        <v xml:space="preserve">                                                     section .bss object bit_util.o,</v>
      </c>
    </row>
    <row r="954" spans="1:1" x14ac:dyDescent="0.25">
      <c r="A954" s="41" t="str">
        <f ca="1">IF(MID(A$175,1,2)="//","//","")&amp;'App BSS'!K232</f>
        <v xml:space="preserve">                                                     section .bss object byteswap.o,</v>
      </c>
    </row>
    <row r="955" spans="1:1" x14ac:dyDescent="0.25">
      <c r="A955" s="41" t="str">
        <f ca="1">IF(MID(A$175,1,2)="//","//","")&amp;'App BSS'!K233</f>
        <v xml:space="preserve">                                                     section .bss object crc16_m.o,</v>
      </c>
    </row>
    <row r="956" spans="1:1" x14ac:dyDescent="0.25">
      <c r="A956" s="41" t="str">
        <f ca="1">IF(MID(A$175,1,2)="//","//","")&amp;'App BSS'!K234</f>
        <v xml:space="preserve">                                                     section .bss object crc32.o,</v>
      </c>
    </row>
    <row r="957" spans="1:1" x14ac:dyDescent="0.25">
      <c r="A957" s="41" t="str">
        <f ca="1">IF(MID(A$175,1,2)="//","//","")&amp;'App BSS'!K235</f>
        <v xml:space="preserve">                                                     section .bss object invert_bits.o,</v>
      </c>
    </row>
    <row r="958" spans="1:1" x14ac:dyDescent="0.25">
      <c r="A958" s="41" t="str">
        <f ca="1">IF(MID(A$175,1,2)="//","//","")&amp;'App BSS'!K236</f>
        <v xml:space="preserve">                                                     section .bss object pack.o,</v>
      </c>
    </row>
    <row r="959" spans="1:1" x14ac:dyDescent="0.25">
      <c r="A959" s="41" t="str">
        <f ca="1">IF(MID(A$175,1,2)="//","//","")&amp;'App BSS'!K237</f>
        <v xml:space="preserve">                                                     section .bss object rand.o,</v>
      </c>
    </row>
    <row r="960" spans="1:1" x14ac:dyDescent="0.25">
      <c r="A960" s="41" t="str">
        <f ca="1">IF(MID(A$175,1,2)="//","//","")&amp;'App BSS'!K238</f>
        <v xml:space="preserve">                                                     section .bss object time_util.o,</v>
      </c>
    </row>
    <row r="961" spans="1:1" x14ac:dyDescent="0.25">
      <c r="A961" s="41" t="str">
        <f ca="1">IF(MID(A$175,1,2)="//","//","")&amp;'App BSS'!K239</f>
        <v xml:space="preserve">                                                     section .bss object timer_util.o };</v>
      </c>
    </row>
    <row r="962" spans="1:1" x14ac:dyDescent="0.25">
      <c r="A962" s="41" t="str">
        <f ca="1">IF(MID(A$176,1,2)="//","//","")&amp;'App BSS'!K240</f>
        <v>define block dfw_BSS_BLK with alignment = 4        { section .bss object dfw_app.o,</v>
      </c>
    </row>
    <row r="963" spans="1:1" x14ac:dyDescent="0.25">
      <c r="A963" s="41" t="str">
        <f ca="1">IF(MID(A$176,1,2)="//","//","")&amp;'App BSS'!K241</f>
        <v xml:space="preserve">                                                     section .bss object dfw_interface.o,</v>
      </c>
    </row>
    <row r="964" spans="1:1" x14ac:dyDescent="0.25">
      <c r="A964" s="41" t="str">
        <f ca="1">IF(MID(A$176,1,2)="//","//","")&amp;'App BSS'!K242</f>
        <v xml:space="preserve">                                                     section .bss object dfw_pckt.o,</v>
      </c>
    </row>
    <row r="965" spans="1:1" x14ac:dyDescent="0.25">
      <c r="A965" s="41" t="str">
        <f ca="1">IF(MID(A$176,1,2)="//","//","")&amp;'App BSS'!K243</f>
        <v xml:space="preserve">                                                     section .bss object dfwtd_config.o };</v>
      </c>
    </row>
    <row r="966" spans="1:1" x14ac:dyDescent="0.25">
      <c r="A966" s="41" t="str">
        <f ca="1">IF(MID(A$177,1,2)="//","//","")&amp;'App BSS'!K244</f>
        <v>define block driver_BSS_BLK with alignment = 4     { section .bss object dvr_banked.o,</v>
      </c>
    </row>
    <row r="967" spans="1:1" x14ac:dyDescent="0.25">
      <c r="A967" s="41" t="str">
        <f ca="1">IF(MID(A$177,1,2)="//","//","")&amp;'App BSS'!K245</f>
        <v xml:space="preserve">                                                     section .bss object dvr_cache.o,</v>
      </c>
    </row>
    <row r="968" spans="1:1" x14ac:dyDescent="0.25">
      <c r="A968" s="41" t="str">
        <f ca="1">IF(MID(A$177,1,2)="//","//","")&amp;'App BSS'!K246</f>
        <v xml:space="preserve">                                                     section .bss object dvr_extflash.o,</v>
      </c>
    </row>
    <row r="969" spans="1:1" x14ac:dyDescent="0.25">
      <c r="A969" s="41" t="str">
        <f ca="1">IF(MID(A$177,1,2)="//","//","")&amp;'App BSS'!K247</f>
        <v xml:space="preserve">                                                     section .bss object dvr_sectPreErase.o,</v>
      </c>
    </row>
    <row r="970" spans="1:1" x14ac:dyDescent="0.25">
      <c r="A970" s="41" t="str">
        <f ca="1">IF(MID(A$177,1,2)="//","//","")&amp;'App BSS'!K248</f>
        <v xml:space="preserve">                                                     section .bss object dvr_sharedMem.o,</v>
      </c>
    </row>
    <row r="971" spans="1:1" x14ac:dyDescent="0.25">
      <c r="A971" s="41" t="str">
        <f ca="1">IF(MID(A$177,1,2)="//","//","")&amp;'App BSS'!K249</f>
        <v xml:space="preserve">                                                     section .bss object IF_intFlash.o,</v>
      </c>
    </row>
    <row r="972" spans="1:1" x14ac:dyDescent="0.25">
      <c r="A972" s="41" t="str">
        <f ca="1">IF(MID(A$177,1,2)="//","//","")&amp;'App BSS'!K250</f>
        <v xml:space="preserve">                                                     section .bss object spi_mstr.o };</v>
      </c>
    </row>
    <row r="973" spans="1:1" x14ac:dyDescent="0.25">
      <c r="A973" s="41" t="str">
        <f ca="1">IF(MID(A$178,1,2)="//","//","")&amp;'App BSS'!K251</f>
        <v>define block stack_BSS_BLK with alignment = 4      { section .bss object COMM.o,</v>
      </c>
    </row>
    <row r="974" spans="1:1" x14ac:dyDescent="0.25">
      <c r="A974" s="41" t="str">
        <f ca="1">IF(MID(A$178,1,2)="//","//","")&amp;'App BSS'!K252</f>
        <v xml:space="preserve">                                                     section .bss object SM.o,</v>
      </c>
    </row>
    <row r="975" spans="1:1" x14ac:dyDescent="0.25">
      <c r="A975" s="41" t="str">
        <f ca="1">IF(MID(A$178,1,2)="//","//","")&amp;'App BSS'!K253</f>
        <v xml:space="preserve">                                                     section .bss object smtd_config.o,</v>
      </c>
    </row>
    <row r="976" spans="1:1" x14ac:dyDescent="0.25">
      <c r="A976" s="41" t="str">
        <f ca="1">IF(MID(A$178,1,2)="//","//","")&amp;'App BSS'!K254</f>
        <v xml:space="preserve">                                                     section .bss object dtls.o,</v>
      </c>
    </row>
    <row r="977" spans="1:1" x14ac:dyDescent="0.25">
      <c r="A977" s="41" t="str">
        <f ca="1">IF(MID(A$178,1,2)="//","//","")&amp;'App BSS'!K255</f>
        <v xml:space="preserve">                                                     section .bss object mtls.o,</v>
      </c>
    </row>
    <row r="978" spans="1:1" x14ac:dyDescent="0.25">
      <c r="A978" s="41" t="str">
        <f ca="1">IF(MID(A$178,1,2)="//","//","")&amp;'App BSS'!K256</f>
        <v xml:space="preserve">                                                     section .bss object STACK.o,</v>
      </c>
    </row>
    <row r="979" spans="1:1" x14ac:dyDescent="0.25">
      <c r="A979" s="41" t="str">
        <f ca="1">IF(MID(A$178,1,2)="//","//","")&amp;'App BSS'!K257</f>
        <v xml:space="preserve">                                                     section .bss object MAC.o,</v>
      </c>
    </row>
    <row r="980" spans="1:1" x14ac:dyDescent="0.25">
      <c r="A980" s="41" t="str">
        <f ca="1">IF(MID(A$178,1,2)="//","//","")&amp;'App BSS'!K258</f>
        <v xml:space="preserve">                                                     section .bss object MAC_FrameEncoder.o,</v>
      </c>
    </row>
    <row r="981" spans="1:1" x14ac:dyDescent="0.25">
      <c r="A981" s="41" t="str">
        <f ca="1">IF(MID(A$178,1,2)="//","//","")&amp;'App BSS'!K259</f>
        <v xml:space="preserve">                                                     section .bss object MAC_FrameManagement.o,</v>
      </c>
    </row>
    <row r="982" spans="1:1" x14ac:dyDescent="0.25">
      <c r="A982" s="41" t="str">
        <f ca="1">IF(MID(A$178,1,2)="//","//","")&amp;'App BSS'!K260</f>
        <v xml:space="preserve">                                                     section .bss object MAC_PacketManagement.o,</v>
      </c>
    </row>
    <row r="983" spans="1:1" x14ac:dyDescent="0.25">
      <c r="A983" s="41" t="str">
        <f ca="1">IF(MID(A$178,1,2)="//","//","")&amp;'App BSS'!K261</f>
        <v xml:space="preserve">                                                     section .bss object PHY.o,</v>
      </c>
    </row>
    <row r="984" spans="1:1" x14ac:dyDescent="0.25">
      <c r="A984" s="41" t="str">
        <f ca="1">IF(MID(A$178,1,2)="//","//","")&amp;'App BSS'!K262</f>
        <v xml:space="preserve">                                                     section .bss object EstimateCarrierFrequencyOffset.o,</v>
      </c>
    </row>
    <row r="985" spans="1:1" x14ac:dyDescent="0.25">
      <c r="A985" s="41" t="str">
        <f ca="1">IF(MID(A$178,1,2)="//","//","")&amp;'App BSS'!K263</f>
        <v xml:space="preserve">                                                     section .bss object MaximizeEyeOpening.o,</v>
      </c>
    </row>
    <row r="986" spans="1:1" x14ac:dyDescent="0.25">
      <c r="A986" s="41" t="str">
        <f ca="1">IF(MID(A$178,1,2)="//","//","")&amp;'App BSS'!K264</f>
        <v xml:space="preserve">                                                     section .bss object PerformCFOCompensation.o,</v>
      </c>
    </row>
    <row r="987" spans="1:1" x14ac:dyDescent="0.25">
      <c r="A987" s="41" t="str">
        <f ca="1">IF(MID(A$178,1,2)="//","//","")&amp;'App BSS'!K265</f>
        <v xml:space="preserve">                                                     section .bss object preamble_detect.o,</v>
      </c>
    </row>
    <row r="988" spans="1:1" x14ac:dyDescent="0.25">
      <c r="A988" s="41" t="str">
        <f ca="1">IF(MID(A$178,1,2)="//","//","")&amp;'App BSS'!K266</f>
        <v xml:space="preserve">                                                     section .bss object preambleDetector.o,</v>
      </c>
    </row>
    <row r="989" spans="1:1" x14ac:dyDescent="0.25">
      <c r="A989" s="41" t="str">
        <f ca="1">IF(MID(A$178,1,2)="//","//","")&amp;'App BSS'!K267</f>
        <v xml:space="preserve">                                                     section .bss object preambleDetector_Data.o,</v>
      </c>
    </row>
    <row r="990" spans="1:1" x14ac:dyDescent="0.25">
      <c r="A990" s="41" t="str">
        <f ca="1">IF(MID(A$178,1,2)="//","//","")&amp;'App BSS'!K268</f>
        <v xml:space="preserve">                                                     section .bss object preambleDetector_initialize.o,</v>
      </c>
    </row>
    <row r="991" spans="1:1" x14ac:dyDescent="0.25">
      <c r="A991" s="41" t="str">
        <f ca="1">IF(MID(A$178,1,2)="//","//","")&amp;'App BSS'!K269</f>
        <v xml:space="preserve">                                                     section .bss object processDerotatedSamples.o,</v>
      </c>
    </row>
    <row r="992" spans="1:1" x14ac:dyDescent="0.25">
      <c r="A992" s="41" t="str">
        <f ca="1">IF(MID(A$178,1,2)="//","//","")&amp;'App BSS'!K270</f>
        <v xml:space="preserve">                                                     section .bss object ScaleClipFreq2phase.o,</v>
      </c>
    </row>
    <row r="993" spans="1:1" x14ac:dyDescent="0.25">
      <c r="A993" s="41" t="str">
        <f ca="1">IF(MID(A$178,1,2)="//","//","")&amp;'App BSS'!K271</f>
        <v xml:space="preserve">                                                     section .bss object sign.o,</v>
      </c>
    </row>
    <row r="994" spans="1:1" x14ac:dyDescent="0.25">
      <c r="A994" s="41" t="str">
        <f ca="1">IF(MID(A$178,1,2)="//","//","")&amp;'App BSS'!K272</f>
        <v xml:space="preserve">                                                     section .bss object fir_filt_circ_buff.o,</v>
      </c>
    </row>
    <row r="995" spans="1:1" x14ac:dyDescent="0.25">
      <c r="A995" s="41" t="str">
        <f ca="1">IF(MID(A$178,1,2)="//","//","")&amp;'App BSS'!K273</f>
        <v xml:space="preserve">                                                     section .bss object gresample.o,</v>
      </c>
    </row>
    <row r="996" spans="1:1" x14ac:dyDescent="0.25">
      <c r="A996" s="41" t="str">
        <f ca="1">IF(MID(A$178,1,2)="//","//","")&amp;'App BSS'!K274</f>
        <v xml:space="preserve">                                                     section .bss object phase2freq_wi_unwrap.o,</v>
      </c>
    </row>
    <row r="997" spans="1:1" x14ac:dyDescent="0.25">
      <c r="A997" s="41" t="str">
        <f ca="1">IF(MID(A$178,1,2)="//","//","")&amp;'App BSS'!K275</f>
        <v xml:space="preserve">                                                     section .bss object findSYNC.o,</v>
      </c>
    </row>
    <row r="998" spans="1:1" x14ac:dyDescent="0.25">
      <c r="A998" s="41" t="str">
        <f ca="1">IF(MID(A$178,1,2)="//","//","")&amp;'App BSS'!K276</f>
        <v xml:space="preserve">                                                     section .bss object FreqDomMlseP4GfskStruct2.o,</v>
      </c>
    </row>
    <row r="999" spans="1:1" x14ac:dyDescent="0.25">
      <c r="A999" s="41" t="str">
        <f ca="1">IF(MID(A$178,1,2)="//","//","")&amp;'App BSS'!K277</f>
        <v xml:space="preserve">                                                     section .bss object processDerotatedSPDSamples.o,</v>
      </c>
    </row>
    <row r="1000" spans="1:1" x14ac:dyDescent="0.25">
      <c r="A1000" s="41" t="str">
        <f ca="1">IF(MID(A$178,1,2)="//","//","")&amp;'App BSS'!K278</f>
        <v xml:space="preserve">                                                     section .bss object SyncAndPayloadDemodulator.o,</v>
      </c>
    </row>
    <row r="1001" spans="1:1" x14ac:dyDescent="0.25">
      <c r="A1001" s="41" t="str">
        <f ca="1">IF(MID(A$178,1,2)="//","//","")&amp;'App BSS'!K279</f>
        <v xml:space="preserve">                                                     section .bss object SoftDemodulator.o,</v>
      </c>
    </row>
    <row r="1002" spans="1:1" x14ac:dyDescent="0.25">
      <c r="A1002" s="41" t="str">
        <f ca="1">IF(MID(A$178,1,2)="//","//","")&amp;'App BSS'!K280</f>
        <v xml:space="preserve">                                                     section .bss object rs.o,</v>
      </c>
    </row>
    <row r="1003" spans="1:1" x14ac:dyDescent="0.25">
      <c r="A1003" s="41" t="str">
        <f ca="1">IF(MID(A$178,1,2)="//","//","")&amp;'App BSS'!K281</f>
        <v xml:space="preserve">                                                     section .bss object galois.o,</v>
      </c>
    </row>
    <row r="1004" spans="1:1" x14ac:dyDescent="0.25">
      <c r="A1004" s="41" t="str">
        <f ca="1">IF(MID(A$178,1,2)="//","//","")&amp;'App BSS'!K282</f>
        <v xml:space="preserve">                                                     section .bss object rsdec.o,</v>
      </c>
    </row>
    <row r="1005" spans="1:1" x14ac:dyDescent="0.25">
      <c r="A1005" s="41" t="str">
        <f ca="1">IF(MID(A$178,1,2)="//","//","")&amp;'App BSS'!K283</f>
        <v xml:space="preserve">                                                     section .bss object rsenc.o,</v>
      </c>
    </row>
    <row r="1006" spans="1:1" x14ac:dyDescent="0.25">
      <c r="A1006" s="41" t="str">
        <f ca="1">IF(MID(A$178,1,2)="//","//","")&amp;'App BSS'!K284</f>
        <v xml:space="preserve">                                                     section .bss object indication.o };</v>
      </c>
    </row>
    <row r="1007" spans="1:1" x14ac:dyDescent="0.25">
      <c r="A1007" s="41" t="str">
        <f ca="1">IF(MID(A$179,1,2)="//","//","")&amp;'App BSS'!K285</f>
        <v>//define block OS_API_BSS_BLK with alignment = 4     { section .bss object Event.o,</v>
      </c>
    </row>
    <row r="1008" spans="1:1" x14ac:dyDescent="0.25">
      <c r="A1008" s="41" t="str">
        <f ca="1">IF(MID(A$179,1,2)="//","//","")&amp;'App BSS'!K286</f>
        <v>//                                                     section .bss object MessageQ.o,</v>
      </c>
    </row>
    <row r="1009" spans="1:1" x14ac:dyDescent="0.25">
      <c r="A1009" s="41" t="str">
        <f ca="1">IF(MID(A$179,1,2)="//","//","")&amp;'App BSS'!K287</f>
        <v>//                                                     section .bss object Mutex.o,</v>
      </c>
    </row>
    <row r="1010" spans="1:1" x14ac:dyDescent="0.25">
      <c r="A1010" s="41" t="str">
        <f ca="1">IF(MID(A$179,1,2)="//","//","")&amp;'App BSS'!K288</f>
        <v>//                                                     section .bss object Queue.o,</v>
      </c>
    </row>
    <row r="1011" spans="1:1" x14ac:dyDescent="0.25">
      <c r="A1011" s="41" t="str">
        <f ca="1">IF(MID(A$179,1,2)="//","//","")&amp;'App BSS'!K289</f>
        <v>//                                                     section .bss object Semaphore.o,</v>
      </c>
    </row>
    <row r="1012" spans="1:1" x14ac:dyDescent="0.25">
      <c r="A1012" s="41" t="str">
        <f ca="1">IF(MID(A$179,1,2)="//","//","")&amp;'App BSS'!K290</f>
        <v>//                                                     section .bss object TickTime.o };</v>
      </c>
    </row>
    <row r="1013" spans="1:1" x14ac:dyDescent="0.25">
      <c r="A1013" s="41" t="str">
        <f ca="1">IF(MID(A$180,1,2)="//","//","")&amp;'App BSS'!K291</f>
        <v>define block radio_BSS_BLK with alignment = 4      { section .bss object radio.o,</v>
      </c>
    </row>
    <row r="1014" spans="1:1" x14ac:dyDescent="0.25">
      <c r="A1014" s="41" t="str">
        <f ca="1">IF(MID(A$180,1,2)="//","//","")&amp;'App BSS'!K292</f>
        <v xml:space="preserve">                                                     section .bss object radio_comm.o,</v>
      </c>
    </row>
    <row r="1015" spans="1:1" x14ac:dyDescent="0.25">
      <c r="A1015" s="41" t="str">
        <f ca="1">IF(MID(A$180,1,2)="//","//","")&amp;'App BSS'!K293</f>
        <v xml:space="preserve">                                                     section .bss object si446x_api_lib.o,</v>
      </c>
    </row>
    <row r="1016" spans="1:1" x14ac:dyDescent="0.25">
      <c r="A1016" s="41" t="str">
        <f ca="1">IF(MID(A$180,1,2)="//","//","")&amp;'App BSS'!K294</f>
        <v xml:space="preserve">                                                     section .bss object radio_config_normal.o,</v>
      </c>
    </row>
    <row r="1017" spans="1:1" x14ac:dyDescent="0.25">
      <c r="A1017" s="41" t="str">
        <f ca="1">IF(MID(A$180,1,2)="//","//","")&amp;'App BSS'!K295</f>
        <v xml:space="preserve">                                                     section .bss object radio_config_cw.o,</v>
      </c>
    </row>
    <row r="1018" spans="1:1" x14ac:dyDescent="0.25">
      <c r="A1018" s="41" t="str">
        <f ca="1">IF(MID(A$180,1,2)="//","//","")&amp;'App BSS'!K296</f>
        <v xml:space="preserve">                                                     section .bss object radio_config_PN9.o,</v>
      </c>
    </row>
    <row r="1019" spans="1:1" x14ac:dyDescent="0.25">
      <c r="A1019" s="41" t="str">
        <f ca="1">IF(MID(A$180,1,2)="//","//","")&amp;'App BSS'!K297</f>
        <v xml:space="preserve">                                                     section .bss object radio_config_2GFSK_BER.o,</v>
      </c>
    </row>
    <row r="1020" spans="1:1" x14ac:dyDescent="0.25">
      <c r="A1020" s="41" t="str">
        <f ca="1">IF(MID(A$180,1,2)="//","//","")&amp;'App BSS'!K298</f>
        <v xml:space="preserve">                                                     section .bss object radio_config_4GFSK_BER.o,</v>
      </c>
    </row>
    <row r="1021" spans="1:1" x14ac:dyDescent="0.25">
      <c r="A1021" s="41" t="str">
        <f ca="1">IF(MID(A$180,1,2)="//","//","")&amp;'App BSS'!K299</f>
        <v xml:space="preserve">                                                     section .bss object radio_TCXO.o };</v>
      </c>
    </row>
    <row r="1022" spans="1:1" x14ac:dyDescent="0.25">
      <c r="A1022" s="41" t="str">
        <f ca="1">IF(MID(A$181,1,2)="//","//","")&amp;'App BSS'!K300</f>
        <v>define block security_BSS_BLK with alignment = 4   { section .bss object cert-builder.o,</v>
      </c>
    </row>
    <row r="1023" spans="1:1" x14ac:dyDescent="0.25">
      <c r="A1023" s="41" t="str">
        <f ca="1">IF(MID(A$181,1,2)="//","//","")&amp;'App BSS'!K301</f>
        <v xml:space="preserve">                                                     section .bss object ecc108_apps.o,</v>
      </c>
    </row>
    <row r="1024" spans="1:1" x14ac:dyDescent="0.25">
      <c r="A1024" s="41" t="str">
        <f ca="1">IF(MID(A$181,1,2)="//","//","")&amp;'App BSS'!K302</f>
        <v xml:space="preserve">                                                     section .bss object ecc108_comm.o,</v>
      </c>
    </row>
    <row r="1025" spans="1:1" x14ac:dyDescent="0.25">
      <c r="A1025" s="41" t="str">
        <f ca="1">IF(MID(A$181,1,2)="//","//","")&amp;'App BSS'!K303</f>
        <v xml:space="preserve">                                                     section .bss object ecc108_comm_marshaling.o,</v>
      </c>
    </row>
    <row r="1026" spans="1:1" x14ac:dyDescent="0.25">
      <c r="A1026" s="41" t="str">
        <f ca="1">IF(MID(A$181,1,2)="//","//","")&amp;'App BSS'!K304</f>
        <v xml:space="preserve">                                                     section .bss object ecc108_i2c.o,</v>
      </c>
    </row>
    <row r="1027" spans="1:1" x14ac:dyDescent="0.25">
      <c r="A1027" s="41" t="str">
        <f ca="1">IF(MID(A$181,1,2)="//","//","")&amp;'App BSS'!K305</f>
        <v xml:space="preserve">                                                     section .bss object ecc108_mqx.o };</v>
      </c>
    </row>
    <row r="1028" spans="1:1" x14ac:dyDescent="0.25">
      <c r="A1028" s="41" t="str">
        <f ca="1">IF(MID(A$182,1,2)="//","//","")&amp;'App BSS'!K306</f>
        <v>define block AclaraBSP_BSS_BLK with alignment = 4  { section .bss object ADC.o,</v>
      </c>
    </row>
    <row r="1029" spans="1:1" x14ac:dyDescent="0.25">
      <c r="A1029" s="41" t="str">
        <f ca="1">IF(MID(A$182,1,2)="//","//","")&amp;'App BSS'!K307</f>
        <v xml:space="preserve">                                                     section .bss object BSP_aclara.o,</v>
      </c>
    </row>
    <row r="1030" spans="1:1" x14ac:dyDescent="0.25">
      <c r="A1030" s="41" t="str">
        <f ca="1">IF(MID(A$182,1,2)="//","//","")&amp;'App BSS'!K308</f>
        <v xml:space="preserve">                                                     section .bss object CRC.o,</v>
      </c>
    </row>
    <row r="1031" spans="1:1" x14ac:dyDescent="0.25">
      <c r="A1031" s="41" t="str">
        <f ca="1">IF(MID(A$182,1,2)="//","//","")&amp;'App BSS'!K309</f>
        <v xml:space="preserve">                                                     section .bss object gpio.o,</v>
      </c>
    </row>
    <row r="1032" spans="1:1" x14ac:dyDescent="0.25">
      <c r="A1032" s="41" t="str">
        <f ca="1">IF(MID(A$182,1,2)="//","//","")&amp;'App BSS'!K310</f>
        <v xml:space="preserve">                                                     section .bss object LED.o,</v>
      </c>
    </row>
    <row r="1033" spans="1:1" x14ac:dyDescent="0.25">
      <c r="A1033" s="41" t="str">
        <f ca="1">IF(MID(A$182,1,2)="//","//","")&amp;'App BSS'!K311</f>
        <v xml:space="preserve">                                                     section .bss object radio_hal.o,</v>
      </c>
    </row>
    <row r="1034" spans="1:1" x14ac:dyDescent="0.25">
      <c r="A1034" s="41" t="str">
        <f ca="1">IF(MID(A$182,1,2)="//","//","")&amp;'App BSS'!K312</f>
        <v xml:space="preserve">                                                     section .bss object rng.o,</v>
      </c>
    </row>
    <row r="1035" spans="1:1" x14ac:dyDescent="0.25">
      <c r="A1035" s="41" t="str">
        <f ca="1">IF(MID(A$182,1,2)="//","//","")&amp;'App BSS'!K313</f>
        <v xml:space="preserve">                                                     section .bss object RTC.o,</v>
      </c>
    </row>
    <row r="1036" spans="1:1" x14ac:dyDescent="0.25">
      <c r="A1036" s="41" t="str">
        <f ca="1">IF(MID(A$182,1,2)="//","//","")&amp;'App BSS'!K314</f>
        <v xml:space="preserve">                                                     section .bss object sys_clock.o,</v>
      </c>
    </row>
    <row r="1037" spans="1:1" x14ac:dyDescent="0.25">
      <c r="A1037" s="41" t="str">
        <f ca="1">IF(MID(A$182,1,2)="//","//","")&amp;'App BSS'!K315</f>
        <v xml:space="preserve">                                                     section .bss object UART.o,</v>
      </c>
    </row>
    <row r="1038" spans="1:1" x14ac:dyDescent="0.25">
      <c r="A1038" s="41" t="str">
        <f ca="1">IF(MID(A$182,1,2)="//","//","")&amp;'App BSS'!K316</f>
        <v xml:space="preserve">                                                     section .bss object WDOG.o };</v>
      </c>
    </row>
    <row r="1039" spans="1:1" x14ac:dyDescent="0.25">
      <c r="A1039" s="41" t="str">
        <f ca="1">IF(MID(A$183,1,2)="//","//","")&amp;'App BSS'!K317</f>
        <v>define block Common_BSS_BLK with alignment = 4     { section .bss object alarm_task.o,</v>
      </c>
    </row>
    <row r="1040" spans="1:1" x14ac:dyDescent="0.25">
      <c r="A1040" s="41" t="str">
        <f ca="1">IF(MID(A$183,1,2)="//","//","")&amp;'App BSS'!K318</f>
        <v xml:space="preserve">                                                     section .bss object ALRM_Handler.o,</v>
      </c>
    </row>
    <row r="1041" spans="1:1" x14ac:dyDescent="0.25">
      <c r="A1041" s="41" t="str">
        <f ca="1">IF(MID(A$183,1,2)="//","//","")&amp;'App BSS'!K319</f>
        <v xml:space="preserve">                                                     section .bss object BUF_MemoryBuffers.o,</v>
      </c>
    </row>
    <row r="1042" spans="1:1" x14ac:dyDescent="0.25">
      <c r="A1042" s="41" t="str">
        <f ca="1">IF(MID(A$183,1,2)="//","//","")&amp;'App BSS'!K320</f>
        <v xml:space="preserve">                                                     section .bss object buffer.o,</v>
      </c>
    </row>
    <row r="1043" spans="1:1" x14ac:dyDescent="0.25">
      <c r="A1043" s="41" t="str">
        <f ca="1">IF(MID(A$183,1,2)="//","//","")&amp;'App BSS'!K321</f>
        <v xml:space="preserve">                                                     section .bss object DBG_CommandLine.o,</v>
      </c>
    </row>
    <row r="1044" spans="1:1" x14ac:dyDescent="0.25">
      <c r="A1044" s="41" t="str">
        <f ca="1">IF(MID(A$183,1,2)="//","//","")&amp;'App BSS'!K322</f>
        <v xml:space="preserve">                                                     section .bss object DBG_SerialDebug.o,</v>
      </c>
    </row>
    <row r="1045" spans="1:1" x14ac:dyDescent="0.25">
      <c r="A1045" s="41" t="str">
        <f ca="1">IF(MID(A$183,1,2)="//","//","")&amp;'App BSS'!K323</f>
        <v xml:space="preserve">                                                     section .bss object eng_res.o,</v>
      </c>
    </row>
    <row r="1046" spans="1:1" x14ac:dyDescent="0.25">
      <c r="A1046" s="41" t="str">
        <f ca="1">IF(MID(A$183,1,2)="//","//","")&amp;'App BSS'!K324</f>
        <v xml:space="preserve">                                                     section .bss object EVL_event_log.o,</v>
      </c>
    </row>
    <row r="1047" spans="1:1" x14ac:dyDescent="0.25">
      <c r="A1047" s="41" t="str">
        <f ca="1">IF(MID(A$183,1,2)="//","//","")&amp;'App BSS'!K325</f>
        <v xml:space="preserve">                                                     section .bss object exe_list.o,</v>
      </c>
    </row>
    <row r="1048" spans="1:1" x14ac:dyDescent="0.25">
      <c r="A1048" s="41" t="str">
        <f ca="1">IF(MID(A$183,1,2)="//","//","")&amp;'App BSS'!K326</f>
        <v xml:space="preserve">                                                     section .bss object file_io.o,</v>
      </c>
    </row>
    <row r="1049" spans="1:1" x14ac:dyDescent="0.25">
      <c r="A1049" s="41" t="str">
        <f ca="1">IF(MID(A$183,1,2)="//","//","")&amp;'App BSS'!K327</f>
        <v xml:space="preserve">                                                     section .bss object HEEP_util.o,</v>
      </c>
    </row>
    <row r="1050" spans="1:1" x14ac:dyDescent="0.25">
      <c r="A1050" s="41" t="str">
        <f ca="1">IF(MID(A$183,1,2)="//","//","")&amp;'App BSS'!K328</f>
        <v xml:space="preserve">                                                     section .bss object mem_chk.o,</v>
      </c>
    </row>
    <row r="1051" spans="1:1" x14ac:dyDescent="0.25">
      <c r="A1051" s="41" t="str">
        <f ca="1">IF(MID(A$183,1,2)="//","//","")&amp;'App BSS'!K329</f>
        <v xml:space="preserve">                                                     section .bss object MFG_Dtls.o,</v>
      </c>
    </row>
    <row r="1052" spans="1:1" x14ac:dyDescent="0.25">
      <c r="A1052" s="41" t="str">
        <f ca="1">IF(MID(A$183,1,2)="//","//","")&amp;'App BSS'!K330</f>
        <v xml:space="preserve">                                                     section .bss object MFG_Port.o,</v>
      </c>
    </row>
    <row r="1053" spans="1:1" x14ac:dyDescent="0.25">
      <c r="A1053" s="41" t="str">
        <f ca="1">IF(MID(A$183,1,2)="//","//","")&amp;'App BSS'!K331</f>
        <v xml:space="preserve">                                                     section .bss object MIMT_info.o,</v>
      </c>
    </row>
    <row r="1054" spans="1:1" x14ac:dyDescent="0.25">
      <c r="A1054" s="41" t="str">
        <f ca="1">IF(MID(A$183,1,2)="//","//","")&amp;'App BSS'!K332</f>
        <v xml:space="preserve">                                                     section .bss object mode_config.o,</v>
      </c>
    </row>
    <row r="1055" spans="1:1" x14ac:dyDescent="0.25">
      <c r="A1055" s="41" t="str">
        <f ca="1">IF(MID(A$183,1,2)="//","//","")&amp;'App BSS'!K333</f>
        <v xml:space="preserve">                                                     section .bss object object_list.o,</v>
      </c>
    </row>
    <row r="1056" spans="1:1" x14ac:dyDescent="0.25">
      <c r="A1056" s="41" t="str">
        <f ca="1">IF(MID(A$183,1,2)="//","//","")&amp;'App BSS'!K334</f>
        <v xml:space="preserve">                                                     section .bss object partitions.o,</v>
      </c>
    </row>
    <row r="1057" spans="1:1" x14ac:dyDescent="0.25">
      <c r="A1057" s="41" t="str">
        <f ca="1">IF(MID(A$183,1,2)="//","//","")&amp;'App BSS'!K335</f>
        <v xml:space="preserve">                                                     section .bss object runTimeInit.o,</v>
      </c>
    </row>
    <row r="1058" spans="1:1" x14ac:dyDescent="0.25">
      <c r="A1058" s="41" t="str">
        <f ca="1">IF(MID(A$183,1,2)="//","//","")&amp;'App BSS'!K336</f>
        <v xml:space="preserve">                                                     section .bss object SELF_test.o,</v>
      </c>
    </row>
    <row r="1059" spans="1:1" x14ac:dyDescent="0.25">
      <c r="A1059" s="41" t="str">
        <f ca="1">IF(MID(A$183,1,2)="//","//","")&amp;'App BSS'!K337</f>
        <v xml:space="preserve">                                                     section .bss object stack_check.o,</v>
      </c>
    </row>
    <row r="1060" spans="1:1" x14ac:dyDescent="0.25">
      <c r="A1060" s="41" t="str">
        <f ca="1">IF(MID(A$183,1,2)="//","//","")&amp;'App BSS'!K338</f>
        <v xml:space="preserve">                                                     section .bss object sys_busy.o,</v>
      </c>
    </row>
    <row r="1061" spans="1:1" x14ac:dyDescent="0.25">
      <c r="A1061" s="41" t="str">
        <f ca="1">IF(MID(A$183,1,2)="//","//","")&amp;'App BSS'!K339</f>
        <v xml:space="preserve">                                                     section .bss object temperature.o,</v>
      </c>
    </row>
    <row r="1062" spans="1:1" x14ac:dyDescent="0.25">
      <c r="A1062" s="41" t="str">
        <f ca="1">IF(MID(A$183,1,2)="//","//","")&amp;'App BSS'!K340</f>
        <v xml:space="preserve">                                                     section .bss object time_DST.o,</v>
      </c>
    </row>
    <row r="1063" spans="1:1" x14ac:dyDescent="0.25">
      <c r="A1063" s="41" t="str">
        <f ca="1">IF(MID(A$183,1,2)="//","//","")&amp;'App BSS'!K341</f>
        <v xml:space="preserve">                                                     section .bss object time_sync.o,</v>
      </c>
    </row>
    <row r="1064" spans="1:1" x14ac:dyDescent="0.25">
      <c r="A1064" s="41" t="str">
        <f ca="1">IF(MID(A$183,1,2)="//","//","")&amp;'App BSS'!K342</f>
        <v xml:space="preserve">                                                     section .bss object time_sys.o,</v>
      </c>
    </row>
    <row r="1065" spans="1:1" x14ac:dyDescent="0.25">
      <c r="A1065" s="41" t="str">
        <f ca="1">IF(MID(A$183,1,2)="//","//","")&amp;'App BSS'!K343</f>
        <v xml:space="preserve">                                                     section .bss object virgin_device.o,</v>
      </c>
    </row>
    <row r="1066" spans="1:1" x14ac:dyDescent="0.25">
      <c r="A1066" s="41" t="str">
        <f ca="1">IF(MID(A$183,1,2)="//","//","")&amp;'App BSS'!K344</f>
        <v xml:space="preserve">                                                     section .bss object FTM0.o,</v>
      </c>
    </row>
    <row r="1067" spans="1:1" x14ac:dyDescent="0.25">
      <c r="A1067" s="41" t="str">
        <f ca="1">IF(MID(A$183,1,2)="//","//","")&amp;'App BSS'!K345</f>
        <v xml:space="preserve">                                                     section .bss object FTM1.o,</v>
      </c>
    </row>
    <row r="1068" spans="1:1" x14ac:dyDescent="0.25">
      <c r="A1068" s="41" t="str">
        <f ca="1">IF(MID(A$183,1,2)="//","//","")&amp;'App BSS'!K346</f>
        <v xml:space="preserve">                                                     section .bss object FTM2.o,</v>
      </c>
    </row>
    <row r="1069" spans="1:1" x14ac:dyDescent="0.25">
      <c r="A1069" s="41" t="str">
        <f ca="1">IF(MID(A$183,1,2)="//","//","")&amp;'App BSS'!K347</f>
        <v xml:space="preserve">                                                     section .bss object FTM3.o };</v>
      </c>
    </row>
    <row r="1070" spans="1:1" x14ac:dyDescent="0.25">
      <c r="A1070" s="41" t="str">
        <f ca="1">IF(MID(A$184,1,2)="//","//","")&amp;'App BSS'!K348</f>
        <v>//define block HMC_BSS_BLK with alignment = 4        { section .bss object hmc_app.o,</v>
      </c>
    </row>
    <row r="1071" spans="1:1" x14ac:dyDescent="0.25">
      <c r="A1071" s="41" t="str">
        <f ca="1">IF(MID(A$184,1,2)="//","//","")&amp;'App BSS'!K349</f>
        <v>//                                                     section .bss object hmc_demand.o,</v>
      </c>
    </row>
    <row r="1072" spans="1:1" x14ac:dyDescent="0.25">
      <c r="A1072" s="41" t="str">
        <f ca="1">IF(MID(A$184,1,2)="//","//","")&amp;'App BSS'!K349</f>
        <v>//                                                     section .bss object hmc_demand.o,</v>
      </c>
    </row>
    <row r="1073" spans="1:1" x14ac:dyDescent="0.25">
      <c r="A1073" s="41" t="str">
        <f ca="1">IF(MID(A$184,1,2)="//","//","")&amp;'App BSS'!K350</f>
        <v>//                                                     section .bss object hmc_diags.o,</v>
      </c>
    </row>
    <row r="1074" spans="1:1" x14ac:dyDescent="0.25">
      <c r="A1074" s="41" t="str">
        <f ca="1">IF(MID(A$184,1,2)="//","//","")&amp;'App BSS'!K351</f>
        <v>//                                                     section .bss object hmc_ds.o,</v>
      </c>
    </row>
    <row r="1075" spans="1:1" x14ac:dyDescent="0.25">
      <c r="A1075" s="41" t="str">
        <f ca="1">IF(MID(A$184,1,2)="//","//","")&amp;'App BSS'!K352</f>
        <v>//                                                     section .bss object hmc_eng.o,</v>
      </c>
    </row>
    <row r="1076" spans="1:1" x14ac:dyDescent="0.25">
      <c r="A1076" s="41" t="str">
        <f ca="1">IF(MID(A$184,1,2)="//","//","")&amp;'App BSS'!K353</f>
        <v>//                                                     section .bss object hmc_finish.o,</v>
      </c>
    </row>
    <row r="1077" spans="1:1" x14ac:dyDescent="0.25">
      <c r="A1077" s="41" t="str">
        <f ca="1">IF(MID(A$184,1,2)="//","//","")&amp;'App BSS'!K354</f>
        <v>//                                                     section .bss object hmc_msg.o,</v>
      </c>
    </row>
    <row r="1078" spans="1:1" x14ac:dyDescent="0.25">
      <c r="A1078" s="41" t="str">
        <f ca="1">IF(MID(A$184,1,2)="//","//","")&amp;'App BSS'!K355</f>
        <v>//                                                     section .bss object hmc_mtr_info.o,</v>
      </c>
    </row>
    <row r="1079" spans="1:1" x14ac:dyDescent="0.25">
      <c r="A1079" s="41" t="str">
        <f ca="1">IF(MID(A$184,1,2)="//","//","")&amp;'App BSS'!K356</f>
        <v>//                                                     section .bss object hmc_mtr_lp.o,</v>
      </c>
    </row>
    <row r="1080" spans="1:1" x14ac:dyDescent="0.25">
      <c r="A1080" s="41" t="str">
        <f ca="1">IF(MID(A$184,1,2)="//","//","")&amp;'App BSS'!K357</f>
        <v>//                                                     section .bss object hmc_prot.o,</v>
      </c>
    </row>
    <row r="1081" spans="1:1" x14ac:dyDescent="0.25">
      <c r="A1081" s="41" t="str">
        <f ca="1">IF(MID(A$184,1,2)="//","//","")&amp;'App BSS'!K358</f>
        <v>//                                                     section .bss object hmc_request.o,</v>
      </c>
    </row>
    <row r="1082" spans="1:1" x14ac:dyDescent="0.25">
      <c r="A1082" s="41" t="str">
        <f ca="1">IF(MID(A$184,1,2)="//","//","")&amp;'App BSS'!K359</f>
        <v>//                                                     section .bss object hmc_seq_id.o,</v>
      </c>
    </row>
    <row r="1083" spans="1:1" x14ac:dyDescent="0.25">
      <c r="A1083" s="41" t="str">
        <f ca="1">IF(MID(A$184,1,2)="//","//","")&amp;'App BSS'!K360</f>
        <v>//                                                     section .bss object hmc_snapshot.o,</v>
      </c>
    </row>
    <row r="1084" spans="1:1" x14ac:dyDescent="0.25">
      <c r="A1084" s="41" t="str">
        <f ca="1">IF(MID(A$184,1,2)="//","//","")&amp;'App BSS'!K361</f>
        <v>//                                                     section .bss object hmc_start.o,</v>
      </c>
    </row>
    <row r="1085" spans="1:1" x14ac:dyDescent="0.25">
      <c r="A1085" s="41" t="str">
        <f ca="1">IF(MID(A$184,1,2)="//","//","")&amp;'App BSS'!K362</f>
        <v>//                                                     section .bss object hmc_sync.o,</v>
      </c>
    </row>
    <row r="1086" spans="1:1" x14ac:dyDescent="0.25">
      <c r="A1086" s="41" t="str">
        <f ca="1">IF(MID(A$184,1,2)="//","//","")&amp;'App BSS'!K363</f>
        <v>//                                                     section .bss object hmc_time.o,</v>
      </c>
    </row>
    <row r="1087" spans="1:1" x14ac:dyDescent="0.25">
      <c r="A1087" s="41" t="str">
        <f ca="1">IF(MID(A$184,1,2)="//","//","")&amp;'App BSS'!K364</f>
        <v>//                                                     section .bss object hmc_tsk_lst.o,</v>
      </c>
    </row>
    <row r="1088" spans="1:1" x14ac:dyDescent="0.25">
      <c r="A1088" s="41" t="str">
        <f ca="1">IF(MID(A$184,1,2)="//","//","")&amp;'App BSS'!K365</f>
        <v>//                                                     section .bss object intf_cim_cmd.o,</v>
      </c>
    </row>
    <row r="1089" spans="1:1" x14ac:dyDescent="0.25">
      <c r="A1089" s="41" t="str">
        <f ca="1">IF(MID(A$184,1,2)="//","//","")&amp;'App BSS'!K366</f>
        <v>//                                                     section .bss object hmc_prg_mtr.o,</v>
      </c>
    </row>
    <row r="1090" spans="1:1" x14ac:dyDescent="0.25">
      <c r="A1090" s="41" t="str">
        <f ca="1">IF(MID(A$184,1,2)="//","//","")&amp;'App BSS'!K367</f>
        <v>//                                                     section .bss object hmc_display.o };</v>
      </c>
    </row>
    <row r="1091" spans="1:1" x14ac:dyDescent="0.25">
      <c r="A1091" s="41" t="str">
        <f ca="1">IF(MID(A$185,1,2)="//","//","")&amp;'App BSS'!K368</f>
        <v>define block AclaraDA_BSS_BLK with alignment = 4   { section .bss object b2b.o,</v>
      </c>
    </row>
    <row r="1092" spans="1:1" x14ac:dyDescent="0.25">
      <c r="A1092" s="41" t="str">
        <f ca="1">IF(MID(A$185,1,2)="//","//","")&amp;'App BSS'!K369</f>
        <v xml:space="preserve">                                                     section .bss object b2b_req_handler.o,</v>
      </c>
    </row>
    <row r="1093" spans="1:1" x14ac:dyDescent="0.25">
      <c r="A1093" s="41" t="str">
        <f ca="1">IF(MID(A$185,1,2)="//","//","")&amp;'App BSS'!K370</f>
        <v xml:space="preserve">                                                     section .bss object b2bMessage.o,</v>
      </c>
    </row>
    <row r="1094" spans="1:1" x14ac:dyDescent="0.25">
      <c r="A1094" s="41" t="str">
        <f ca="1">IF(MID(A$185,1,2)="//","//","")&amp;'App BSS'!K371</f>
        <v xml:space="preserve">                                                     section .bss object da_srfn_reg.o,</v>
      </c>
    </row>
    <row r="1095" spans="1:1" x14ac:dyDescent="0.25">
      <c r="A1095" s="41" t="str">
        <f ca="1">IF(MID(A$185,1,2)="//","//","")&amp;'App BSS'!K372</f>
        <v xml:space="preserve">                                                     section .bss object hdlc_frame.o,</v>
      </c>
    </row>
    <row r="1096" spans="1:1" x14ac:dyDescent="0.25">
      <c r="A1096" s="41" t="str">
        <f ca="1">IF(MID(A$185,1,2)="//","//","")&amp;'App BSS'!K373</f>
        <v xml:space="preserve">                                                     section .bss object host_reset.o,</v>
      </c>
    </row>
    <row r="1097" spans="1:1" x14ac:dyDescent="0.25">
      <c r="A1097" s="41" t="str">
        <f ca="1">IF(MID(A$185,1,2)="//","//","")&amp;'App BSS'!K374</f>
        <v xml:space="preserve">                                                     section .bss object nw_connected.o,</v>
      </c>
    </row>
    <row r="1098" spans="1:1" x14ac:dyDescent="0.25">
      <c r="A1098" s="41" t="str">
        <f ca="1">IF(MID(A$185,1,2)="//","//","")&amp;'App BSS'!K375</f>
        <v xml:space="preserve">                                                     section .bss object TUNNEL_MSG_Handler.o,</v>
      </c>
    </row>
    <row r="1099" spans="1:1" x14ac:dyDescent="0.25">
      <c r="A1099" s="41" t="str">
        <f ca="1">IF(MID(A$185,1,2)="//","//","")&amp;'App BSS'!K376</f>
        <v xml:space="preserve">                                                     section .bss object tunnel_Util.o };</v>
      </c>
    </row>
    <row r="1100" spans="1:1" x14ac:dyDescent="0.25">
      <c r="A1100" s="41" t="str">
        <f ca="1">IF(MID(A$186,1,2)="//","//","")&amp;'App BSS'!K377</f>
        <v>define block MTU_Common_BSS_BLK with alignment = 4 { section .bss object APP_MSG_Handler.o,</v>
      </c>
    </row>
    <row r="1101" spans="1:1" x14ac:dyDescent="0.25">
      <c r="A1101" s="41" t="str">
        <f ca="1">IF(MID(A$186,1,2)="//","//","")&amp;'App BSS'!K378</f>
        <v xml:space="preserve">                                                     section .bss object demand.o,</v>
      </c>
    </row>
    <row r="1102" spans="1:1" x14ac:dyDescent="0.25">
      <c r="A1102" s="41" t="str">
        <f ca="1">IF(MID(A$186,1,2)="//","//","")&amp;'App BSS'!K379</f>
        <v xml:space="preserve">                                                     section .bss object ed_config.o,</v>
      </c>
    </row>
    <row r="1103" spans="1:1" x14ac:dyDescent="0.25">
      <c r="A1103" s="41" t="str">
        <f ca="1">IF(MID(A$186,1,2)="//","//","")&amp;'App BSS'!K380</f>
        <v xml:space="preserve">                                                     section .bss object endpt_cim_cmd.o,</v>
      </c>
    </row>
    <row r="1104" spans="1:1" x14ac:dyDescent="0.25">
      <c r="A1104" s="41" t="str">
        <f ca="1">IF(MID(A$186,1,2)="//","//","")&amp;'App BSS'!K381</f>
        <v xml:space="preserve">                                                     section .bss object historyd.o,</v>
      </c>
    </row>
    <row r="1105" spans="1:1" x14ac:dyDescent="0.25">
      <c r="A1105" s="41" t="str">
        <f ca="1">IF(MID(A$186,1,2)="//","//","")&amp;'App BSS'!K382</f>
        <v xml:space="preserve">                                                     section .bss object ID_intervalTask.o,</v>
      </c>
    </row>
    <row r="1106" spans="1:1" x14ac:dyDescent="0.25">
      <c r="A1106" s="41" t="str">
        <f ca="1">IF(MID(A$186,1,2)="//","//","")&amp;'App BSS'!K383</f>
        <v xml:space="preserve">                                                     section .bss object IDL_IdleProcess.o,</v>
      </c>
    </row>
    <row r="1107" spans="1:1" x14ac:dyDescent="0.25">
      <c r="A1107" s="41" t="str">
        <f ca="1">IF(MID(A$186,1,2)="//","//","")&amp;'App BSS'!K384</f>
        <v xml:space="preserve">                                                     section .bss object OR_MR_Handler.o,</v>
      </c>
    </row>
    <row r="1108" spans="1:1" x14ac:dyDescent="0.25">
      <c r="A1108" s="41" t="str">
        <f ca="1">IF(MID(A$186,1,2)="//","//","")&amp;'App BSS'!K385</f>
        <v xml:space="preserve">                                                     section .bss object pwr_config.o,</v>
      </c>
    </row>
    <row r="1109" spans="1:1" x14ac:dyDescent="0.25">
      <c r="A1109" s="41" t="str">
        <f ca="1">IF(MID(A$186,1,2)="//","//","")&amp;'App BSS'!K386</f>
        <v xml:space="preserve">                                                     section .bss object pwr_last_gasp.o,</v>
      </c>
    </row>
    <row r="1110" spans="1:1" x14ac:dyDescent="0.25">
      <c r="A1110" s="41" t="str">
        <f ca="1">IF(MID(A$186,1,2)="//","//","")&amp;'App BSS'!K387</f>
        <v xml:space="preserve">                                                     section .bss object pwr_restore.o,</v>
      </c>
    </row>
    <row r="1111" spans="1:1" x14ac:dyDescent="0.25">
      <c r="A1111" s="41" t="str">
        <f ca="1">IF(MID(A$186,1,2)="//","//","")&amp;'App BSS'!K388</f>
        <v xml:space="preserve">                                                     section .bss object pwr_task.o,</v>
      </c>
    </row>
    <row r="1112" spans="1:1" x14ac:dyDescent="0.25">
      <c r="A1112" s="41" t="str">
        <f ca="1">IF(MID(A$186,1,2)="//","//","")&amp;'App BSS'!K389</f>
        <v xml:space="preserve">                                                     section .bss object RG_CF_Handler.o,</v>
      </c>
    </row>
    <row r="1113" spans="1:1" x14ac:dyDescent="0.25">
      <c r="A1113" s="41" t="str">
        <f ca="1">IF(MID(A$186,1,2)="//","//","")&amp;'App BSS'!K390</f>
        <v xml:space="preserve">                                                     section .bss object RG_MD_Handler.o,</v>
      </c>
    </row>
    <row r="1114" spans="1:1" x14ac:dyDescent="0.25">
      <c r="A1114" s="41" t="str">
        <f ca="1">IF(MID(A$186,1,2)="//","//","")&amp;'App BSS'!K391</f>
        <v xml:space="preserve">                                                     section .bss object STRT_Startup.o,</v>
      </c>
    </row>
    <row r="1115" spans="1:1" x14ac:dyDescent="0.25">
      <c r="A1115" s="41" t="str">
        <f ca="1">IF(MID(A$186,1,2)="//","//","")&amp;'App BSS'!K392</f>
        <v xml:space="preserve">                                                     section .bss object Task.o,</v>
      </c>
    </row>
    <row r="1116" spans="1:1" x14ac:dyDescent="0.25">
      <c r="A1116" s="41" t="str">
        <f ca="1">IF(MID(A$186,1,2)="//","//","")&amp;'App BSS'!K393</f>
        <v xml:space="preserve">                                                     section .bss object vbat_reg.o,</v>
      </c>
    </row>
    <row r="1117" spans="1:1" x14ac:dyDescent="0.25">
      <c r="A1117" s="41" t="str">
        <f ca="1">IF(MID(A$186,1,2)="//","//","")&amp;'App BSS'!K394</f>
        <v xml:space="preserve">                                                     section .bss object version.o };</v>
      </c>
    </row>
    <row r="1118" spans="1:1" x14ac:dyDescent="0.25">
      <c r="A1118" s="41" t="str">
        <f ca="1">IF(MID(A175,1,2)="//","//","")&amp;'App BSS'!K395</f>
        <v>"utils_BSS":      place at address mem: utils_BSS      { block utils_BSS_BLK, rw data };</v>
      </c>
    </row>
    <row r="1119" spans="1:1" x14ac:dyDescent="0.25">
      <c r="A1119" s="41" t="str">
        <f ca="1">IF(MID(A176,1,2)="//","//","")&amp;'App BSS'!K396</f>
        <v>"dfw_BSS":        place at address mem: dfw_BSS        { block dfw_BSS_BLK, rw data };</v>
      </c>
    </row>
    <row r="1120" spans="1:1" x14ac:dyDescent="0.25">
      <c r="A1120" s="41" t="str">
        <f ca="1">IF(MID(A177,1,2)="//","//","")&amp;'App BSS'!K397</f>
        <v>"driver_BSS":     place at address mem: driver_BSS     { block driver_BSS_BLK, rw data };</v>
      </c>
    </row>
    <row r="1121" spans="1:1" x14ac:dyDescent="0.25">
      <c r="A1121" s="41" t="str">
        <f ca="1">IF(MID(A178,1,2)="//","//","")&amp;'App BSS'!K398</f>
        <v>"stack_BSS":      place at address mem: stack_BSS      { block stack_BSS_BLK, rw data };</v>
      </c>
    </row>
    <row r="1122" spans="1:1" x14ac:dyDescent="0.25">
      <c r="A1122" s="41" t="str">
        <f ca="1">IF(MID(A179,1,2)="//","//","")&amp;'App BSS'!K399</f>
        <v>//"OS_API_BSS":     place at address mem: OS_API_BSS     { block OS_API_BSS_BLK, rw data };</v>
      </c>
    </row>
    <row r="1123" spans="1:1" x14ac:dyDescent="0.25">
      <c r="A1123" s="41" t="str">
        <f ca="1">IF(MID(A180,1,2)="//","//","")&amp;'App BSS'!K400</f>
        <v>"radio_BSS":      place at address mem: radio_BSS      { block radio_BSS_BLK, rw data };</v>
      </c>
    </row>
    <row r="1124" spans="1:1" x14ac:dyDescent="0.25">
      <c r="A1124" s="41" t="str">
        <f ca="1">IF(MID(A181,1,2)="//","//","")&amp;'App BSS'!K401</f>
        <v>"security_BSS":   place at address mem: security_BSS   { block security_BSS_BLK, rw data };</v>
      </c>
    </row>
    <row r="1125" spans="1:1" x14ac:dyDescent="0.25">
      <c r="A1125" s="41" t="str">
        <f ca="1">IF(MID(A182,1,2)="//","//","")&amp;'App BSS'!K402</f>
        <v>"AclaraBSP_BSS":  place at address mem: AclaraBSP_BSS  { block AclaraBSP_BSS_BLK, rw data };</v>
      </c>
    </row>
    <row r="1126" spans="1:1" x14ac:dyDescent="0.25">
      <c r="A1126" s="41" t="str">
        <f ca="1">IF(MID(A183,1,2)="//","//","")&amp;'App BSS'!K403</f>
        <v>"Common_BSS":     place at address mem: Common_BSS     { block Common_BSS_BLK, rw data };</v>
      </c>
    </row>
    <row r="1127" spans="1:1" x14ac:dyDescent="0.25">
      <c r="A1127" s="41" t="str">
        <f ca="1">IF(MID(A184,1,2)="//","//","")&amp;'App BSS'!K404</f>
        <v>//"HMC_BSS":        place at address mem: HMC_BSS        { block HMC_BSS_BLK, rw data };</v>
      </c>
    </row>
    <row r="1128" spans="1:1" x14ac:dyDescent="0.25">
      <c r="A1128" s="41" t="str">
        <f ca="1">IF(MID(A185,1,2)="//","//","")&amp;'App BSS'!K405</f>
        <v>"AclaraDA_BSS":   place at address mem: AclaraDA_BSS   { block AclaraDA_BSS_BLK, rw data };</v>
      </c>
    </row>
    <row r="1129" spans="1:1" x14ac:dyDescent="0.25">
      <c r="A1129" s="41" t="str">
        <f ca="1">IF(MID(A186,1,2)="//","//","")&amp;'App BSS'!K406</f>
        <v>"MTU_Common_BSS": place at address mem: MTU_Common_BSS { block MTU_Common_BSS_BLK, rw data };</v>
      </c>
    </row>
    <row r="1130" spans="1:1" x14ac:dyDescent="0.25">
      <c r="A1130" s="41" t="s">
        <v>856</v>
      </c>
    </row>
    <row r="1131" spans="1:1" x14ac:dyDescent="0.25">
      <c r="A1131" s="41"/>
    </row>
    <row r="1132" spans="1:1" x14ac:dyDescent="0.25">
      <c r="A1132" s="41" t="s">
        <v>857</v>
      </c>
    </row>
    <row r="1133" spans="1:1" x14ac:dyDescent="0.25">
      <c r="A1133" s="41" t="s">
        <v>862</v>
      </c>
    </row>
    <row r="1134" spans="1:1" x14ac:dyDescent="0.25">
      <c r="A1134" s="41" t="s">
        <v>855</v>
      </c>
    </row>
    <row r="1135" spans="1:1" x14ac:dyDescent="0.25">
      <c r="A1135" s="41" t="str">
        <f ca="1">IF(MID(A$85,1,2)="//","//","")&amp;'Linker Gen'!K5</f>
        <v>"IAR_DINIT": place at address mem: IAR_DINIT { ro data section .iar.init_table object * };</v>
      </c>
    </row>
    <row r="1136" spans="1:1" x14ac:dyDescent="0.25">
      <c r="A1136" s="41" t="s">
        <v>856</v>
      </c>
    </row>
    <row r="1137" spans="1:1" x14ac:dyDescent="0.25">
      <c r="A1137" s="41"/>
    </row>
    <row r="1138" spans="1:1" x14ac:dyDescent="0.25">
      <c r="A1138" s="41" t="s">
        <v>857</v>
      </c>
    </row>
    <row r="1139" spans="1:1" x14ac:dyDescent="0.25">
      <c r="A1139" s="41" t="s">
        <v>1035</v>
      </c>
    </row>
    <row r="1140" spans="1:1" x14ac:dyDescent="0.25">
      <c r="A1140" s="41" t="s">
        <v>855</v>
      </c>
    </row>
    <row r="1141" spans="1:1" x14ac:dyDescent="0.25">
      <c r="A1141" s="41" t="s">
        <v>1064</v>
      </c>
    </row>
    <row r="1142" spans="1:1" x14ac:dyDescent="0.25">
      <c r="A1142" s="41" t="str">
        <f ca="1">IF(MID(A92,1,2)="//","//","")&amp;CommandLine!K33</f>
        <v>//"CommandLine_TEXT":  place at address mem: CommandLine_TEXT  { ro code section .text object *(CommandLine.a) };</v>
      </c>
    </row>
    <row r="1143" spans="1:1" x14ac:dyDescent="0.25">
      <c r="A1143" s="41" t="str">
        <f ca="1">IF(MID(A93,1,2)="//","//","")&amp;CommandLine!K34</f>
        <v>//"CommandLine_CONST": place at address mem: CommandLine_CONST { ro data section .rodata object *(CommandLine.a) };</v>
      </c>
    </row>
    <row r="1144" spans="1:1" x14ac:dyDescent="0.25">
      <c r="A1144" s="41" t="str">
        <f ca="1">IF(MID(A94,1,2)="//","//","")&amp;CommandLine!K35</f>
        <v>//"CommandLine_DINIT": place at address mem: CommandLine_DINIT { ro data section *_init object *(CommandLine.a) };</v>
      </c>
    </row>
    <row r="1145" spans="1:1" x14ac:dyDescent="0.25">
      <c r="A1145" s="41" t="str">
        <f ca="1">IF(MID(A95,1,2)="//","//","")&amp;CommandLine!K36</f>
        <v>//"CommandLine_INIT":  place at address mem: CommandLine_INIT  { rw data section .data object *(CommandLine.a) };</v>
      </c>
    </row>
    <row r="1146" spans="1:1" x14ac:dyDescent="0.25">
      <c r="A1146" s="41" t="str">
        <f ca="1">IF(MID(A96,1,2)="//","//","")&amp;CommandLine!K37</f>
        <v>//"CommandLine_BSS":   place at address mem: CommandLine_BSS   { rw data section .bss object *(CommandLine.a) };</v>
      </c>
    </row>
    <row r="1147" spans="1:1" x14ac:dyDescent="0.25">
      <c r="A1147" s="41" t="s">
        <v>856</v>
      </c>
    </row>
    <row r="1148" spans="1:1" x14ac:dyDescent="0.25">
      <c r="A1148" s="41"/>
    </row>
    <row r="1149" spans="1:1" x14ac:dyDescent="0.25">
      <c r="A1149" s="41" t="s">
        <v>926</v>
      </c>
    </row>
    <row r="1150" spans="1:1" x14ac:dyDescent="0.25">
      <c r="A1150" s="41" t="s">
        <v>1047</v>
      </c>
    </row>
    <row r="1151" spans="1:1" x14ac:dyDescent="0.25">
      <c r="A1151" s="41" t="s">
        <v>855</v>
      </c>
    </row>
    <row r="1152" spans="1:1" x14ac:dyDescent="0.25">
      <c r="A1152" s="41" t="s">
        <v>1055</v>
      </c>
    </row>
    <row r="1153" spans="1:1" x14ac:dyDescent="0.25">
      <c r="A1153" s="41" t="s">
        <v>1056</v>
      </c>
    </row>
    <row r="1154" spans="1:1" x14ac:dyDescent="0.25">
      <c r="A1154" s="41" t="s">
        <v>1057</v>
      </c>
    </row>
    <row r="1155" spans="1:1" x14ac:dyDescent="0.25">
      <c r="A1155" s="41" t="s">
        <v>1058</v>
      </c>
    </row>
    <row r="1156" spans="1:1" x14ac:dyDescent="0.25">
      <c r="A1156" s="41" t="s">
        <v>1055</v>
      </c>
    </row>
    <row r="1157" spans="1:1" x14ac:dyDescent="0.25">
      <c r="A1157" s="41" t="s">
        <v>1059</v>
      </c>
    </row>
    <row r="1158" spans="1:1" x14ac:dyDescent="0.25">
      <c r="A1158" s="41" t="s">
        <v>1060</v>
      </c>
    </row>
    <row r="1159" spans="1:1" x14ac:dyDescent="0.25">
      <c r="A1159" s="41"/>
    </row>
    <row r="1160" spans="1:1" x14ac:dyDescent="0.25">
      <c r="A1160" s="41" t="s">
        <v>1061</v>
      </c>
    </row>
    <row r="1161" spans="1:1" x14ac:dyDescent="0.25">
      <c r="A1161" s="41"/>
    </row>
    <row r="1162" spans="1:1" x14ac:dyDescent="0.25">
      <c r="A1162" s="41" t="s">
        <v>1062</v>
      </c>
    </row>
    <row r="1163" spans="1:1" x14ac:dyDescent="0.25">
      <c r="A1163" s="41" t="s">
        <v>1063</v>
      </c>
    </row>
    <row r="1164" spans="1:1" x14ac:dyDescent="0.25">
      <c r="A1164" s="41" t="s">
        <v>856</v>
      </c>
    </row>
    <row r="1165" spans="1:1" x14ac:dyDescent="0.25">
      <c r="A1165" s="41" t="s">
        <v>977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72"/>
  <sheetViews>
    <sheetView topLeftCell="A15" zoomScaleNormal="100" workbookViewId="0">
      <selection activeCell="A1048576" sqref="A1048576"/>
    </sheetView>
  </sheetViews>
  <sheetFormatPr defaultRowHeight="15" outlineLevelRow="3" x14ac:dyDescent="0.25"/>
  <cols>
    <col min="1" max="1" width="27.85546875" style="4" bestFit="1" customWidth="1"/>
    <col min="2" max="2" width="7.5703125" bestFit="1" customWidth="1"/>
    <col min="3" max="3" width="11.42578125" bestFit="1" customWidth="1"/>
    <col min="4" max="4" width="7.28515625" bestFit="1" customWidth="1"/>
    <col min="5" max="5" width="32" bestFit="1" customWidth="1"/>
    <col min="6" max="6" width="7.28515625" bestFit="1" customWidth="1"/>
  </cols>
  <sheetData>
    <row r="1" spans="1:6" x14ac:dyDescent="0.25">
      <c r="A1" s="4" t="s">
        <v>445</v>
      </c>
      <c r="B1" t="s">
        <v>586</v>
      </c>
      <c r="C1" t="s">
        <v>954</v>
      </c>
      <c r="D1" t="s">
        <v>447</v>
      </c>
      <c r="E1" t="s">
        <v>955</v>
      </c>
      <c r="F1" t="s">
        <v>956</v>
      </c>
    </row>
    <row r="2" spans="1:6" outlineLevel="3" x14ac:dyDescent="0.25">
      <c r="A2" s="4" t="s">
        <v>959</v>
      </c>
      <c r="B2" t="s">
        <v>422</v>
      </c>
      <c r="C2" t="s">
        <v>452</v>
      </c>
      <c r="D2" t="s">
        <v>960</v>
      </c>
      <c r="E2" t="s">
        <v>961</v>
      </c>
      <c r="F2" t="s">
        <v>518</v>
      </c>
    </row>
    <row r="3" spans="1:6" outlineLevel="2" x14ac:dyDescent="0.25">
      <c r="A3" s="38" t="s">
        <v>1042</v>
      </c>
      <c r="F3">
        <f>SUBTOTAL(3,F2:F2)</f>
        <v>1</v>
      </c>
    </row>
    <row r="4" spans="1:6" outlineLevel="1" x14ac:dyDescent="0.25">
      <c r="E4" s="37" t="s">
        <v>1041</v>
      </c>
      <c r="F4">
        <f>SUBTOTAL(3,F2:F2)</f>
        <v>1</v>
      </c>
    </row>
    <row r="5" spans="1:6" outlineLevel="3" x14ac:dyDescent="0.25">
      <c r="A5" s="4" t="s">
        <v>472</v>
      </c>
      <c r="B5" t="s">
        <v>479</v>
      </c>
      <c r="C5" t="s">
        <v>4504</v>
      </c>
      <c r="D5" t="s">
        <v>67</v>
      </c>
      <c r="E5" t="s">
        <v>99</v>
      </c>
      <c r="F5" t="s">
        <v>37</v>
      </c>
    </row>
    <row r="6" spans="1:6" outlineLevel="3" x14ac:dyDescent="0.25">
      <c r="A6" s="4" t="s">
        <v>472</v>
      </c>
      <c r="B6" t="s">
        <v>479</v>
      </c>
      <c r="C6" t="s">
        <v>4511</v>
      </c>
      <c r="D6" t="s">
        <v>442</v>
      </c>
      <c r="E6" t="s">
        <v>99</v>
      </c>
      <c r="F6" t="s">
        <v>37</v>
      </c>
    </row>
    <row r="7" spans="1:6" outlineLevel="3" x14ac:dyDescent="0.25">
      <c r="A7" s="4" t="s">
        <v>472</v>
      </c>
      <c r="B7" t="s">
        <v>479</v>
      </c>
      <c r="C7" t="s">
        <v>4517</v>
      </c>
      <c r="D7" t="s">
        <v>13</v>
      </c>
      <c r="E7" t="s">
        <v>135</v>
      </c>
      <c r="F7" t="s">
        <v>37</v>
      </c>
    </row>
    <row r="8" spans="1:6" outlineLevel="3" x14ac:dyDescent="0.25">
      <c r="A8" s="4" t="s">
        <v>472</v>
      </c>
      <c r="B8" t="s">
        <v>479</v>
      </c>
      <c r="C8" t="s">
        <v>1796</v>
      </c>
      <c r="D8" t="s">
        <v>65</v>
      </c>
      <c r="E8" t="s">
        <v>221</v>
      </c>
      <c r="F8" t="s">
        <v>37</v>
      </c>
    </row>
    <row r="9" spans="1:6" outlineLevel="3" x14ac:dyDescent="0.25">
      <c r="A9" s="4" t="s">
        <v>472</v>
      </c>
      <c r="B9" t="s">
        <v>479</v>
      </c>
      <c r="C9" t="s">
        <v>4660</v>
      </c>
      <c r="D9" t="s">
        <v>13</v>
      </c>
      <c r="E9" t="s">
        <v>221</v>
      </c>
      <c r="F9" t="s">
        <v>37</v>
      </c>
    </row>
    <row r="10" spans="1:6" outlineLevel="3" x14ac:dyDescent="0.25">
      <c r="A10" s="4" t="s">
        <v>472</v>
      </c>
      <c r="B10" t="s">
        <v>479</v>
      </c>
      <c r="C10" t="s">
        <v>4661</v>
      </c>
      <c r="D10" t="s">
        <v>13</v>
      </c>
      <c r="E10" t="s">
        <v>221</v>
      </c>
      <c r="F10" t="s">
        <v>37</v>
      </c>
    </row>
    <row r="11" spans="1:6" outlineLevel="3" x14ac:dyDescent="0.25">
      <c r="A11" s="4" t="s">
        <v>472</v>
      </c>
      <c r="B11" t="s">
        <v>479</v>
      </c>
      <c r="C11" t="s">
        <v>4662</v>
      </c>
      <c r="D11" t="s">
        <v>13</v>
      </c>
      <c r="E11" t="s">
        <v>221</v>
      </c>
      <c r="F11" t="s">
        <v>37</v>
      </c>
    </row>
    <row r="12" spans="1:6" outlineLevel="3" x14ac:dyDescent="0.25">
      <c r="A12" s="4" t="s">
        <v>472</v>
      </c>
      <c r="B12" t="s">
        <v>479</v>
      </c>
      <c r="C12" t="s">
        <v>4663</v>
      </c>
      <c r="D12" t="s">
        <v>202</v>
      </c>
      <c r="E12" t="s">
        <v>221</v>
      </c>
      <c r="F12" t="s">
        <v>37</v>
      </c>
    </row>
    <row r="13" spans="1:6" outlineLevel="3" x14ac:dyDescent="0.25">
      <c r="A13" s="4" t="s">
        <v>472</v>
      </c>
      <c r="B13" t="s">
        <v>479</v>
      </c>
      <c r="C13" t="s">
        <v>4664</v>
      </c>
      <c r="D13" t="s">
        <v>71</v>
      </c>
      <c r="E13" t="s">
        <v>221</v>
      </c>
      <c r="F13" t="s">
        <v>37</v>
      </c>
    </row>
    <row r="14" spans="1:6" outlineLevel="3" x14ac:dyDescent="0.25">
      <c r="A14" s="4" t="s">
        <v>472</v>
      </c>
      <c r="B14" t="s">
        <v>479</v>
      </c>
      <c r="C14" t="s">
        <v>1797</v>
      </c>
      <c r="D14" t="s">
        <v>6</v>
      </c>
      <c r="E14" t="s">
        <v>221</v>
      </c>
      <c r="F14" t="s">
        <v>37</v>
      </c>
    </row>
    <row r="15" spans="1:6" outlineLevel="3" x14ac:dyDescent="0.25">
      <c r="A15" s="4" t="s">
        <v>472</v>
      </c>
      <c r="B15" t="s">
        <v>479</v>
      </c>
      <c r="C15" t="s">
        <v>4690</v>
      </c>
      <c r="D15" t="s">
        <v>46</v>
      </c>
      <c r="E15" t="s">
        <v>221</v>
      </c>
      <c r="F15" t="s">
        <v>37</v>
      </c>
    </row>
    <row r="16" spans="1:6" outlineLevel="3" x14ac:dyDescent="0.25">
      <c r="A16" s="4" t="s">
        <v>472</v>
      </c>
      <c r="B16" t="s">
        <v>479</v>
      </c>
      <c r="C16" t="s">
        <v>4692</v>
      </c>
      <c r="D16" t="s">
        <v>442</v>
      </c>
      <c r="E16" t="s">
        <v>221</v>
      </c>
      <c r="F16" t="s">
        <v>37</v>
      </c>
    </row>
    <row r="17" spans="1:6" outlineLevel="3" x14ac:dyDescent="0.25">
      <c r="A17" s="4" t="s">
        <v>472</v>
      </c>
      <c r="B17" t="s">
        <v>479</v>
      </c>
      <c r="C17" t="s">
        <v>4693</v>
      </c>
      <c r="D17" t="s">
        <v>442</v>
      </c>
      <c r="E17" t="s">
        <v>221</v>
      </c>
      <c r="F17" t="s">
        <v>37</v>
      </c>
    </row>
    <row r="18" spans="1:6" outlineLevel="3" x14ac:dyDescent="0.25">
      <c r="A18" s="4" t="s">
        <v>472</v>
      </c>
      <c r="B18" t="s">
        <v>479</v>
      </c>
      <c r="C18" t="s">
        <v>4642</v>
      </c>
      <c r="D18" t="s">
        <v>67</v>
      </c>
      <c r="E18" t="s">
        <v>1130</v>
      </c>
      <c r="F18" t="s">
        <v>37</v>
      </c>
    </row>
    <row r="19" spans="1:6" outlineLevel="3" x14ac:dyDescent="0.25">
      <c r="A19" s="4" t="s">
        <v>472</v>
      </c>
      <c r="B19" t="s">
        <v>479</v>
      </c>
      <c r="C19" t="s">
        <v>1726</v>
      </c>
      <c r="D19" t="s">
        <v>67</v>
      </c>
      <c r="E19" t="s">
        <v>1130</v>
      </c>
      <c r="F19" t="s">
        <v>37</v>
      </c>
    </row>
    <row r="20" spans="1:6" outlineLevel="3" x14ac:dyDescent="0.25">
      <c r="A20" s="4" t="s">
        <v>472</v>
      </c>
      <c r="B20" t="s">
        <v>479</v>
      </c>
      <c r="C20" t="s">
        <v>4643</v>
      </c>
      <c r="D20" t="s">
        <v>65</v>
      </c>
      <c r="E20" t="s">
        <v>1130</v>
      </c>
      <c r="F20" t="s">
        <v>37</v>
      </c>
    </row>
    <row r="21" spans="1:6" outlineLevel="3" x14ac:dyDescent="0.25">
      <c r="A21" s="4" t="s">
        <v>472</v>
      </c>
      <c r="B21" t="s">
        <v>479</v>
      </c>
      <c r="C21" t="s">
        <v>4650</v>
      </c>
      <c r="D21" t="s">
        <v>46</v>
      </c>
      <c r="E21" t="s">
        <v>1130</v>
      </c>
      <c r="F21" t="s">
        <v>37</v>
      </c>
    </row>
    <row r="22" spans="1:6" outlineLevel="3" x14ac:dyDescent="0.25">
      <c r="A22" s="4" t="s">
        <v>472</v>
      </c>
      <c r="B22" t="s">
        <v>479</v>
      </c>
      <c r="C22" t="s">
        <v>4651</v>
      </c>
      <c r="D22" t="s">
        <v>46</v>
      </c>
      <c r="E22" t="s">
        <v>1130</v>
      </c>
      <c r="F22" t="s">
        <v>37</v>
      </c>
    </row>
    <row r="23" spans="1:6" outlineLevel="3" x14ac:dyDescent="0.25">
      <c r="A23" s="4" t="s">
        <v>472</v>
      </c>
      <c r="B23" t="s">
        <v>479</v>
      </c>
      <c r="C23" t="s">
        <v>4654</v>
      </c>
      <c r="D23" t="s">
        <v>442</v>
      </c>
      <c r="E23" t="s">
        <v>1130</v>
      </c>
      <c r="F23" t="s">
        <v>37</v>
      </c>
    </row>
    <row r="24" spans="1:6" outlineLevel="3" x14ac:dyDescent="0.25">
      <c r="A24" s="4" t="s">
        <v>472</v>
      </c>
      <c r="B24" t="s">
        <v>479</v>
      </c>
      <c r="C24" t="s">
        <v>4655</v>
      </c>
      <c r="D24" t="s">
        <v>442</v>
      </c>
      <c r="E24" t="s">
        <v>1130</v>
      </c>
      <c r="F24" t="s">
        <v>37</v>
      </c>
    </row>
    <row r="25" spans="1:6" outlineLevel="3" x14ac:dyDescent="0.25">
      <c r="A25" s="4" t="s">
        <v>472</v>
      </c>
      <c r="B25" t="s">
        <v>479</v>
      </c>
      <c r="C25" t="s">
        <v>4518</v>
      </c>
      <c r="D25" t="s">
        <v>1077</v>
      </c>
      <c r="E25" t="s">
        <v>92</v>
      </c>
      <c r="F25" t="s">
        <v>37</v>
      </c>
    </row>
    <row r="26" spans="1:6" outlineLevel="3" x14ac:dyDescent="0.25">
      <c r="A26" s="4" t="s">
        <v>472</v>
      </c>
      <c r="B26" t="s">
        <v>479</v>
      </c>
      <c r="C26" t="s">
        <v>4519</v>
      </c>
      <c r="D26" t="s">
        <v>1080</v>
      </c>
      <c r="E26" t="s">
        <v>92</v>
      </c>
      <c r="F26" t="s">
        <v>37</v>
      </c>
    </row>
    <row r="27" spans="1:6" outlineLevel="3" x14ac:dyDescent="0.25">
      <c r="A27" s="4" t="s">
        <v>472</v>
      </c>
      <c r="B27" t="s">
        <v>479</v>
      </c>
      <c r="C27" t="s">
        <v>4520</v>
      </c>
      <c r="D27" t="s">
        <v>67</v>
      </c>
      <c r="E27" t="s">
        <v>92</v>
      </c>
      <c r="F27" t="s">
        <v>37</v>
      </c>
    </row>
    <row r="28" spans="1:6" outlineLevel="3" x14ac:dyDescent="0.25">
      <c r="A28" s="4" t="s">
        <v>472</v>
      </c>
      <c r="B28" t="s">
        <v>479</v>
      </c>
      <c r="C28" t="s">
        <v>4521</v>
      </c>
      <c r="D28" t="s">
        <v>78</v>
      </c>
      <c r="E28" t="s">
        <v>92</v>
      </c>
      <c r="F28" t="s">
        <v>37</v>
      </c>
    </row>
    <row r="29" spans="1:6" outlineLevel="3" x14ac:dyDescent="0.25">
      <c r="A29" s="4" t="s">
        <v>472</v>
      </c>
      <c r="B29" t="s">
        <v>479</v>
      </c>
      <c r="C29" t="s">
        <v>4522</v>
      </c>
      <c r="D29" t="s">
        <v>78</v>
      </c>
      <c r="E29" t="s">
        <v>92</v>
      </c>
      <c r="F29" t="s">
        <v>37</v>
      </c>
    </row>
    <row r="30" spans="1:6" outlineLevel="3" x14ac:dyDescent="0.25">
      <c r="A30" s="4" t="s">
        <v>472</v>
      </c>
      <c r="B30" t="s">
        <v>479</v>
      </c>
      <c r="C30" t="s">
        <v>4523</v>
      </c>
      <c r="D30" t="s">
        <v>78</v>
      </c>
      <c r="E30" t="s">
        <v>92</v>
      </c>
      <c r="F30" t="s">
        <v>37</v>
      </c>
    </row>
    <row r="31" spans="1:6" outlineLevel="3" x14ac:dyDescent="0.25">
      <c r="A31" s="4" t="s">
        <v>472</v>
      </c>
      <c r="B31" t="s">
        <v>479</v>
      </c>
      <c r="C31" t="s">
        <v>4524</v>
      </c>
      <c r="D31" t="s">
        <v>437</v>
      </c>
      <c r="E31" t="s">
        <v>92</v>
      </c>
      <c r="F31" t="s">
        <v>37</v>
      </c>
    </row>
    <row r="32" spans="1:6" outlineLevel="3" x14ac:dyDescent="0.25">
      <c r="A32" s="4" t="s">
        <v>472</v>
      </c>
      <c r="B32" t="s">
        <v>479</v>
      </c>
      <c r="C32" t="s">
        <v>4618</v>
      </c>
      <c r="D32" t="s">
        <v>442</v>
      </c>
      <c r="E32" t="s">
        <v>92</v>
      </c>
      <c r="F32" t="s">
        <v>37</v>
      </c>
    </row>
    <row r="33" spans="1:6" outlineLevel="3" x14ac:dyDescent="0.25">
      <c r="A33" s="4" t="s">
        <v>472</v>
      </c>
      <c r="B33" t="s">
        <v>479</v>
      </c>
      <c r="C33" t="s">
        <v>4505</v>
      </c>
      <c r="D33" t="s">
        <v>67</v>
      </c>
      <c r="E33" t="s">
        <v>161</v>
      </c>
      <c r="F33" t="s">
        <v>37</v>
      </c>
    </row>
    <row r="34" spans="1:6" outlineLevel="3" x14ac:dyDescent="0.25">
      <c r="A34" s="4" t="s">
        <v>472</v>
      </c>
      <c r="B34" t="s">
        <v>479</v>
      </c>
      <c r="C34" t="s">
        <v>4512</v>
      </c>
      <c r="D34" t="s">
        <v>442</v>
      </c>
      <c r="E34" t="s">
        <v>161</v>
      </c>
      <c r="F34" t="s">
        <v>37</v>
      </c>
    </row>
    <row r="35" spans="1:6" outlineLevel="3" x14ac:dyDescent="0.25">
      <c r="A35" s="4" t="s">
        <v>472</v>
      </c>
      <c r="B35" t="s">
        <v>479</v>
      </c>
      <c r="C35" t="s">
        <v>1689</v>
      </c>
      <c r="D35" t="s">
        <v>78</v>
      </c>
      <c r="E35" t="s">
        <v>399</v>
      </c>
      <c r="F35" t="s">
        <v>37</v>
      </c>
    </row>
    <row r="36" spans="1:6" outlineLevel="3" x14ac:dyDescent="0.25">
      <c r="A36" s="4" t="s">
        <v>472</v>
      </c>
      <c r="B36" t="s">
        <v>479</v>
      </c>
      <c r="C36" t="s">
        <v>4644</v>
      </c>
      <c r="D36" t="s">
        <v>1037</v>
      </c>
      <c r="E36" t="s">
        <v>1133</v>
      </c>
      <c r="F36" t="s">
        <v>37</v>
      </c>
    </row>
    <row r="37" spans="1:6" outlineLevel="3" x14ac:dyDescent="0.25">
      <c r="A37" s="4" t="s">
        <v>472</v>
      </c>
      <c r="B37" t="s">
        <v>479</v>
      </c>
      <c r="C37" t="s">
        <v>4525</v>
      </c>
      <c r="D37" t="s">
        <v>481</v>
      </c>
      <c r="E37" t="s">
        <v>131</v>
      </c>
      <c r="F37" t="s">
        <v>37</v>
      </c>
    </row>
    <row r="38" spans="1:6" outlineLevel="3" x14ac:dyDescent="0.25">
      <c r="A38" s="4" t="s">
        <v>472</v>
      </c>
      <c r="B38" t="s">
        <v>479</v>
      </c>
      <c r="C38" t="s">
        <v>4526</v>
      </c>
      <c r="D38" t="s">
        <v>250</v>
      </c>
      <c r="E38" t="s">
        <v>131</v>
      </c>
      <c r="F38" t="s">
        <v>37</v>
      </c>
    </row>
    <row r="39" spans="1:6" outlineLevel="3" x14ac:dyDescent="0.25">
      <c r="A39" s="4" t="s">
        <v>472</v>
      </c>
      <c r="B39" t="s">
        <v>479</v>
      </c>
      <c r="C39" t="s">
        <v>2055</v>
      </c>
      <c r="D39" t="s">
        <v>78</v>
      </c>
      <c r="E39" t="s">
        <v>131</v>
      </c>
      <c r="F39" t="s">
        <v>37</v>
      </c>
    </row>
    <row r="40" spans="1:6" outlineLevel="3" x14ac:dyDescent="0.25">
      <c r="A40" s="4" t="s">
        <v>472</v>
      </c>
      <c r="B40" t="s">
        <v>479</v>
      </c>
      <c r="C40" t="s">
        <v>4527</v>
      </c>
      <c r="D40" t="s">
        <v>171</v>
      </c>
      <c r="E40" t="s">
        <v>131</v>
      </c>
      <c r="F40" t="s">
        <v>37</v>
      </c>
    </row>
    <row r="41" spans="1:6" outlineLevel="3" x14ac:dyDescent="0.25">
      <c r="A41" s="4" t="s">
        <v>472</v>
      </c>
      <c r="B41" t="s">
        <v>479</v>
      </c>
      <c r="C41" t="s">
        <v>4606</v>
      </c>
      <c r="D41" t="s">
        <v>46</v>
      </c>
      <c r="E41" t="s">
        <v>131</v>
      </c>
      <c r="F41" t="s">
        <v>37</v>
      </c>
    </row>
    <row r="42" spans="1:6" outlineLevel="3" x14ac:dyDescent="0.25">
      <c r="A42" s="4" t="s">
        <v>472</v>
      </c>
      <c r="B42" t="s">
        <v>479</v>
      </c>
      <c r="C42" t="s">
        <v>4607</v>
      </c>
      <c r="D42" t="s">
        <v>46</v>
      </c>
      <c r="E42" t="s">
        <v>131</v>
      </c>
      <c r="F42" t="s">
        <v>37</v>
      </c>
    </row>
    <row r="43" spans="1:6" outlineLevel="3" x14ac:dyDescent="0.25">
      <c r="A43" s="4" t="s">
        <v>472</v>
      </c>
      <c r="B43" t="s">
        <v>479</v>
      </c>
      <c r="C43" t="s">
        <v>4608</v>
      </c>
      <c r="D43" t="s">
        <v>46</v>
      </c>
      <c r="E43" t="s">
        <v>131</v>
      </c>
      <c r="F43" t="s">
        <v>37</v>
      </c>
    </row>
    <row r="44" spans="1:6" outlineLevel="3" x14ac:dyDescent="0.25">
      <c r="A44" s="4" t="s">
        <v>472</v>
      </c>
      <c r="B44" t="s">
        <v>479</v>
      </c>
      <c r="C44" t="s">
        <v>4609</v>
      </c>
      <c r="D44" t="s">
        <v>46</v>
      </c>
      <c r="E44" t="s">
        <v>131</v>
      </c>
      <c r="F44" t="s">
        <v>37</v>
      </c>
    </row>
    <row r="45" spans="1:6" outlineLevel="3" x14ac:dyDescent="0.25">
      <c r="A45" s="4" t="s">
        <v>472</v>
      </c>
      <c r="B45" t="s">
        <v>479</v>
      </c>
      <c r="C45" t="s">
        <v>4619</v>
      </c>
      <c r="D45" t="s">
        <v>442</v>
      </c>
      <c r="E45" t="s">
        <v>131</v>
      </c>
      <c r="F45" t="s">
        <v>37</v>
      </c>
    </row>
    <row r="46" spans="1:6" outlineLevel="3" x14ac:dyDescent="0.25">
      <c r="A46" s="4" t="s">
        <v>472</v>
      </c>
      <c r="B46" t="s">
        <v>479</v>
      </c>
      <c r="C46" t="s">
        <v>4620</v>
      </c>
      <c r="D46" t="s">
        <v>442</v>
      </c>
      <c r="E46" t="s">
        <v>131</v>
      </c>
      <c r="F46" t="s">
        <v>37</v>
      </c>
    </row>
    <row r="47" spans="1:6" outlineLevel="3" x14ac:dyDescent="0.25">
      <c r="A47" s="4" t="s">
        <v>472</v>
      </c>
      <c r="B47" t="s">
        <v>479</v>
      </c>
      <c r="C47" t="s">
        <v>4528</v>
      </c>
      <c r="D47" t="s">
        <v>13</v>
      </c>
      <c r="E47" t="s">
        <v>82</v>
      </c>
      <c r="F47" t="s">
        <v>37</v>
      </c>
    </row>
    <row r="48" spans="1:6" outlineLevel="3" x14ac:dyDescent="0.25">
      <c r="A48" s="4" t="s">
        <v>472</v>
      </c>
      <c r="B48" t="s">
        <v>479</v>
      </c>
      <c r="C48" t="s">
        <v>4529</v>
      </c>
      <c r="D48" t="s">
        <v>67</v>
      </c>
      <c r="E48" t="s">
        <v>82</v>
      </c>
      <c r="F48" t="s">
        <v>37</v>
      </c>
    </row>
    <row r="49" spans="1:6" outlineLevel="3" x14ac:dyDescent="0.25">
      <c r="A49" s="4" t="s">
        <v>472</v>
      </c>
      <c r="B49" t="s">
        <v>479</v>
      </c>
      <c r="C49" t="s">
        <v>4530</v>
      </c>
      <c r="D49" t="s">
        <v>67</v>
      </c>
      <c r="E49" t="s">
        <v>82</v>
      </c>
      <c r="F49" t="s">
        <v>37</v>
      </c>
    </row>
    <row r="50" spans="1:6" outlineLevel="3" x14ac:dyDescent="0.25">
      <c r="A50" s="4" t="s">
        <v>472</v>
      </c>
      <c r="B50" t="s">
        <v>479</v>
      </c>
      <c r="C50" t="s">
        <v>4531</v>
      </c>
      <c r="D50" t="s">
        <v>67</v>
      </c>
      <c r="E50" t="s">
        <v>82</v>
      </c>
      <c r="F50" t="s">
        <v>37</v>
      </c>
    </row>
    <row r="51" spans="1:6" outlineLevel="3" x14ac:dyDescent="0.25">
      <c r="A51" s="4" t="s">
        <v>472</v>
      </c>
      <c r="B51" t="s">
        <v>479</v>
      </c>
      <c r="C51" t="s">
        <v>2056</v>
      </c>
      <c r="D51" t="s">
        <v>65</v>
      </c>
      <c r="E51" t="s">
        <v>82</v>
      </c>
      <c r="F51" t="s">
        <v>37</v>
      </c>
    </row>
    <row r="52" spans="1:6" outlineLevel="3" x14ac:dyDescent="0.25">
      <c r="A52" s="4" t="s">
        <v>472</v>
      </c>
      <c r="B52" t="s">
        <v>479</v>
      </c>
      <c r="C52" t="s">
        <v>4532</v>
      </c>
      <c r="D52" t="s">
        <v>78</v>
      </c>
      <c r="E52" t="s">
        <v>82</v>
      </c>
      <c r="F52" t="s">
        <v>37</v>
      </c>
    </row>
    <row r="53" spans="1:6" outlineLevel="3" x14ac:dyDescent="0.25">
      <c r="A53" s="4" t="s">
        <v>472</v>
      </c>
      <c r="B53" t="s">
        <v>479</v>
      </c>
      <c r="C53" t="s">
        <v>4533</v>
      </c>
      <c r="D53" t="s">
        <v>119</v>
      </c>
      <c r="E53" t="s">
        <v>82</v>
      </c>
      <c r="F53" t="s">
        <v>37</v>
      </c>
    </row>
    <row r="54" spans="1:6" outlineLevel="3" x14ac:dyDescent="0.25">
      <c r="A54" s="4" t="s">
        <v>472</v>
      </c>
      <c r="B54" t="s">
        <v>479</v>
      </c>
      <c r="C54" t="s">
        <v>4534</v>
      </c>
      <c r="D54" t="s">
        <v>76</v>
      </c>
      <c r="E54" t="s">
        <v>82</v>
      </c>
      <c r="F54" t="s">
        <v>37</v>
      </c>
    </row>
    <row r="55" spans="1:6" outlineLevel="3" x14ac:dyDescent="0.25">
      <c r="A55" s="4" t="s">
        <v>472</v>
      </c>
      <c r="B55" t="s">
        <v>479</v>
      </c>
      <c r="C55" t="s">
        <v>4535</v>
      </c>
      <c r="D55" t="s">
        <v>1665</v>
      </c>
      <c r="E55" t="s">
        <v>82</v>
      </c>
      <c r="F55" t="s">
        <v>37</v>
      </c>
    </row>
    <row r="56" spans="1:6" outlineLevel="3" x14ac:dyDescent="0.25">
      <c r="A56" s="4" t="s">
        <v>472</v>
      </c>
      <c r="B56" t="s">
        <v>479</v>
      </c>
      <c r="C56" t="s">
        <v>4536</v>
      </c>
      <c r="D56" t="s">
        <v>1665</v>
      </c>
      <c r="E56" t="s">
        <v>82</v>
      </c>
      <c r="F56" t="s">
        <v>37</v>
      </c>
    </row>
    <row r="57" spans="1:6" outlineLevel="3" x14ac:dyDescent="0.25">
      <c r="A57" s="4" t="s">
        <v>472</v>
      </c>
      <c r="B57" t="s">
        <v>479</v>
      </c>
      <c r="C57" t="s">
        <v>4537</v>
      </c>
      <c r="D57" t="s">
        <v>1665</v>
      </c>
      <c r="E57" t="s">
        <v>82</v>
      </c>
      <c r="F57" t="s">
        <v>37</v>
      </c>
    </row>
    <row r="58" spans="1:6" outlineLevel="3" x14ac:dyDescent="0.25">
      <c r="A58" s="4" t="s">
        <v>472</v>
      </c>
      <c r="B58" t="s">
        <v>479</v>
      </c>
      <c r="C58" t="s">
        <v>4538</v>
      </c>
      <c r="D58" t="s">
        <v>78</v>
      </c>
      <c r="E58" t="s">
        <v>82</v>
      </c>
      <c r="F58" t="s">
        <v>37</v>
      </c>
    </row>
    <row r="59" spans="1:6" outlineLevel="3" x14ac:dyDescent="0.25">
      <c r="A59" s="4" t="s">
        <v>472</v>
      </c>
      <c r="B59" t="s">
        <v>479</v>
      </c>
      <c r="C59" t="s">
        <v>4539</v>
      </c>
      <c r="D59" t="s">
        <v>78</v>
      </c>
      <c r="E59" t="s">
        <v>82</v>
      </c>
      <c r="F59" t="s">
        <v>37</v>
      </c>
    </row>
    <row r="60" spans="1:6" outlineLevel="3" x14ac:dyDescent="0.25">
      <c r="A60" s="4" t="s">
        <v>472</v>
      </c>
      <c r="B60" t="s">
        <v>479</v>
      </c>
      <c r="C60" t="s">
        <v>4540</v>
      </c>
      <c r="D60" t="s">
        <v>78</v>
      </c>
      <c r="E60" t="s">
        <v>82</v>
      </c>
      <c r="F60" t="s">
        <v>37</v>
      </c>
    </row>
    <row r="61" spans="1:6" outlineLevel="3" x14ac:dyDescent="0.25">
      <c r="A61" s="4" t="s">
        <v>472</v>
      </c>
      <c r="B61" t="s">
        <v>479</v>
      </c>
      <c r="C61" t="s">
        <v>4610</v>
      </c>
      <c r="D61" t="s">
        <v>46</v>
      </c>
      <c r="E61" t="s">
        <v>82</v>
      </c>
      <c r="F61" t="s">
        <v>37</v>
      </c>
    </row>
    <row r="62" spans="1:6" outlineLevel="3" x14ac:dyDescent="0.25">
      <c r="A62" s="4" t="s">
        <v>472</v>
      </c>
      <c r="B62" t="s">
        <v>479</v>
      </c>
      <c r="C62" t="s">
        <v>4611</v>
      </c>
      <c r="D62" t="s">
        <v>46</v>
      </c>
      <c r="E62" t="s">
        <v>82</v>
      </c>
      <c r="F62" t="s">
        <v>37</v>
      </c>
    </row>
    <row r="63" spans="1:6" outlineLevel="3" x14ac:dyDescent="0.25">
      <c r="A63" s="4" t="s">
        <v>472</v>
      </c>
      <c r="B63" t="s">
        <v>479</v>
      </c>
      <c r="C63" t="s">
        <v>1696</v>
      </c>
      <c r="D63" t="s">
        <v>65</v>
      </c>
      <c r="E63" t="s">
        <v>228</v>
      </c>
      <c r="F63" t="s">
        <v>37</v>
      </c>
    </row>
    <row r="64" spans="1:6" outlineLevel="3" x14ac:dyDescent="0.25">
      <c r="A64" s="4" t="s">
        <v>472</v>
      </c>
      <c r="B64" t="s">
        <v>479</v>
      </c>
      <c r="C64" t="s">
        <v>1697</v>
      </c>
      <c r="D64" t="s">
        <v>78</v>
      </c>
      <c r="E64" t="s">
        <v>228</v>
      </c>
      <c r="F64" t="s">
        <v>37</v>
      </c>
    </row>
    <row r="65" spans="1:6" outlineLevel="3" x14ac:dyDescent="0.25">
      <c r="A65" s="4" t="s">
        <v>472</v>
      </c>
      <c r="B65" t="s">
        <v>479</v>
      </c>
      <c r="C65" t="s">
        <v>1698</v>
      </c>
      <c r="D65" t="s">
        <v>78</v>
      </c>
      <c r="E65" t="s">
        <v>228</v>
      </c>
      <c r="F65" t="s">
        <v>37</v>
      </c>
    </row>
    <row r="66" spans="1:6" outlineLevel="3" x14ac:dyDescent="0.25">
      <c r="A66" s="4" t="s">
        <v>472</v>
      </c>
      <c r="B66" t="s">
        <v>479</v>
      </c>
      <c r="C66" t="s">
        <v>1699</v>
      </c>
      <c r="D66" t="s">
        <v>78</v>
      </c>
      <c r="E66" t="s">
        <v>228</v>
      </c>
      <c r="F66" t="s">
        <v>37</v>
      </c>
    </row>
    <row r="67" spans="1:6" outlineLevel="3" x14ac:dyDescent="0.25">
      <c r="A67" s="4" t="s">
        <v>472</v>
      </c>
      <c r="B67" t="s">
        <v>479</v>
      </c>
      <c r="C67" t="s">
        <v>1700</v>
      </c>
      <c r="D67" t="s">
        <v>78</v>
      </c>
      <c r="E67" t="s">
        <v>228</v>
      </c>
      <c r="F67" t="s">
        <v>37</v>
      </c>
    </row>
    <row r="68" spans="1:6" outlineLevel="3" x14ac:dyDescent="0.25">
      <c r="A68" s="4" t="s">
        <v>472</v>
      </c>
      <c r="B68" t="s">
        <v>479</v>
      </c>
      <c r="C68" t="s">
        <v>1558</v>
      </c>
      <c r="D68" t="s">
        <v>78</v>
      </c>
      <c r="E68" t="s">
        <v>228</v>
      </c>
      <c r="F68" t="s">
        <v>37</v>
      </c>
    </row>
    <row r="69" spans="1:6" outlineLevel="3" x14ac:dyDescent="0.25">
      <c r="A69" s="4" t="s">
        <v>472</v>
      </c>
      <c r="B69" t="s">
        <v>479</v>
      </c>
      <c r="C69" t="s">
        <v>1559</v>
      </c>
      <c r="D69" t="s">
        <v>78</v>
      </c>
      <c r="E69" t="s">
        <v>228</v>
      </c>
      <c r="F69" t="s">
        <v>37</v>
      </c>
    </row>
    <row r="70" spans="1:6" outlineLevel="3" x14ac:dyDescent="0.25">
      <c r="A70" s="4" t="s">
        <v>472</v>
      </c>
      <c r="B70" t="s">
        <v>479</v>
      </c>
      <c r="C70" t="s">
        <v>1736</v>
      </c>
      <c r="D70" t="s">
        <v>13</v>
      </c>
      <c r="E70" t="s">
        <v>228</v>
      </c>
      <c r="F70" t="s">
        <v>37</v>
      </c>
    </row>
    <row r="71" spans="1:6" outlineLevel="3" x14ac:dyDescent="0.25">
      <c r="A71" s="4" t="s">
        <v>472</v>
      </c>
      <c r="B71" t="s">
        <v>479</v>
      </c>
      <c r="C71" t="s">
        <v>1737</v>
      </c>
      <c r="D71" t="s">
        <v>13</v>
      </c>
      <c r="E71" t="s">
        <v>228</v>
      </c>
      <c r="F71" t="s">
        <v>37</v>
      </c>
    </row>
    <row r="72" spans="1:6" outlineLevel="3" x14ac:dyDescent="0.25">
      <c r="A72" s="4" t="s">
        <v>472</v>
      </c>
      <c r="B72" t="s">
        <v>479</v>
      </c>
      <c r="C72" t="s">
        <v>1232</v>
      </c>
      <c r="D72" t="s">
        <v>78</v>
      </c>
      <c r="E72" t="s">
        <v>228</v>
      </c>
      <c r="F72" t="s">
        <v>37</v>
      </c>
    </row>
    <row r="73" spans="1:6" outlineLevel="3" x14ac:dyDescent="0.25">
      <c r="A73" s="4" t="s">
        <v>472</v>
      </c>
      <c r="B73" t="s">
        <v>479</v>
      </c>
      <c r="C73" t="s">
        <v>1738</v>
      </c>
      <c r="D73" t="s">
        <v>13</v>
      </c>
      <c r="E73" t="s">
        <v>228</v>
      </c>
      <c r="F73" t="s">
        <v>37</v>
      </c>
    </row>
    <row r="74" spans="1:6" outlineLevel="3" x14ac:dyDescent="0.25">
      <c r="A74" s="4" t="s">
        <v>472</v>
      </c>
      <c r="B74" t="s">
        <v>479</v>
      </c>
      <c r="C74" t="s">
        <v>1739</v>
      </c>
      <c r="D74" t="s">
        <v>13</v>
      </c>
      <c r="E74" t="s">
        <v>228</v>
      </c>
      <c r="F74" t="s">
        <v>37</v>
      </c>
    </row>
    <row r="75" spans="1:6" outlineLevel="3" x14ac:dyDescent="0.25">
      <c r="A75" s="4" t="s">
        <v>472</v>
      </c>
      <c r="B75" t="s">
        <v>479</v>
      </c>
      <c r="C75" t="s">
        <v>1740</v>
      </c>
      <c r="D75" t="s">
        <v>119</v>
      </c>
      <c r="E75" t="s">
        <v>228</v>
      </c>
      <c r="F75" t="s">
        <v>37</v>
      </c>
    </row>
    <row r="76" spans="1:6" outlineLevel="3" x14ac:dyDescent="0.25">
      <c r="A76" s="4" t="s">
        <v>472</v>
      </c>
      <c r="B76" t="s">
        <v>479</v>
      </c>
      <c r="C76" t="s">
        <v>1701</v>
      </c>
      <c r="D76" t="s">
        <v>78</v>
      </c>
      <c r="E76" t="s">
        <v>228</v>
      </c>
      <c r="F76" t="s">
        <v>37</v>
      </c>
    </row>
    <row r="77" spans="1:6" outlineLevel="3" x14ac:dyDescent="0.25">
      <c r="A77" s="4" t="s">
        <v>472</v>
      </c>
      <c r="B77" t="s">
        <v>479</v>
      </c>
      <c r="C77" t="s">
        <v>1702</v>
      </c>
      <c r="D77" t="s">
        <v>78</v>
      </c>
      <c r="E77" t="s">
        <v>228</v>
      </c>
      <c r="F77" t="s">
        <v>37</v>
      </c>
    </row>
    <row r="78" spans="1:6" outlineLevel="3" x14ac:dyDescent="0.25">
      <c r="A78" s="4" t="s">
        <v>472</v>
      </c>
      <c r="B78" t="s">
        <v>479</v>
      </c>
      <c r="C78" t="s">
        <v>1741</v>
      </c>
      <c r="D78" t="s">
        <v>6</v>
      </c>
      <c r="E78" t="s">
        <v>228</v>
      </c>
      <c r="F78" t="s">
        <v>37</v>
      </c>
    </row>
    <row r="79" spans="1:6" outlineLevel="3" x14ac:dyDescent="0.25">
      <c r="A79" s="4" t="s">
        <v>472</v>
      </c>
      <c r="B79" t="s">
        <v>479</v>
      </c>
      <c r="C79" t="s">
        <v>1742</v>
      </c>
      <c r="D79" t="s">
        <v>6</v>
      </c>
      <c r="E79" t="s">
        <v>228</v>
      </c>
      <c r="F79" t="s">
        <v>37</v>
      </c>
    </row>
    <row r="80" spans="1:6" outlineLevel="3" x14ac:dyDescent="0.25">
      <c r="A80" s="4" t="s">
        <v>472</v>
      </c>
      <c r="B80" t="s">
        <v>479</v>
      </c>
      <c r="C80" t="s">
        <v>1743</v>
      </c>
      <c r="D80" t="s">
        <v>13</v>
      </c>
      <c r="E80" t="s">
        <v>228</v>
      </c>
      <c r="F80" t="s">
        <v>37</v>
      </c>
    </row>
    <row r="81" spans="1:6" outlineLevel="3" x14ac:dyDescent="0.25">
      <c r="A81" s="4" t="s">
        <v>472</v>
      </c>
      <c r="B81" t="s">
        <v>479</v>
      </c>
      <c r="C81" t="s">
        <v>1704</v>
      </c>
      <c r="D81" t="s">
        <v>46</v>
      </c>
      <c r="E81" t="s">
        <v>228</v>
      </c>
      <c r="F81" t="s">
        <v>37</v>
      </c>
    </row>
    <row r="82" spans="1:6" outlineLevel="3" x14ac:dyDescent="0.25">
      <c r="A82" s="4" t="s">
        <v>472</v>
      </c>
      <c r="B82" t="s">
        <v>479</v>
      </c>
      <c r="C82" t="s">
        <v>1746</v>
      </c>
      <c r="D82" t="s">
        <v>46</v>
      </c>
      <c r="E82" t="s">
        <v>228</v>
      </c>
      <c r="F82" t="s">
        <v>37</v>
      </c>
    </row>
    <row r="83" spans="1:6" outlineLevel="3" x14ac:dyDescent="0.25">
      <c r="A83" s="4" t="s">
        <v>472</v>
      </c>
      <c r="B83" t="s">
        <v>479</v>
      </c>
      <c r="C83" t="s">
        <v>1747</v>
      </c>
      <c r="D83" t="s">
        <v>442</v>
      </c>
      <c r="E83" t="s">
        <v>228</v>
      </c>
      <c r="F83" t="s">
        <v>37</v>
      </c>
    </row>
    <row r="84" spans="1:6" outlineLevel="3" x14ac:dyDescent="0.25">
      <c r="A84" s="4" t="s">
        <v>472</v>
      </c>
      <c r="B84" t="s">
        <v>479</v>
      </c>
      <c r="C84" t="s">
        <v>1748</v>
      </c>
      <c r="D84" t="s">
        <v>442</v>
      </c>
      <c r="E84" t="s">
        <v>228</v>
      </c>
      <c r="F84" t="s">
        <v>37</v>
      </c>
    </row>
    <row r="85" spans="1:6" outlineLevel="3" x14ac:dyDescent="0.25">
      <c r="A85" s="4" t="s">
        <v>472</v>
      </c>
      <c r="B85" t="s">
        <v>479</v>
      </c>
      <c r="C85" t="s">
        <v>1560</v>
      </c>
      <c r="D85" t="s">
        <v>78</v>
      </c>
      <c r="E85" t="s">
        <v>286</v>
      </c>
      <c r="F85" t="s">
        <v>37</v>
      </c>
    </row>
    <row r="86" spans="1:6" outlineLevel="3" x14ac:dyDescent="0.25">
      <c r="A86" s="4" t="s">
        <v>472</v>
      </c>
      <c r="B86" t="s">
        <v>479</v>
      </c>
      <c r="C86" t="s">
        <v>1744</v>
      </c>
      <c r="D86" t="s">
        <v>13</v>
      </c>
      <c r="E86" t="s">
        <v>195</v>
      </c>
      <c r="F86" t="s">
        <v>37</v>
      </c>
    </row>
    <row r="87" spans="1:6" outlineLevel="3" x14ac:dyDescent="0.25">
      <c r="A87" s="4" t="s">
        <v>472</v>
      </c>
      <c r="B87" t="s">
        <v>479</v>
      </c>
      <c r="C87" t="s">
        <v>1745</v>
      </c>
      <c r="D87" t="s">
        <v>67</v>
      </c>
      <c r="E87" t="s">
        <v>195</v>
      </c>
      <c r="F87" t="s">
        <v>37</v>
      </c>
    </row>
    <row r="88" spans="1:6" outlineLevel="3" x14ac:dyDescent="0.25">
      <c r="A88" s="4" t="s">
        <v>472</v>
      </c>
      <c r="B88" t="s">
        <v>479</v>
      </c>
      <c r="C88" t="s">
        <v>1703</v>
      </c>
      <c r="D88" t="s">
        <v>78</v>
      </c>
      <c r="E88" t="s">
        <v>195</v>
      </c>
      <c r="F88" t="s">
        <v>37</v>
      </c>
    </row>
    <row r="89" spans="1:6" outlineLevel="3" x14ac:dyDescent="0.25">
      <c r="A89" s="4" t="s">
        <v>472</v>
      </c>
      <c r="B89" t="s">
        <v>479</v>
      </c>
      <c r="C89" t="s">
        <v>1567</v>
      </c>
      <c r="D89" t="s">
        <v>165</v>
      </c>
      <c r="E89" t="s">
        <v>137</v>
      </c>
      <c r="F89" t="s">
        <v>37</v>
      </c>
    </row>
    <row r="90" spans="1:6" outlineLevel="3" x14ac:dyDescent="0.25">
      <c r="A90" s="4" t="s">
        <v>472</v>
      </c>
      <c r="B90" t="s">
        <v>479</v>
      </c>
      <c r="C90" t="s">
        <v>1568</v>
      </c>
      <c r="D90" t="s">
        <v>78</v>
      </c>
      <c r="E90" t="s">
        <v>137</v>
      </c>
      <c r="F90" t="s">
        <v>37</v>
      </c>
    </row>
    <row r="91" spans="1:6" outlineLevel="3" x14ac:dyDescent="0.25">
      <c r="A91" s="4" t="s">
        <v>472</v>
      </c>
      <c r="B91" t="s">
        <v>479</v>
      </c>
      <c r="C91" t="s">
        <v>1569</v>
      </c>
      <c r="D91" t="s">
        <v>78</v>
      </c>
      <c r="E91" t="s">
        <v>137</v>
      </c>
      <c r="F91" t="s">
        <v>37</v>
      </c>
    </row>
    <row r="92" spans="1:6" outlineLevel="3" x14ac:dyDescent="0.25">
      <c r="A92" s="4" t="s">
        <v>472</v>
      </c>
      <c r="B92" t="s">
        <v>479</v>
      </c>
      <c r="C92" t="s">
        <v>1570</v>
      </c>
      <c r="D92" t="s">
        <v>78</v>
      </c>
      <c r="E92" t="s">
        <v>137</v>
      </c>
      <c r="F92" t="s">
        <v>37</v>
      </c>
    </row>
    <row r="93" spans="1:6" outlineLevel="3" x14ac:dyDescent="0.25">
      <c r="A93" s="4" t="s">
        <v>472</v>
      </c>
      <c r="B93" t="s">
        <v>479</v>
      </c>
      <c r="C93" t="s">
        <v>1233</v>
      </c>
      <c r="D93" t="s">
        <v>78</v>
      </c>
      <c r="E93" t="s">
        <v>137</v>
      </c>
      <c r="F93" t="s">
        <v>37</v>
      </c>
    </row>
    <row r="94" spans="1:6" outlineLevel="3" x14ac:dyDescent="0.25">
      <c r="A94" s="4" t="s">
        <v>472</v>
      </c>
      <c r="B94" t="s">
        <v>479</v>
      </c>
      <c r="C94" t="s">
        <v>1571</v>
      </c>
      <c r="D94" t="s">
        <v>78</v>
      </c>
      <c r="E94" t="s">
        <v>137</v>
      </c>
      <c r="F94" t="s">
        <v>37</v>
      </c>
    </row>
    <row r="95" spans="1:6" outlineLevel="3" x14ac:dyDescent="0.25">
      <c r="A95" s="4" t="s">
        <v>472</v>
      </c>
      <c r="B95" t="s">
        <v>479</v>
      </c>
      <c r="C95" t="s">
        <v>1572</v>
      </c>
      <c r="D95" t="s">
        <v>78</v>
      </c>
      <c r="E95" t="s">
        <v>137</v>
      </c>
      <c r="F95" t="s">
        <v>37</v>
      </c>
    </row>
    <row r="96" spans="1:6" outlineLevel="3" x14ac:dyDescent="0.25">
      <c r="A96" s="4" t="s">
        <v>472</v>
      </c>
      <c r="B96" t="s">
        <v>479</v>
      </c>
      <c r="C96" t="s">
        <v>1573</v>
      </c>
      <c r="D96" t="s">
        <v>126</v>
      </c>
      <c r="E96" t="s">
        <v>137</v>
      </c>
      <c r="F96" t="s">
        <v>37</v>
      </c>
    </row>
    <row r="97" spans="1:6" outlineLevel="3" x14ac:dyDescent="0.25">
      <c r="A97" s="4" t="s">
        <v>472</v>
      </c>
      <c r="B97" t="s">
        <v>479</v>
      </c>
      <c r="C97" t="s">
        <v>1234</v>
      </c>
      <c r="D97" t="s">
        <v>119</v>
      </c>
      <c r="E97" t="s">
        <v>137</v>
      </c>
      <c r="F97" t="s">
        <v>37</v>
      </c>
    </row>
    <row r="98" spans="1:6" outlineLevel="3" x14ac:dyDescent="0.25">
      <c r="A98" s="4" t="s">
        <v>472</v>
      </c>
      <c r="B98" t="s">
        <v>479</v>
      </c>
      <c r="C98" t="s">
        <v>1235</v>
      </c>
      <c r="D98" t="s">
        <v>13</v>
      </c>
      <c r="E98" t="s">
        <v>137</v>
      </c>
      <c r="F98" t="s">
        <v>37</v>
      </c>
    </row>
    <row r="99" spans="1:6" outlineLevel="3" x14ac:dyDescent="0.25">
      <c r="A99" s="4" t="s">
        <v>472</v>
      </c>
      <c r="B99" t="s">
        <v>479</v>
      </c>
      <c r="C99" t="s">
        <v>1574</v>
      </c>
      <c r="D99" t="s">
        <v>13</v>
      </c>
      <c r="E99" t="s">
        <v>137</v>
      </c>
      <c r="F99" t="s">
        <v>37</v>
      </c>
    </row>
    <row r="100" spans="1:6" outlineLevel="3" x14ac:dyDescent="0.25">
      <c r="A100" s="4" t="s">
        <v>472</v>
      </c>
      <c r="B100" t="s">
        <v>479</v>
      </c>
      <c r="C100" t="s">
        <v>1575</v>
      </c>
      <c r="D100" t="s">
        <v>13</v>
      </c>
      <c r="E100" t="s">
        <v>137</v>
      </c>
      <c r="F100" t="s">
        <v>37</v>
      </c>
    </row>
    <row r="101" spans="1:6" outlineLevel="3" x14ac:dyDescent="0.25">
      <c r="A101" s="4" t="s">
        <v>472</v>
      </c>
      <c r="B101" t="s">
        <v>479</v>
      </c>
      <c r="C101" t="s">
        <v>1576</v>
      </c>
      <c r="D101" t="s">
        <v>65</v>
      </c>
      <c r="E101" t="s">
        <v>137</v>
      </c>
      <c r="F101" t="s">
        <v>37</v>
      </c>
    </row>
    <row r="102" spans="1:6" outlineLevel="3" x14ac:dyDescent="0.25">
      <c r="A102" s="4" t="s">
        <v>472</v>
      </c>
      <c r="B102" t="s">
        <v>479</v>
      </c>
      <c r="C102" t="s">
        <v>1577</v>
      </c>
      <c r="D102" t="s">
        <v>119</v>
      </c>
      <c r="E102" t="s">
        <v>137</v>
      </c>
      <c r="F102" t="s">
        <v>37</v>
      </c>
    </row>
    <row r="103" spans="1:6" outlineLevel="3" x14ac:dyDescent="0.25">
      <c r="A103" s="4" t="s">
        <v>472</v>
      </c>
      <c r="B103" t="s">
        <v>479</v>
      </c>
      <c r="C103" t="s">
        <v>1249</v>
      </c>
      <c r="D103" t="s">
        <v>202</v>
      </c>
      <c r="E103" t="s">
        <v>137</v>
      </c>
      <c r="F103" t="s">
        <v>37</v>
      </c>
    </row>
    <row r="104" spans="1:6" outlineLevel="3" x14ac:dyDescent="0.25">
      <c r="A104" s="4" t="s">
        <v>472</v>
      </c>
      <c r="B104" t="s">
        <v>479</v>
      </c>
      <c r="C104" t="s">
        <v>1578</v>
      </c>
      <c r="D104" t="s">
        <v>202</v>
      </c>
      <c r="E104" t="s">
        <v>137</v>
      </c>
      <c r="F104" t="s">
        <v>37</v>
      </c>
    </row>
    <row r="105" spans="1:6" outlineLevel="3" x14ac:dyDescent="0.25">
      <c r="A105" s="4" t="s">
        <v>472</v>
      </c>
      <c r="B105" t="s">
        <v>479</v>
      </c>
      <c r="C105" t="s">
        <v>1250</v>
      </c>
      <c r="D105" t="s">
        <v>76</v>
      </c>
      <c r="E105" t="s">
        <v>137</v>
      </c>
      <c r="F105" t="s">
        <v>37</v>
      </c>
    </row>
    <row r="106" spans="1:6" outlineLevel="3" x14ac:dyDescent="0.25">
      <c r="A106" s="4" t="s">
        <v>472</v>
      </c>
      <c r="B106" t="s">
        <v>479</v>
      </c>
      <c r="C106" t="s">
        <v>1579</v>
      </c>
      <c r="D106" t="s">
        <v>119</v>
      </c>
      <c r="E106" t="s">
        <v>137</v>
      </c>
      <c r="F106" t="s">
        <v>37</v>
      </c>
    </row>
    <row r="107" spans="1:6" outlineLevel="3" x14ac:dyDescent="0.25">
      <c r="A107" s="4" t="s">
        <v>472</v>
      </c>
      <c r="B107" t="s">
        <v>479</v>
      </c>
      <c r="C107" t="s">
        <v>1251</v>
      </c>
      <c r="D107" t="s">
        <v>67</v>
      </c>
      <c r="E107" t="s">
        <v>137</v>
      </c>
      <c r="F107" t="s">
        <v>37</v>
      </c>
    </row>
    <row r="108" spans="1:6" outlineLevel="3" x14ac:dyDescent="0.25">
      <c r="A108" s="4" t="s">
        <v>472</v>
      </c>
      <c r="B108" t="s">
        <v>479</v>
      </c>
      <c r="C108" t="s">
        <v>4462</v>
      </c>
      <c r="D108" t="s">
        <v>46</v>
      </c>
      <c r="E108" t="s">
        <v>137</v>
      </c>
      <c r="F108" t="s">
        <v>37</v>
      </c>
    </row>
    <row r="109" spans="1:6" outlineLevel="3" x14ac:dyDescent="0.25">
      <c r="A109" s="4" t="s">
        <v>472</v>
      </c>
      <c r="B109" t="s">
        <v>479</v>
      </c>
      <c r="C109" t="s">
        <v>4467</v>
      </c>
      <c r="D109" t="s">
        <v>442</v>
      </c>
      <c r="E109" t="s">
        <v>137</v>
      </c>
      <c r="F109" t="s">
        <v>37</v>
      </c>
    </row>
    <row r="110" spans="1:6" outlineLevel="3" x14ac:dyDescent="0.25">
      <c r="A110" s="4" t="s">
        <v>472</v>
      </c>
      <c r="B110" t="s">
        <v>479</v>
      </c>
      <c r="C110" t="s">
        <v>4468</v>
      </c>
      <c r="D110" t="s">
        <v>442</v>
      </c>
      <c r="E110" t="s">
        <v>137</v>
      </c>
      <c r="F110" t="s">
        <v>37</v>
      </c>
    </row>
    <row r="111" spans="1:6" outlineLevel="3" x14ac:dyDescent="0.25">
      <c r="A111" s="4" t="s">
        <v>472</v>
      </c>
      <c r="B111" t="s">
        <v>479</v>
      </c>
      <c r="C111" t="s">
        <v>4469</v>
      </c>
      <c r="D111" t="s">
        <v>442</v>
      </c>
      <c r="E111" t="s">
        <v>137</v>
      </c>
      <c r="F111" t="s">
        <v>37</v>
      </c>
    </row>
    <row r="112" spans="1:6" outlineLevel="3" x14ac:dyDescent="0.25">
      <c r="A112" s="4" t="s">
        <v>472</v>
      </c>
      <c r="B112" t="s">
        <v>479</v>
      </c>
      <c r="C112" t="s">
        <v>4470</v>
      </c>
      <c r="D112" t="s">
        <v>442</v>
      </c>
      <c r="E112" t="s">
        <v>137</v>
      </c>
      <c r="F112" t="s">
        <v>37</v>
      </c>
    </row>
    <row r="113" spans="1:6" outlineLevel="3" x14ac:dyDescent="0.25">
      <c r="A113" s="4" t="s">
        <v>472</v>
      </c>
      <c r="B113" t="s">
        <v>479</v>
      </c>
      <c r="C113" t="s">
        <v>4471</v>
      </c>
      <c r="D113" t="s">
        <v>442</v>
      </c>
      <c r="E113" t="s">
        <v>137</v>
      </c>
      <c r="F113" t="s">
        <v>37</v>
      </c>
    </row>
    <row r="114" spans="1:6" outlineLevel="3" x14ac:dyDescent="0.25">
      <c r="A114" s="4" t="s">
        <v>472</v>
      </c>
      <c r="B114" t="s">
        <v>479</v>
      </c>
      <c r="C114" t="s">
        <v>4472</v>
      </c>
      <c r="D114" t="s">
        <v>442</v>
      </c>
      <c r="E114" t="s">
        <v>137</v>
      </c>
      <c r="F114" t="s">
        <v>37</v>
      </c>
    </row>
    <row r="115" spans="1:6" outlineLevel="3" x14ac:dyDescent="0.25">
      <c r="A115" s="4" t="s">
        <v>472</v>
      </c>
      <c r="B115" t="s">
        <v>479</v>
      </c>
      <c r="C115" t="s">
        <v>1705</v>
      </c>
      <c r="D115" t="s">
        <v>1076</v>
      </c>
      <c r="E115" t="s">
        <v>401</v>
      </c>
      <c r="F115" t="s">
        <v>37</v>
      </c>
    </row>
    <row r="116" spans="1:6" outlineLevel="3" x14ac:dyDescent="0.25">
      <c r="A116" s="4" t="s">
        <v>472</v>
      </c>
      <c r="B116" t="s">
        <v>479</v>
      </c>
      <c r="C116" t="s">
        <v>1706</v>
      </c>
      <c r="D116" t="s">
        <v>67</v>
      </c>
      <c r="E116" t="s">
        <v>401</v>
      </c>
      <c r="F116" t="s">
        <v>37</v>
      </c>
    </row>
    <row r="117" spans="1:6" outlineLevel="3" x14ac:dyDescent="0.25">
      <c r="A117" s="4" t="s">
        <v>472</v>
      </c>
      <c r="B117" t="s">
        <v>479</v>
      </c>
      <c r="C117" t="s">
        <v>1719</v>
      </c>
      <c r="D117" t="s">
        <v>442</v>
      </c>
      <c r="E117" t="s">
        <v>401</v>
      </c>
      <c r="F117" t="s">
        <v>37</v>
      </c>
    </row>
    <row r="118" spans="1:6" outlineLevel="3" x14ac:dyDescent="0.25">
      <c r="A118" s="4" t="s">
        <v>472</v>
      </c>
      <c r="B118" t="s">
        <v>479</v>
      </c>
      <c r="C118" t="s">
        <v>1707</v>
      </c>
      <c r="D118" t="s">
        <v>67</v>
      </c>
      <c r="E118" t="s">
        <v>402</v>
      </c>
      <c r="F118" t="s">
        <v>37</v>
      </c>
    </row>
    <row r="119" spans="1:6" outlineLevel="3" x14ac:dyDescent="0.25">
      <c r="A119" s="4" t="s">
        <v>472</v>
      </c>
      <c r="B119" t="s">
        <v>479</v>
      </c>
      <c r="C119" t="s">
        <v>1720</v>
      </c>
      <c r="D119" t="s">
        <v>442</v>
      </c>
      <c r="E119" t="s">
        <v>402</v>
      </c>
      <c r="F119" t="s">
        <v>37</v>
      </c>
    </row>
    <row r="120" spans="1:6" outlineLevel="3" x14ac:dyDescent="0.25">
      <c r="A120" s="4" t="s">
        <v>472</v>
      </c>
      <c r="B120" t="s">
        <v>479</v>
      </c>
      <c r="C120" t="s">
        <v>1708</v>
      </c>
      <c r="D120" t="s">
        <v>6</v>
      </c>
      <c r="E120" t="s">
        <v>199</v>
      </c>
      <c r="F120" t="s">
        <v>37</v>
      </c>
    </row>
    <row r="121" spans="1:6" outlineLevel="3" x14ac:dyDescent="0.25">
      <c r="A121" s="4" t="s">
        <v>472</v>
      </c>
      <c r="B121" t="s">
        <v>479</v>
      </c>
      <c r="C121" t="s">
        <v>1709</v>
      </c>
      <c r="D121" t="s">
        <v>78</v>
      </c>
      <c r="E121" t="s">
        <v>199</v>
      </c>
      <c r="F121" t="s">
        <v>37</v>
      </c>
    </row>
    <row r="122" spans="1:6" outlineLevel="3" x14ac:dyDescent="0.25">
      <c r="A122" s="4" t="s">
        <v>472</v>
      </c>
      <c r="B122" t="s">
        <v>479</v>
      </c>
      <c r="C122" t="s">
        <v>1721</v>
      </c>
      <c r="D122" t="s">
        <v>442</v>
      </c>
      <c r="E122" t="s">
        <v>199</v>
      </c>
      <c r="F122" t="s">
        <v>37</v>
      </c>
    </row>
    <row r="123" spans="1:6" outlineLevel="3" x14ac:dyDescent="0.25">
      <c r="A123" s="4" t="s">
        <v>472</v>
      </c>
      <c r="B123" t="s">
        <v>479</v>
      </c>
      <c r="C123" t="s">
        <v>1722</v>
      </c>
      <c r="D123" t="s">
        <v>442</v>
      </c>
      <c r="E123" t="s">
        <v>199</v>
      </c>
      <c r="F123" t="s">
        <v>37</v>
      </c>
    </row>
    <row r="124" spans="1:6" outlineLevel="3" x14ac:dyDescent="0.25">
      <c r="A124" s="4" t="s">
        <v>472</v>
      </c>
      <c r="B124" t="s">
        <v>479</v>
      </c>
      <c r="C124" t="s">
        <v>1561</v>
      </c>
      <c r="D124" t="s">
        <v>442</v>
      </c>
      <c r="E124" t="s">
        <v>199</v>
      </c>
      <c r="F124" t="s">
        <v>37</v>
      </c>
    </row>
    <row r="125" spans="1:6" outlineLevel="3" x14ac:dyDescent="0.25">
      <c r="A125" s="4" t="s">
        <v>472</v>
      </c>
      <c r="B125" t="s">
        <v>479</v>
      </c>
      <c r="C125" t="s">
        <v>1562</v>
      </c>
      <c r="D125" t="s">
        <v>442</v>
      </c>
      <c r="E125" t="s">
        <v>199</v>
      </c>
      <c r="F125" t="s">
        <v>37</v>
      </c>
    </row>
    <row r="126" spans="1:6" outlineLevel="3" x14ac:dyDescent="0.25">
      <c r="A126" s="4" t="s">
        <v>472</v>
      </c>
      <c r="B126" t="s">
        <v>479</v>
      </c>
      <c r="C126" t="s">
        <v>1710</v>
      </c>
      <c r="D126" t="s">
        <v>67</v>
      </c>
      <c r="E126" t="s">
        <v>403</v>
      </c>
      <c r="F126" t="s">
        <v>37</v>
      </c>
    </row>
    <row r="127" spans="1:6" outlineLevel="3" x14ac:dyDescent="0.25">
      <c r="A127" s="4" t="s">
        <v>472</v>
      </c>
      <c r="B127" t="s">
        <v>479</v>
      </c>
      <c r="C127" t="s">
        <v>1563</v>
      </c>
      <c r="D127" t="s">
        <v>442</v>
      </c>
      <c r="E127" t="s">
        <v>403</v>
      </c>
      <c r="F127" t="s">
        <v>37</v>
      </c>
    </row>
    <row r="128" spans="1:6" outlineLevel="3" x14ac:dyDescent="0.25">
      <c r="A128" s="4" t="s">
        <v>472</v>
      </c>
      <c r="B128" t="s">
        <v>479</v>
      </c>
      <c r="C128" t="s">
        <v>1711</v>
      </c>
      <c r="D128" t="s">
        <v>67</v>
      </c>
      <c r="E128" t="s">
        <v>90</v>
      </c>
      <c r="F128" t="s">
        <v>37</v>
      </c>
    </row>
    <row r="129" spans="1:6" outlineLevel="3" x14ac:dyDescent="0.25">
      <c r="A129" s="4" t="s">
        <v>472</v>
      </c>
      <c r="B129" t="s">
        <v>479</v>
      </c>
      <c r="C129" t="s">
        <v>1564</v>
      </c>
      <c r="D129" t="s">
        <v>442</v>
      </c>
      <c r="E129" t="s">
        <v>90</v>
      </c>
      <c r="F129" t="s">
        <v>37</v>
      </c>
    </row>
    <row r="130" spans="1:6" outlineLevel="3" x14ac:dyDescent="0.25">
      <c r="A130" s="4" t="s">
        <v>472</v>
      </c>
      <c r="B130" t="s">
        <v>479</v>
      </c>
      <c r="C130" t="s">
        <v>4496</v>
      </c>
      <c r="D130" t="s">
        <v>119</v>
      </c>
      <c r="E130" t="s">
        <v>204</v>
      </c>
      <c r="F130" t="s">
        <v>37</v>
      </c>
    </row>
    <row r="131" spans="1:6" outlineLevel="3" x14ac:dyDescent="0.25">
      <c r="A131" s="4" t="s">
        <v>472</v>
      </c>
      <c r="B131" t="s">
        <v>479</v>
      </c>
      <c r="C131" t="s">
        <v>4497</v>
      </c>
      <c r="D131" t="s">
        <v>13</v>
      </c>
      <c r="E131" t="s">
        <v>204</v>
      </c>
      <c r="F131" t="s">
        <v>37</v>
      </c>
    </row>
    <row r="132" spans="1:6" outlineLevel="3" x14ac:dyDescent="0.25">
      <c r="A132" s="4" t="s">
        <v>472</v>
      </c>
      <c r="B132" t="s">
        <v>479</v>
      </c>
      <c r="C132" t="s">
        <v>4498</v>
      </c>
      <c r="D132" t="s">
        <v>119</v>
      </c>
      <c r="E132" t="s">
        <v>204</v>
      </c>
      <c r="F132" t="s">
        <v>37</v>
      </c>
    </row>
    <row r="133" spans="1:6" outlineLevel="3" x14ac:dyDescent="0.25">
      <c r="A133" s="4" t="s">
        <v>472</v>
      </c>
      <c r="B133" t="s">
        <v>479</v>
      </c>
      <c r="C133" t="s">
        <v>4499</v>
      </c>
      <c r="D133" t="s">
        <v>119</v>
      </c>
      <c r="E133" t="s">
        <v>204</v>
      </c>
      <c r="F133" t="s">
        <v>37</v>
      </c>
    </row>
    <row r="134" spans="1:6" outlineLevel="3" x14ac:dyDescent="0.25">
      <c r="A134" s="4" t="s">
        <v>472</v>
      </c>
      <c r="B134" t="s">
        <v>479</v>
      </c>
      <c r="C134" t="s">
        <v>4500</v>
      </c>
      <c r="D134" t="s">
        <v>119</v>
      </c>
      <c r="E134" t="s">
        <v>204</v>
      </c>
      <c r="F134" t="s">
        <v>37</v>
      </c>
    </row>
    <row r="135" spans="1:6" outlineLevel="3" x14ac:dyDescent="0.25">
      <c r="A135" s="4" t="s">
        <v>472</v>
      </c>
      <c r="B135" t="s">
        <v>479</v>
      </c>
      <c r="C135" t="s">
        <v>4501</v>
      </c>
      <c r="D135" t="s">
        <v>78</v>
      </c>
      <c r="E135" t="s">
        <v>205</v>
      </c>
      <c r="F135" t="s">
        <v>37</v>
      </c>
    </row>
    <row r="136" spans="1:6" outlineLevel="3" x14ac:dyDescent="0.25">
      <c r="A136" s="4" t="s">
        <v>472</v>
      </c>
      <c r="B136" t="s">
        <v>479</v>
      </c>
      <c r="C136" t="s">
        <v>4502</v>
      </c>
      <c r="D136" t="s">
        <v>67</v>
      </c>
      <c r="E136" t="s">
        <v>205</v>
      </c>
      <c r="F136" t="s">
        <v>37</v>
      </c>
    </row>
    <row r="137" spans="1:6" outlineLevel="3" x14ac:dyDescent="0.25">
      <c r="A137" s="4" t="s">
        <v>472</v>
      </c>
      <c r="B137" t="s">
        <v>479</v>
      </c>
      <c r="C137" t="s">
        <v>4503</v>
      </c>
      <c r="D137" t="s">
        <v>78</v>
      </c>
      <c r="E137" t="s">
        <v>205</v>
      </c>
      <c r="F137" t="s">
        <v>37</v>
      </c>
    </row>
    <row r="138" spans="1:6" outlineLevel="3" x14ac:dyDescent="0.25">
      <c r="A138" s="4" t="s">
        <v>472</v>
      </c>
      <c r="B138" t="s">
        <v>479</v>
      </c>
      <c r="C138" t="s">
        <v>4665</v>
      </c>
      <c r="D138" t="s">
        <v>13</v>
      </c>
      <c r="E138" t="s">
        <v>227</v>
      </c>
      <c r="F138" t="s">
        <v>37</v>
      </c>
    </row>
    <row r="139" spans="1:6" outlineLevel="3" x14ac:dyDescent="0.25">
      <c r="A139" s="4" t="s">
        <v>472</v>
      </c>
      <c r="B139" t="s">
        <v>479</v>
      </c>
      <c r="C139" t="s">
        <v>4666</v>
      </c>
      <c r="D139" t="s">
        <v>65</v>
      </c>
      <c r="E139" t="s">
        <v>227</v>
      </c>
      <c r="F139" t="s">
        <v>37</v>
      </c>
    </row>
    <row r="140" spans="1:6" outlineLevel="3" x14ac:dyDescent="0.25">
      <c r="A140" s="4" t="s">
        <v>472</v>
      </c>
      <c r="B140" t="s">
        <v>479</v>
      </c>
      <c r="C140" t="s">
        <v>4667</v>
      </c>
      <c r="D140" t="s">
        <v>67</v>
      </c>
      <c r="E140" t="s">
        <v>227</v>
      </c>
      <c r="F140" t="s">
        <v>37</v>
      </c>
    </row>
    <row r="141" spans="1:6" outlineLevel="3" x14ac:dyDescent="0.25">
      <c r="A141" s="4" t="s">
        <v>472</v>
      </c>
      <c r="B141" t="s">
        <v>479</v>
      </c>
      <c r="C141" t="s">
        <v>4668</v>
      </c>
      <c r="D141" t="s">
        <v>13</v>
      </c>
      <c r="E141" t="s">
        <v>227</v>
      </c>
      <c r="F141" t="s">
        <v>37</v>
      </c>
    </row>
    <row r="142" spans="1:6" outlineLevel="3" x14ac:dyDescent="0.25">
      <c r="A142" s="4" t="s">
        <v>472</v>
      </c>
      <c r="B142" t="s">
        <v>479</v>
      </c>
      <c r="C142" t="s">
        <v>4669</v>
      </c>
      <c r="D142" t="s">
        <v>6</v>
      </c>
      <c r="E142" t="s">
        <v>227</v>
      </c>
      <c r="F142" t="s">
        <v>37</v>
      </c>
    </row>
    <row r="143" spans="1:6" outlineLevel="3" x14ac:dyDescent="0.25">
      <c r="A143" s="4" t="s">
        <v>472</v>
      </c>
      <c r="B143" t="s">
        <v>479</v>
      </c>
      <c r="C143" t="s">
        <v>4670</v>
      </c>
      <c r="D143" t="s">
        <v>67</v>
      </c>
      <c r="E143" t="s">
        <v>227</v>
      </c>
      <c r="F143" t="s">
        <v>37</v>
      </c>
    </row>
    <row r="144" spans="1:6" outlineLevel="3" x14ac:dyDescent="0.25">
      <c r="A144" s="4" t="s">
        <v>472</v>
      </c>
      <c r="B144" t="s">
        <v>479</v>
      </c>
      <c r="C144" t="s">
        <v>4541</v>
      </c>
      <c r="D144" t="s">
        <v>119</v>
      </c>
      <c r="E144" t="s">
        <v>249</v>
      </c>
      <c r="F144" t="s">
        <v>37</v>
      </c>
    </row>
    <row r="145" spans="1:6" outlineLevel="3" x14ac:dyDescent="0.25">
      <c r="A145" s="4" t="s">
        <v>472</v>
      </c>
      <c r="B145" t="s">
        <v>479</v>
      </c>
      <c r="C145" t="s">
        <v>4542</v>
      </c>
      <c r="D145" t="s">
        <v>13</v>
      </c>
      <c r="E145" t="s">
        <v>136</v>
      </c>
      <c r="F145" t="s">
        <v>37</v>
      </c>
    </row>
    <row r="146" spans="1:6" outlineLevel="3" x14ac:dyDescent="0.25">
      <c r="A146" s="4" t="s">
        <v>472</v>
      </c>
      <c r="B146" t="s">
        <v>479</v>
      </c>
      <c r="C146" t="s">
        <v>4543</v>
      </c>
      <c r="D146" t="s">
        <v>78</v>
      </c>
      <c r="E146" t="s">
        <v>136</v>
      </c>
      <c r="F146" t="s">
        <v>37</v>
      </c>
    </row>
    <row r="147" spans="1:6" outlineLevel="3" x14ac:dyDescent="0.25">
      <c r="A147" s="4" t="s">
        <v>472</v>
      </c>
      <c r="B147" t="s">
        <v>479</v>
      </c>
      <c r="C147" t="s">
        <v>4544</v>
      </c>
      <c r="D147" t="s">
        <v>119</v>
      </c>
      <c r="E147" t="s">
        <v>136</v>
      </c>
      <c r="F147" t="s">
        <v>37</v>
      </c>
    </row>
    <row r="148" spans="1:6" outlineLevel="3" x14ac:dyDescent="0.25">
      <c r="A148" s="4" t="s">
        <v>472</v>
      </c>
      <c r="B148" t="s">
        <v>479</v>
      </c>
      <c r="C148" t="s">
        <v>4545</v>
      </c>
      <c r="D148" t="s">
        <v>78</v>
      </c>
      <c r="E148" t="s">
        <v>136</v>
      </c>
      <c r="F148" t="s">
        <v>37</v>
      </c>
    </row>
    <row r="149" spans="1:6" outlineLevel="3" x14ac:dyDescent="0.25">
      <c r="A149" s="4" t="s">
        <v>472</v>
      </c>
      <c r="B149" t="s">
        <v>479</v>
      </c>
      <c r="C149" t="s">
        <v>4546</v>
      </c>
      <c r="D149" t="s">
        <v>78</v>
      </c>
      <c r="E149" t="s">
        <v>136</v>
      </c>
      <c r="F149" t="s">
        <v>37</v>
      </c>
    </row>
    <row r="150" spans="1:6" outlineLevel="3" x14ac:dyDescent="0.25">
      <c r="A150" s="4" t="s">
        <v>472</v>
      </c>
      <c r="B150" t="s">
        <v>479</v>
      </c>
      <c r="C150" t="s">
        <v>4547</v>
      </c>
      <c r="D150" t="s">
        <v>67</v>
      </c>
      <c r="E150" t="s">
        <v>136</v>
      </c>
      <c r="F150" t="s">
        <v>37</v>
      </c>
    </row>
    <row r="151" spans="1:6" outlineLevel="3" x14ac:dyDescent="0.25">
      <c r="A151" s="4" t="s">
        <v>472</v>
      </c>
      <c r="B151" t="s">
        <v>479</v>
      </c>
      <c r="C151" t="s">
        <v>4548</v>
      </c>
      <c r="D151" t="s">
        <v>65</v>
      </c>
      <c r="E151" t="s">
        <v>136</v>
      </c>
      <c r="F151" t="s">
        <v>37</v>
      </c>
    </row>
    <row r="152" spans="1:6" outlineLevel="3" x14ac:dyDescent="0.25">
      <c r="A152" s="4" t="s">
        <v>472</v>
      </c>
      <c r="B152" t="s">
        <v>479</v>
      </c>
      <c r="C152" t="s">
        <v>4549</v>
      </c>
      <c r="D152" t="s">
        <v>119</v>
      </c>
      <c r="E152" t="s">
        <v>136</v>
      </c>
      <c r="F152" t="s">
        <v>37</v>
      </c>
    </row>
    <row r="153" spans="1:6" outlineLevel="3" x14ac:dyDescent="0.25">
      <c r="A153" s="4" t="s">
        <v>472</v>
      </c>
      <c r="B153" t="s">
        <v>479</v>
      </c>
      <c r="C153" t="s">
        <v>4550</v>
      </c>
      <c r="D153" t="s">
        <v>6</v>
      </c>
      <c r="E153" t="s">
        <v>136</v>
      </c>
      <c r="F153" t="s">
        <v>37</v>
      </c>
    </row>
    <row r="154" spans="1:6" outlineLevel="3" x14ac:dyDescent="0.25">
      <c r="A154" s="4" t="s">
        <v>472</v>
      </c>
      <c r="B154" t="s">
        <v>479</v>
      </c>
      <c r="C154" t="s">
        <v>4551</v>
      </c>
      <c r="D154" t="s">
        <v>190</v>
      </c>
      <c r="E154" t="s">
        <v>136</v>
      </c>
      <c r="F154" t="s">
        <v>37</v>
      </c>
    </row>
    <row r="155" spans="1:6" outlineLevel="3" x14ac:dyDescent="0.25">
      <c r="A155" s="4" t="s">
        <v>472</v>
      </c>
      <c r="B155" t="s">
        <v>479</v>
      </c>
      <c r="C155" t="s">
        <v>4552</v>
      </c>
      <c r="D155" t="s">
        <v>6</v>
      </c>
      <c r="E155" t="s">
        <v>136</v>
      </c>
      <c r="F155" t="s">
        <v>37</v>
      </c>
    </row>
    <row r="156" spans="1:6" outlineLevel="3" x14ac:dyDescent="0.25">
      <c r="A156" s="4" t="s">
        <v>472</v>
      </c>
      <c r="B156" t="s">
        <v>479</v>
      </c>
      <c r="C156" t="s">
        <v>4612</v>
      </c>
      <c r="D156" t="s">
        <v>46</v>
      </c>
      <c r="E156" t="s">
        <v>136</v>
      </c>
      <c r="F156" t="s">
        <v>37</v>
      </c>
    </row>
    <row r="157" spans="1:6" outlineLevel="3" x14ac:dyDescent="0.25">
      <c r="A157" s="4" t="s">
        <v>472</v>
      </c>
      <c r="B157" t="s">
        <v>479</v>
      </c>
      <c r="C157" t="s">
        <v>4553</v>
      </c>
      <c r="D157" t="s">
        <v>67</v>
      </c>
      <c r="E157" t="s">
        <v>118</v>
      </c>
      <c r="F157" t="s">
        <v>37</v>
      </c>
    </row>
    <row r="158" spans="1:6" outlineLevel="3" x14ac:dyDescent="0.25">
      <c r="A158" s="4" t="s">
        <v>472</v>
      </c>
      <c r="B158" t="s">
        <v>479</v>
      </c>
      <c r="C158" t="s">
        <v>4554</v>
      </c>
      <c r="D158" t="s">
        <v>67</v>
      </c>
      <c r="E158" t="s">
        <v>118</v>
      </c>
      <c r="F158" t="s">
        <v>37</v>
      </c>
    </row>
    <row r="159" spans="1:6" outlineLevel="3" x14ac:dyDescent="0.25">
      <c r="A159" s="4" t="s">
        <v>472</v>
      </c>
      <c r="B159" t="s">
        <v>479</v>
      </c>
      <c r="C159" t="s">
        <v>4555</v>
      </c>
      <c r="D159" t="s">
        <v>147</v>
      </c>
      <c r="E159" t="s">
        <v>118</v>
      </c>
      <c r="F159" t="s">
        <v>37</v>
      </c>
    </row>
    <row r="160" spans="1:6" outlineLevel="3" x14ac:dyDescent="0.25">
      <c r="A160" s="4" t="s">
        <v>472</v>
      </c>
      <c r="B160" t="s">
        <v>479</v>
      </c>
      <c r="C160" t="s">
        <v>4556</v>
      </c>
      <c r="D160" t="s">
        <v>119</v>
      </c>
      <c r="E160" t="s">
        <v>118</v>
      </c>
      <c r="F160" t="s">
        <v>37</v>
      </c>
    </row>
    <row r="161" spans="1:6" outlineLevel="3" x14ac:dyDescent="0.25">
      <c r="A161" s="4" t="s">
        <v>472</v>
      </c>
      <c r="B161" t="s">
        <v>479</v>
      </c>
      <c r="C161" t="s">
        <v>4621</v>
      </c>
      <c r="D161" t="s">
        <v>442</v>
      </c>
      <c r="E161" t="s">
        <v>118</v>
      </c>
      <c r="F161" t="s">
        <v>37</v>
      </c>
    </row>
    <row r="162" spans="1:6" outlineLevel="3" x14ac:dyDescent="0.25">
      <c r="A162" s="4" t="s">
        <v>472</v>
      </c>
      <c r="B162" t="s">
        <v>479</v>
      </c>
      <c r="C162" t="s">
        <v>1580</v>
      </c>
      <c r="D162" t="s">
        <v>78</v>
      </c>
      <c r="E162" t="s">
        <v>1115</v>
      </c>
      <c r="F162" t="s">
        <v>37</v>
      </c>
    </row>
    <row r="163" spans="1:6" outlineLevel="3" x14ac:dyDescent="0.25">
      <c r="A163" s="4" t="s">
        <v>472</v>
      </c>
      <c r="B163" t="s">
        <v>479</v>
      </c>
      <c r="C163" t="s">
        <v>1725</v>
      </c>
      <c r="D163" t="s">
        <v>126</v>
      </c>
      <c r="E163" t="s">
        <v>1669</v>
      </c>
      <c r="F163" t="s">
        <v>37</v>
      </c>
    </row>
    <row r="164" spans="1:6" outlineLevel="3" x14ac:dyDescent="0.25">
      <c r="A164" s="4" t="s">
        <v>472</v>
      </c>
      <c r="B164" t="s">
        <v>479</v>
      </c>
      <c r="C164" t="s">
        <v>4622</v>
      </c>
      <c r="D164" t="s">
        <v>442</v>
      </c>
      <c r="E164" t="s">
        <v>1669</v>
      </c>
      <c r="F164" t="s">
        <v>37</v>
      </c>
    </row>
    <row r="165" spans="1:6" outlineLevel="3" x14ac:dyDescent="0.25">
      <c r="A165" s="4" t="s">
        <v>472</v>
      </c>
      <c r="B165" t="s">
        <v>479</v>
      </c>
      <c r="C165" t="s">
        <v>1581</v>
      </c>
      <c r="D165" t="s">
        <v>103</v>
      </c>
      <c r="E165" t="s">
        <v>1071</v>
      </c>
      <c r="F165" t="s">
        <v>37</v>
      </c>
    </row>
    <row r="166" spans="1:6" outlineLevel="3" x14ac:dyDescent="0.25">
      <c r="A166" s="4" t="s">
        <v>472</v>
      </c>
      <c r="B166" t="s">
        <v>479</v>
      </c>
      <c r="C166" t="s">
        <v>1582</v>
      </c>
      <c r="D166" t="s">
        <v>103</v>
      </c>
      <c r="E166" t="s">
        <v>1071</v>
      </c>
      <c r="F166" t="s">
        <v>37</v>
      </c>
    </row>
    <row r="167" spans="1:6" outlineLevel="3" x14ac:dyDescent="0.25">
      <c r="A167" s="4" t="s">
        <v>472</v>
      </c>
      <c r="B167" t="s">
        <v>479</v>
      </c>
      <c r="C167" t="s">
        <v>1583</v>
      </c>
      <c r="D167" t="s">
        <v>165</v>
      </c>
      <c r="E167" t="s">
        <v>1116</v>
      </c>
      <c r="F167" t="s">
        <v>37</v>
      </c>
    </row>
    <row r="168" spans="1:6" outlineLevel="3" x14ac:dyDescent="0.25">
      <c r="A168" s="4" t="s">
        <v>472</v>
      </c>
      <c r="B168" t="s">
        <v>479</v>
      </c>
      <c r="C168" t="s">
        <v>1584</v>
      </c>
      <c r="D168" t="s">
        <v>482</v>
      </c>
      <c r="E168" t="s">
        <v>1116</v>
      </c>
      <c r="F168" t="s">
        <v>37</v>
      </c>
    </row>
    <row r="169" spans="1:6" outlineLevel="3" x14ac:dyDescent="0.25">
      <c r="A169" s="4" t="s">
        <v>472</v>
      </c>
      <c r="B169" t="s">
        <v>479</v>
      </c>
      <c r="C169" t="s">
        <v>4645</v>
      </c>
      <c r="D169" t="s">
        <v>334</v>
      </c>
      <c r="E169" t="s">
        <v>1134</v>
      </c>
      <c r="F169" t="s">
        <v>37</v>
      </c>
    </row>
    <row r="170" spans="1:6" outlineLevel="3" x14ac:dyDescent="0.25">
      <c r="A170" s="4" t="s">
        <v>472</v>
      </c>
      <c r="B170" t="s">
        <v>479</v>
      </c>
      <c r="C170" t="s">
        <v>4646</v>
      </c>
      <c r="D170" t="s">
        <v>78</v>
      </c>
      <c r="E170" t="s">
        <v>1134</v>
      </c>
      <c r="F170" t="s">
        <v>37</v>
      </c>
    </row>
    <row r="171" spans="1:6" outlineLevel="3" x14ac:dyDescent="0.25">
      <c r="A171" s="4" t="s">
        <v>472</v>
      </c>
      <c r="B171" t="s">
        <v>479</v>
      </c>
      <c r="C171" t="s">
        <v>4647</v>
      </c>
      <c r="D171" t="s">
        <v>78</v>
      </c>
      <c r="E171" t="s">
        <v>1134</v>
      </c>
      <c r="F171" t="s">
        <v>37</v>
      </c>
    </row>
    <row r="172" spans="1:6" outlineLevel="3" x14ac:dyDescent="0.25">
      <c r="A172" s="4" t="s">
        <v>472</v>
      </c>
      <c r="B172" t="s">
        <v>479</v>
      </c>
      <c r="C172" t="s">
        <v>4648</v>
      </c>
      <c r="D172" t="s">
        <v>67</v>
      </c>
      <c r="E172" t="s">
        <v>1134</v>
      </c>
      <c r="F172" t="s">
        <v>37</v>
      </c>
    </row>
    <row r="173" spans="1:6" outlineLevel="3" x14ac:dyDescent="0.25">
      <c r="A173" s="4" t="s">
        <v>472</v>
      </c>
      <c r="B173" t="s">
        <v>479</v>
      </c>
      <c r="C173" t="s">
        <v>4652</v>
      </c>
      <c r="D173" t="s">
        <v>46</v>
      </c>
      <c r="E173" t="s">
        <v>1134</v>
      </c>
      <c r="F173" t="s">
        <v>37</v>
      </c>
    </row>
    <row r="174" spans="1:6" outlineLevel="3" x14ac:dyDescent="0.25">
      <c r="A174" s="4" t="s">
        <v>472</v>
      </c>
      <c r="B174" t="s">
        <v>479</v>
      </c>
      <c r="C174" t="s">
        <v>4653</v>
      </c>
      <c r="D174" t="s">
        <v>46</v>
      </c>
      <c r="E174" t="s">
        <v>1134</v>
      </c>
      <c r="F174" t="s">
        <v>37</v>
      </c>
    </row>
    <row r="175" spans="1:6" outlineLevel="3" x14ac:dyDescent="0.25">
      <c r="A175" s="4" t="s">
        <v>472</v>
      </c>
      <c r="B175" t="s">
        <v>479</v>
      </c>
      <c r="C175" t="s">
        <v>4656</v>
      </c>
      <c r="D175" t="s">
        <v>442</v>
      </c>
      <c r="E175" t="s">
        <v>1134</v>
      </c>
      <c r="F175" t="s">
        <v>37</v>
      </c>
    </row>
    <row r="176" spans="1:6" outlineLevel="3" x14ac:dyDescent="0.25">
      <c r="A176" s="4" t="s">
        <v>472</v>
      </c>
      <c r="B176" t="s">
        <v>479</v>
      </c>
      <c r="C176" t="s">
        <v>4657</v>
      </c>
      <c r="D176" t="s">
        <v>442</v>
      </c>
      <c r="E176" t="s">
        <v>1134</v>
      </c>
      <c r="F176" t="s">
        <v>37</v>
      </c>
    </row>
    <row r="177" spans="1:6" outlineLevel="3" x14ac:dyDescent="0.25">
      <c r="A177" s="4" t="s">
        <v>472</v>
      </c>
      <c r="B177" t="s">
        <v>479</v>
      </c>
      <c r="C177" t="s">
        <v>4623</v>
      </c>
      <c r="D177" t="s">
        <v>442</v>
      </c>
      <c r="E177" t="s">
        <v>87</v>
      </c>
      <c r="F177" t="s">
        <v>37</v>
      </c>
    </row>
    <row r="178" spans="1:6" outlineLevel="3" x14ac:dyDescent="0.25">
      <c r="A178" s="4" t="s">
        <v>472</v>
      </c>
      <c r="B178" t="s">
        <v>479</v>
      </c>
      <c r="C178" t="s">
        <v>4624</v>
      </c>
      <c r="D178" t="s">
        <v>442</v>
      </c>
      <c r="E178" t="s">
        <v>87</v>
      </c>
      <c r="F178" t="s">
        <v>37</v>
      </c>
    </row>
    <row r="179" spans="1:6" outlineLevel="3" x14ac:dyDescent="0.25">
      <c r="A179" s="4" t="s">
        <v>472</v>
      </c>
      <c r="B179" t="s">
        <v>479</v>
      </c>
      <c r="C179" t="s">
        <v>4625</v>
      </c>
      <c r="D179" t="s">
        <v>442</v>
      </c>
      <c r="E179" t="s">
        <v>87</v>
      </c>
      <c r="F179" t="s">
        <v>37</v>
      </c>
    </row>
    <row r="180" spans="1:6" outlineLevel="3" x14ac:dyDescent="0.25">
      <c r="A180" s="4" t="s">
        <v>472</v>
      </c>
      <c r="B180" t="s">
        <v>479</v>
      </c>
      <c r="C180" t="s">
        <v>4658</v>
      </c>
      <c r="D180" t="s">
        <v>442</v>
      </c>
      <c r="E180" t="s">
        <v>1135</v>
      </c>
      <c r="F180" t="s">
        <v>37</v>
      </c>
    </row>
    <row r="181" spans="1:6" outlineLevel="3" x14ac:dyDescent="0.25">
      <c r="A181" s="4" t="s">
        <v>472</v>
      </c>
      <c r="B181" t="s">
        <v>479</v>
      </c>
      <c r="C181" t="s">
        <v>4671</v>
      </c>
      <c r="D181" t="s">
        <v>78</v>
      </c>
      <c r="E181" t="s">
        <v>292</v>
      </c>
      <c r="F181" t="s">
        <v>37</v>
      </c>
    </row>
    <row r="182" spans="1:6" outlineLevel="3" x14ac:dyDescent="0.25">
      <c r="A182" s="4" t="s">
        <v>472</v>
      </c>
      <c r="B182" t="s">
        <v>479</v>
      </c>
      <c r="C182" t="s">
        <v>1712</v>
      </c>
      <c r="D182" t="s">
        <v>6</v>
      </c>
      <c r="E182" t="s">
        <v>406</v>
      </c>
      <c r="F182" t="s">
        <v>37</v>
      </c>
    </row>
    <row r="183" spans="1:6" outlineLevel="3" x14ac:dyDescent="0.25">
      <c r="A183" s="4" t="s">
        <v>472</v>
      </c>
      <c r="B183" t="s">
        <v>479</v>
      </c>
      <c r="C183" t="s">
        <v>1565</v>
      </c>
      <c r="D183" t="s">
        <v>442</v>
      </c>
      <c r="E183" t="s">
        <v>406</v>
      </c>
      <c r="F183" t="s">
        <v>37</v>
      </c>
    </row>
    <row r="184" spans="1:6" outlineLevel="3" x14ac:dyDescent="0.25">
      <c r="A184" s="4" t="s">
        <v>472</v>
      </c>
      <c r="B184" t="s">
        <v>479</v>
      </c>
      <c r="C184" t="s">
        <v>4506</v>
      </c>
      <c r="D184" t="s">
        <v>78</v>
      </c>
      <c r="E184" t="s">
        <v>134</v>
      </c>
      <c r="F184" t="s">
        <v>37</v>
      </c>
    </row>
    <row r="185" spans="1:6" outlineLevel="3" x14ac:dyDescent="0.25">
      <c r="A185" s="4" t="s">
        <v>472</v>
      </c>
      <c r="B185" t="s">
        <v>479</v>
      </c>
      <c r="C185" t="s">
        <v>4507</v>
      </c>
      <c r="D185" t="s">
        <v>6</v>
      </c>
      <c r="E185" t="s">
        <v>134</v>
      </c>
      <c r="F185" t="s">
        <v>37</v>
      </c>
    </row>
    <row r="186" spans="1:6" outlineLevel="3" x14ac:dyDescent="0.25">
      <c r="A186" s="4" t="s">
        <v>472</v>
      </c>
      <c r="B186" t="s">
        <v>479</v>
      </c>
      <c r="C186" t="s">
        <v>4508</v>
      </c>
      <c r="D186" t="s">
        <v>78</v>
      </c>
      <c r="E186" t="s">
        <v>134</v>
      </c>
      <c r="F186" t="s">
        <v>37</v>
      </c>
    </row>
    <row r="187" spans="1:6" outlineLevel="3" x14ac:dyDescent="0.25">
      <c r="A187" s="4" t="s">
        <v>472</v>
      </c>
      <c r="B187" t="s">
        <v>479</v>
      </c>
      <c r="C187" t="s">
        <v>4510</v>
      </c>
      <c r="D187" t="s">
        <v>46</v>
      </c>
      <c r="E187" t="s">
        <v>134</v>
      </c>
      <c r="F187" t="s">
        <v>37</v>
      </c>
    </row>
    <row r="188" spans="1:6" outlineLevel="3" x14ac:dyDescent="0.25">
      <c r="A188" s="4" t="s">
        <v>472</v>
      </c>
      <c r="B188" t="s">
        <v>479</v>
      </c>
      <c r="C188" t="s">
        <v>1724</v>
      </c>
      <c r="D188" t="s">
        <v>442</v>
      </c>
      <c r="E188" t="s">
        <v>134</v>
      </c>
      <c r="F188" t="s">
        <v>37</v>
      </c>
    </row>
    <row r="189" spans="1:6" outlineLevel="3" x14ac:dyDescent="0.25">
      <c r="A189" s="4" t="s">
        <v>472</v>
      </c>
      <c r="B189" t="s">
        <v>479</v>
      </c>
      <c r="C189" t="s">
        <v>4513</v>
      </c>
      <c r="D189" t="s">
        <v>442</v>
      </c>
      <c r="E189" t="s">
        <v>134</v>
      </c>
      <c r="F189" t="s">
        <v>37</v>
      </c>
    </row>
    <row r="190" spans="1:6" outlineLevel="3" x14ac:dyDescent="0.25">
      <c r="A190" s="4" t="s">
        <v>472</v>
      </c>
      <c r="B190" t="s">
        <v>479</v>
      </c>
      <c r="C190" t="s">
        <v>4514</v>
      </c>
      <c r="D190" t="s">
        <v>442</v>
      </c>
      <c r="E190" t="s">
        <v>134</v>
      </c>
      <c r="F190" t="s">
        <v>37</v>
      </c>
    </row>
    <row r="191" spans="1:6" outlineLevel="3" x14ac:dyDescent="0.25">
      <c r="A191" s="4" t="s">
        <v>472</v>
      </c>
      <c r="B191" t="s">
        <v>479</v>
      </c>
      <c r="C191" t="s">
        <v>1585</v>
      </c>
      <c r="D191" t="s">
        <v>78</v>
      </c>
      <c r="E191" t="s">
        <v>91</v>
      </c>
      <c r="F191" t="s">
        <v>37</v>
      </c>
    </row>
    <row r="192" spans="1:6" outlineLevel="3" x14ac:dyDescent="0.25">
      <c r="A192" s="4" t="s">
        <v>472</v>
      </c>
      <c r="B192" t="s">
        <v>479</v>
      </c>
      <c r="C192" t="s">
        <v>1586</v>
      </c>
      <c r="D192" t="s">
        <v>147</v>
      </c>
      <c r="E192" t="s">
        <v>91</v>
      </c>
      <c r="F192" t="s">
        <v>37</v>
      </c>
    </row>
    <row r="193" spans="1:6" outlineLevel="3" x14ac:dyDescent="0.25">
      <c r="A193" s="4" t="s">
        <v>472</v>
      </c>
      <c r="B193" t="s">
        <v>479</v>
      </c>
      <c r="C193" t="s">
        <v>1587</v>
      </c>
      <c r="D193" t="s">
        <v>6</v>
      </c>
      <c r="E193" t="s">
        <v>91</v>
      </c>
      <c r="F193" t="s">
        <v>37</v>
      </c>
    </row>
    <row r="194" spans="1:6" outlineLevel="3" x14ac:dyDescent="0.25">
      <c r="A194" s="4" t="s">
        <v>472</v>
      </c>
      <c r="B194" t="s">
        <v>479</v>
      </c>
      <c r="C194" t="s">
        <v>1588</v>
      </c>
      <c r="D194" t="s">
        <v>65</v>
      </c>
      <c r="E194" t="s">
        <v>91</v>
      </c>
      <c r="F194" t="s">
        <v>37</v>
      </c>
    </row>
    <row r="195" spans="1:6" outlineLevel="3" x14ac:dyDescent="0.25">
      <c r="A195" s="4" t="s">
        <v>472</v>
      </c>
      <c r="B195" t="s">
        <v>479</v>
      </c>
      <c r="C195" t="s">
        <v>1589</v>
      </c>
      <c r="D195" t="s">
        <v>67</v>
      </c>
      <c r="E195" t="s">
        <v>91</v>
      </c>
      <c r="F195" t="s">
        <v>37</v>
      </c>
    </row>
    <row r="196" spans="1:6" outlineLevel="3" x14ac:dyDescent="0.25">
      <c r="A196" s="4" t="s">
        <v>472</v>
      </c>
      <c r="B196" t="s">
        <v>479</v>
      </c>
      <c r="C196" t="s">
        <v>1590</v>
      </c>
      <c r="D196" t="s">
        <v>67</v>
      </c>
      <c r="E196" t="s">
        <v>91</v>
      </c>
      <c r="F196" t="s">
        <v>37</v>
      </c>
    </row>
    <row r="197" spans="1:6" outlineLevel="3" x14ac:dyDescent="0.25">
      <c r="A197" s="4" t="s">
        <v>472</v>
      </c>
      <c r="B197" t="s">
        <v>479</v>
      </c>
      <c r="C197" t="s">
        <v>1591</v>
      </c>
      <c r="D197" t="s">
        <v>6</v>
      </c>
      <c r="E197" t="s">
        <v>91</v>
      </c>
      <c r="F197" t="s">
        <v>37</v>
      </c>
    </row>
    <row r="198" spans="1:6" outlineLevel="3" x14ac:dyDescent="0.25">
      <c r="A198" s="4" t="s">
        <v>472</v>
      </c>
      <c r="B198" t="s">
        <v>479</v>
      </c>
      <c r="C198" t="s">
        <v>1592</v>
      </c>
      <c r="D198" t="s">
        <v>67</v>
      </c>
      <c r="E198" t="s">
        <v>91</v>
      </c>
      <c r="F198" t="s">
        <v>37</v>
      </c>
    </row>
    <row r="199" spans="1:6" outlineLevel="3" x14ac:dyDescent="0.25">
      <c r="A199" s="4" t="s">
        <v>472</v>
      </c>
      <c r="B199" t="s">
        <v>479</v>
      </c>
      <c r="C199" t="s">
        <v>1593</v>
      </c>
      <c r="D199" t="s">
        <v>126</v>
      </c>
      <c r="E199" t="s">
        <v>91</v>
      </c>
      <c r="F199" t="s">
        <v>37</v>
      </c>
    </row>
    <row r="200" spans="1:6" outlineLevel="3" x14ac:dyDescent="0.25">
      <c r="A200" s="4" t="s">
        <v>472</v>
      </c>
      <c r="B200" t="s">
        <v>479</v>
      </c>
      <c r="C200" t="s">
        <v>1594</v>
      </c>
      <c r="D200" t="s">
        <v>126</v>
      </c>
      <c r="E200" t="s">
        <v>91</v>
      </c>
      <c r="F200" t="s">
        <v>37</v>
      </c>
    </row>
    <row r="201" spans="1:6" outlineLevel="3" x14ac:dyDescent="0.25">
      <c r="A201" s="4" t="s">
        <v>472</v>
      </c>
      <c r="B201" t="s">
        <v>479</v>
      </c>
      <c r="C201" t="s">
        <v>1595</v>
      </c>
      <c r="D201" t="s">
        <v>141</v>
      </c>
      <c r="E201" t="s">
        <v>91</v>
      </c>
      <c r="F201" t="s">
        <v>37</v>
      </c>
    </row>
    <row r="202" spans="1:6" outlineLevel="3" x14ac:dyDescent="0.25">
      <c r="A202" s="4" t="s">
        <v>472</v>
      </c>
      <c r="B202" t="s">
        <v>479</v>
      </c>
      <c r="C202" t="s">
        <v>1596</v>
      </c>
      <c r="D202" t="s">
        <v>147</v>
      </c>
      <c r="E202" t="s">
        <v>91</v>
      </c>
      <c r="F202" t="s">
        <v>37</v>
      </c>
    </row>
    <row r="203" spans="1:6" outlineLevel="3" x14ac:dyDescent="0.25">
      <c r="A203" s="4" t="s">
        <v>472</v>
      </c>
      <c r="B203" t="s">
        <v>479</v>
      </c>
      <c r="C203" t="s">
        <v>1597</v>
      </c>
      <c r="D203" t="s">
        <v>432</v>
      </c>
      <c r="E203" t="s">
        <v>91</v>
      </c>
      <c r="F203" t="s">
        <v>37</v>
      </c>
    </row>
    <row r="204" spans="1:6" outlineLevel="3" x14ac:dyDescent="0.25">
      <c r="A204" s="4" t="s">
        <v>472</v>
      </c>
      <c r="B204" t="s">
        <v>479</v>
      </c>
      <c r="C204" t="s">
        <v>1598</v>
      </c>
      <c r="D204" t="s">
        <v>126</v>
      </c>
      <c r="E204" t="s">
        <v>91</v>
      </c>
      <c r="F204" t="s">
        <v>37</v>
      </c>
    </row>
    <row r="205" spans="1:6" outlineLevel="3" x14ac:dyDescent="0.25">
      <c r="A205" s="4" t="s">
        <v>472</v>
      </c>
      <c r="B205" t="s">
        <v>479</v>
      </c>
      <c r="C205" t="s">
        <v>1599</v>
      </c>
      <c r="D205" t="s">
        <v>124</v>
      </c>
      <c r="E205" t="s">
        <v>91</v>
      </c>
      <c r="F205" t="s">
        <v>37</v>
      </c>
    </row>
    <row r="206" spans="1:6" outlineLevel="3" x14ac:dyDescent="0.25">
      <c r="A206" s="4" t="s">
        <v>472</v>
      </c>
      <c r="B206" t="s">
        <v>479</v>
      </c>
      <c r="C206" t="s">
        <v>1600</v>
      </c>
      <c r="D206" t="s">
        <v>13</v>
      </c>
      <c r="E206" t="s">
        <v>91</v>
      </c>
      <c r="F206" t="s">
        <v>37</v>
      </c>
    </row>
    <row r="207" spans="1:6" outlineLevel="3" x14ac:dyDescent="0.25">
      <c r="A207" s="4" t="s">
        <v>472</v>
      </c>
      <c r="B207" t="s">
        <v>479</v>
      </c>
      <c r="C207" t="s">
        <v>1601</v>
      </c>
      <c r="D207" t="s">
        <v>1073</v>
      </c>
      <c r="E207" t="s">
        <v>91</v>
      </c>
      <c r="F207" t="s">
        <v>37</v>
      </c>
    </row>
    <row r="208" spans="1:6" outlineLevel="3" x14ac:dyDescent="0.25">
      <c r="A208" s="4" t="s">
        <v>472</v>
      </c>
      <c r="B208" t="s">
        <v>479</v>
      </c>
      <c r="C208" t="s">
        <v>1602</v>
      </c>
      <c r="D208" t="s">
        <v>78</v>
      </c>
      <c r="E208" t="s">
        <v>91</v>
      </c>
      <c r="F208" t="s">
        <v>37</v>
      </c>
    </row>
    <row r="209" spans="1:6" outlineLevel="3" x14ac:dyDescent="0.25">
      <c r="A209" s="4" t="s">
        <v>472</v>
      </c>
      <c r="B209" t="s">
        <v>479</v>
      </c>
      <c r="C209" t="s">
        <v>4473</v>
      </c>
      <c r="D209" t="s">
        <v>442</v>
      </c>
      <c r="E209" t="s">
        <v>91</v>
      </c>
      <c r="F209" t="s">
        <v>37</v>
      </c>
    </row>
    <row r="210" spans="1:6" outlineLevel="3" x14ac:dyDescent="0.25">
      <c r="A210" s="4" t="s">
        <v>472</v>
      </c>
      <c r="B210" t="s">
        <v>479</v>
      </c>
      <c r="C210" t="s">
        <v>4474</v>
      </c>
      <c r="D210" t="s">
        <v>442</v>
      </c>
      <c r="E210" t="s">
        <v>91</v>
      </c>
      <c r="F210" t="s">
        <v>37</v>
      </c>
    </row>
    <row r="211" spans="1:6" outlineLevel="3" x14ac:dyDescent="0.25">
      <c r="A211" s="4" t="s">
        <v>472</v>
      </c>
      <c r="B211" t="s">
        <v>479</v>
      </c>
      <c r="C211" t="s">
        <v>4475</v>
      </c>
      <c r="D211" t="s">
        <v>442</v>
      </c>
      <c r="E211" t="s">
        <v>91</v>
      </c>
      <c r="F211" t="s">
        <v>37</v>
      </c>
    </row>
    <row r="212" spans="1:6" outlineLevel="3" x14ac:dyDescent="0.25">
      <c r="A212" s="4" t="s">
        <v>472</v>
      </c>
      <c r="B212" t="s">
        <v>479</v>
      </c>
      <c r="C212" t="s">
        <v>1603</v>
      </c>
      <c r="D212" t="s">
        <v>482</v>
      </c>
      <c r="E212" t="s">
        <v>157</v>
      </c>
      <c r="F212" t="s">
        <v>37</v>
      </c>
    </row>
    <row r="213" spans="1:6" outlineLevel="3" x14ac:dyDescent="0.25">
      <c r="A213" s="4" t="s">
        <v>472</v>
      </c>
      <c r="B213" t="s">
        <v>479</v>
      </c>
      <c r="C213" t="s">
        <v>1604</v>
      </c>
      <c r="D213" t="s">
        <v>13</v>
      </c>
      <c r="E213" t="s">
        <v>157</v>
      </c>
      <c r="F213" t="s">
        <v>37</v>
      </c>
    </row>
    <row r="214" spans="1:6" outlineLevel="3" x14ac:dyDescent="0.25">
      <c r="A214" s="4" t="s">
        <v>472</v>
      </c>
      <c r="B214" t="s">
        <v>479</v>
      </c>
      <c r="C214" t="s">
        <v>1605</v>
      </c>
      <c r="D214" t="s">
        <v>13</v>
      </c>
      <c r="E214" t="s">
        <v>157</v>
      </c>
      <c r="F214" t="s">
        <v>37</v>
      </c>
    </row>
    <row r="215" spans="1:6" outlineLevel="3" x14ac:dyDescent="0.25">
      <c r="A215" s="4" t="s">
        <v>472</v>
      </c>
      <c r="B215" t="s">
        <v>479</v>
      </c>
      <c r="C215" t="s">
        <v>1606</v>
      </c>
      <c r="D215" t="s">
        <v>65</v>
      </c>
      <c r="E215" t="s">
        <v>157</v>
      </c>
      <c r="F215" t="s">
        <v>37</v>
      </c>
    </row>
    <row r="216" spans="1:6" outlineLevel="3" x14ac:dyDescent="0.25">
      <c r="A216" s="4" t="s">
        <v>472</v>
      </c>
      <c r="B216" t="s">
        <v>479</v>
      </c>
      <c r="C216" t="s">
        <v>1607</v>
      </c>
      <c r="D216" t="s">
        <v>165</v>
      </c>
      <c r="E216" t="s">
        <v>157</v>
      </c>
      <c r="F216" t="s">
        <v>37</v>
      </c>
    </row>
    <row r="217" spans="1:6" outlineLevel="3" x14ac:dyDescent="0.25">
      <c r="A217" s="4" t="s">
        <v>472</v>
      </c>
      <c r="B217" t="s">
        <v>479</v>
      </c>
      <c r="C217" t="s">
        <v>1608</v>
      </c>
      <c r="D217" t="s">
        <v>165</v>
      </c>
      <c r="E217" t="s">
        <v>157</v>
      </c>
      <c r="F217" t="s">
        <v>37</v>
      </c>
    </row>
    <row r="218" spans="1:6" outlineLevel="3" x14ac:dyDescent="0.25">
      <c r="A218" s="4" t="s">
        <v>472</v>
      </c>
      <c r="B218" t="s">
        <v>479</v>
      </c>
      <c r="C218" t="s">
        <v>1609</v>
      </c>
      <c r="D218" t="s">
        <v>1255</v>
      </c>
      <c r="E218" t="s">
        <v>157</v>
      </c>
      <c r="F218" t="s">
        <v>37</v>
      </c>
    </row>
    <row r="219" spans="1:6" outlineLevel="3" x14ac:dyDescent="0.25">
      <c r="A219" s="4" t="s">
        <v>472</v>
      </c>
      <c r="B219" t="s">
        <v>479</v>
      </c>
      <c r="C219" t="s">
        <v>1610</v>
      </c>
      <c r="D219" t="s">
        <v>4</v>
      </c>
      <c r="E219" t="s">
        <v>157</v>
      </c>
      <c r="F219" t="s">
        <v>37</v>
      </c>
    </row>
    <row r="220" spans="1:6" outlineLevel="3" x14ac:dyDescent="0.25">
      <c r="A220" s="4" t="s">
        <v>472</v>
      </c>
      <c r="B220" t="s">
        <v>479</v>
      </c>
      <c r="C220" t="s">
        <v>1611</v>
      </c>
      <c r="D220" t="s">
        <v>1256</v>
      </c>
      <c r="E220" t="s">
        <v>157</v>
      </c>
      <c r="F220" t="s">
        <v>37</v>
      </c>
    </row>
    <row r="221" spans="1:6" outlineLevel="3" x14ac:dyDescent="0.25">
      <c r="A221" s="4" t="s">
        <v>472</v>
      </c>
      <c r="B221" t="s">
        <v>479</v>
      </c>
      <c r="C221" t="s">
        <v>4476</v>
      </c>
      <c r="D221" t="s">
        <v>442</v>
      </c>
      <c r="E221" t="s">
        <v>157</v>
      </c>
      <c r="F221" t="s">
        <v>37</v>
      </c>
    </row>
    <row r="222" spans="1:6" outlineLevel="3" x14ac:dyDescent="0.25">
      <c r="A222" s="4" t="s">
        <v>472</v>
      </c>
      <c r="B222" t="s">
        <v>479</v>
      </c>
      <c r="C222" t="s">
        <v>1612</v>
      </c>
      <c r="D222" t="s">
        <v>437</v>
      </c>
      <c r="E222" t="s">
        <v>158</v>
      </c>
      <c r="F222" t="s">
        <v>37</v>
      </c>
    </row>
    <row r="223" spans="1:6" outlineLevel="3" x14ac:dyDescent="0.25">
      <c r="A223" s="4" t="s">
        <v>472</v>
      </c>
      <c r="B223" t="s">
        <v>479</v>
      </c>
      <c r="C223" t="s">
        <v>1613</v>
      </c>
      <c r="D223" t="s">
        <v>13</v>
      </c>
      <c r="E223" t="s">
        <v>158</v>
      </c>
      <c r="F223" t="s">
        <v>37</v>
      </c>
    </row>
    <row r="224" spans="1:6" outlineLevel="3" x14ac:dyDescent="0.25">
      <c r="A224" s="4" t="s">
        <v>472</v>
      </c>
      <c r="B224" t="s">
        <v>479</v>
      </c>
      <c r="C224" t="s">
        <v>1614</v>
      </c>
      <c r="D224" t="s">
        <v>165</v>
      </c>
      <c r="E224" t="s">
        <v>158</v>
      </c>
      <c r="F224" t="s">
        <v>37</v>
      </c>
    </row>
    <row r="225" spans="1:6" outlineLevel="3" x14ac:dyDescent="0.25">
      <c r="A225" s="4" t="s">
        <v>472</v>
      </c>
      <c r="B225" t="s">
        <v>479</v>
      </c>
      <c r="C225" t="s">
        <v>1257</v>
      </c>
      <c r="D225" t="s">
        <v>1080</v>
      </c>
      <c r="E225" t="s">
        <v>158</v>
      </c>
      <c r="F225" t="s">
        <v>37</v>
      </c>
    </row>
    <row r="226" spans="1:6" outlineLevel="3" x14ac:dyDescent="0.25">
      <c r="A226" s="4" t="s">
        <v>472</v>
      </c>
      <c r="B226" t="s">
        <v>479</v>
      </c>
      <c r="C226" t="s">
        <v>4557</v>
      </c>
      <c r="D226" t="s">
        <v>78</v>
      </c>
      <c r="E226" t="s">
        <v>248</v>
      </c>
      <c r="F226" t="s">
        <v>37</v>
      </c>
    </row>
    <row r="227" spans="1:6" outlineLevel="3" x14ac:dyDescent="0.25">
      <c r="A227" s="4" t="s">
        <v>472</v>
      </c>
      <c r="B227" t="s">
        <v>479</v>
      </c>
      <c r="C227" t="s">
        <v>2057</v>
      </c>
      <c r="D227" t="s">
        <v>78</v>
      </c>
      <c r="E227" t="s">
        <v>248</v>
      </c>
      <c r="F227" t="s">
        <v>37</v>
      </c>
    </row>
    <row r="228" spans="1:6" outlineLevel="3" x14ac:dyDescent="0.25">
      <c r="A228" s="4" t="s">
        <v>472</v>
      </c>
      <c r="B228" t="s">
        <v>479</v>
      </c>
      <c r="C228" t="s">
        <v>4558</v>
      </c>
      <c r="D228" t="s">
        <v>78</v>
      </c>
      <c r="E228" t="s">
        <v>248</v>
      </c>
      <c r="F228" t="s">
        <v>37</v>
      </c>
    </row>
    <row r="229" spans="1:6" outlineLevel="3" x14ac:dyDescent="0.25">
      <c r="A229" s="4" t="s">
        <v>472</v>
      </c>
      <c r="B229" t="s">
        <v>479</v>
      </c>
      <c r="C229" t="s">
        <v>4559</v>
      </c>
      <c r="D229" t="s">
        <v>78</v>
      </c>
      <c r="E229" t="s">
        <v>248</v>
      </c>
      <c r="F229" t="s">
        <v>37</v>
      </c>
    </row>
    <row r="230" spans="1:6" outlineLevel="3" x14ac:dyDescent="0.25">
      <c r="A230" s="4" t="s">
        <v>472</v>
      </c>
      <c r="B230" t="s">
        <v>479</v>
      </c>
      <c r="C230" t="s">
        <v>4560</v>
      </c>
      <c r="D230" t="s">
        <v>78</v>
      </c>
      <c r="E230" t="s">
        <v>248</v>
      </c>
      <c r="F230" t="s">
        <v>37</v>
      </c>
    </row>
    <row r="231" spans="1:6" outlineLevel="3" x14ac:dyDescent="0.25">
      <c r="A231" s="4" t="s">
        <v>472</v>
      </c>
      <c r="B231" t="s">
        <v>479</v>
      </c>
      <c r="C231" t="s">
        <v>2058</v>
      </c>
      <c r="D231" t="s">
        <v>126</v>
      </c>
      <c r="E231" t="s">
        <v>248</v>
      </c>
      <c r="F231" t="s">
        <v>37</v>
      </c>
    </row>
    <row r="232" spans="1:6" outlineLevel="3" x14ac:dyDescent="0.25">
      <c r="A232" s="4" t="s">
        <v>472</v>
      </c>
      <c r="B232" t="s">
        <v>479</v>
      </c>
      <c r="C232" t="s">
        <v>4561</v>
      </c>
      <c r="D232" t="s">
        <v>78</v>
      </c>
      <c r="E232" t="s">
        <v>248</v>
      </c>
      <c r="F232" t="s">
        <v>37</v>
      </c>
    </row>
    <row r="233" spans="1:6" outlineLevel="3" x14ac:dyDescent="0.25">
      <c r="A233" s="4" t="s">
        <v>472</v>
      </c>
      <c r="B233" t="s">
        <v>479</v>
      </c>
      <c r="C233" t="s">
        <v>4626</v>
      </c>
      <c r="D233" t="s">
        <v>442</v>
      </c>
      <c r="E233" t="s">
        <v>248</v>
      </c>
      <c r="F233" t="s">
        <v>37</v>
      </c>
    </row>
    <row r="234" spans="1:6" outlineLevel="3" x14ac:dyDescent="0.25">
      <c r="A234" s="4" t="s">
        <v>472</v>
      </c>
      <c r="B234" t="s">
        <v>479</v>
      </c>
      <c r="C234" t="s">
        <v>4627</v>
      </c>
      <c r="D234" t="s">
        <v>442</v>
      </c>
      <c r="E234" t="s">
        <v>248</v>
      </c>
      <c r="F234" t="s">
        <v>37</v>
      </c>
    </row>
    <row r="235" spans="1:6" outlineLevel="3" x14ac:dyDescent="0.25">
      <c r="A235" s="4" t="s">
        <v>472</v>
      </c>
      <c r="B235" t="s">
        <v>479</v>
      </c>
      <c r="C235" t="s">
        <v>4628</v>
      </c>
      <c r="D235" t="s">
        <v>442</v>
      </c>
      <c r="E235" t="s">
        <v>248</v>
      </c>
      <c r="F235" t="s">
        <v>37</v>
      </c>
    </row>
    <row r="236" spans="1:6" outlineLevel="3" x14ac:dyDescent="0.25">
      <c r="A236" s="4" t="s">
        <v>472</v>
      </c>
      <c r="B236" t="s">
        <v>479</v>
      </c>
      <c r="C236" t="s">
        <v>2059</v>
      </c>
      <c r="D236" t="s">
        <v>483</v>
      </c>
      <c r="E236" t="s">
        <v>244</v>
      </c>
      <c r="F236" t="s">
        <v>37</v>
      </c>
    </row>
    <row r="237" spans="1:6" outlineLevel="3" x14ac:dyDescent="0.25">
      <c r="A237" s="4" t="s">
        <v>472</v>
      </c>
      <c r="B237" t="s">
        <v>479</v>
      </c>
      <c r="C237" t="s">
        <v>4562</v>
      </c>
      <c r="D237" t="s">
        <v>6</v>
      </c>
      <c r="E237" t="s">
        <v>244</v>
      </c>
      <c r="F237" t="s">
        <v>37</v>
      </c>
    </row>
    <row r="238" spans="1:6" outlineLevel="3" x14ac:dyDescent="0.25">
      <c r="A238" s="4" t="s">
        <v>472</v>
      </c>
      <c r="B238" t="s">
        <v>479</v>
      </c>
      <c r="C238" t="s">
        <v>4563</v>
      </c>
      <c r="D238" t="s">
        <v>78</v>
      </c>
      <c r="E238" t="s">
        <v>244</v>
      </c>
      <c r="F238" t="s">
        <v>37</v>
      </c>
    </row>
    <row r="239" spans="1:6" outlineLevel="3" x14ac:dyDescent="0.25">
      <c r="A239" s="4" t="s">
        <v>472</v>
      </c>
      <c r="B239" t="s">
        <v>479</v>
      </c>
      <c r="C239" t="s">
        <v>4564</v>
      </c>
      <c r="D239" t="s">
        <v>76</v>
      </c>
      <c r="E239" t="s">
        <v>244</v>
      </c>
      <c r="F239" t="s">
        <v>37</v>
      </c>
    </row>
    <row r="240" spans="1:6" outlineLevel="3" x14ac:dyDescent="0.25">
      <c r="A240" s="4" t="s">
        <v>472</v>
      </c>
      <c r="B240" t="s">
        <v>479</v>
      </c>
      <c r="C240" t="s">
        <v>4565</v>
      </c>
      <c r="D240" t="s">
        <v>76</v>
      </c>
      <c r="E240" t="s">
        <v>244</v>
      </c>
      <c r="F240" t="s">
        <v>37</v>
      </c>
    </row>
    <row r="241" spans="1:6" outlineLevel="3" x14ac:dyDescent="0.25">
      <c r="A241" s="4" t="s">
        <v>472</v>
      </c>
      <c r="B241" t="s">
        <v>479</v>
      </c>
      <c r="C241" t="s">
        <v>4566</v>
      </c>
      <c r="D241" t="s">
        <v>65</v>
      </c>
      <c r="E241" t="s">
        <v>244</v>
      </c>
      <c r="F241" t="s">
        <v>37</v>
      </c>
    </row>
    <row r="242" spans="1:6" outlineLevel="3" x14ac:dyDescent="0.25">
      <c r="A242" s="4" t="s">
        <v>472</v>
      </c>
      <c r="B242" t="s">
        <v>479</v>
      </c>
      <c r="C242" t="s">
        <v>4567</v>
      </c>
      <c r="D242" t="s">
        <v>119</v>
      </c>
      <c r="E242" t="s">
        <v>244</v>
      </c>
      <c r="F242" t="s">
        <v>37</v>
      </c>
    </row>
    <row r="243" spans="1:6" outlineLevel="3" x14ac:dyDescent="0.25">
      <c r="A243" s="4" t="s">
        <v>472</v>
      </c>
      <c r="B243" t="s">
        <v>479</v>
      </c>
      <c r="C243" t="s">
        <v>4613</v>
      </c>
      <c r="D243" t="s">
        <v>46</v>
      </c>
      <c r="E243" t="s">
        <v>244</v>
      </c>
      <c r="F243" t="s">
        <v>37</v>
      </c>
    </row>
    <row r="244" spans="1:6" outlineLevel="3" x14ac:dyDescent="0.25">
      <c r="A244" s="4" t="s">
        <v>472</v>
      </c>
      <c r="B244" t="s">
        <v>479</v>
      </c>
      <c r="C244" t="s">
        <v>4614</v>
      </c>
      <c r="D244" t="s">
        <v>46</v>
      </c>
      <c r="E244" t="s">
        <v>244</v>
      </c>
      <c r="F244" t="s">
        <v>37</v>
      </c>
    </row>
    <row r="245" spans="1:6" outlineLevel="3" x14ac:dyDescent="0.25">
      <c r="A245" s="4" t="s">
        <v>472</v>
      </c>
      <c r="B245" t="s">
        <v>479</v>
      </c>
      <c r="C245" t="s">
        <v>4615</v>
      </c>
      <c r="D245" t="s">
        <v>46</v>
      </c>
      <c r="E245" t="s">
        <v>244</v>
      </c>
      <c r="F245" t="s">
        <v>37</v>
      </c>
    </row>
    <row r="246" spans="1:6" outlineLevel="3" x14ac:dyDescent="0.25">
      <c r="A246" s="4" t="s">
        <v>472</v>
      </c>
      <c r="B246" t="s">
        <v>479</v>
      </c>
      <c r="C246" t="s">
        <v>4616</v>
      </c>
      <c r="D246" t="s">
        <v>46</v>
      </c>
      <c r="E246" t="s">
        <v>244</v>
      </c>
      <c r="F246" t="s">
        <v>37</v>
      </c>
    </row>
    <row r="247" spans="1:6" outlineLevel="3" x14ac:dyDescent="0.25">
      <c r="A247" s="4" t="s">
        <v>472</v>
      </c>
      <c r="B247" t="s">
        <v>479</v>
      </c>
      <c r="C247" t="s">
        <v>4629</v>
      </c>
      <c r="D247" t="s">
        <v>442</v>
      </c>
      <c r="E247" t="s">
        <v>244</v>
      </c>
      <c r="F247" t="s">
        <v>37</v>
      </c>
    </row>
    <row r="248" spans="1:6" outlineLevel="3" x14ac:dyDescent="0.25">
      <c r="A248" s="4" t="s">
        <v>472</v>
      </c>
      <c r="B248" t="s">
        <v>479</v>
      </c>
      <c r="C248" t="s">
        <v>4515</v>
      </c>
      <c r="D248" t="s">
        <v>190</v>
      </c>
      <c r="E248" t="s">
        <v>919</v>
      </c>
      <c r="F248" t="s">
        <v>37</v>
      </c>
    </row>
    <row r="249" spans="1:6" outlineLevel="3" x14ac:dyDescent="0.25">
      <c r="A249" s="4" t="s">
        <v>472</v>
      </c>
      <c r="B249" t="s">
        <v>479</v>
      </c>
      <c r="C249" t="s">
        <v>4568</v>
      </c>
      <c r="D249" t="s">
        <v>13</v>
      </c>
      <c r="E249" t="s">
        <v>919</v>
      </c>
      <c r="F249" t="s">
        <v>37</v>
      </c>
    </row>
    <row r="250" spans="1:6" outlineLevel="3" x14ac:dyDescent="0.25">
      <c r="A250" s="4" t="s">
        <v>472</v>
      </c>
      <c r="B250" t="s">
        <v>479</v>
      </c>
      <c r="C250" t="s">
        <v>4569</v>
      </c>
      <c r="D250" t="s">
        <v>67</v>
      </c>
      <c r="E250" t="s">
        <v>919</v>
      </c>
      <c r="F250" t="s">
        <v>37</v>
      </c>
    </row>
    <row r="251" spans="1:6" outlineLevel="3" x14ac:dyDescent="0.25">
      <c r="A251" s="4" t="s">
        <v>472</v>
      </c>
      <c r="B251" t="s">
        <v>479</v>
      </c>
      <c r="C251" t="s">
        <v>4570</v>
      </c>
      <c r="D251" t="s">
        <v>13</v>
      </c>
      <c r="E251" t="s">
        <v>86</v>
      </c>
      <c r="F251" t="s">
        <v>37</v>
      </c>
    </row>
    <row r="252" spans="1:6" outlineLevel="3" x14ac:dyDescent="0.25">
      <c r="A252" s="4" t="s">
        <v>472</v>
      </c>
      <c r="B252" t="s">
        <v>479</v>
      </c>
      <c r="C252" t="s">
        <v>4571</v>
      </c>
      <c r="D252" t="s">
        <v>67</v>
      </c>
      <c r="E252" t="s">
        <v>86</v>
      </c>
      <c r="F252" t="s">
        <v>37</v>
      </c>
    </row>
    <row r="253" spans="1:6" outlineLevel="3" x14ac:dyDescent="0.25">
      <c r="A253" s="4" t="s">
        <v>472</v>
      </c>
      <c r="B253" t="s">
        <v>479</v>
      </c>
      <c r="C253" t="s">
        <v>4572</v>
      </c>
      <c r="D253" t="s">
        <v>126</v>
      </c>
      <c r="E253" t="s">
        <v>86</v>
      </c>
      <c r="F253" t="s">
        <v>37</v>
      </c>
    </row>
    <row r="254" spans="1:6" outlineLevel="3" x14ac:dyDescent="0.25">
      <c r="A254" s="4" t="s">
        <v>472</v>
      </c>
      <c r="B254" t="s">
        <v>479</v>
      </c>
      <c r="C254" t="s">
        <v>4630</v>
      </c>
      <c r="D254" t="s">
        <v>442</v>
      </c>
      <c r="E254" t="s">
        <v>86</v>
      </c>
      <c r="F254" t="s">
        <v>37</v>
      </c>
    </row>
    <row r="255" spans="1:6" outlineLevel="3" x14ac:dyDescent="0.25">
      <c r="A255" s="4" t="s">
        <v>472</v>
      </c>
      <c r="B255" t="s">
        <v>479</v>
      </c>
      <c r="C255" t="s">
        <v>4631</v>
      </c>
      <c r="D255" t="s">
        <v>442</v>
      </c>
      <c r="E255" t="s">
        <v>86</v>
      </c>
      <c r="F255" t="s">
        <v>37</v>
      </c>
    </row>
    <row r="256" spans="1:6" outlineLevel="3" x14ac:dyDescent="0.25">
      <c r="A256" s="4" t="s">
        <v>472</v>
      </c>
      <c r="B256" t="s">
        <v>479</v>
      </c>
      <c r="C256" t="s">
        <v>1615</v>
      </c>
      <c r="D256" t="s">
        <v>65</v>
      </c>
      <c r="E256" t="s">
        <v>1046</v>
      </c>
      <c r="F256" t="s">
        <v>37</v>
      </c>
    </row>
    <row r="257" spans="1:6" outlineLevel="3" x14ac:dyDescent="0.25">
      <c r="A257" s="4" t="s">
        <v>472</v>
      </c>
      <c r="B257" t="s">
        <v>479</v>
      </c>
      <c r="C257" t="s">
        <v>1616</v>
      </c>
      <c r="D257" t="s">
        <v>126</v>
      </c>
      <c r="E257" t="s">
        <v>1046</v>
      </c>
      <c r="F257" t="s">
        <v>37</v>
      </c>
    </row>
    <row r="258" spans="1:6" outlineLevel="3" x14ac:dyDescent="0.25">
      <c r="A258" s="4" t="s">
        <v>472</v>
      </c>
      <c r="B258" t="s">
        <v>479</v>
      </c>
      <c r="C258" t="s">
        <v>1617</v>
      </c>
      <c r="D258" t="s">
        <v>237</v>
      </c>
      <c r="E258" t="s">
        <v>1046</v>
      </c>
      <c r="F258" t="s">
        <v>37</v>
      </c>
    </row>
    <row r="259" spans="1:6" outlineLevel="3" x14ac:dyDescent="0.25">
      <c r="A259" s="4" t="s">
        <v>472</v>
      </c>
      <c r="B259" t="s">
        <v>479</v>
      </c>
      <c r="C259" t="s">
        <v>1618</v>
      </c>
      <c r="D259" t="s">
        <v>1073</v>
      </c>
      <c r="E259" t="s">
        <v>1046</v>
      </c>
      <c r="F259" t="s">
        <v>37</v>
      </c>
    </row>
    <row r="260" spans="1:6" outlineLevel="3" x14ac:dyDescent="0.25">
      <c r="A260" s="4" t="s">
        <v>472</v>
      </c>
      <c r="B260" t="s">
        <v>479</v>
      </c>
      <c r="C260" t="s">
        <v>1619</v>
      </c>
      <c r="D260" t="s">
        <v>78</v>
      </c>
      <c r="E260" t="s">
        <v>1046</v>
      </c>
      <c r="F260" t="s">
        <v>37</v>
      </c>
    </row>
    <row r="261" spans="1:6" outlineLevel="3" x14ac:dyDescent="0.25">
      <c r="A261" s="4" t="s">
        <v>472</v>
      </c>
      <c r="B261" t="s">
        <v>479</v>
      </c>
      <c r="C261" t="s">
        <v>4463</v>
      </c>
      <c r="D261" t="s">
        <v>46</v>
      </c>
      <c r="E261" t="s">
        <v>1046</v>
      </c>
      <c r="F261" t="s">
        <v>37</v>
      </c>
    </row>
    <row r="262" spans="1:6" outlineLevel="3" x14ac:dyDescent="0.25">
      <c r="A262" s="4" t="s">
        <v>472</v>
      </c>
      <c r="B262" t="s">
        <v>479</v>
      </c>
      <c r="C262" t="s">
        <v>4573</v>
      </c>
      <c r="D262" t="s">
        <v>126</v>
      </c>
      <c r="E262" t="s">
        <v>177</v>
      </c>
      <c r="F262" t="s">
        <v>37</v>
      </c>
    </row>
    <row r="263" spans="1:6" outlineLevel="3" x14ac:dyDescent="0.25">
      <c r="A263" s="4" t="s">
        <v>472</v>
      </c>
      <c r="B263" t="s">
        <v>479</v>
      </c>
      <c r="C263" t="s">
        <v>4574</v>
      </c>
      <c r="D263" t="s">
        <v>126</v>
      </c>
      <c r="E263" t="s">
        <v>177</v>
      </c>
      <c r="F263" t="s">
        <v>37</v>
      </c>
    </row>
    <row r="264" spans="1:6" outlineLevel="3" x14ac:dyDescent="0.25">
      <c r="A264" s="4" t="s">
        <v>472</v>
      </c>
      <c r="B264" t="s">
        <v>479</v>
      </c>
      <c r="C264" t="s">
        <v>4575</v>
      </c>
      <c r="D264" t="s">
        <v>126</v>
      </c>
      <c r="E264" t="s">
        <v>177</v>
      </c>
      <c r="F264" t="s">
        <v>37</v>
      </c>
    </row>
    <row r="265" spans="1:6" outlineLevel="3" x14ac:dyDescent="0.25">
      <c r="A265" s="4" t="s">
        <v>472</v>
      </c>
      <c r="B265" t="s">
        <v>479</v>
      </c>
      <c r="C265" t="s">
        <v>4576</v>
      </c>
      <c r="D265" t="s">
        <v>126</v>
      </c>
      <c r="E265" t="s">
        <v>177</v>
      </c>
      <c r="F265" t="s">
        <v>37</v>
      </c>
    </row>
    <row r="266" spans="1:6" outlineLevel="3" x14ac:dyDescent="0.25">
      <c r="A266" s="4" t="s">
        <v>472</v>
      </c>
      <c r="B266" t="s">
        <v>479</v>
      </c>
      <c r="C266" t="s">
        <v>4577</v>
      </c>
      <c r="D266" t="s">
        <v>126</v>
      </c>
      <c r="E266" t="s">
        <v>177</v>
      </c>
      <c r="F266" t="s">
        <v>37</v>
      </c>
    </row>
    <row r="267" spans="1:6" outlineLevel="3" x14ac:dyDescent="0.25">
      <c r="A267" s="4" t="s">
        <v>472</v>
      </c>
      <c r="B267" t="s">
        <v>479</v>
      </c>
      <c r="C267" t="s">
        <v>4632</v>
      </c>
      <c r="D267" t="s">
        <v>442</v>
      </c>
      <c r="E267" t="s">
        <v>177</v>
      </c>
      <c r="F267" t="s">
        <v>37</v>
      </c>
    </row>
    <row r="268" spans="1:6" outlineLevel="3" x14ac:dyDescent="0.25">
      <c r="A268" s="4" t="s">
        <v>472</v>
      </c>
      <c r="B268" t="s">
        <v>479</v>
      </c>
      <c r="C268" t="s">
        <v>1620</v>
      </c>
      <c r="D268" t="s">
        <v>78</v>
      </c>
      <c r="E268" t="s">
        <v>1117</v>
      </c>
      <c r="F268" t="s">
        <v>37</v>
      </c>
    </row>
    <row r="269" spans="1:6" outlineLevel="3" x14ac:dyDescent="0.25">
      <c r="A269" s="4" t="s">
        <v>472</v>
      </c>
      <c r="B269" t="s">
        <v>479</v>
      </c>
      <c r="C269" t="s">
        <v>1621</v>
      </c>
      <c r="D269" t="s">
        <v>13</v>
      </c>
      <c r="E269" t="s">
        <v>159</v>
      </c>
      <c r="F269" t="s">
        <v>37</v>
      </c>
    </row>
    <row r="270" spans="1:6" outlineLevel="3" x14ac:dyDescent="0.25">
      <c r="A270" s="4" t="s">
        <v>472</v>
      </c>
      <c r="B270" t="s">
        <v>479</v>
      </c>
      <c r="C270" t="s">
        <v>1622</v>
      </c>
      <c r="D270" t="s">
        <v>65</v>
      </c>
      <c r="E270" t="s">
        <v>159</v>
      </c>
      <c r="F270" t="s">
        <v>37</v>
      </c>
    </row>
    <row r="271" spans="1:6" outlineLevel="3" x14ac:dyDescent="0.25">
      <c r="A271" s="4" t="s">
        <v>472</v>
      </c>
      <c r="B271" t="s">
        <v>479</v>
      </c>
      <c r="C271" t="s">
        <v>1623</v>
      </c>
      <c r="D271" t="s">
        <v>67</v>
      </c>
      <c r="E271" t="s">
        <v>159</v>
      </c>
      <c r="F271" t="s">
        <v>37</v>
      </c>
    </row>
    <row r="272" spans="1:6" outlineLevel="3" x14ac:dyDescent="0.25">
      <c r="A272" s="4" t="s">
        <v>472</v>
      </c>
      <c r="B272" t="s">
        <v>479</v>
      </c>
      <c r="C272" t="s">
        <v>1624</v>
      </c>
      <c r="D272" t="s">
        <v>67</v>
      </c>
      <c r="E272" t="s">
        <v>159</v>
      </c>
      <c r="F272" t="s">
        <v>37</v>
      </c>
    </row>
    <row r="273" spans="1:6" outlineLevel="3" x14ac:dyDescent="0.25">
      <c r="A273" s="4" t="s">
        <v>472</v>
      </c>
      <c r="B273" t="s">
        <v>479</v>
      </c>
      <c r="C273" t="s">
        <v>1625</v>
      </c>
      <c r="D273" t="s">
        <v>6</v>
      </c>
      <c r="E273" t="s">
        <v>159</v>
      </c>
      <c r="F273" t="s">
        <v>37</v>
      </c>
    </row>
    <row r="274" spans="1:6" outlineLevel="3" x14ac:dyDescent="0.25">
      <c r="A274" s="4" t="s">
        <v>472</v>
      </c>
      <c r="B274" t="s">
        <v>479</v>
      </c>
      <c r="C274" t="s">
        <v>1626</v>
      </c>
      <c r="D274" t="s">
        <v>78</v>
      </c>
      <c r="E274" t="s">
        <v>159</v>
      </c>
      <c r="F274" t="s">
        <v>37</v>
      </c>
    </row>
    <row r="275" spans="1:6" outlineLevel="3" x14ac:dyDescent="0.25">
      <c r="A275" s="4" t="s">
        <v>472</v>
      </c>
      <c r="B275" t="s">
        <v>479</v>
      </c>
      <c r="C275" t="s">
        <v>1258</v>
      </c>
      <c r="D275" t="s">
        <v>78</v>
      </c>
      <c r="E275" t="s">
        <v>159</v>
      </c>
      <c r="F275" t="s">
        <v>37</v>
      </c>
    </row>
    <row r="276" spans="1:6" outlineLevel="3" x14ac:dyDescent="0.25">
      <c r="A276" s="4" t="s">
        <v>472</v>
      </c>
      <c r="B276" t="s">
        <v>479</v>
      </c>
      <c r="C276" t="s">
        <v>1627</v>
      </c>
      <c r="D276" t="s">
        <v>76</v>
      </c>
      <c r="E276" t="s">
        <v>159</v>
      </c>
      <c r="F276" t="s">
        <v>37</v>
      </c>
    </row>
    <row r="277" spans="1:6" outlineLevel="3" x14ac:dyDescent="0.25">
      <c r="A277" s="4" t="s">
        <v>472</v>
      </c>
      <c r="B277" t="s">
        <v>479</v>
      </c>
      <c r="C277" t="s">
        <v>1628</v>
      </c>
      <c r="D277" t="s">
        <v>13</v>
      </c>
      <c r="E277" t="s">
        <v>159</v>
      </c>
      <c r="F277" t="s">
        <v>37</v>
      </c>
    </row>
    <row r="278" spans="1:6" outlineLevel="3" x14ac:dyDescent="0.25">
      <c r="A278" s="4" t="s">
        <v>472</v>
      </c>
      <c r="B278" t="s">
        <v>479</v>
      </c>
      <c r="C278" t="s">
        <v>1629</v>
      </c>
      <c r="D278" t="s">
        <v>147</v>
      </c>
      <c r="E278" t="s">
        <v>159</v>
      </c>
      <c r="F278" t="s">
        <v>37</v>
      </c>
    </row>
    <row r="279" spans="1:6" outlineLevel="3" x14ac:dyDescent="0.25">
      <c r="A279" s="4" t="s">
        <v>472</v>
      </c>
      <c r="B279" t="s">
        <v>479</v>
      </c>
      <c r="C279" t="s">
        <v>1630</v>
      </c>
      <c r="D279" t="s">
        <v>147</v>
      </c>
      <c r="E279" t="s">
        <v>159</v>
      </c>
      <c r="F279" t="s">
        <v>37</v>
      </c>
    </row>
    <row r="280" spans="1:6" outlineLevel="3" x14ac:dyDescent="0.25">
      <c r="A280" s="4" t="s">
        <v>472</v>
      </c>
      <c r="B280" t="s">
        <v>479</v>
      </c>
      <c r="C280" t="s">
        <v>1631</v>
      </c>
      <c r="D280" t="s">
        <v>13</v>
      </c>
      <c r="E280" t="s">
        <v>159</v>
      </c>
      <c r="F280" t="s">
        <v>37</v>
      </c>
    </row>
    <row r="281" spans="1:6" outlineLevel="3" x14ac:dyDescent="0.25">
      <c r="A281" s="4" t="s">
        <v>472</v>
      </c>
      <c r="B281" t="s">
        <v>479</v>
      </c>
      <c r="C281" t="s">
        <v>1632</v>
      </c>
      <c r="D281" t="s">
        <v>261</v>
      </c>
      <c r="E281" t="s">
        <v>159</v>
      </c>
      <c r="F281" t="s">
        <v>37</v>
      </c>
    </row>
    <row r="282" spans="1:6" outlineLevel="3" x14ac:dyDescent="0.25">
      <c r="A282" s="4" t="s">
        <v>472</v>
      </c>
      <c r="B282" t="s">
        <v>479</v>
      </c>
      <c r="C282" t="s">
        <v>1633</v>
      </c>
      <c r="D282" t="s">
        <v>165</v>
      </c>
      <c r="E282" t="s">
        <v>159</v>
      </c>
      <c r="F282" t="s">
        <v>37</v>
      </c>
    </row>
    <row r="283" spans="1:6" outlineLevel="3" x14ac:dyDescent="0.25">
      <c r="A283" s="4" t="s">
        <v>472</v>
      </c>
      <c r="B283" t="s">
        <v>479</v>
      </c>
      <c r="C283" t="s">
        <v>4464</v>
      </c>
      <c r="D283" t="s">
        <v>46</v>
      </c>
      <c r="E283" t="s">
        <v>159</v>
      </c>
      <c r="F283" t="s">
        <v>37</v>
      </c>
    </row>
    <row r="284" spans="1:6" outlineLevel="3" x14ac:dyDescent="0.25">
      <c r="A284" s="4" t="s">
        <v>472</v>
      </c>
      <c r="B284" t="s">
        <v>479</v>
      </c>
      <c r="C284" t="s">
        <v>4477</v>
      </c>
      <c r="D284" t="s">
        <v>442</v>
      </c>
      <c r="E284" t="s">
        <v>159</v>
      </c>
      <c r="F284" t="s">
        <v>37</v>
      </c>
    </row>
    <row r="285" spans="1:6" outlineLevel="3" x14ac:dyDescent="0.25">
      <c r="A285" s="4" t="s">
        <v>472</v>
      </c>
      <c r="B285" t="s">
        <v>479</v>
      </c>
      <c r="C285" t="s">
        <v>4478</v>
      </c>
      <c r="D285" t="s">
        <v>442</v>
      </c>
      <c r="E285" t="s">
        <v>159</v>
      </c>
      <c r="F285" t="s">
        <v>37</v>
      </c>
    </row>
    <row r="286" spans="1:6" outlineLevel="3" x14ac:dyDescent="0.25">
      <c r="A286" s="4" t="s">
        <v>472</v>
      </c>
      <c r="B286" t="s">
        <v>479</v>
      </c>
      <c r="C286" t="s">
        <v>1634</v>
      </c>
      <c r="D286" t="s">
        <v>1123</v>
      </c>
      <c r="E286" t="s">
        <v>1109</v>
      </c>
      <c r="F286" t="s">
        <v>37</v>
      </c>
    </row>
    <row r="287" spans="1:6" outlineLevel="3" x14ac:dyDescent="0.25">
      <c r="A287" s="4" t="s">
        <v>472</v>
      </c>
      <c r="B287" t="s">
        <v>479</v>
      </c>
      <c r="C287" t="s">
        <v>1635</v>
      </c>
      <c r="D287" t="s">
        <v>119</v>
      </c>
      <c r="E287" t="s">
        <v>1109</v>
      </c>
      <c r="F287" t="s">
        <v>37</v>
      </c>
    </row>
    <row r="288" spans="1:6" outlineLevel="3" x14ac:dyDescent="0.25">
      <c r="A288" s="4" t="s">
        <v>472</v>
      </c>
      <c r="B288" t="s">
        <v>479</v>
      </c>
      <c r="C288" t="s">
        <v>1288</v>
      </c>
      <c r="D288" t="s">
        <v>1223</v>
      </c>
      <c r="E288" t="s">
        <v>1110</v>
      </c>
      <c r="F288" t="s">
        <v>37</v>
      </c>
    </row>
    <row r="289" spans="1:6" outlineLevel="3" x14ac:dyDescent="0.25">
      <c r="A289" s="4" t="s">
        <v>472</v>
      </c>
      <c r="B289" t="s">
        <v>479</v>
      </c>
      <c r="C289" t="s">
        <v>1636</v>
      </c>
      <c r="D289" t="s">
        <v>78</v>
      </c>
      <c r="E289" t="s">
        <v>1230</v>
      </c>
      <c r="F289" t="s">
        <v>37</v>
      </c>
    </row>
    <row r="290" spans="1:6" outlineLevel="3" x14ac:dyDescent="0.25">
      <c r="A290" s="4" t="s">
        <v>472</v>
      </c>
      <c r="B290" t="s">
        <v>479</v>
      </c>
      <c r="C290" t="s">
        <v>1637</v>
      </c>
      <c r="D290" t="s">
        <v>78</v>
      </c>
      <c r="E290" t="s">
        <v>1230</v>
      </c>
      <c r="F290" t="s">
        <v>37</v>
      </c>
    </row>
    <row r="291" spans="1:6" outlineLevel="3" x14ac:dyDescent="0.25">
      <c r="A291" s="4" t="s">
        <v>472</v>
      </c>
      <c r="B291" t="s">
        <v>479</v>
      </c>
      <c r="C291" t="s">
        <v>1638</v>
      </c>
      <c r="D291" t="s">
        <v>78</v>
      </c>
      <c r="E291" t="s">
        <v>1230</v>
      </c>
      <c r="F291" t="s">
        <v>37</v>
      </c>
    </row>
    <row r="292" spans="1:6" outlineLevel="3" x14ac:dyDescent="0.25">
      <c r="A292" s="4" t="s">
        <v>472</v>
      </c>
      <c r="B292" t="s">
        <v>479</v>
      </c>
      <c r="C292" t="s">
        <v>1639</v>
      </c>
      <c r="D292" t="s">
        <v>78</v>
      </c>
      <c r="E292" t="s">
        <v>1230</v>
      </c>
      <c r="F292" t="s">
        <v>37</v>
      </c>
    </row>
    <row r="293" spans="1:6" outlineLevel="3" x14ac:dyDescent="0.25">
      <c r="A293" s="4" t="s">
        <v>472</v>
      </c>
      <c r="B293" t="s">
        <v>479</v>
      </c>
      <c r="C293" t="s">
        <v>1640</v>
      </c>
      <c r="D293" t="s">
        <v>78</v>
      </c>
      <c r="E293" t="s">
        <v>1230</v>
      </c>
      <c r="F293" t="s">
        <v>37</v>
      </c>
    </row>
    <row r="294" spans="1:6" outlineLevel="3" x14ac:dyDescent="0.25">
      <c r="A294" s="4" t="s">
        <v>472</v>
      </c>
      <c r="B294" t="s">
        <v>479</v>
      </c>
      <c r="C294" t="s">
        <v>1641</v>
      </c>
      <c r="D294" t="s">
        <v>1224</v>
      </c>
      <c r="E294" t="s">
        <v>1230</v>
      </c>
      <c r="F294" t="s">
        <v>37</v>
      </c>
    </row>
    <row r="295" spans="1:6" outlineLevel="3" x14ac:dyDescent="0.25">
      <c r="A295" s="4" t="s">
        <v>472</v>
      </c>
      <c r="B295" t="s">
        <v>479</v>
      </c>
      <c r="C295" t="s">
        <v>1642</v>
      </c>
      <c r="D295" t="s">
        <v>237</v>
      </c>
      <c r="E295" t="s">
        <v>1230</v>
      </c>
      <c r="F295" t="s">
        <v>37</v>
      </c>
    </row>
    <row r="296" spans="1:6" outlineLevel="3" x14ac:dyDescent="0.25">
      <c r="A296" s="4" t="s">
        <v>472</v>
      </c>
      <c r="B296" t="s">
        <v>479</v>
      </c>
      <c r="C296" t="s">
        <v>1643</v>
      </c>
      <c r="D296" t="s">
        <v>78</v>
      </c>
      <c r="E296" t="s">
        <v>1230</v>
      </c>
      <c r="F296" t="s">
        <v>37</v>
      </c>
    </row>
    <row r="297" spans="1:6" outlineLevel="3" x14ac:dyDescent="0.25">
      <c r="A297" s="4" t="s">
        <v>472</v>
      </c>
      <c r="B297" t="s">
        <v>479</v>
      </c>
      <c r="C297" t="s">
        <v>1644</v>
      </c>
      <c r="D297" t="s">
        <v>78</v>
      </c>
      <c r="E297" t="s">
        <v>1230</v>
      </c>
      <c r="F297" t="s">
        <v>37</v>
      </c>
    </row>
    <row r="298" spans="1:6" outlineLevel="3" x14ac:dyDescent="0.25">
      <c r="A298" s="4" t="s">
        <v>472</v>
      </c>
      <c r="B298" t="s">
        <v>479</v>
      </c>
      <c r="C298" t="s">
        <v>1645</v>
      </c>
      <c r="D298" t="s">
        <v>78</v>
      </c>
      <c r="E298" t="s">
        <v>1230</v>
      </c>
      <c r="F298" t="s">
        <v>37</v>
      </c>
    </row>
    <row r="299" spans="1:6" outlineLevel="3" x14ac:dyDescent="0.25">
      <c r="A299" s="4" t="s">
        <v>472</v>
      </c>
      <c r="B299" t="s">
        <v>479</v>
      </c>
      <c r="C299" t="s">
        <v>1646</v>
      </c>
      <c r="D299" t="s">
        <v>78</v>
      </c>
      <c r="E299" t="s">
        <v>1230</v>
      </c>
      <c r="F299" t="s">
        <v>37</v>
      </c>
    </row>
    <row r="300" spans="1:6" outlineLevel="3" x14ac:dyDescent="0.25">
      <c r="A300" s="4" t="s">
        <v>472</v>
      </c>
      <c r="B300" t="s">
        <v>479</v>
      </c>
      <c r="C300" t="s">
        <v>1647</v>
      </c>
      <c r="D300" t="s">
        <v>78</v>
      </c>
      <c r="E300" t="s">
        <v>1230</v>
      </c>
      <c r="F300" t="s">
        <v>37</v>
      </c>
    </row>
    <row r="301" spans="1:6" outlineLevel="3" x14ac:dyDescent="0.25">
      <c r="A301" s="4" t="s">
        <v>472</v>
      </c>
      <c r="B301" t="s">
        <v>479</v>
      </c>
      <c r="C301" t="s">
        <v>4672</v>
      </c>
      <c r="D301" t="s">
        <v>13</v>
      </c>
      <c r="E301" t="s">
        <v>98</v>
      </c>
      <c r="F301" t="s">
        <v>37</v>
      </c>
    </row>
    <row r="302" spans="1:6" outlineLevel="3" x14ac:dyDescent="0.25">
      <c r="A302" s="4" t="s">
        <v>472</v>
      </c>
      <c r="B302" t="s">
        <v>479</v>
      </c>
      <c r="C302" t="s">
        <v>4673</v>
      </c>
      <c r="D302" t="s">
        <v>67</v>
      </c>
      <c r="E302" t="s">
        <v>98</v>
      </c>
      <c r="F302" t="s">
        <v>37</v>
      </c>
    </row>
    <row r="303" spans="1:6" outlineLevel="3" x14ac:dyDescent="0.25">
      <c r="A303" s="4" t="s">
        <v>472</v>
      </c>
      <c r="B303" t="s">
        <v>479</v>
      </c>
      <c r="C303" t="s">
        <v>4674</v>
      </c>
      <c r="D303" t="s">
        <v>13</v>
      </c>
      <c r="E303" t="s">
        <v>98</v>
      </c>
      <c r="F303" t="s">
        <v>37</v>
      </c>
    </row>
    <row r="304" spans="1:6" outlineLevel="3" x14ac:dyDescent="0.25">
      <c r="A304" s="4" t="s">
        <v>472</v>
      </c>
      <c r="B304" t="s">
        <v>479</v>
      </c>
      <c r="C304" t="s">
        <v>4675</v>
      </c>
      <c r="D304" t="s">
        <v>6</v>
      </c>
      <c r="E304" t="s">
        <v>36</v>
      </c>
      <c r="F304" t="s">
        <v>37</v>
      </c>
    </row>
    <row r="305" spans="1:6" outlineLevel="3" x14ac:dyDescent="0.25">
      <c r="A305" s="4" t="s">
        <v>472</v>
      </c>
      <c r="B305" t="s">
        <v>479</v>
      </c>
      <c r="C305" t="s">
        <v>4694</v>
      </c>
      <c r="D305" t="s">
        <v>442</v>
      </c>
      <c r="E305" t="s">
        <v>36</v>
      </c>
      <c r="F305" t="s">
        <v>37</v>
      </c>
    </row>
    <row r="306" spans="1:6" outlineLevel="3" x14ac:dyDescent="0.25">
      <c r="A306" s="4" t="s">
        <v>472</v>
      </c>
      <c r="B306" t="s">
        <v>479</v>
      </c>
      <c r="C306" t="s">
        <v>4695</v>
      </c>
      <c r="D306" t="s">
        <v>442</v>
      </c>
      <c r="E306" t="s">
        <v>36</v>
      </c>
      <c r="F306" t="s">
        <v>37</v>
      </c>
    </row>
    <row r="307" spans="1:6" outlineLevel="3" x14ac:dyDescent="0.25">
      <c r="A307" s="4" t="s">
        <v>472</v>
      </c>
      <c r="B307" t="s">
        <v>479</v>
      </c>
      <c r="C307" t="s">
        <v>4696</v>
      </c>
      <c r="D307" t="s">
        <v>442</v>
      </c>
      <c r="E307" t="s">
        <v>36</v>
      </c>
      <c r="F307" t="s">
        <v>37</v>
      </c>
    </row>
    <row r="308" spans="1:6" outlineLevel="3" x14ac:dyDescent="0.25">
      <c r="A308" s="4" t="s">
        <v>472</v>
      </c>
      <c r="B308" t="s">
        <v>479</v>
      </c>
      <c r="C308" t="s">
        <v>4697</v>
      </c>
      <c r="D308" t="s">
        <v>442</v>
      </c>
      <c r="E308" t="s">
        <v>36</v>
      </c>
      <c r="F308" t="s">
        <v>37</v>
      </c>
    </row>
    <row r="309" spans="1:6" outlineLevel="3" x14ac:dyDescent="0.25">
      <c r="A309" s="4" t="s">
        <v>472</v>
      </c>
      <c r="B309" t="s">
        <v>479</v>
      </c>
      <c r="C309" t="s">
        <v>4676</v>
      </c>
      <c r="D309" t="s">
        <v>6</v>
      </c>
      <c r="E309" t="s">
        <v>312</v>
      </c>
      <c r="F309" t="s">
        <v>37</v>
      </c>
    </row>
    <row r="310" spans="1:6" outlineLevel="3" x14ac:dyDescent="0.25">
      <c r="A310" s="4" t="s">
        <v>472</v>
      </c>
      <c r="B310" t="s">
        <v>479</v>
      </c>
      <c r="C310" t="s">
        <v>4677</v>
      </c>
      <c r="D310" t="s">
        <v>6</v>
      </c>
      <c r="E310" t="s">
        <v>312</v>
      </c>
      <c r="F310" t="s">
        <v>37</v>
      </c>
    </row>
    <row r="311" spans="1:6" outlineLevel="3" x14ac:dyDescent="0.25">
      <c r="A311" s="4" t="s">
        <v>472</v>
      </c>
      <c r="B311" t="s">
        <v>479</v>
      </c>
      <c r="C311" t="s">
        <v>4678</v>
      </c>
      <c r="D311" t="s">
        <v>13</v>
      </c>
      <c r="E311" t="s">
        <v>220</v>
      </c>
      <c r="F311" t="s">
        <v>37</v>
      </c>
    </row>
    <row r="312" spans="1:6" outlineLevel="3" x14ac:dyDescent="0.25">
      <c r="A312" s="4" t="s">
        <v>472</v>
      </c>
      <c r="B312" t="s">
        <v>479</v>
      </c>
      <c r="C312" t="s">
        <v>4679</v>
      </c>
      <c r="D312" t="s">
        <v>67</v>
      </c>
      <c r="E312" t="s">
        <v>220</v>
      </c>
      <c r="F312" t="s">
        <v>37</v>
      </c>
    </row>
    <row r="313" spans="1:6" outlineLevel="3" x14ac:dyDescent="0.25">
      <c r="A313" s="4" t="s">
        <v>472</v>
      </c>
      <c r="B313" t="s">
        <v>479</v>
      </c>
      <c r="C313" t="s">
        <v>4680</v>
      </c>
      <c r="D313" t="s">
        <v>67</v>
      </c>
      <c r="E313" t="s">
        <v>220</v>
      </c>
      <c r="F313" t="s">
        <v>37</v>
      </c>
    </row>
    <row r="314" spans="1:6" outlineLevel="3" x14ac:dyDescent="0.25">
      <c r="A314" s="4" t="s">
        <v>472</v>
      </c>
      <c r="B314" t="s">
        <v>479</v>
      </c>
      <c r="C314" t="s">
        <v>4681</v>
      </c>
      <c r="D314" t="s">
        <v>6</v>
      </c>
      <c r="E314" t="s">
        <v>220</v>
      </c>
      <c r="F314" t="s">
        <v>37</v>
      </c>
    </row>
    <row r="315" spans="1:6" outlineLevel="3" x14ac:dyDescent="0.25">
      <c r="A315" s="4" t="s">
        <v>472</v>
      </c>
      <c r="B315" t="s">
        <v>479</v>
      </c>
      <c r="C315" t="s">
        <v>4682</v>
      </c>
      <c r="D315" t="s">
        <v>44</v>
      </c>
      <c r="E315" t="s">
        <v>220</v>
      </c>
      <c r="F315" t="s">
        <v>37</v>
      </c>
    </row>
    <row r="316" spans="1:6" outlineLevel="3" x14ac:dyDescent="0.25">
      <c r="A316" s="4" t="s">
        <v>472</v>
      </c>
      <c r="B316" t="s">
        <v>479</v>
      </c>
      <c r="C316" t="s">
        <v>4691</v>
      </c>
      <c r="D316" t="s">
        <v>46</v>
      </c>
      <c r="E316" t="s">
        <v>220</v>
      </c>
      <c r="F316" t="s">
        <v>37</v>
      </c>
    </row>
    <row r="317" spans="1:6" outlineLevel="3" x14ac:dyDescent="0.25">
      <c r="A317" s="4" t="s">
        <v>472</v>
      </c>
      <c r="B317" t="s">
        <v>479</v>
      </c>
      <c r="C317" t="s">
        <v>2035</v>
      </c>
      <c r="D317" t="s">
        <v>78</v>
      </c>
      <c r="E317" t="s">
        <v>235</v>
      </c>
      <c r="F317" t="s">
        <v>37</v>
      </c>
    </row>
    <row r="318" spans="1:6" outlineLevel="3" x14ac:dyDescent="0.25">
      <c r="A318" s="4" t="s">
        <v>472</v>
      </c>
      <c r="B318" t="s">
        <v>479</v>
      </c>
      <c r="C318" t="s">
        <v>2036</v>
      </c>
      <c r="D318" t="s">
        <v>202</v>
      </c>
      <c r="E318" t="s">
        <v>235</v>
      </c>
      <c r="F318" t="s">
        <v>37</v>
      </c>
    </row>
    <row r="319" spans="1:6" outlineLevel="3" x14ac:dyDescent="0.25">
      <c r="A319" s="4" t="s">
        <v>472</v>
      </c>
      <c r="B319" t="s">
        <v>479</v>
      </c>
      <c r="C319" t="s">
        <v>2037</v>
      </c>
      <c r="D319" t="s">
        <v>4482</v>
      </c>
      <c r="E319" t="s">
        <v>235</v>
      </c>
      <c r="F319" t="s">
        <v>37</v>
      </c>
    </row>
    <row r="320" spans="1:6" outlineLevel="3" x14ac:dyDescent="0.25">
      <c r="A320" s="4" t="s">
        <v>472</v>
      </c>
      <c r="B320" t="s">
        <v>479</v>
      </c>
      <c r="C320" t="s">
        <v>2038</v>
      </c>
      <c r="D320" t="s">
        <v>78</v>
      </c>
      <c r="E320" t="s">
        <v>235</v>
      </c>
      <c r="F320" t="s">
        <v>37</v>
      </c>
    </row>
    <row r="321" spans="1:6" outlineLevel="3" x14ac:dyDescent="0.25">
      <c r="A321" s="4" t="s">
        <v>472</v>
      </c>
      <c r="B321" t="s">
        <v>479</v>
      </c>
      <c r="C321" t="s">
        <v>2039</v>
      </c>
      <c r="D321" t="s">
        <v>78</v>
      </c>
      <c r="E321" t="s">
        <v>235</v>
      </c>
      <c r="F321" t="s">
        <v>37</v>
      </c>
    </row>
    <row r="322" spans="1:6" outlineLevel="3" x14ac:dyDescent="0.25">
      <c r="A322" s="4" t="s">
        <v>472</v>
      </c>
      <c r="B322" t="s">
        <v>479</v>
      </c>
      <c r="C322" t="s">
        <v>4483</v>
      </c>
      <c r="D322" t="s">
        <v>67</v>
      </c>
      <c r="E322" t="s">
        <v>235</v>
      </c>
      <c r="F322" t="s">
        <v>37</v>
      </c>
    </row>
    <row r="323" spans="1:6" outlineLevel="3" x14ac:dyDescent="0.25">
      <c r="A323" s="4" t="s">
        <v>472</v>
      </c>
      <c r="B323" t="s">
        <v>479</v>
      </c>
      <c r="C323" t="s">
        <v>2040</v>
      </c>
      <c r="D323" t="s">
        <v>78</v>
      </c>
      <c r="E323" t="s">
        <v>235</v>
      </c>
      <c r="F323" t="s">
        <v>37</v>
      </c>
    </row>
    <row r="324" spans="1:6" outlineLevel="3" x14ac:dyDescent="0.25">
      <c r="A324" s="4" t="s">
        <v>472</v>
      </c>
      <c r="B324" t="s">
        <v>479</v>
      </c>
      <c r="C324" t="s">
        <v>2041</v>
      </c>
      <c r="D324" t="s">
        <v>78</v>
      </c>
      <c r="E324" t="s">
        <v>235</v>
      </c>
      <c r="F324" t="s">
        <v>37</v>
      </c>
    </row>
    <row r="325" spans="1:6" outlineLevel="3" x14ac:dyDescent="0.25">
      <c r="A325" s="4" t="s">
        <v>472</v>
      </c>
      <c r="B325" t="s">
        <v>479</v>
      </c>
      <c r="C325" t="s">
        <v>2042</v>
      </c>
      <c r="D325" t="s">
        <v>78</v>
      </c>
      <c r="E325" t="s">
        <v>235</v>
      </c>
      <c r="F325" t="s">
        <v>37</v>
      </c>
    </row>
    <row r="326" spans="1:6" outlineLevel="3" x14ac:dyDescent="0.25">
      <c r="A326" s="4" t="s">
        <v>472</v>
      </c>
      <c r="B326" t="s">
        <v>479</v>
      </c>
      <c r="C326" t="s">
        <v>4484</v>
      </c>
      <c r="D326" t="s">
        <v>275</v>
      </c>
      <c r="E326" t="s">
        <v>235</v>
      </c>
      <c r="F326" t="s">
        <v>37</v>
      </c>
    </row>
    <row r="327" spans="1:6" outlineLevel="3" x14ac:dyDescent="0.25">
      <c r="A327" s="4" t="s">
        <v>472</v>
      </c>
      <c r="B327" t="s">
        <v>479</v>
      </c>
      <c r="C327" t="s">
        <v>2049</v>
      </c>
      <c r="D327" t="s">
        <v>442</v>
      </c>
      <c r="E327" t="s">
        <v>235</v>
      </c>
      <c r="F327" t="s">
        <v>37</v>
      </c>
    </row>
    <row r="328" spans="1:6" outlineLevel="3" x14ac:dyDescent="0.25">
      <c r="A328" s="4" t="s">
        <v>472</v>
      </c>
      <c r="B328" t="s">
        <v>479</v>
      </c>
      <c r="C328" t="s">
        <v>2050</v>
      </c>
      <c r="D328" t="s">
        <v>442</v>
      </c>
      <c r="E328" t="s">
        <v>235</v>
      </c>
      <c r="F328" t="s">
        <v>37</v>
      </c>
    </row>
    <row r="329" spans="1:6" outlineLevel="3" x14ac:dyDescent="0.25">
      <c r="A329" s="4" t="s">
        <v>472</v>
      </c>
      <c r="B329" t="s">
        <v>479</v>
      </c>
      <c r="C329" t="s">
        <v>2051</v>
      </c>
      <c r="D329" t="s">
        <v>442</v>
      </c>
      <c r="E329" t="s">
        <v>235</v>
      </c>
      <c r="F329" t="s">
        <v>37</v>
      </c>
    </row>
    <row r="330" spans="1:6" outlineLevel="3" x14ac:dyDescent="0.25">
      <c r="A330" s="4" t="s">
        <v>472</v>
      </c>
      <c r="B330" t="s">
        <v>479</v>
      </c>
      <c r="C330" t="s">
        <v>2052</v>
      </c>
      <c r="D330" t="s">
        <v>442</v>
      </c>
      <c r="E330" t="s">
        <v>235</v>
      </c>
      <c r="F330" t="s">
        <v>37</v>
      </c>
    </row>
    <row r="331" spans="1:6" outlineLevel="3" x14ac:dyDescent="0.25">
      <c r="A331" s="4" t="s">
        <v>472</v>
      </c>
      <c r="B331" t="s">
        <v>479</v>
      </c>
      <c r="C331" t="s">
        <v>2053</v>
      </c>
      <c r="D331" t="s">
        <v>442</v>
      </c>
      <c r="E331" t="s">
        <v>235</v>
      </c>
      <c r="F331" t="s">
        <v>37</v>
      </c>
    </row>
    <row r="332" spans="1:6" outlineLevel="3" x14ac:dyDescent="0.25">
      <c r="A332" s="4" t="s">
        <v>472</v>
      </c>
      <c r="B332" t="s">
        <v>479</v>
      </c>
      <c r="C332" t="s">
        <v>2054</v>
      </c>
      <c r="D332" t="s">
        <v>442</v>
      </c>
      <c r="E332" t="s">
        <v>235</v>
      </c>
      <c r="F332" t="s">
        <v>37</v>
      </c>
    </row>
    <row r="333" spans="1:6" outlineLevel="3" x14ac:dyDescent="0.25">
      <c r="A333" s="4" t="s">
        <v>472</v>
      </c>
      <c r="B333" t="s">
        <v>479</v>
      </c>
      <c r="C333" t="s">
        <v>4492</v>
      </c>
      <c r="D333" t="s">
        <v>442</v>
      </c>
      <c r="E333" t="s">
        <v>235</v>
      </c>
      <c r="F333" t="s">
        <v>37</v>
      </c>
    </row>
    <row r="334" spans="1:6" outlineLevel="3" x14ac:dyDescent="0.25">
      <c r="A334" s="4" t="s">
        <v>472</v>
      </c>
      <c r="B334" t="s">
        <v>479</v>
      </c>
      <c r="C334" t="s">
        <v>4493</v>
      </c>
      <c r="D334" t="s">
        <v>442</v>
      </c>
      <c r="E334" t="s">
        <v>316</v>
      </c>
      <c r="F334" t="s">
        <v>37</v>
      </c>
    </row>
    <row r="335" spans="1:6" outlineLevel="3" x14ac:dyDescent="0.25">
      <c r="A335" s="4" t="s">
        <v>472</v>
      </c>
      <c r="B335" t="s">
        <v>479</v>
      </c>
      <c r="C335" t="s">
        <v>4494</v>
      </c>
      <c r="D335" t="s">
        <v>442</v>
      </c>
      <c r="E335" t="s">
        <v>316</v>
      </c>
      <c r="F335" t="s">
        <v>37</v>
      </c>
    </row>
    <row r="336" spans="1:6" outlineLevel="3" x14ac:dyDescent="0.25">
      <c r="A336" s="4" t="s">
        <v>472</v>
      </c>
      <c r="B336" t="s">
        <v>479</v>
      </c>
      <c r="C336" t="s">
        <v>1723</v>
      </c>
      <c r="D336" t="s">
        <v>126</v>
      </c>
      <c r="E336" t="s">
        <v>1667</v>
      </c>
      <c r="F336" t="s">
        <v>37</v>
      </c>
    </row>
    <row r="337" spans="1:6" outlineLevel="3" x14ac:dyDescent="0.25">
      <c r="A337" s="4" t="s">
        <v>472</v>
      </c>
      <c r="B337" t="s">
        <v>479</v>
      </c>
      <c r="C337" t="s">
        <v>4485</v>
      </c>
      <c r="D337" t="s">
        <v>2043</v>
      </c>
      <c r="E337" t="s">
        <v>1667</v>
      </c>
      <c r="F337" t="s">
        <v>37</v>
      </c>
    </row>
    <row r="338" spans="1:6" outlineLevel="3" x14ac:dyDescent="0.25">
      <c r="A338" s="4" t="s">
        <v>472</v>
      </c>
      <c r="B338" t="s">
        <v>479</v>
      </c>
      <c r="C338" t="s">
        <v>4486</v>
      </c>
      <c r="D338" t="s">
        <v>63</v>
      </c>
      <c r="E338" t="s">
        <v>1667</v>
      </c>
      <c r="F338" t="s">
        <v>37</v>
      </c>
    </row>
    <row r="339" spans="1:6" outlineLevel="3" x14ac:dyDescent="0.25">
      <c r="A339" s="4" t="s">
        <v>472</v>
      </c>
      <c r="B339" t="s">
        <v>479</v>
      </c>
      <c r="C339" t="s">
        <v>4487</v>
      </c>
      <c r="D339" t="s">
        <v>63</v>
      </c>
      <c r="E339" t="s">
        <v>1667</v>
      </c>
      <c r="F339" t="s">
        <v>37</v>
      </c>
    </row>
    <row r="340" spans="1:6" outlineLevel="3" x14ac:dyDescent="0.25">
      <c r="A340" s="4" t="s">
        <v>472</v>
      </c>
      <c r="B340" t="s">
        <v>479</v>
      </c>
      <c r="C340" t="s">
        <v>2044</v>
      </c>
      <c r="D340" t="s">
        <v>78</v>
      </c>
      <c r="E340" t="s">
        <v>1667</v>
      </c>
      <c r="F340" t="s">
        <v>37</v>
      </c>
    </row>
    <row r="341" spans="1:6" outlineLevel="3" x14ac:dyDescent="0.25">
      <c r="A341" s="4" t="s">
        <v>472</v>
      </c>
      <c r="B341" t="s">
        <v>479</v>
      </c>
      <c r="C341" t="s">
        <v>2045</v>
      </c>
      <c r="D341" t="s">
        <v>78</v>
      </c>
      <c r="E341" t="s">
        <v>1667</v>
      </c>
      <c r="F341" t="s">
        <v>37</v>
      </c>
    </row>
    <row r="342" spans="1:6" outlineLevel="3" x14ac:dyDescent="0.25">
      <c r="A342" s="4" t="s">
        <v>472</v>
      </c>
      <c r="B342" t="s">
        <v>479</v>
      </c>
      <c r="C342" t="s">
        <v>4488</v>
      </c>
      <c r="D342" t="s">
        <v>63</v>
      </c>
      <c r="E342" t="s">
        <v>1667</v>
      </c>
      <c r="F342" t="s">
        <v>37</v>
      </c>
    </row>
    <row r="343" spans="1:6" outlineLevel="3" x14ac:dyDescent="0.25">
      <c r="A343" s="4" t="s">
        <v>472</v>
      </c>
      <c r="B343" t="s">
        <v>479</v>
      </c>
      <c r="C343" t="s">
        <v>2046</v>
      </c>
      <c r="D343" t="s">
        <v>78</v>
      </c>
      <c r="E343" t="s">
        <v>1667</v>
      </c>
      <c r="F343" t="s">
        <v>37</v>
      </c>
    </row>
    <row r="344" spans="1:6" outlineLevel="3" x14ac:dyDescent="0.25">
      <c r="A344" s="4" t="s">
        <v>472</v>
      </c>
      <c r="B344" t="s">
        <v>479</v>
      </c>
      <c r="C344" t="s">
        <v>2047</v>
      </c>
      <c r="D344" t="s">
        <v>78</v>
      </c>
      <c r="E344" t="s">
        <v>1667</v>
      </c>
      <c r="F344" t="s">
        <v>37</v>
      </c>
    </row>
    <row r="345" spans="1:6" outlineLevel="3" x14ac:dyDescent="0.25">
      <c r="A345" s="4" t="s">
        <v>472</v>
      </c>
      <c r="B345" t="s">
        <v>479</v>
      </c>
      <c r="C345" t="s">
        <v>2048</v>
      </c>
      <c r="D345" t="s">
        <v>46</v>
      </c>
      <c r="E345" t="s">
        <v>1667</v>
      </c>
      <c r="F345" t="s">
        <v>37</v>
      </c>
    </row>
    <row r="346" spans="1:6" outlineLevel="3" x14ac:dyDescent="0.25">
      <c r="A346" s="4" t="s">
        <v>472</v>
      </c>
      <c r="B346" t="s">
        <v>479</v>
      </c>
      <c r="C346" t="s">
        <v>4495</v>
      </c>
      <c r="D346" t="s">
        <v>442</v>
      </c>
      <c r="E346" t="s">
        <v>1667</v>
      </c>
      <c r="F346" t="s">
        <v>37</v>
      </c>
    </row>
    <row r="347" spans="1:6" outlineLevel="3" x14ac:dyDescent="0.25">
      <c r="A347" s="4" t="s">
        <v>472</v>
      </c>
      <c r="B347" t="s">
        <v>479</v>
      </c>
      <c r="C347" t="s">
        <v>1690</v>
      </c>
      <c r="D347" t="s">
        <v>78</v>
      </c>
      <c r="E347" t="s">
        <v>81</v>
      </c>
      <c r="F347" t="s">
        <v>37</v>
      </c>
    </row>
    <row r="348" spans="1:6" outlineLevel="3" x14ac:dyDescent="0.25">
      <c r="A348" s="4" t="s">
        <v>472</v>
      </c>
      <c r="B348" t="s">
        <v>479</v>
      </c>
      <c r="C348" t="s">
        <v>1694</v>
      </c>
      <c r="D348" t="s">
        <v>442</v>
      </c>
      <c r="E348" t="s">
        <v>81</v>
      </c>
      <c r="F348" t="s">
        <v>37</v>
      </c>
    </row>
    <row r="349" spans="1:6" outlineLevel="3" x14ac:dyDescent="0.25">
      <c r="A349" s="4" t="s">
        <v>472</v>
      </c>
      <c r="B349" t="s">
        <v>479</v>
      </c>
      <c r="C349" t="s">
        <v>4683</v>
      </c>
      <c r="D349" t="s">
        <v>437</v>
      </c>
      <c r="E349" t="s">
        <v>313</v>
      </c>
      <c r="F349" t="s">
        <v>37</v>
      </c>
    </row>
    <row r="350" spans="1:6" outlineLevel="3" x14ac:dyDescent="0.25">
      <c r="A350" s="4" t="s">
        <v>472</v>
      </c>
      <c r="B350" t="s">
        <v>479</v>
      </c>
      <c r="C350" t="s">
        <v>1648</v>
      </c>
      <c r="D350" t="s">
        <v>395</v>
      </c>
      <c r="E350" t="s">
        <v>259</v>
      </c>
      <c r="F350" t="s">
        <v>37</v>
      </c>
    </row>
    <row r="351" spans="1:6" outlineLevel="3" x14ac:dyDescent="0.25">
      <c r="A351" s="4" t="s">
        <v>472</v>
      </c>
      <c r="B351" t="s">
        <v>479</v>
      </c>
      <c r="C351" t="s">
        <v>1649</v>
      </c>
      <c r="D351" t="s">
        <v>119</v>
      </c>
      <c r="E351" t="s">
        <v>259</v>
      </c>
      <c r="F351" t="s">
        <v>37</v>
      </c>
    </row>
    <row r="352" spans="1:6" outlineLevel="3" x14ac:dyDescent="0.25">
      <c r="A352" s="4" t="s">
        <v>472</v>
      </c>
      <c r="B352" t="s">
        <v>479</v>
      </c>
      <c r="C352" t="s">
        <v>1650</v>
      </c>
      <c r="D352" t="s">
        <v>126</v>
      </c>
      <c r="E352" t="s">
        <v>1072</v>
      </c>
      <c r="F352" t="s">
        <v>37</v>
      </c>
    </row>
    <row r="353" spans="1:6" outlineLevel="3" x14ac:dyDescent="0.25">
      <c r="A353" s="4" t="s">
        <v>472</v>
      </c>
      <c r="B353" t="s">
        <v>479</v>
      </c>
      <c r="C353" t="s">
        <v>1651</v>
      </c>
      <c r="D353" t="s">
        <v>13</v>
      </c>
      <c r="E353" t="s">
        <v>1072</v>
      </c>
      <c r="F353" t="s">
        <v>37</v>
      </c>
    </row>
    <row r="354" spans="1:6" outlineLevel="3" x14ac:dyDescent="0.25">
      <c r="A354" s="4" t="s">
        <v>472</v>
      </c>
      <c r="B354" t="s">
        <v>479</v>
      </c>
      <c r="C354" t="s">
        <v>1652</v>
      </c>
      <c r="D354" t="s">
        <v>13</v>
      </c>
      <c r="E354" t="s">
        <v>1072</v>
      </c>
      <c r="F354" t="s">
        <v>37</v>
      </c>
    </row>
    <row r="355" spans="1:6" outlineLevel="3" x14ac:dyDescent="0.25">
      <c r="A355" s="4" t="s">
        <v>472</v>
      </c>
      <c r="B355" t="s">
        <v>479</v>
      </c>
      <c r="C355" t="s">
        <v>1653</v>
      </c>
      <c r="D355" t="s">
        <v>78</v>
      </c>
      <c r="E355" t="s">
        <v>1072</v>
      </c>
      <c r="F355" t="s">
        <v>37</v>
      </c>
    </row>
    <row r="356" spans="1:6" outlineLevel="3" x14ac:dyDescent="0.25">
      <c r="A356" s="4" t="s">
        <v>472</v>
      </c>
      <c r="B356" t="s">
        <v>479</v>
      </c>
      <c r="C356" t="s">
        <v>4479</v>
      </c>
      <c r="D356" t="s">
        <v>442</v>
      </c>
      <c r="E356" t="s">
        <v>1072</v>
      </c>
      <c r="F356" t="s">
        <v>37</v>
      </c>
    </row>
    <row r="357" spans="1:6" outlineLevel="3" x14ac:dyDescent="0.25">
      <c r="A357" s="4" t="s">
        <v>472</v>
      </c>
      <c r="B357" t="s">
        <v>479</v>
      </c>
      <c r="C357" t="s">
        <v>4578</v>
      </c>
      <c r="D357" t="s">
        <v>76</v>
      </c>
      <c r="E357" t="s">
        <v>223</v>
      </c>
      <c r="F357" t="s">
        <v>37</v>
      </c>
    </row>
    <row r="358" spans="1:6" outlineLevel="3" x14ac:dyDescent="0.25">
      <c r="A358" s="4" t="s">
        <v>472</v>
      </c>
      <c r="B358" t="s">
        <v>479</v>
      </c>
      <c r="C358" t="s">
        <v>4579</v>
      </c>
      <c r="D358" t="s">
        <v>78</v>
      </c>
      <c r="E358" t="s">
        <v>223</v>
      </c>
      <c r="F358" t="s">
        <v>37</v>
      </c>
    </row>
    <row r="359" spans="1:6" outlineLevel="3" x14ac:dyDescent="0.25">
      <c r="A359" s="4" t="s">
        <v>472</v>
      </c>
      <c r="B359" t="s">
        <v>479</v>
      </c>
      <c r="C359" t="s">
        <v>4580</v>
      </c>
      <c r="D359" t="s">
        <v>78</v>
      </c>
      <c r="E359" t="s">
        <v>223</v>
      </c>
      <c r="F359" t="s">
        <v>37</v>
      </c>
    </row>
    <row r="360" spans="1:6" outlineLevel="3" x14ac:dyDescent="0.25">
      <c r="A360" s="4" t="s">
        <v>472</v>
      </c>
      <c r="B360" t="s">
        <v>479</v>
      </c>
      <c r="C360" t="s">
        <v>4581</v>
      </c>
      <c r="D360" t="s">
        <v>126</v>
      </c>
      <c r="E360" t="s">
        <v>223</v>
      </c>
      <c r="F360" t="s">
        <v>37</v>
      </c>
    </row>
    <row r="361" spans="1:6" outlineLevel="3" x14ac:dyDescent="0.25">
      <c r="A361" s="4" t="s">
        <v>472</v>
      </c>
      <c r="B361" t="s">
        <v>479</v>
      </c>
      <c r="C361" t="s">
        <v>4489</v>
      </c>
      <c r="D361" t="s">
        <v>202</v>
      </c>
      <c r="E361" t="s">
        <v>224</v>
      </c>
      <c r="F361" t="s">
        <v>37</v>
      </c>
    </row>
    <row r="362" spans="1:6" outlineLevel="3" x14ac:dyDescent="0.25">
      <c r="A362" s="4" t="s">
        <v>472</v>
      </c>
      <c r="B362" t="s">
        <v>479</v>
      </c>
      <c r="C362" t="s">
        <v>4490</v>
      </c>
      <c r="D362" t="s">
        <v>202</v>
      </c>
      <c r="E362" t="s">
        <v>224</v>
      </c>
      <c r="F362" t="s">
        <v>37</v>
      </c>
    </row>
    <row r="363" spans="1:6" outlineLevel="3" x14ac:dyDescent="0.25">
      <c r="A363" s="4" t="s">
        <v>472</v>
      </c>
      <c r="B363" t="s">
        <v>479</v>
      </c>
      <c r="C363" t="s">
        <v>4491</v>
      </c>
      <c r="D363" t="s">
        <v>13</v>
      </c>
      <c r="E363" t="s">
        <v>224</v>
      </c>
      <c r="F363" t="s">
        <v>37</v>
      </c>
    </row>
    <row r="364" spans="1:6" outlineLevel="3" x14ac:dyDescent="0.25">
      <c r="A364" s="4" t="s">
        <v>472</v>
      </c>
      <c r="B364" t="s">
        <v>479</v>
      </c>
      <c r="C364" t="s">
        <v>1289</v>
      </c>
      <c r="D364" t="s">
        <v>65</v>
      </c>
      <c r="E364" t="s">
        <v>233</v>
      </c>
      <c r="F364" t="s">
        <v>37</v>
      </c>
    </row>
    <row r="365" spans="1:6" outlineLevel="3" x14ac:dyDescent="0.25">
      <c r="A365" s="4" t="s">
        <v>472</v>
      </c>
      <c r="B365" t="s">
        <v>479</v>
      </c>
      <c r="C365" t="s">
        <v>1654</v>
      </c>
      <c r="D365" t="s">
        <v>65</v>
      </c>
      <c r="E365" t="s">
        <v>233</v>
      </c>
      <c r="F365" t="s">
        <v>37</v>
      </c>
    </row>
    <row r="366" spans="1:6" outlineLevel="3" x14ac:dyDescent="0.25">
      <c r="A366" s="4" t="s">
        <v>472</v>
      </c>
      <c r="B366" t="s">
        <v>479</v>
      </c>
      <c r="C366" t="s">
        <v>1655</v>
      </c>
      <c r="D366" t="s">
        <v>76</v>
      </c>
      <c r="E366" t="s">
        <v>233</v>
      </c>
      <c r="F366" t="s">
        <v>37</v>
      </c>
    </row>
    <row r="367" spans="1:6" outlineLevel="3" x14ac:dyDescent="0.25">
      <c r="A367" s="4" t="s">
        <v>472</v>
      </c>
      <c r="B367" t="s">
        <v>479</v>
      </c>
      <c r="C367" t="s">
        <v>1656</v>
      </c>
      <c r="D367" t="s">
        <v>147</v>
      </c>
      <c r="E367" t="s">
        <v>233</v>
      </c>
      <c r="F367" t="s">
        <v>37</v>
      </c>
    </row>
    <row r="368" spans="1:6" outlineLevel="3" x14ac:dyDescent="0.25">
      <c r="A368" s="4" t="s">
        <v>472</v>
      </c>
      <c r="B368" t="s">
        <v>479</v>
      </c>
      <c r="C368" t="s">
        <v>1657</v>
      </c>
      <c r="D368" t="s">
        <v>78</v>
      </c>
      <c r="E368" t="s">
        <v>233</v>
      </c>
      <c r="F368" t="s">
        <v>37</v>
      </c>
    </row>
    <row r="369" spans="1:6" outlineLevel="3" x14ac:dyDescent="0.25">
      <c r="A369" s="4" t="s">
        <v>472</v>
      </c>
      <c r="B369" t="s">
        <v>479</v>
      </c>
      <c r="C369" t="s">
        <v>1658</v>
      </c>
      <c r="D369" t="s">
        <v>67</v>
      </c>
      <c r="E369" t="s">
        <v>233</v>
      </c>
      <c r="F369" t="s">
        <v>37</v>
      </c>
    </row>
    <row r="370" spans="1:6" outlineLevel="3" x14ac:dyDescent="0.25">
      <c r="A370" s="4" t="s">
        <v>472</v>
      </c>
      <c r="B370" t="s">
        <v>479</v>
      </c>
      <c r="C370" t="s">
        <v>1659</v>
      </c>
      <c r="D370" t="s">
        <v>6</v>
      </c>
      <c r="E370" t="s">
        <v>233</v>
      </c>
      <c r="F370" t="s">
        <v>37</v>
      </c>
    </row>
    <row r="371" spans="1:6" outlineLevel="3" x14ac:dyDescent="0.25">
      <c r="A371" s="4" t="s">
        <v>472</v>
      </c>
      <c r="B371" t="s">
        <v>479</v>
      </c>
      <c r="C371" t="s">
        <v>1290</v>
      </c>
      <c r="D371" t="s">
        <v>202</v>
      </c>
      <c r="E371" t="s">
        <v>233</v>
      </c>
      <c r="F371" t="s">
        <v>37</v>
      </c>
    </row>
    <row r="372" spans="1:6" outlineLevel="3" x14ac:dyDescent="0.25">
      <c r="A372" s="4" t="s">
        <v>472</v>
      </c>
      <c r="B372" t="s">
        <v>479</v>
      </c>
      <c r="C372" t="s">
        <v>1660</v>
      </c>
      <c r="D372" t="s">
        <v>126</v>
      </c>
      <c r="E372" t="s">
        <v>233</v>
      </c>
      <c r="F372" t="s">
        <v>37</v>
      </c>
    </row>
    <row r="373" spans="1:6" outlineLevel="3" x14ac:dyDescent="0.25">
      <c r="A373" s="4" t="s">
        <v>472</v>
      </c>
      <c r="B373" t="s">
        <v>479</v>
      </c>
      <c r="C373" t="s">
        <v>4480</v>
      </c>
      <c r="D373" t="s">
        <v>442</v>
      </c>
      <c r="E373" t="s">
        <v>233</v>
      </c>
      <c r="F373" t="s">
        <v>37</v>
      </c>
    </row>
    <row r="374" spans="1:6" outlineLevel="3" x14ac:dyDescent="0.25">
      <c r="A374" s="4" t="s">
        <v>472</v>
      </c>
      <c r="B374" t="s">
        <v>479</v>
      </c>
      <c r="C374" t="s">
        <v>1661</v>
      </c>
      <c r="D374" t="s">
        <v>13</v>
      </c>
      <c r="E374" t="s">
        <v>226</v>
      </c>
      <c r="F374" t="s">
        <v>37</v>
      </c>
    </row>
    <row r="375" spans="1:6" outlineLevel="3" x14ac:dyDescent="0.25">
      <c r="A375" s="4" t="s">
        <v>472</v>
      </c>
      <c r="B375" t="s">
        <v>479</v>
      </c>
      <c r="C375" t="s">
        <v>1662</v>
      </c>
      <c r="D375" t="s">
        <v>67</v>
      </c>
      <c r="E375" t="s">
        <v>226</v>
      </c>
      <c r="F375" t="s">
        <v>37</v>
      </c>
    </row>
    <row r="376" spans="1:6" outlineLevel="3" x14ac:dyDescent="0.25">
      <c r="A376" s="4" t="s">
        <v>472</v>
      </c>
      <c r="B376" t="s">
        <v>479</v>
      </c>
      <c r="C376" t="s">
        <v>1663</v>
      </c>
      <c r="D376" t="s">
        <v>126</v>
      </c>
      <c r="E376" t="s">
        <v>226</v>
      </c>
      <c r="F376" t="s">
        <v>37</v>
      </c>
    </row>
    <row r="377" spans="1:6" outlineLevel="3" x14ac:dyDescent="0.25">
      <c r="A377" s="4" t="s">
        <v>472</v>
      </c>
      <c r="B377" t="s">
        <v>479</v>
      </c>
      <c r="C377" t="s">
        <v>1664</v>
      </c>
      <c r="D377" t="s">
        <v>4451</v>
      </c>
      <c r="E377" t="s">
        <v>1122</v>
      </c>
      <c r="F377" t="s">
        <v>37</v>
      </c>
    </row>
    <row r="378" spans="1:6" outlineLevel="3" x14ac:dyDescent="0.25">
      <c r="A378" s="4" t="s">
        <v>472</v>
      </c>
      <c r="B378" t="s">
        <v>479</v>
      </c>
      <c r="C378" t="s">
        <v>4465</v>
      </c>
      <c r="D378" t="s">
        <v>78</v>
      </c>
      <c r="E378" t="s">
        <v>1122</v>
      </c>
      <c r="F378" t="s">
        <v>37</v>
      </c>
    </row>
    <row r="379" spans="1:6" outlineLevel="3" x14ac:dyDescent="0.25">
      <c r="A379" s="4" t="s">
        <v>472</v>
      </c>
      <c r="B379" t="s">
        <v>479</v>
      </c>
      <c r="C379" t="s">
        <v>1713</v>
      </c>
      <c r="D379" t="s">
        <v>78</v>
      </c>
      <c r="E379" t="s">
        <v>294</v>
      </c>
      <c r="F379" t="s">
        <v>37</v>
      </c>
    </row>
    <row r="380" spans="1:6" outlineLevel="3" x14ac:dyDescent="0.25">
      <c r="A380" s="4" t="s">
        <v>472</v>
      </c>
      <c r="B380" t="s">
        <v>479</v>
      </c>
      <c r="C380" t="s">
        <v>1714</v>
      </c>
      <c r="D380" t="s">
        <v>143</v>
      </c>
      <c r="E380" t="s">
        <v>294</v>
      </c>
      <c r="F380" t="s">
        <v>37</v>
      </c>
    </row>
    <row r="381" spans="1:6" outlineLevel="3" x14ac:dyDescent="0.25">
      <c r="A381" s="4" t="s">
        <v>472</v>
      </c>
      <c r="B381" t="s">
        <v>479</v>
      </c>
      <c r="C381" t="s">
        <v>1715</v>
      </c>
      <c r="D381" t="s">
        <v>78</v>
      </c>
      <c r="E381" t="s">
        <v>294</v>
      </c>
      <c r="F381" t="s">
        <v>37</v>
      </c>
    </row>
    <row r="382" spans="1:6" outlineLevel="3" x14ac:dyDescent="0.25">
      <c r="A382" s="4" t="s">
        <v>472</v>
      </c>
      <c r="B382" t="s">
        <v>479</v>
      </c>
      <c r="C382" t="s">
        <v>1716</v>
      </c>
      <c r="D382" t="s">
        <v>78</v>
      </c>
      <c r="E382" t="s">
        <v>294</v>
      </c>
      <c r="F382" t="s">
        <v>37</v>
      </c>
    </row>
    <row r="383" spans="1:6" outlineLevel="3" x14ac:dyDescent="0.25">
      <c r="A383" s="4" t="s">
        <v>472</v>
      </c>
      <c r="B383" t="s">
        <v>479</v>
      </c>
      <c r="C383" t="s">
        <v>1717</v>
      </c>
      <c r="D383" t="s">
        <v>71</v>
      </c>
      <c r="E383" t="s">
        <v>294</v>
      </c>
      <c r="F383" t="s">
        <v>37</v>
      </c>
    </row>
    <row r="384" spans="1:6" outlineLevel="3" x14ac:dyDescent="0.25">
      <c r="A384" s="4" t="s">
        <v>472</v>
      </c>
      <c r="B384" t="s">
        <v>479</v>
      </c>
      <c r="C384" t="s">
        <v>1718</v>
      </c>
      <c r="D384" t="s">
        <v>13</v>
      </c>
      <c r="E384" t="s">
        <v>294</v>
      </c>
      <c r="F384" t="s">
        <v>37</v>
      </c>
    </row>
    <row r="385" spans="1:6" outlineLevel="3" x14ac:dyDescent="0.25">
      <c r="A385" s="4" t="s">
        <v>472</v>
      </c>
      <c r="B385" t="s">
        <v>479</v>
      </c>
      <c r="C385" t="s">
        <v>1566</v>
      </c>
      <c r="D385" t="s">
        <v>442</v>
      </c>
      <c r="E385" t="s">
        <v>294</v>
      </c>
      <c r="F385" t="s">
        <v>37</v>
      </c>
    </row>
    <row r="386" spans="1:6" outlineLevel="3" x14ac:dyDescent="0.25">
      <c r="A386" s="4" t="s">
        <v>472</v>
      </c>
      <c r="B386" t="s">
        <v>479</v>
      </c>
      <c r="C386" t="s">
        <v>4452</v>
      </c>
      <c r="D386" t="s">
        <v>417</v>
      </c>
      <c r="E386" t="s">
        <v>138</v>
      </c>
      <c r="F386" t="s">
        <v>37</v>
      </c>
    </row>
    <row r="387" spans="1:6" outlineLevel="3" x14ac:dyDescent="0.25">
      <c r="A387" s="4" t="s">
        <v>472</v>
      </c>
      <c r="B387" t="s">
        <v>479</v>
      </c>
      <c r="C387" t="s">
        <v>4453</v>
      </c>
      <c r="D387" t="s">
        <v>78</v>
      </c>
      <c r="E387" t="s">
        <v>138</v>
      </c>
      <c r="F387" t="s">
        <v>37</v>
      </c>
    </row>
    <row r="388" spans="1:6" outlineLevel="3" x14ac:dyDescent="0.25">
      <c r="A388" s="4" t="s">
        <v>472</v>
      </c>
      <c r="B388" t="s">
        <v>479</v>
      </c>
      <c r="C388" t="s">
        <v>4454</v>
      </c>
      <c r="D388" t="s">
        <v>65</v>
      </c>
      <c r="E388" t="s">
        <v>138</v>
      </c>
      <c r="F388" t="s">
        <v>37</v>
      </c>
    </row>
    <row r="389" spans="1:6" outlineLevel="3" x14ac:dyDescent="0.25">
      <c r="A389" s="4" t="s">
        <v>472</v>
      </c>
      <c r="B389" t="s">
        <v>479</v>
      </c>
      <c r="C389" t="s">
        <v>4455</v>
      </c>
      <c r="D389" t="s">
        <v>67</v>
      </c>
      <c r="E389" t="s">
        <v>138</v>
      </c>
      <c r="F389" t="s">
        <v>37</v>
      </c>
    </row>
    <row r="390" spans="1:6" outlineLevel="3" x14ac:dyDescent="0.25">
      <c r="A390" s="4" t="s">
        <v>472</v>
      </c>
      <c r="B390" t="s">
        <v>479</v>
      </c>
      <c r="C390" t="s">
        <v>4456</v>
      </c>
      <c r="D390" t="s">
        <v>6</v>
      </c>
      <c r="E390" t="s">
        <v>138</v>
      </c>
      <c r="F390" t="s">
        <v>37</v>
      </c>
    </row>
    <row r="391" spans="1:6" outlineLevel="3" x14ac:dyDescent="0.25">
      <c r="A391" s="4" t="s">
        <v>472</v>
      </c>
      <c r="B391" t="s">
        <v>479</v>
      </c>
      <c r="C391" t="s">
        <v>4457</v>
      </c>
      <c r="D391" t="s">
        <v>119</v>
      </c>
      <c r="E391" t="s">
        <v>138</v>
      </c>
      <c r="F391" t="s">
        <v>37</v>
      </c>
    </row>
    <row r="392" spans="1:6" outlineLevel="3" x14ac:dyDescent="0.25">
      <c r="A392" s="4" t="s">
        <v>472</v>
      </c>
      <c r="B392" t="s">
        <v>479</v>
      </c>
      <c r="C392" t="s">
        <v>4458</v>
      </c>
      <c r="D392" t="s">
        <v>13</v>
      </c>
      <c r="E392" t="s">
        <v>138</v>
      </c>
      <c r="F392" t="s">
        <v>37</v>
      </c>
    </row>
    <row r="393" spans="1:6" outlineLevel="3" x14ac:dyDescent="0.25">
      <c r="A393" s="4" t="s">
        <v>472</v>
      </c>
      <c r="B393" t="s">
        <v>479</v>
      </c>
      <c r="C393" t="s">
        <v>4459</v>
      </c>
      <c r="D393" t="s">
        <v>78</v>
      </c>
      <c r="E393" t="s">
        <v>138</v>
      </c>
      <c r="F393" t="s">
        <v>37</v>
      </c>
    </row>
    <row r="394" spans="1:6" outlineLevel="3" x14ac:dyDescent="0.25">
      <c r="A394" s="4" t="s">
        <v>472</v>
      </c>
      <c r="B394" t="s">
        <v>479</v>
      </c>
      <c r="C394" t="s">
        <v>4460</v>
      </c>
      <c r="D394" t="s">
        <v>103</v>
      </c>
      <c r="E394" t="s">
        <v>138</v>
      </c>
      <c r="F394" t="s">
        <v>37</v>
      </c>
    </row>
    <row r="395" spans="1:6" outlineLevel="3" x14ac:dyDescent="0.25">
      <c r="A395" s="4" t="s">
        <v>472</v>
      </c>
      <c r="B395" t="s">
        <v>479</v>
      </c>
      <c r="C395" t="s">
        <v>4461</v>
      </c>
      <c r="D395" t="s">
        <v>6</v>
      </c>
      <c r="E395" t="s">
        <v>138</v>
      </c>
      <c r="F395" t="s">
        <v>37</v>
      </c>
    </row>
    <row r="396" spans="1:6" outlineLevel="3" x14ac:dyDescent="0.25">
      <c r="A396" s="4" t="s">
        <v>472</v>
      </c>
      <c r="B396" t="s">
        <v>479</v>
      </c>
      <c r="C396" t="s">
        <v>4466</v>
      </c>
      <c r="D396" t="s">
        <v>46</v>
      </c>
      <c r="E396" t="s">
        <v>138</v>
      </c>
      <c r="F396" t="s">
        <v>37</v>
      </c>
    </row>
    <row r="397" spans="1:6" outlineLevel="3" x14ac:dyDescent="0.25">
      <c r="A397" s="4" t="s">
        <v>472</v>
      </c>
      <c r="B397" t="s">
        <v>479</v>
      </c>
      <c r="C397" t="s">
        <v>4481</v>
      </c>
      <c r="D397" t="s">
        <v>442</v>
      </c>
      <c r="E397" t="s">
        <v>138</v>
      </c>
      <c r="F397" t="s">
        <v>37</v>
      </c>
    </row>
    <row r="398" spans="1:6" outlineLevel="3" x14ac:dyDescent="0.25">
      <c r="A398" s="4" t="s">
        <v>472</v>
      </c>
      <c r="B398" t="s">
        <v>479</v>
      </c>
      <c r="C398" t="s">
        <v>4582</v>
      </c>
      <c r="D398" t="s">
        <v>1087</v>
      </c>
      <c r="E398" t="s">
        <v>133</v>
      </c>
      <c r="F398" t="s">
        <v>37</v>
      </c>
    </row>
    <row r="399" spans="1:6" outlineLevel="3" x14ac:dyDescent="0.25">
      <c r="A399" s="4" t="s">
        <v>472</v>
      </c>
      <c r="B399" t="s">
        <v>479</v>
      </c>
      <c r="C399" t="s">
        <v>4583</v>
      </c>
      <c r="D399" t="s">
        <v>67</v>
      </c>
      <c r="E399" t="s">
        <v>309</v>
      </c>
      <c r="F399" t="s">
        <v>37</v>
      </c>
    </row>
    <row r="400" spans="1:6" outlineLevel="3" x14ac:dyDescent="0.25">
      <c r="A400" s="4" t="s">
        <v>472</v>
      </c>
      <c r="B400" t="s">
        <v>479</v>
      </c>
      <c r="C400" t="s">
        <v>4617</v>
      </c>
      <c r="D400" t="s">
        <v>46</v>
      </c>
      <c r="E400" t="s">
        <v>309</v>
      </c>
      <c r="F400" t="s">
        <v>37</v>
      </c>
    </row>
    <row r="401" spans="1:6" outlineLevel="3" x14ac:dyDescent="0.25">
      <c r="A401" s="4" t="s">
        <v>472</v>
      </c>
      <c r="B401" t="s">
        <v>479</v>
      </c>
      <c r="C401" t="s">
        <v>4633</v>
      </c>
      <c r="D401" t="s">
        <v>442</v>
      </c>
      <c r="E401" t="s">
        <v>309</v>
      </c>
      <c r="F401" t="s">
        <v>37</v>
      </c>
    </row>
    <row r="402" spans="1:6" outlineLevel="3" x14ac:dyDescent="0.25">
      <c r="A402" s="4" t="s">
        <v>472</v>
      </c>
      <c r="B402" t="s">
        <v>479</v>
      </c>
      <c r="C402" t="s">
        <v>4684</v>
      </c>
      <c r="D402" t="s">
        <v>1666</v>
      </c>
      <c r="E402" t="s">
        <v>83</v>
      </c>
      <c r="F402" t="s">
        <v>37</v>
      </c>
    </row>
    <row r="403" spans="1:6" outlineLevel="3" x14ac:dyDescent="0.25">
      <c r="A403" s="4" t="s">
        <v>472</v>
      </c>
      <c r="B403" t="s">
        <v>479</v>
      </c>
      <c r="C403" t="s">
        <v>4685</v>
      </c>
      <c r="D403" t="s">
        <v>52</v>
      </c>
      <c r="E403" t="s">
        <v>83</v>
      </c>
      <c r="F403" t="s">
        <v>37</v>
      </c>
    </row>
    <row r="404" spans="1:6" outlineLevel="3" x14ac:dyDescent="0.25">
      <c r="A404" s="4" t="s">
        <v>472</v>
      </c>
      <c r="B404" t="s">
        <v>479</v>
      </c>
      <c r="C404" t="s">
        <v>4686</v>
      </c>
      <c r="D404" t="s">
        <v>78</v>
      </c>
      <c r="E404" t="s">
        <v>83</v>
      </c>
      <c r="F404" t="s">
        <v>37</v>
      </c>
    </row>
    <row r="405" spans="1:6" outlineLevel="3" x14ac:dyDescent="0.25">
      <c r="A405" s="4" t="s">
        <v>472</v>
      </c>
      <c r="B405" t="s">
        <v>479</v>
      </c>
      <c r="C405" t="s">
        <v>4687</v>
      </c>
      <c r="D405" t="s">
        <v>78</v>
      </c>
      <c r="E405" t="s">
        <v>83</v>
      </c>
      <c r="F405" t="s">
        <v>37</v>
      </c>
    </row>
    <row r="406" spans="1:6" outlineLevel="3" x14ac:dyDescent="0.25">
      <c r="A406" s="4" t="s">
        <v>472</v>
      </c>
      <c r="B406" t="s">
        <v>479</v>
      </c>
      <c r="C406" t="s">
        <v>4584</v>
      </c>
      <c r="D406" t="s">
        <v>126</v>
      </c>
      <c r="E406" t="s">
        <v>1095</v>
      </c>
      <c r="F406" t="s">
        <v>37</v>
      </c>
    </row>
    <row r="407" spans="1:6" outlineLevel="3" x14ac:dyDescent="0.25">
      <c r="A407" s="4" t="s">
        <v>472</v>
      </c>
      <c r="B407" t="s">
        <v>479</v>
      </c>
      <c r="C407" t="s">
        <v>4585</v>
      </c>
      <c r="D407" t="s">
        <v>13</v>
      </c>
      <c r="E407" t="s">
        <v>1095</v>
      </c>
      <c r="F407" t="s">
        <v>37</v>
      </c>
    </row>
    <row r="408" spans="1:6" outlineLevel="3" x14ac:dyDescent="0.25">
      <c r="A408" s="4" t="s">
        <v>472</v>
      </c>
      <c r="B408" t="s">
        <v>479</v>
      </c>
      <c r="C408" t="s">
        <v>4586</v>
      </c>
      <c r="D408" t="s">
        <v>13</v>
      </c>
      <c r="E408" t="s">
        <v>206</v>
      </c>
      <c r="F408" t="s">
        <v>37</v>
      </c>
    </row>
    <row r="409" spans="1:6" outlineLevel="3" x14ac:dyDescent="0.25">
      <c r="A409" s="4" t="s">
        <v>472</v>
      </c>
      <c r="B409" t="s">
        <v>479</v>
      </c>
      <c r="C409" t="s">
        <v>4587</v>
      </c>
      <c r="D409" t="s">
        <v>67</v>
      </c>
      <c r="E409" t="s">
        <v>206</v>
      </c>
      <c r="F409" t="s">
        <v>37</v>
      </c>
    </row>
    <row r="410" spans="1:6" outlineLevel="3" x14ac:dyDescent="0.25">
      <c r="A410" s="4" t="s">
        <v>472</v>
      </c>
      <c r="B410" t="s">
        <v>479</v>
      </c>
      <c r="C410" t="s">
        <v>4588</v>
      </c>
      <c r="D410" t="s">
        <v>437</v>
      </c>
      <c r="E410" t="s">
        <v>206</v>
      </c>
      <c r="F410" t="s">
        <v>37</v>
      </c>
    </row>
    <row r="411" spans="1:6" outlineLevel="3" x14ac:dyDescent="0.25">
      <c r="A411" s="4" t="s">
        <v>472</v>
      </c>
      <c r="B411" t="s">
        <v>479</v>
      </c>
      <c r="C411" t="s">
        <v>4589</v>
      </c>
      <c r="D411" t="s">
        <v>119</v>
      </c>
      <c r="E411" t="s">
        <v>206</v>
      </c>
      <c r="F411" t="s">
        <v>37</v>
      </c>
    </row>
    <row r="412" spans="1:6" outlineLevel="3" x14ac:dyDescent="0.25">
      <c r="A412" s="4" t="s">
        <v>472</v>
      </c>
      <c r="B412" t="s">
        <v>479</v>
      </c>
      <c r="C412" t="s">
        <v>4590</v>
      </c>
      <c r="D412" t="s">
        <v>78</v>
      </c>
      <c r="E412" t="s">
        <v>206</v>
      </c>
      <c r="F412" t="s">
        <v>37</v>
      </c>
    </row>
    <row r="413" spans="1:6" outlineLevel="3" x14ac:dyDescent="0.25">
      <c r="A413" s="4" t="s">
        <v>472</v>
      </c>
      <c r="B413" t="s">
        <v>479</v>
      </c>
      <c r="C413" t="s">
        <v>4591</v>
      </c>
      <c r="D413" t="s">
        <v>78</v>
      </c>
      <c r="E413" t="s">
        <v>206</v>
      </c>
      <c r="F413" t="s">
        <v>37</v>
      </c>
    </row>
    <row r="414" spans="1:6" outlineLevel="3" x14ac:dyDescent="0.25">
      <c r="A414" s="4" t="s">
        <v>472</v>
      </c>
      <c r="B414" t="s">
        <v>479</v>
      </c>
      <c r="C414" t="s">
        <v>4634</v>
      </c>
      <c r="D414" t="s">
        <v>442</v>
      </c>
      <c r="E414" t="s">
        <v>206</v>
      </c>
      <c r="F414" t="s">
        <v>37</v>
      </c>
    </row>
    <row r="415" spans="1:6" outlineLevel="3" x14ac:dyDescent="0.25">
      <c r="A415" s="4" t="s">
        <v>472</v>
      </c>
      <c r="B415" t="s">
        <v>479</v>
      </c>
      <c r="C415" t="s">
        <v>4635</v>
      </c>
      <c r="D415" t="s">
        <v>442</v>
      </c>
      <c r="E415" t="s">
        <v>206</v>
      </c>
      <c r="F415" t="s">
        <v>37</v>
      </c>
    </row>
    <row r="416" spans="1:6" outlineLevel="3" x14ac:dyDescent="0.25">
      <c r="A416" s="4" t="s">
        <v>472</v>
      </c>
      <c r="B416" t="s">
        <v>479</v>
      </c>
      <c r="C416" t="s">
        <v>4592</v>
      </c>
      <c r="D416" t="s">
        <v>67</v>
      </c>
      <c r="E416" t="s">
        <v>1038</v>
      </c>
      <c r="F416" t="s">
        <v>37</v>
      </c>
    </row>
    <row r="417" spans="1:6" outlineLevel="3" x14ac:dyDescent="0.25">
      <c r="A417" s="4" t="s">
        <v>472</v>
      </c>
      <c r="B417" t="s">
        <v>479</v>
      </c>
      <c r="C417" t="s">
        <v>4593</v>
      </c>
      <c r="D417" t="s">
        <v>13</v>
      </c>
      <c r="E417" t="s">
        <v>1038</v>
      </c>
      <c r="F417" t="s">
        <v>37</v>
      </c>
    </row>
    <row r="418" spans="1:6" outlineLevel="3" x14ac:dyDescent="0.25">
      <c r="A418" s="4" t="s">
        <v>472</v>
      </c>
      <c r="B418" t="s">
        <v>479</v>
      </c>
      <c r="C418" t="s">
        <v>4594</v>
      </c>
      <c r="D418" t="s">
        <v>202</v>
      </c>
      <c r="E418" t="s">
        <v>1038</v>
      </c>
      <c r="F418" t="s">
        <v>37</v>
      </c>
    </row>
    <row r="419" spans="1:6" outlineLevel="3" x14ac:dyDescent="0.25">
      <c r="A419" s="4" t="s">
        <v>472</v>
      </c>
      <c r="B419" t="s">
        <v>479</v>
      </c>
      <c r="C419" t="s">
        <v>4636</v>
      </c>
      <c r="D419" t="s">
        <v>442</v>
      </c>
      <c r="E419" t="s">
        <v>1038</v>
      </c>
      <c r="F419" t="s">
        <v>37</v>
      </c>
    </row>
    <row r="420" spans="1:6" outlineLevel="3" x14ac:dyDescent="0.25">
      <c r="A420" s="4" t="s">
        <v>472</v>
      </c>
      <c r="B420" t="s">
        <v>479</v>
      </c>
      <c r="C420" t="s">
        <v>4516</v>
      </c>
      <c r="D420" t="s">
        <v>480</v>
      </c>
      <c r="E420" t="s">
        <v>162</v>
      </c>
      <c r="F420" t="s">
        <v>37</v>
      </c>
    </row>
    <row r="421" spans="1:6" outlineLevel="3" x14ac:dyDescent="0.25">
      <c r="A421" s="4" t="s">
        <v>472</v>
      </c>
      <c r="B421" t="s">
        <v>479</v>
      </c>
      <c r="C421" t="s">
        <v>4595</v>
      </c>
      <c r="D421" t="s">
        <v>13</v>
      </c>
      <c r="E421" t="s">
        <v>162</v>
      </c>
      <c r="F421" t="s">
        <v>37</v>
      </c>
    </row>
    <row r="422" spans="1:6" outlineLevel="3" x14ac:dyDescent="0.25">
      <c r="A422" s="4" t="s">
        <v>472</v>
      </c>
      <c r="B422" t="s">
        <v>479</v>
      </c>
      <c r="C422" t="s">
        <v>4596</v>
      </c>
      <c r="D422" t="s">
        <v>202</v>
      </c>
      <c r="E422" t="s">
        <v>162</v>
      </c>
      <c r="F422" t="s">
        <v>37</v>
      </c>
    </row>
    <row r="423" spans="1:6" outlineLevel="3" x14ac:dyDescent="0.25">
      <c r="A423" s="4" t="s">
        <v>472</v>
      </c>
      <c r="B423" t="s">
        <v>479</v>
      </c>
      <c r="C423" t="s">
        <v>4597</v>
      </c>
      <c r="D423" t="s">
        <v>202</v>
      </c>
      <c r="E423" t="s">
        <v>162</v>
      </c>
      <c r="F423" t="s">
        <v>37</v>
      </c>
    </row>
    <row r="424" spans="1:6" outlineLevel="3" x14ac:dyDescent="0.25">
      <c r="A424" s="4" t="s">
        <v>472</v>
      </c>
      <c r="B424" t="s">
        <v>479</v>
      </c>
      <c r="C424" t="s">
        <v>4598</v>
      </c>
      <c r="D424" t="s">
        <v>67</v>
      </c>
      <c r="E424" t="s">
        <v>162</v>
      </c>
      <c r="F424" t="s">
        <v>37</v>
      </c>
    </row>
    <row r="425" spans="1:6" outlineLevel="3" x14ac:dyDescent="0.25">
      <c r="A425" s="4" t="s">
        <v>472</v>
      </c>
      <c r="B425" t="s">
        <v>479</v>
      </c>
      <c r="C425" t="s">
        <v>4599</v>
      </c>
      <c r="D425" t="s">
        <v>6</v>
      </c>
      <c r="E425" t="s">
        <v>162</v>
      </c>
      <c r="F425" t="s">
        <v>37</v>
      </c>
    </row>
    <row r="426" spans="1:6" outlineLevel="3" x14ac:dyDescent="0.25">
      <c r="A426" s="4" t="s">
        <v>472</v>
      </c>
      <c r="B426" t="s">
        <v>479</v>
      </c>
      <c r="C426" t="s">
        <v>4600</v>
      </c>
      <c r="D426" t="s">
        <v>165</v>
      </c>
      <c r="E426" t="s">
        <v>162</v>
      </c>
      <c r="F426" t="s">
        <v>37</v>
      </c>
    </row>
    <row r="427" spans="1:6" outlineLevel="3" x14ac:dyDescent="0.25">
      <c r="A427" s="4" t="s">
        <v>472</v>
      </c>
      <c r="B427" t="s">
        <v>479</v>
      </c>
      <c r="C427" t="s">
        <v>4601</v>
      </c>
      <c r="D427" t="s">
        <v>13</v>
      </c>
      <c r="E427" t="s">
        <v>162</v>
      </c>
      <c r="F427" t="s">
        <v>37</v>
      </c>
    </row>
    <row r="428" spans="1:6" outlineLevel="3" x14ac:dyDescent="0.25">
      <c r="A428" s="4" t="s">
        <v>472</v>
      </c>
      <c r="B428" t="s">
        <v>479</v>
      </c>
      <c r="C428" t="s">
        <v>4602</v>
      </c>
      <c r="D428" t="s">
        <v>202</v>
      </c>
      <c r="E428" t="s">
        <v>162</v>
      </c>
      <c r="F428" t="s">
        <v>37</v>
      </c>
    </row>
    <row r="429" spans="1:6" outlineLevel="3" x14ac:dyDescent="0.25">
      <c r="A429" s="4" t="s">
        <v>472</v>
      </c>
      <c r="B429" t="s">
        <v>479</v>
      </c>
      <c r="C429" t="s">
        <v>4603</v>
      </c>
      <c r="D429" t="s">
        <v>78</v>
      </c>
      <c r="E429" t="s">
        <v>162</v>
      </c>
      <c r="F429" t="s">
        <v>37</v>
      </c>
    </row>
    <row r="430" spans="1:6" outlineLevel="3" x14ac:dyDescent="0.25">
      <c r="A430" s="4" t="s">
        <v>472</v>
      </c>
      <c r="B430" t="s">
        <v>479</v>
      </c>
      <c r="C430" t="s">
        <v>4637</v>
      </c>
      <c r="D430" t="s">
        <v>442</v>
      </c>
      <c r="E430" t="s">
        <v>162</v>
      </c>
      <c r="F430" t="s">
        <v>37</v>
      </c>
    </row>
    <row r="431" spans="1:6" outlineLevel="3" x14ac:dyDescent="0.25">
      <c r="A431" s="4" t="s">
        <v>472</v>
      </c>
      <c r="B431" t="s">
        <v>479</v>
      </c>
      <c r="C431" t="s">
        <v>4638</v>
      </c>
      <c r="D431" t="s">
        <v>442</v>
      </c>
      <c r="E431" t="s">
        <v>162</v>
      </c>
      <c r="F431" t="s">
        <v>37</v>
      </c>
    </row>
    <row r="432" spans="1:6" outlineLevel="3" x14ac:dyDescent="0.25">
      <c r="A432" s="4" t="s">
        <v>472</v>
      </c>
      <c r="B432" t="s">
        <v>479</v>
      </c>
      <c r="C432" t="s">
        <v>4639</v>
      </c>
      <c r="D432" t="s">
        <v>442</v>
      </c>
      <c r="E432" t="s">
        <v>162</v>
      </c>
      <c r="F432" t="s">
        <v>37</v>
      </c>
    </row>
    <row r="433" spans="1:6" outlineLevel="3" x14ac:dyDescent="0.25">
      <c r="A433" s="4" t="s">
        <v>472</v>
      </c>
      <c r="B433" t="s">
        <v>479</v>
      </c>
      <c r="C433" t="s">
        <v>4640</v>
      </c>
      <c r="D433" t="s">
        <v>442</v>
      </c>
      <c r="E433" t="s">
        <v>162</v>
      </c>
      <c r="F433" t="s">
        <v>37</v>
      </c>
    </row>
    <row r="434" spans="1:6" outlineLevel="3" x14ac:dyDescent="0.25">
      <c r="A434" s="4" t="s">
        <v>472</v>
      </c>
      <c r="B434" t="s">
        <v>479</v>
      </c>
      <c r="C434" t="s">
        <v>1688</v>
      </c>
      <c r="D434" t="s">
        <v>126</v>
      </c>
      <c r="E434" t="s">
        <v>130</v>
      </c>
      <c r="F434" t="s">
        <v>37</v>
      </c>
    </row>
    <row r="435" spans="1:6" outlineLevel="3" x14ac:dyDescent="0.25">
      <c r="A435" s="4" t="s">
        <v>472</v>
      </c>
      <c r="B435" t="s">
        <v>479</v>
      </c>
      <c r="C435" t="s">
        <v>1557</v>
      </c>
      <c r="D435" t="s">
        <v>1079</v>
      </c>
      <c r="E435" t="s">
        <v>130</v>
      </c>
      <c r="F435" t="s">
        <v>37</v>
      </c>
    </row>
    <row r="436" spans="1:6" outlineLevel="3" x14ac:dyDescent="0.25">
      <c r="A436" s="4" t="s">
        <v>472</v>
      </c>
      <c r="B436" t="s">
        <v>479</v>
      </c>
      <c r="C436" t="s">
        <v>1691</v>
      </c>
      <c r="D436" t="s">
        <v>78</v>
      </c>
      <c r="E436" t="s">
        <v>130</v>
      </c>
      <c r="F436" t="s">
        <v>37</v>
      </c>
    </row>
    <row r="437" spans="1:6" outlineLevel="3" x14ac:dyDescent="0.25">
      <c r="A437" s="4" t="s">
        <v>472</v>
      </c>
      <c r="B437" t="s">
        <v>479</v>
      </c>
      <c r="C437" t="s">
        <v>1692</v>
      </c>
      <c r="D437" t="s">
        <v>67</v>
      </c>
      <c r="E437" t="s">
        <v>130</v>
      </c>
      <c r="F437" t="s">
        <v>37</v>
      </c>
    </row>
    <row r="438" spans="1:6" outlineLevel="3" x14ac:dyDescent="0.25">
      <c r="A438" s="4" t="s">
        <v>472</v>
      </c>
      <c r="B438" t="s">
        <v>479</v>
      </c>
      <c r="C438" t="s">
        <v>1693</v>
      </c>
      <c r="D438" t="s">
        <v>6</v>
      </c>
      <c r="E438" t="s">
        <v>130</v>
      </c>
      <c r="F438" t="s">
        <v>37</v>
      </c>
    </row>
    <row r="439" spans="1:6" outlineLevel="3" x14ac:dyDescent="0.25">
      <c r="A439" s="4" t="s">
        <v>472</v>
      </c>
      <c r="B439" t="s">
        <v>479</v>
      </c>
      <c r="C439" t="s">
        <v>1695</v>
      </c>
      <c r="D439" t="s">
        <v>442</v>
      </c>
      <c r="E439" t="s">
        <v>130</v>
      </c>
      <c r="F439" t="s">
        <v>37</v>
      </c>
    </row>
    <row r="440" spans="1:6" outlineLevel="3" x14ac:dyDescent="0.25">
      <c r="A440" s="4" t="s">
        <v>472</v>
      </c>
      <c r="B440" t="s">
        <v>479</v>
      </c>
      <c r="C440" t="s">
        <v>4649</v>
      </c>
      <c r="D440" t="s">
        <v>65</v>
      </c>
      <c r="E440" t="s">
        <v>1137</v>
      </c>
      <c r="F440" t="s">
        <v>37</v>
      </c>
    </row>
    <row r="441" spans="1:6" outlineLevel="3" x14ac:dyDescent="0.25">
      <c r="A441" s="4" t="s">
        <v>472</v>
      </c>
      <c r="B441" t="s">
        <v>479</v>
      </c>
      <c r="C441" t="s">
        <v>4659</v>
      </c>
      <c r="D441" t="s">
        <v>442</v>
      </c>
      <c r="E441" t="s">
        <v>1137</v>
      </c>
      <c r="F441" t="s">
        <v>37</v>
      </c>
    </row>
    <row r="442" spans="1:6" outlineLevel="3" x14ac:dyDescent="0.25">
      <c r="A442" s="4" t="s">
        <v>472</v>
      </c>
      <c r="B442" t="s">
        <v>479</v>
      </c>
      <c r="C442" t="s">
        <v>4509</v>
      </c>
      <c r="D442" t="s">
        <v>13</v>
      </c>
      <c r="E442" t="s">
        <v>336</v>
      </c>
      <c r="F442" t="s">
        <v>37</v>
      </c>
    </row>
    <row r="443" spans="1:6" outlineLevel="3" x14ac:dyDescent="0.25">
      <c r="A443" s="4" t="s">
        <v>472</v>
      </c>
      <c r="B443" t="s">
        <v>479</v>
      </c>
      <c r="C443" t="s">
        <v>4688</v>
      </c>
      <c r="D443" t="s">
        <v>67</v>
      </c>
      <c r="E443" t="s">
        <v>229</v>
      </c>
      <c r="F443" t="s">
        <v>37</v>
      </c>
    </row>
    <row r="444" spans="1:6" outlineLevel="3" x14ac:dyDescent="0.25">
      <c r="A444" s="4" t="s">
        <v>472</v>
      </c>
      <c r="B444" t="s">
        <v>479</v>
      </c>
      <c r="C444" t="s">
        <v>4689</v>
      </c>
      <c r="D444" t="s">
        <v>13</v>
      </c>
      <c r="E444" t="s">
        <v>229</v>
      </c>
      <c r="F444" t="s">
        <v>37</v>
      </c>
    </row>
    <row r="445" spans="1:6" outlineLevel="3" x14ac:dyDescent="0.25">
      <c r="A445" s="4" t="s">
        <v>472</v>
      </c>
      <c r="B445" t="s">
        <v>479</v>
      </c>
      <c r="C445" t="s">
        <v>4604</v>
      </c>
      <c r="D445" t="s">
        <v>78</v>
      </c>
      <c r="E445" t="s">
        <v>291</v>
      </c>
      <c r="F445" t="s">
        <v>37</v>
      </c>
    </row>
    <row r="446" spans="1:6" outlineLevel="3" x14ac:dyDescent="0.25">
      <c r="A446" s="4" t="s">
        <v>472</v>
      </c>
      <c r="B446" t="s">
        <v>479</v>
      </c>
      <c r="C446" t="s">
        <v>4605</v>
      </c>
      <c r="D446" t="s">
        <v>78</v>
      </c>
      <c r="E446" t="s">
        <v>291</v>
      </c>
      <c r="F446" t="s">
        <v>37</v>
      </c>
    </row>
    <row r="447" spans="1:6" outlineLevel="3" x14ac:dyDescent="0.25">
      <c r="A447" s="4" t="s">
        <v>472</v>
      </c>
      <c r="B447" t="s">
        <v>479</v>
      </c>
      <c r="C447" t="s">
        <v>4641</v>
      </c>
      <c r="D447" t="s">
        <v>442</v>
      </c>
      <c r="E447" t="s">
        <v>291</v>
      </c>
      <c r="F447" t="s">
        <v>37</v>
      </c>
    </row>
    <row r="448" spans="1:6" outlineLevel="2" x14ac:dyDescent="0.25">
      <c r="A448" s="38" t="s">
        <v>1029</v>
      </c>
      <c r="F448">
        <f>SUBTOTAL(3,F5:F447)</f>
        <v>443</v>
      </c>
    </row>
    <row r="449" spans="1:6" outlineLevel="1" x14ac:dyDescent="0.25">
      <c r="E449" s="37" t="s">
        <v>1020</v>
      </c>
      <c r="F449">
        <f>SUBTOTAL(3,F5:F447)</f>
        <v>443</v>
      </c>
    </row>
    <row r="450" spans="1:6" outlineLevel="3" x14ac:dyDescent="0.25">
      <c r="A450" s="4" t="s">
        <v>472</v>
      </c>
      <c r="B450" t="s">
        <v>479</v>
      </c>
      <c r="C450" t="s">
        <v>1519</v>
      </c>
      <c r="D450" t="s">
        <v>119</v>
      </c>
      <c r="E450" t="s">
        <v>317</v>
      </c>
      <c r="F450" t="s">
        <v>950</v>
      </c>
    </row>
    <row r="451" spans="1:6" outlineLevel="3" x14ac:dyDescent="0.25">
      <c r="A451" s="4" t="s">
        <v>472</v>
      </c>
      <c r="B451" t="s">
        <v>479</v>
      </c>
      <c r="C451" t="s">
        <v>1525</v>
      </c>
      <c r="D451" t="s">
        <v>442</v>
      </c>
      <c r="E451" t="s">
        <v>245</v>
      </c>
      <c r="F451" t="s">
        <v>950</v>
      </c>
    </row>
    <row r="452" spans="1:6" outlineLevel="3" x14ac:dyDescent="0.25">
      <c r="A452" s="4" t="s">
        <v>472</v>
      </c>
      <c r="B452" t="s">
        <v>479</v>
      </c>
      <c r="C452" t="s">
        <v>1522</v>
      </c>
      <c r="D452" t="s">
        <v>78</v>
      </c>
      <c r="E452" t="s">
        <v>330</v>
      </c>
      <c r="F452" t="s">
        <v>950</v>
      </c>
    </row>
    <row r="453" spans="1:6" outlineLevel="3" x14ac:dyDescent="0.25">
      <c r="A453" s="4" t="s">
        <v>472</v>
      </c>
      <c r="B453" t="s">
        <v>479</v>
      </c>
      <c r="C453" t="s">
        <v>1523</v>
      </c>
      <c r="D453" t="s">
        <v>78</v>
      </c>
      <c r="E453" t="s">
        <v>330</v>
      </c>
      <c r="F453" t="s">
        <v>950</v>
      </c>
    </row>
    <row r="454" spans="1:6" outlineLevel="3" x14ac:dyDescent="0.25">
      <c r="A454" s="4" t="s">
        <v>472</v>
      </c>
      <c r="B454" t="s">
        <v>479</v>
      </c>
      <c r="C454" t="s">
        <v>1521</v>
      </c>
      <c r="D454" t="s">
        <v>13</v>
      </c>
      <c r="E454" t="s">
        <v>240</v>
      </c>
      <c r="F454" t="s">
        <v>950</v>
      </c>
    </row>
    <row r="455" spans="1:6" outlineLevel="3" x14ac:dyDescent="0.25">
      <c r="A455" s="4" t="s">
        <v>472</v>
      </c>
      <c r="B455" t="s">
        <v>479</v>
      </c>
      <c r="C455" t="s">
        <v>1247</v>
      </c>
      <c r="D455" t="s">
        <v>78</v>
      </c>
      <c r="E455" t="s">
        <v>242</v>
      </c>
      <c r="F455" t="s">
        <v>950</v>
      </c>
    </row>
    <row r="456" spans="1:6" outlineLevel="3" x14ac:dyDescent="0.25">
      <c r="A456" s="4" t="s">
        <v>472</v>
      </c>
      <c r="B456" t="s">
        <v>479</v>
      </c>
      <c r="C456" t="s">
        <v>1520</v>
      </c>
      <c r="D456" t="s">
        <v>1273</v>
      </c>
      <c r="E456" t="s">
        <v>242</v>
      </c>
      <c r="F456" t="s">
        <v>950</v>
      </c>
    </row>
    <row r="457" spans="1:6" outlineLevel="3" x14ac:dyDescent="0.25">
      <c r="A457" s="4" t="s">
        <v>472</v>
      </c>
      <c r="B457" t="s">
        <v>479</v>
      </c>
      <c r="C457" t="s">
        <v>1524</v>
      </c>
      <c r="D457" t="s">
        <v>78</v>
      </c>
      <c r="E457" t="s">
        <v>331</v>
      </c>
      <c r="F457" t="s">
        <v>950</v>
      </c>
    </row>
    <row r="458" spans="1:6" outlineLevel="2" x14ac:dyDescent="0.25">
      <c r="A458" s="38" t="s">
        <v>1029</v>
      </c>
      <c r="F458">
        <f>SUBTOTAL(3,F450:F457)</f>
        <v>8</v>
      </c>
    </row>
    <row r="459" spans="1:6" outlineLevel="1" x14ac:dyDescent="0.25">
      <c r="E459" s="37" t="s">
        <v>1021</v>
      </c>
      <c r="F459">
        <f>SUBTOTAL(3,F450:F457)</f>
        <v>8</v>
      </c>
    </row>
    <row r="460" spans="1:6" outlineLevel="3" x14ac:dyDescent="0.25">
      <c r="A460" s="4" t="s">
        <v>472</v>
      </c>
      <c r="B460" t="s">
        <v>479</v>
      </c>
      <c r="C460" t="s">
        <v>1186</v>
      </c>
      <c r="D460" t="s">
        <v>437</v>
      </c>
      <c r="E460" t="s">
        <v>352</v>
      </c>
      <c r="F460" t="s">
        <v>12</v>
      </c>
    </row>
    <row r="461" spans="1:6" outlineLevel="3" x14ac:dyDescent="0.25">
      <c r="A461" s="4" t="s">
        <v>472</v>
      </c>
      <c r="B461" t="s">
        <v>479</v>
      </c>
      <c r="C461" t="s">
        <v>1245</v>
      </c>
      <c r="D461" t="s">
        <v>442</v>
      </c>
      <c r="E461" t="s">
        <v>17</v>
      </c>
      <c r="F461" t="s">
        <v>12</v>
      </c>
    </row>
    <row r="462" spans="1:6" outlineLevel="3" x14ac:dyDescent="0.25">
      <c r="A462" s="4" t="s">
        <v>472</v>
      </c>
      <c r="B462" t="s">
        <v>479</v>
      </c>
      <c r="C462" t="s">
        <v>1244</v>
      </c>
      <c r="D462" t="s">
        <v>126</v>
      </c>
      <c r="E462" t="s">
        <v>268</v>
      </c>
      <c r="F462" t="s">
        <v>12</v>
      </c>
    </row>
    <row r="463" spans="1:6" outlineLevel="3" x14ac:dyDescent="0.25">
      <c r="A463" s="4" t="s">
        <v>472</v>
      </c>
      <c r="B463" t="s">
        <v>479</v>
      </c>
      <c r="C463" t="s">
        <v>1241</v>
      </c>
      <c r="D463" t="s">
        <v>103</v>
      </c>
      <c r="E463" t="s">
        <v>173</v>
      </c>
      <c r="F463" t="s">
        <v>12</v>
      </c>
    </row>
    <row r="464" spans="1:6" outlineLevel="3" x14ac:dyDescent="0.25">
      <c r="A464" s="4" t="s">
        <v>472</v>
      </c>
      <c r="B464" t="s">
        <v>479</v>
      </c>
      <c r="C464" t="s">
        <v>1243</v>
      </c>
      <c r="D464" t="s">
        <v>202</v>
      </c>
      <c r="E464" t="s">
        <v>264</v>
      </c>
      <c r="F464" t="s">
        <v>12</v>
      </c>
    </row>
    <row r="465" spans="1:6" outlineLevel="3" x14ac:dyDescent="0.25">
      <c r="A465" s="4" t="s">
        <v>472</v>
      </c>
      <c r="B465" t="s">
        <v>479</v>
      </c>
      <c r="C465" t="s">
        <v>1242</v>
      </c>
      <c r="D465" t="s">
        <v>237</v>
      </c>
      <c r="E465" t="s">
        <v>168</v>
      </c>
      <c r="F465" t="s">
        <v>12</v>
      </c>
    </row>
    <row r="466" spans="1:6" outlineLevel="2" x14ac:dyDescent="0.25">
      <c r="A466" s="38" t="s">
        <v>1029</v>
      </c>
      <c r="F466">
        <f>SUBTOTAL(3,F460:F465)</f>
        <v>6</v>
      </c>
    </row>
    <row r="467" spans="1:6" outlineLevel="1" x14ac:dyDescent="0.25">
      <c r="E467" s="37" t="s">
        <v>1022</v>
      </c>
      <c r="F467">
        <f>SUBTOTAL(3,F460:F465)</f>
        <v>6</v>
      </c>
    </row>
    <row r="468" spans="1:6" outlineLevel="3" x14ac:dyDescent="0.25">
      <c r="A468" s="4" t="s">
        <v>472</v>
      </c>
      <c r="B468" t="s">
        <v>479</v>
      </c>
      <c r="C468" t="s">
        <v>478</v>
      </c>
      <c r="D468" t="s">
        <v>126</v>
      </c>
      <c r="E468" t="s">
        <v>142</v>
      </c>
      <c r="F468" t="s">
        <v>15</v>
      </c>
    </row>
    <row r="469" spans="1:6" outlineLevel="2" x14ac:dyDescent="0.25">
      <c r="A469" s="38" t="s">
        <v>1029</v>
      </c>
      <c r="F469">
        <f>SUBTOTAL(3,F468:F468)</f>
        <v>1</v>
      </c>
    </row>
    <row r="470" spans="1:6" outlineLevel="1" x14ac:dyDescent="0.25">
      <c r="E470" s="37" t="s">
        <v>1023</v>
      </c>
      <c r="F470">
        <f>SUBTOTAL(3,F468:F468)</f>
        <v>1</v>
      </c>
    </row>
    <row r="471" spans="1:6" outlineLevel="3" x14ac:dyDescent="0.25">
      <c r="A471" s="4" t="s">
        <v>470</v>
      </c>
      <c r="B471" t="s">
        <v>476</v>
      </c>
      <c r="C471" t="s">
        <v>1552</v>
      </c>
      <c r="D471" t="s">
        <v>442</v>
      </c>
      <c r="E471" t="s">
        <v>82</v>
      </c>
      <c r="F471" t="s">
        <v>37</v>
      </c>
    </row>
    <row r="472" spans="1:6" outlineLevel="3" x14ac:dyDescent="0.25">
      <c r="A472" s="4" t="s">
        <v>470</v>
      </c>
      <c r="B472" t="s">
        <v>476</v>
      </c>
      <c r="C472" t="s">
        <v>1528</v>
      </c>
      <c r="D472" t="s">
        <v>442</v>
      </c>
      <c r="E472" t="s">
        <v>228</v>
      </c>
      <c r="F472" t="s">
        <v>37</v>
      </c>
    </row>
    <row r="473" spans="1:6" outlineLevel="3" x14ac:dyDescent="0.25">
      <c r="A473" s="4" t="s">
        <v>470</v>
      </c>
      <c r="B473" t="s">
        <v>476</v>
      </c>
      <c r="C473" t="s">
        <v>1285</v>
      </c>
      <c r="D473" t="s">
        <v>78</v>
      </c>
      <c r="E473" t="s">
        <v>137</v>
      </c>
      <c r="F473" t="s">
        <v>37</v>
      </c>
    </row>
    <row r="474" spans="1:6" outlineLevel="3" x14ac:dyDescent="0.25">
      <c r="A474" s="4" t="s">
        <v>470</v>
      </c>
      <c r="B474" t="s">
        <v>476</v>
      </c>
      <c r="C474" t="s">
        <v>1534</v>
      </c>
      <c r="D474" t="s">
        <v>78</v>
      </c>
      <c r="E474" t="s">
        <v>137</v>
      </c>
      <c r="F474" t="s">
        <v>37</v>
      </c>
    </row>
    <row r="475" spans="1:6" outlineLevel="3" x14ac:dyDescent="0.25">
      <c r="A475" s="4" t="s">
        <v>470</v>
      </c>
      <c r="B475" t="s">
        <v>476</v>
      </c>
      <c r="C475" t="s">
        <v>1535</v>
      </c>
      <c r="D475" t="s">
        <v>76</v>
      </c>
      <c r="E475" t="s">
        <v>137</v>
      </c>
      <c r="F475" t="s">
        <v>37</v>
      </c>
    </row>
    <row r="476" spans="1:6" outlineLevel="3" x14ac:dyDescent="0.25">
      <c r="A476" s="4" t="s">
        <v>470</v>
      </c>
      <c r="B476" t="s">
        <v>476</v>
      </c>
      <c r="C476" t="s">
        <v>1536</v>
      </c>
      <c r="D476" t="s">
        <v>76</v>
      </c>
      <c r="E476" t="s">
        <v>137</v>
      </c>
      <c r="F476" t="s">
        <v>37</v>
      </c>
    </row>
    <row r="477" spans="1:6" outlineLevel="3" x14ac:dyDescent="0.25">
      <c r="A477" s="4" t="s">
        <v>470</v>
      </c>
      <c r="B477" t="s">
        <v>476</v>
      </c>
      <c r="C477" t="s">
        <v>1529</v>
      </c>
      <c r="D477" t="s">
        <v>442</v>
      </c>
      <c r="E477" t="s">
        <v>199</v>
      </c>
      <c r="F477" t="s">
        <v>37</v>
      </c>
    </row>
    <row r="478" spans="1:6" outlineLevel="3" x14ac:dyDescent="0.25">
      <c r="A478" s="4" t="s">
        <v>470</v>
      </c>
      <c r="B478" t="s">
        <v>476</v>
      </c>
      <c r="C478" t="s">
        <v>1530</v>
      </c>
      <c r="D478" t="s">
        <v>442</v>
      </c>
      <c r="E478" t="s">
        <v>199</v>
      </c>
      <c r="F478" t="s">
        <v>37</v>
      </c>
    </row>
    <row r="479" spans="1:6" outlineLevel="3" x14ac:dyDescent="0.25">
      <c r="A479" s="4" t="s">
        <v>470</v>
      </c>
      <c r="B479" t="s">
        <v>476</v>
      </c>
      <c r="C479" t="s">
        <v>1531</v>
      </c>
      <c r="D479" t="s">
        <v>442</v>
      </c>
      <c r="E479" t="s">
        <v>199</v>
      </c>
      <c r="F479" t="s">
        <v>37</v>
      </c>
    </row>
    <row r="480" spans="1:6" outlineLevel="3" x14ac:dyDescent="0.25">
      <c r="A480" s="4" t="s">
        <v>470</v>
      </c>
      <c r="B480" t="s">
        <v>476</v>
      </c>
      <c r="C480" t="s">
        <v>1532</v>
      </c>
      <c r="D480" t="s">
        <v>78</v>
      </c>
      <c r="E480" t="s">
        <v>199</v>
      </c>
      <c r="F480" t="s">
        <v>37</v>
      </c>
    </row>
    <row r="481" spans="1:6" outlineLevel="3" x14ac:dyDescent="0.25">
      <c r="A481" s="4" t="s">
        <v>470</v>
      </c>
      <c r="B481" t="s">
        <v>476</v>
      </c>
      <c r="C481" t="s">
        <v>1550</v>
      </c>
      <c r="D481" t="s">
        <v>442</v>
      </c>
      <c r="E481" t="s">
        <v>134</v>
      </c>
      <c r="F481" t="s">
        <v>37</v>
      </c>
    </row>
    <row r="482" spans="1:6" outlineLevel="3" x14ac:dyDescent="0.25">
      <c r="A482" s="4" t="s">
        <v>470</v>
      </c>
      <c r="B482" t="s">
        <v>476</v>
      </c>
      <c r="C482" t="s">
        <v>1543</v>
      </c>
      <c r="D482" t="s">
        <v>76</v>
      </c>
      <c r="E482" t="s">
        <v>91</v>
      </c>
      <c r="F482" t="s">
        <v>37</v>
      </c>
    </row>
    <row r="483" spans="1:6" outlineLevel="3" x14ac:dyDescent="0.25">
      <c r="A483" s="4" t="s">
        <v>470</v>
      </c>
      <c r="B483" t="s">
        <v>476</v>
      </c>
      <c r="C483" t="s">
        <v>1544</v>
      </c>
      <c r="D483" t="s">
        <v>76</v>
      </c>
      <c r="E483" t="s">
        <v>91</v>
      </c>
      <c r="F483" t="s">
        <v>37</v>
      </c>
    </row>
    <row r="484" spans="1:6" outlineLevel="3" x14ac:dyDescent="0.25">
      <c r="A484" s="4" t="s">
        <v>470</v>
      </c>
      <c r="B484" t="s">
        <v>476</v>
      </c>
      <c r="C484" t="s">
        <v>1545</v>
      </c>
      <c r="D484" t="s">
        <v>46</v>
      </c>
      <c r="E484" t="s">
        <v>158</v>
      </c>
      <c r="F484" t="s">
        <v>37</v>
      </c>
    </row>
    <row r="485" spans="1:6" outlineLevel="3" x14ac:dyDescent="0.25">
      <c r="A485" s="4" t="s">
        <v>470</v>
      </c>
      <c r="B485" t="s">
        <v>476</v>
      </c>
      <c r="C485" t="s">
        <v>1537</v>
      </c>
      <c r="D485" t="s">
        <v>76</v>
      </c>
      <c r="E485" t="s">
        <v>1046</v>
      </c>
      <c r="F485" t="s">
        <v>37</v>
      </c>
    </row>
    <row r="486" spans="1:6" outlineLevel="3" x14ac:dyDescent="0.25">
      <c r="A486" s="4" t="s">
        <v>470</v>
      </c>
      <c r="B486" t="s">
        <v>476</v>
      </c>
      <c r="C486" t="s">
        <v>1538</v>
      </c>
      <c r="D486" t="s">
        <v>76</v>
      </c>
      <c r="E486" t="s">
        <v>1046</v>
      </c>
      <c r="F486" t="s">
        <v>37</v>
      </c>
    </row>
    <row r="487" spans="1:6" outlineLevel="3" x14ac:dyDescent="0.25">
      <c r="A487" s="4" t="s">
        <v>470</v>
      </c>
      <c r="B487" t="s">
        <v>476</v>
      </c>
      <c r="C487" t="s">
        <v>1553</v>
      </c>
      <c r="D487" t="s">
        <v>202</v>
      </c>
      <c r="E487" t="s">
        <v>177</v>
      </c>
      <c r="F487" t="s">
        <v>37</v>
      </c>
    </row>
    <row r="488" spans="1:6" outlineLevel="3" x14ac:dyDescent="0.25">
      <c r="A488" s="4" t="s">
        <v>470</v>
      </c>
      <c r="B488" t="s">
        <v>476</v>
      </c>
      <c r="C488" t="s">
        <v>1286</v>
      </c>
      <c r="D488" t="s">
        <v>13</v>
      </c>
      <c r="E488" t="s">
        <v>177</v>
      </c>
      <c r="F488" t="s">
        <v>37</v>
      </c>
    </row>
    <row r="489" spans="1:6" outlineLevel="3" x14ac:dyDescent="0.25">
      <c r="A489" s="4" t="s">
        <v>470</v>
      </c>
      <c r="B489" t="s">
        <v>476</v>
      </c>
      <c r="C489" t="s">
        <v>1287</v>
      </c>
      <c r="D489" t="s">
        <v>13</v>
      </c>
      <c r="E489" t="s">
        <v>177</v>
      </c>
      <c r="F489" t="s">
        <v>37</v>
      </c>
    </row>
    <row r="490" spans="1:6" outlineLevel="3" x14ac:dyDescent="0.25">
      <c r="A490" s="4" t="s">
        <v>470</v>
      </c>
      <c r="B490" t="s">
        <v>476</v>
      </c>
      <c r="C490" t="s">
        <v>1554</v>
      </c>
      <c r="D490" t="s">
        <v>126</v>
      </c>
      <c r="E490" t="s">
        <v>177</v>
      </c>
      <c r="F490" t="s">
        <v>37</v>
      </c>
    </row>
    <row r="491" spans="1:6" outlineLevel="3" x14ac:dyDescent="0.25">
      <c r="A491" s="4" t="s">
        <v>470</v>
      </c>
      <c r="B491" t="s">
        <v>476</v>
      </c>
      <c r="C491" t="s">
        <v>1248</v>
      </c>
      <c r="D491" t="s">
        <v>126</v>
      </c>
      <c r="E491" t="s">
        <v>177</v>
      </c>
      <c r="F491" t="s">
        <v>37</v>
      </c>
    </row>
    <row r="492" spans="1:6" outlineLevel="3" x14ac:dyDescent="0.25">
      <c r="A492" s="4" t="s">
        <v>470</v>
      </c>
      <c r="B492" t="s">
        <v>476</v>
      </c>
      <c r="C492" t="s">
        <v>1546</v>
      </c>
      <c r="D492" t="s">
        <v>126</v>
      </c>
      <c r="E492" t="s">
        <v>159</v>
      </c>
      <c r="F492" t="s">
        <v>37</v>
      </c>
    </row>
    <row r="493" spans="1:6" outlineLevel="3" x14ac:dyDescent="0.25">
      <c r="A493" s="4" t="s">
        <v>470</v>
      </c>
      <c r="B493" t="s">
        <v>476</v>
      </c>
      <c r="C493" t="s">
        <v>1547</v>
      </c>
      <c r="D493" t="s">
        <v>230</v>
      </c>
      <c r="E493" t="s">
        <v>159</v>
      </c>
      <c r="F493" t="s">
        <v>37</v>
      </c>
    </row>
    <row r="494" spans="1:6" outlineLevel="3" x14ac:dyDescent="0.25">
      <c r="A494" s="4" t="s">
        <v>470</v>
      </c>
      <c r="B494" t="s">
        <v>476</v>
      </c>
      <c r="C494" t="s">
        <v>4446</v>
      </c>
      <c r="D494" t="s">
        <v>78</v>
      </c>
      <c r="E494" t="s">
        <v>220</v>
      </c>
      <c r="F494" t="s">
        <v>37</v>
      </c>
    </row>
    <row r="495" spans="1:6" outlineLevel="3" x14ac:dyDescent="0.25">
      <c r="A495" s="4" t="s">
        <v>470</v>
      </c>
      <c r="B495" t="s">
        <v>476</v>
      </c>
      <c r="C495" t="s">
        <v>1548</v>
      </c>
      <c r="D495" t="s">
        <v>78</v>
      </c>
      <c r="E495" t="s">
        <v>235</v>
      </c>
      <c r="F495" t="s">
        <v>37</v>
      </c>
    </row>
    <row r="496" spans="1:6" outlineLevel="3" x14ac:dyDescent="0.25">
      <c r="A496" s="4" t="s">
        <v>470</v>
      </c>
      <c r="B496" t="s">
        <v>476</v>
      </c>
      <c r="C496" t="s">
        <v>1549</v>
      </c>
      <c r="D496" t="s">
        <v>237</v>
      </c>
      <c r="E496" t="s">
        <v>235</v>
      </c>
      <c r="F496" t="s">
        <v>37</v>
      </c>
    </row>
    <row r="497" spans="1:6" outlineLevel="3" x14ac:dyDescent="0.25">
      <c r="A497" s="4" t="s">
        <v>470</v>
      </c>
      <c r="B497" t="s">
        <v>476</v>
      </c>
      <c r="C497" t="s">
        <v>1551</v>
      </c>
      <c r="D497" t="s">
        <v>78</v>
      </c>
      <c r="E497" t="s">
        <v>315</v>
      </c>
      <c r="F497" t="s">
        <v>37</v>
      </c>
    </row>
    <row r="498" spans="1:6" outlineLevel="3" x14ac:dyDescent="0.25">
      <c r="A498" s="4" t="s">
        <v>470</v>
      </c>
      <c r="B498" t="s">
        <v>476</v>
      </c>
      <c r="C498" t="s">
        <v>1526</v>
      </c>
      <c r="D498" t="s">
        <v>103</v>
      </c>
      <c r="E498" t="s">
        <v>81</v>
      </c>
      <c r="F498" t="s">
        <v>37</v>
      </c>
    </row>
    <row r="499" spans="1:6" outlineLevel="3" x14ac:dyDescent="0.25">
      <c r="A499" s="4" t="s">
        <v>470</v>
      </c>
      <c r="B499" t="s">
        <v>476</v>
      </c>
      <c r="C499" t="s">
        <v>1555</v>
      </c>
      <c r="D499" t="s">
        <v>76</v>
      </c>
      <c r="E499" t="s">
        <v>223</v>
      </c>
      <c r="F499" t="s">
        <v>37</v>
      </c>
    </row>
    <row r="500" spans="1:6" outlineLevel="3" x14ac:dyDescent="0.25">
      <c r="A500" s="4" t="s">
        <v>470</v>
      </c>
      <c r="B500" t="s">
        <v>476</v>
      </c>
      <c r="C500" t="s">
        <v>1187</v>
      </c>
      <c r="D500" t="s">
        <v>119</v>
      </c>
      <c r="E500" t="s">
        <v>233</v>
      </c>
      <c r="F500" t="s">
        <v>37</v>
      </c>
    </row>
    <row r="501" spans="1:6" outlineLevel="3" x14ac:dyDescent="0.25">
      <c r="A501" s="4" t="s">
        <v>470</v>
      </c>
      <c r="B501" t="s">
        <v>476</v>
      </c>
      <c r="C501" t="s">
        <v>1533</v>
      </c>
      <c r="D501" t="s">
        <v>442</v>
      </c>
      <c r="E501" t="s">
        <v>294</v>
      </c>
      <c r="F501" t="s">
        <v>37</v>
      </c>
    </row>
    <row r="502" spans="1:6" outlineLevel="3" x14ac:dyDescent="0.25">
      <c r="A502" s="4" t="s">
        <v>470</v>
      </c>
      <c r="B502" t="s">
        <v>476</v>
      </c>
      <c r="C502" t="s">
        <v>1539</v>
      </c>
      <c r="D502" t="s">
        <v>202</v>
      </c>
      <c r="E502" t="s">
        <v>138</v>
      </c>
      <c r="F502" t="s">
        <v>37</v>
      </c>
    </row>
    <row r="503" spans="1:6" outlineLevel="3" x14ac:dyDescent="0.25">
      <c r="A503" s="4" t="s">
        <v>470</v>
      </c>
      <c r="B503" t="s">
        <v>476</v>
      </c>
      <c r="C503" t="s">
        <v>1540</v>
      </c>
      <c r="D503" t="s">
        <v>76</v>
      </c>
      <c r="E503" t="s">
        <v>138</v>
      </c>
      <c r="F503" t="s">
        <v>37</v>
      </c>
    </row>
    <row r="504" spans="1:6" outlineLevel="3" x14ac:dyDescent="0.25">
      <c r="A504" s="4" t="s">
        <v>470</v>
      </c>
      <c r="B504" t="s">
        <v>476</v>
      </c>
      <c r="C504" t="s">
        <v>1541</v>
      </c>
      <c r="D504" t="s">
        <v>76</v>
      </c>
      <c r="E504" t="s">
        <v>138</v>
      </c>
      <c r="F504" t="s">
        <v>37</v>
      </c>
    </row>
    <row r="505" spans="1:6" outlineLevel="3" x14ac:dyDescent="0.25">
      <c r="A505" s="4" t="s">
        <v>470</v>
      </c>
      <c r="B505" t="s">
        <v>476</v>
      </c>
      <c r="C505" t="s">
        <v>1542</v>
      </c>
      <c r="D505" t="s">
        <v>78</v>
      </c>
      <c r="E505" t="s">
        <v>138</v>
      </c>
      <c r="F505" t="s">
        <v>37</v>
      </c>
    </row>
    <row r="506" spans="1:6" outlineLevel="3" x14ac:dyDescent="0.25">
      <c r="A506" s="4" t="s">
        <v>470</v>
      </c>
      <c r="B506" t="s">
        <v>476</v>
      </c>
      <c r="C506" t="s">
        <v>4447</v>
      </c>
      <c r="D506" t="s">
        <v>442</v>
      </c>
      <c r="E506" t="s">
        <v>198</v>
      </c>
      <c r="F506" t="s">
        <v>37</v>
      </c>
    </row>
    <row r="507" spans="1:6" outlineLevel="3" x14ac:dyDescent="0.25">
      <c r="A507" s="4" t="s">
        <v>470</v>
      </c>
      <c r="B507" t="s">
        <v>476</v>
      </c>
      <c r="C507" t="s">
        <v>4448</v>
      </c>
      <c r="D507" t="s">
        <v>442</v>
      </c>
      <c r="E507" t="s">
        <v>198</v>
      </c>
      <c r="F507" t="s">
        <v>37</v>
      </c>
    </row>
    <row r="508" spans="1:6" outlineLevel="3" x14ac:dyDescent="0.25">
      <c r="A508" s="4" t="s">
        <v>470</v>
      </c>
      <c r="B508" t="s">
        <v>476</v>
      </c>
      <c r="C508" t="s">
        <v>4449</v>
      </c>
      <c r="D508" t="s">
        <v>442</v>
      </c>
      <c r="E508" t="s">
        <v>83</v>
      </c>
      <c r="F508" t="s">
        <v>37</v>
      </c>
    </row>
    <row r="509" spans="1:6" outlineLevel="3" x14ac:dyDescent="0.25">
      <c r="A509" s="4" t="s">
        <v>470</v>
      </c>
      <c r="B509" t="s">
        <v>476</v>
      </c>
      <c r="C509" t="s">
        <v>1556</v>
      </c>
      <c r="D509" t="s">
        <v>442</v>
      </c>
      <c r="E509" t="s">
        <v>1038</v>
      </c>
      <c r="F509" t="s">
        <v>37</v>
      </c>
    </row>
    <row r="510" spans="1:6" outlineLevel="3" x14ac:dyDescent="0.25">
      <c r="A510" s="4" t="s">
        <v>470</v>
      </c>
      <c r="B510" t="s">
        <v>476</v>
      </c>
      <c r="C510" t="s">
        <v>1527</v>
      </c>
      <c r="D510" t="s">
        <v>46</v>
      </c>
      <c r="E510" t="s">
        <v>130</v>
      </c>
      <c r="F510" t="s">
        <v>37</v>
      </c>
    </row>
    <row r="511" spans="1:6" outlineLevel="2" x14ac:dyDescent="0.25">
      <c r="A511" s="38" t="s">
        <v>1030</v>
      </c>
      <c r="F511">
        <f>SUBTOTAL(3,F471:F510)</f>
        <v>40</v>
      </c>
    </row>
    <row r="512" spans="1:6" outlineLevel="1" x14ac:dyDescent="0.25">
      <c r="E512" s="37" t="s">
        <v>1020</v>
      </c>
      <c r="F512">
        <f>SUBTOTAL(3,F471:F510)</f>
        <v>40</v>
      </c>
    </row>
    <row r="513" spans="1:6" outlineLevel="3" x14ac:dyDescent="0.25">
      <c r="A513" s="4" t="s">
        <v>470</v>
      </c>
      <c r="B513" t="s">
        <v>476</v>
      </c>
      <c r="C513" t="s">
        <v>1246</v>
      </c>
      <c r="D513" t="s">
        <v>442</v>
      </c>
      <c r="E513" t="s">
        <v>247</v>
      </c>
      <c r="F513" t="s">
        <v>950</v>
      </c>
    </row>
    <row r="514" spans="1:6" outlineLevel="2" x14ac:dyDescent="0.25">
      <c r="A514" s="38" t="s">
        <v>1030</v>
      </c>
      <c r="F514">
        <f>SUBTOTAL(3,F513:F513)</f>
        <v>1</v>
      </c>
    </row>
    <row r="515" spans="1:6" outlineLevel="1" x14ac:dyDescent="0.25">
      <c r="E515" s="37" t="s">
        <v>1021</v>
      </c>
      <c r="F515">
        <f>SUBTOTAL(3,F513:F513)</f>
        <v>1</v>
      </c>
    </row>
    <row r="516" spans="1:6" outlineLevel="3" x14ac:dyDescent="0.25">
      <c r="A516" s="4" t="s">
        <v>470</v>
      </c>
      <c r="B516" t="s">
        <v>476</v>
      </c>
      <c r="C516" t="s">
        <v>1239</v>
      </c>
      <c r="D516" t="s">
        <v>126</v>
      </c>
      <c r="E516" t="s">
        <v>166</v>
      </c>
      <c r="F516" t="s">
        <v>12</v>
      </c>
    </row>
    <row r="517" spans="1:6" outlineLevel="3" x14ac:dyDescent="0.25">
      <c r="A517" s="4" t="s">
        <v>470</v>
      </c>
      <c r="B517" t="s">
        <v>476</v>
      </c>
      <c r="C517" t="s">
        <v>4445</v>
      </c>
      <c r="D517" t="s">
        <v>65</v>
      </c>
      <c r="E517" t="s">
        <v>354</v>
      </c>
      <c r="F517" t="s">
        <v>12</v>
      </c>
    </row>
    <row r="518" spans="1:6" outlineLevel="3" x14ac:dyDescent="0.25">
      <c r="A518" s="4" t="s">
        <v>470</v>
      </c>
      <c r="B518" t="s">
        <v>476</v>
      </c>
      <c r="C518" t="s">
        <v>1185</v>
      </c>
      <c r="D518" t="s">
        <v>44</v>
      </c>
      <c r="E518" t="s">
        <v>416</v>
      </c>
      <c r="F518" t="s">
        <v>12</v>
      </c>
    </row>
    <row r="519" spans="1:6" outlineLevel="3" x14ac:dyDescent="0.25">
      <c r="A519" s="4" t="s">
        <v>470</v>
      </c>
      <c r="B519" t="s">
        <v>476</v>
      </c>
      <c r="C519" t="s">
        <v>4443</v>
      </c>
      <c r="D519" t="s">
        <v>124</v>
      </c>
      <c r="E519" t="s">
        <v>416</v>
      </c>
      <c r="F519" t="s">
        <v>12</v>
      </c>
    </row>
    <row r="520" spans="1:6" outlineLevel="3" x14ac:dyDescent="0.25">
      <c r="A520" s="4" t="s">
        <v>470</v>
      </c>
      <c r="B520" t="s">
        <v>476</v>
      </c>
      <c r="C520" t="s">
        <v>4444</v>
      </c>
      <c r="D520" t="s">
        <v>78</v>
      </c>
      <c r="E520" t="s">
        <v>416</v>
      </c>
      <c r="F520" t="s">
        <v>12</v>
      </c>
    </row>
    <row r="521" spans="1:6" outlineLevel="3" x14ac:dyDescent="0.25">
      <c r="A521" s="4" t="s">
        <v>470</v>
      </c>
      <c r="B521" t="s">
        <v>476</v>
      </c>
      <c r="C521" t="s">
        <v>1049</v>
      </c>
      <c r="D521" t="s">
        <v>78</v>
      </c>
      <c r="E521" t="s">
        <v>173</v>
      </c>
      <c r="F521" t="s">
        <v>12</v>
      </c>
    </row>
    <row r="522" spans="1:6" outlineLevel="3" x14ac:dyDescent="0.25">
      <c r="A522" s="4" t="s">
        <v>470</v>
      </c>
      <c r="B522" t="s">
        <v>476</v>
      </c>
      <c r="C522" t="s">
        <v>1240</v>
      </c>
      <c r="D522" t="s">
        <v>78</v>
      </c>
      <c r="E522" t="s">
        <v>173</v>
      </c>
      <c r="F522" t="s">
        <v>12</v>
      </c>
    </row>
    <row r="523" spans="1:6" outlineLevel="2" x14ac:dyDescent="0.25">
      <c r="A523" s="38" t="s">
        <v>1030</v>
      </c>
      <c r="F523">
        <f>SUBTOTAL(3,F516:F522)</f>
        <v>7</v>
      </c>
    </row>
    <row r="524" spans="1:6" outlineLevel="1" x14ac:dyDescent="0.25">
      <c r="E524" s="37" t="s">
        <v>1022</v>
      </c>
      <c r="F524">
        <f>SUBTOTAL(3,F516:F522)</f>
        <v>7</v>
      </c>
    </row>
    <row r="525" spans="1:6" outlineLevel="3" x14ac:dyDescent="0.25">
      <c r="A525" s="4" t="s">
        <v>470</v>
      </c>
      <c r="B525" t="s">
        <v>476</v>
      </c>
      <c r="C525" t="s">
        <v>477</v>
      </c>
      <c r="D525" t="s">
        <v>126</v>
      </c>
      <c r="E525" t="s">
        <v>106</v>
      </c>
      <c r="F525" t="s">
        <v>15</v>
      </c>
    </row>
    <row r="526" spans="1:6" outlineLevel="2" x14ac:dyDescent="0.25">
      <c r="A526" s="38" t="s">
        <v>1030</v>
      </c>
      <c r="F526">
        <f>SUBTOTAL(3,F525:F525)</f>
        <v>1</v>
      </c>
    </row>
    <row r="527" spans="1:6" outlineLevel="1" x14ac:dyDescent="0.25">
      <c r="E527" s="37" t="s">
        <v>1023</v>
      </c>
      <c r="F527">
        <f>SUBTOTAL(3,F525:F525)</f>
        <v>1</v>
      </c>
    </row>
    <row r="528" spans="1:6" outlineLevel="3" x14ac:dyDescent="0.25">
      <c r="A528" s="4" t="s">
        <v>937</v>
      </c>
      <c r="B528" t="s">
        <v>422</v>
      </c>
      <c r="C528" t="s">
        <v>1497</v>
      </c>
      <c r="D528" t="s">
        <v>2068</v>
      </c>
      <c r="E528" t="s">
        <v>938</v>
      </c>
      <c r="F528" t="s">
        <v>939</v>
      </c>
    </row>
    <row r="529" spans="1:6" outlineLevel="2" x14ac:dyDescent="0.25">
      <c r="A529" s="38" t="s">
        <v>1052</v>
      </c>
      <c r="F529">
        <f>SUBTOTAL(3,F528:F528)</f>
        <v>1</v>
      </c>
    </row>
    <row r="530" spans="1:6" outlineLevel="1" x14ac:dyDescent="0.25">
      <c r="E530" s="37" t="s">
        <v>1051</v>
      </c>
      <c r="F530">
        <f>SUBTOTAL(3,F528:F528)</f>
        <v>1</v>
      </c>
    </row>
    <row r="531" spans="1:6" outlineLevel="3" x14ac:dyDescent="0.25">
      <c r="A531" s="4" t="s">
        <v>490</v>
      </c>
      <c r="B531" t="s">
        <v>422</v>
      </c>
      <c r="C531" t="s">
        <v>962</v>
      </c>
      <c r="D531" t="s">
        <v>485</v>
      </c>
      <c r="E531" t="s">
        <v>963</v>
      </c>
      <c r="F531" t="s">
        <v>12</v>
      </c>
    </row>
    <row r="532" spans="1:6" outlineLevel="2" x14ac:dyDescent="0.25">
      <c r="A532" s="38" t="s">
        <v>1043</v>
      </c>
      <c r="F532">
        <f>SUBTOTAL(3,F531:F531)</f>
        <v>1</v>
      </c>
    </row>
    <row r="533" spans="1:6" outlineLevel="1" x14ac:dyDescent="0.25">
      <c r="E533" s="37" t="s">
        <v>1022</v>
      </c>
      <c r="F533">
        <f>SUBTOTAL(3,F531:F531)</f>
        <v>1</v>
      </c>
    </row>
    <row r="534" spans="1:6" outlineLevel="3" x14ac:dyDescent="0.25">
      <c r="A534" s="4" t="s">
        <v>935</v>
      </c>
      <c r="B534" t="s">
        <v>476</v>
      </c>
      <c r="C534" t="s">
        <v>4698</v>
      </c>
      <c r="D534" t="s">
        <v>78</v>
      </c>
      <c r="E534" t="s">
        <v>486</v>
      </c>
      <c r="F534" t="s">
        <v>15</v>
      </c>
    </row>
    <row r="535" spans="1:6" outlineLevel="2" x14ac:dyDescent="0.25">
      <c r="A535" s="38" t="s">
        <v>1053</v>
      </c>
      <c r="F535">
        <f>SUBTOTAL(3,F534:F534)</f>
        <v>1</v>
      </c>
    </row>
    <row r="536" spans="1:6" outlineLevel="1" x14ac:dyDescent="0.25">
      <c r="E536" s="37" t="s">
        <v>1023</v>
      </c>
      <c r="F536">
        <f>SUBTOTAL(3,F534:F534)</f>
        <v>1</v>
      </c>
    </row>
    <row r="537" spans="1:6" outlineLevel="3" x14ac:dyDescent="0.25">
      <c r="A537" s="4" t="s">
        <v>473</v>
      </c>
      <c r="B537" t="s">
        <v>484</v>
      </c>
      <c r="C537" t="s">
        <v>1687</v>
      </c>
      <c r="D537" t="s">
        <v>334</v>
      </c>
      <c r="E537" t="s">
        <v>177</v>
      </c>
      <c r="F537" t="s">
        <v>37</v>
      </c>
    </row>
    <row r="538" spans="1:6" outlineLevel="2" x14ac:dyDescent="0.25">
      <c r="A538" s="38" t="s">
        <v>1044</v>
      </c>
      <c r="F538">
        <f>SUBTOTAL(3,F537:F537)</f>
        <v>1</v>
      </c>
    </row>
    <row r="539" spans="1:6" outlineLevel="3" x14ac:dyDescent="0.25">
      <c r="A539" s="4" t="s">
        <v>421</v>
      </c>
      <c r="B539" t="s">
        <v>422</v>
      </c>
      <c r="C539" t="s">
        <v>2865</v>
      </c>
      <c r="D539" t="s">
        <v>126</v>
      </c>
      <c r="E539" t="s">
        <v>99</v>
      </c>
      <c r="F539" t="s">
        <v>37</v>
      </c>
    </row>
    <row r="540" spans="1:6" outlineLevel="3" x14ac:dyDescent="0.25">
      <c r="A540" s="4" t="s">
        <v>421</v>
      </c>
      <c r="B540" t="s">
        <v>422</v>
      </c>
      <c r="C540" t="s">
        <v>2887</v>
      </c>
      <c r="D540" t="s">
        <v>202</v>
      </c>
      <c r="E540" t="s">
        <v>135</v>
      </c>
      <c r="F540" t="s">
        <v>37</v>
      </c>
    </row>
    <row r="541" spans="1:6" outlineLevel="3" x14ac:dyDescent="0.25">
      <c r="A541" s="4" t="s">
        <v>421</v>
      </c>
      <c r="B541" t="s">
        <v>422</v>
      </c>
      <c r="C541" t="s">
        <v>4103</v>
      </c>
      <c r="D541" t="s">
        <v>165</v>
      </c>
      <c r="E541" t="s">
        <v>221</v>
      </c>
      <c r="F541" t="s">
        <v>37</v>
      </c>
    </row>
    <row r="542" spans="1:6" outlineLevel="3" x14ac:dyDescent="0.25">
      <c r="A542" s="4" t="s">
        <v>421</v>
      </c>
      <c r="B542" t="s">
        <v>422</v>
      </c>
      <c r="C542" t="s">
        <v>4104</v>
      </c>
      <c r="D542" t="s">
        <v>76</v>
      </c>
      <c r="E542" t="s">
        <v>221</v>
      </c>
      <c r="F542" t="s">
        <v>37</v>
      </c>
    </row>
    <row r="543" spans="1:6" outlineLevel="3" x14ac:dyDescent="0.25">
      <c r="A543" s="4" t="s">
        <v>421</v>
      </c>
      <c r="B543" t="s">
        <v>422</v>
      </c>
      <c r="C543" t="s">
        <v>4105</v>
      </c>
      <c r="D543" t="s">
        <v>165</v>
      </c>
      <c r="E543" t="s">
        <v>221</v>
      </c>
      <c r="F543" t="s">
        <v>37</v>
      </c>
    </row>
    <row r="544" spans="1:6" outlineLevel="3" x14ac:dyDescent="0.25">
      <c r="A544" s="4" t="s">
        <v>421</v>
      </c>
      <c r="B544" t="s">
        <v>422</v>
      </c>
      <c r="C544" t="s">
        <v>4106</v>
      </c>
      <c r="D544" t="s">
        <v>237</v>
      </c>
      <c r="E544" t="s">
        <v>221</v>
      </c>
      <c r="F544" t="s">
        <v>37</v>
      </c>
    </row>
    <row r="545" spans="1:6" outlineLevel="3" x14ac:dyDescent="0.25">
      <c r="A545" s="4" t="s">
        <v>421</v>
      </c>
      <c r="B545" t="s">
        <v>422</v>
      </c>
      <c r="C545" t="s">
        <v>4107</v>
      </c>
      <c r="D545" t="s">
        <v>44</v>
      </c>
      <c r="E545" t="s">
        <v>221</v>
      </c>
      <c r="F545" t="s">
        <v>37</v>
      </c>
    </row>
    <row r="546" spans="1:6" outlineLevel="3" x14ac:dyDescent="0.25">
      <c r="A546" s="4" t="s">
        <v>421</v>
      </c>
      <c r="B546" t="s">
        <v>422</v>
      </c>
      <c r="C546" t="s">
        <v>4108</v>
      </c>
      <c r="D546" t="s">
        <v>6</v>
      </c>
      <c r="E546" t="s">
        <v>221</v>
      </c>
      <c r="F546" t="s">
        <v>37</v>
      </c>
    </row>
    <row r="547" spans="1:6" outlineLevel="3" x14ac:dyDescent="0.25">
      <c r="A547" s="4" t="s">
        <v>421</v>
      </c>
      <c r="B547" t="s">
        <v>422</v>
      </c>
      <c r="C547" t="s">
        <v>4109</v>
      </c>
      <c r="D547" t="s">
        <v>165</v>
      </c>
      <c r="E547" t="s">
        <v>221</v>
      </c>
      <c r="F547" t="s">
        <v>37</v>
      </c>
    </row>
    <row r="548" spans="1:6" outlineLevel="3" x14ac:dyDescent="0.25">
      <c r="A548" s="4" t="s">
        <v>421</v>
      </c>
      <c r="B548" t="s">
        <v>422</v>
      </c>
      <c r="C548" t="s">
        <v>4110</v>
      </c>
      <c r="D548" t="s">
        <v>190</v>
      </c>
      <c r="E548" t="s">
        <v>221</v>
      </c>
      <c r="F548" t="s">
        <v>37</v>
      </c>
    </row>
    <row r="549" spans="1:6" outlineLevel="3" x14ac:dyDescent="0.25">
      <c r="A549" s="4" t="s">
        <v>421</v>
      </c>
      <c r="B549" t="s">
        <v>422</v>
      </c>
      <c r="C549" t="s">
        <v>4111</v>
      </c>
      <c r="D549" t="s">
        <v>44</v>
      </c>
      <c r="E549" t="s">
        <v>221</v>
      </c>
      <c r="F549" t="s">
        <v>37</v>
      </c>
    </row>
    <row r="550" spans="1:6" outlineLevel="3" x14ac:dyDescent="0.25">
      <c r="A550" s="4" t="s">
        <v>421</v>
      </c>
      <c r="B550" t="s">
        <v>422</v>
      </c>
      <c r="C550" t="s">
        <v>4112</v>
      </c>
      <c r="D550" t="s">
        <v>398</v>
      </c>
      <c r="E550" t="s">
        <v>221</v>
      </c>
      <c r="F550" t="s">
        <v>37</v>
      </c>
    </row>
    <row r="551" spans="1:6" outlineLevel="3" x14ac:dyDescent="0.25">
      <c r="A551" s="4" t="s">
        <v>421</v>
      </c>
      <c r="B551" t="s">
        <v>422</v>
      </c>
      <c r="C551" t="s">
        <v>4113</v>
      </c>
      <c r="D551" t="s">
        <v>165</v>
      </c>
      <c r="E551" t="s">
        <v>221</v>
      </c>
      <c r="F551" t="s">
        <v>37</v>
      </c>
    </row>
    <row r="552" spans="1:6" outlineLevel="3" x14ac:dyDescent="0.25">
      <c r="A552" s="4" t="s">
        <v>421</v>
      </c>
      <c r="B552" t="s">
        <v>422</v>
      </c>
      <c r="C552" t="s">
        <v>4114</v>
      </c>
      <c r="D552" t="s">
        <v>46</v>
      </c>
      <c r="E552" t="s">
        <v>221</v>
      </c>
      <c r="F552" t="s">
        <v>37</v>
      </c>
    </row>
    <row r="553" spans="1:6" outlineLevel="3" x14ac:dyDescent="0.25">
      <c r="A553" s="4" t="s">
        <v>421</v>
      </c>
      <c r="B553" t="s">
        <v>422</v>
      </c>
      <c r="C553" t="s">
        <v>4115</v>
      </c>
      <c r="D553" t="s">
        <v>46</v>
      </c>
      <c r="E553" t="s">
        <v>221</v>
      </c>
      <c r="F553" t="s">
        <v>37</v>
      </c>
    </row>
    <row r="554" spans="1:6" outlineLevel="3" x14ac:dyDescent="0.25">
      <c r="A554" s="4" t="s">
        <v>421</v>
      </c>
      <c r="B554" t="s">
        <v>422</v>
      </c>
      <c r="C554" t="s">
        <v>1990</v>
      </c>
      <c r="D554" t="s">
        <v>67</v>
      </c>
      <c r="E554" t="s">
        <v>1130</v>
      </c>
      <c r="F554" t="s">
        <v>37</v>
      </c>
    </row>
    <row r="555" spans="1:6" outlineLevel="3" x14ac:dyDescent="0.25">
      <c r="A555" s="4" t="s">
        <v>421</v>
      </c>
      <c r="B555" t="s">
        <v>422</v>
      </c>
      <c r="C555" t="s">
        <v>4065</v>
      </c>
      <c r="D555" t="s">
        <v>119</v>
      </c>
      <c r="E555" t="s">
        <v>1130</v>
      </c>
      <c r="F555" t="s">
        <v>37</v>
      </c>
    </row>
    <row r="556" spans="1:6" outlineLevel="3" x14ac:dyDescent="0.25">
      <c r="A556" s="4" t="s">
        <v>421</v>
      </c>
      <c r="B556" t="s">
        <v>422</v>
      </c>
      <c r="C556" t="s">
        <v>4066</v>
      </c>
      <c r="D556" t="s">
        <v>76</v>
      </c>
      <c r="E556" t="s">
        <v>1130</v>
      </c>
      <c r="F556" t="s">
        <v>37</v>
      </c>
    </row>
    <row r="557" spans="1:6" outlineLevel="3" x14ac:dyDescent="0.25">
      <c r="A557" s="4" t="s">
        <v>421</v>
      </c>
      <c r="B557" t="s">
        <v>422</v>
      </c>
      <c r="C557" t="s">
        <v>4067</v>
      </c>
      <c r="D557" t="s">
        <v>126</v>
      </c>
      <c r="E557" t="s">
        <v>1130</v>
      </c>
      <c r="F557" t="s">
        <v>37</v>
      </c>
    </row>
    <row r="558" spans="1:6" outlineLevel="3" x14ac:dyDescent="0.25">
      <c r="A558" s="4" t="s">
        <v>421</v>
      </c>
      <c r="B558" t="s">
        <v>422</v>
      </c>
      <c r="C558" t="s">
        <v>4068</v>
      </c>
      <c r="D558" t="s">
        <v>76</v>
      </c>
      <c r="E558" t="s">
        <v>1130</v>
      </c>
      <c r="F558" t="s">
        <v>37</v>
      </c>
    </row>
    <row r="559" spans="1:6" outlineLevel="3" x14ac:dyDescent="0.25">
      <c r="A559" s="4" t="s">
        <v>421</v>
      </c>
      <c r="B559" t="s">
        <v>422</v>
      </c>
      <c r="C559" t="s">
        <v>4069</v>
      </c>
      <c r="D559" t="s">
        <v>65</v>
      </c>
      <c r="E559" t="s">
        <v>1130</v>
      </c>
      <c r="F559" t="s">
        <v>37</v>
      </c>
    </row>
    <row r="560" spans="1:6" outlineLevel="3" x14ac:dyDescent="0.25">
      <c r="A560" s="4" t="s">
        <v>421</v>
      </c>
      <c r="B560" t="s">
        <v>422</v>
      </c>
      <c r="C560" t="s">
        <v>4070</v>
      </c>
      <c r="D560" t="s">
        <v>6</v>
      </c>
      <c r="E560" t="s">
        <v>1130</v>
      </c>
      <c r="F560" t="s">
        <v>37</v>
      </c>
    </row>
    <row r="561" spans="1:6" outlineLevel="3" x14ac:dyDescent="0.25">
      <c r="A561" s="4" t="s">
        <v>421</v>
      </c>
      <c r="B561" t="s">
        <v>422</v>
      </c>
      <c r="C561" t="s">
        <v>4071</v>
      </c>
      <c r="D561" t="s">
        <v>202</v>
      </c>
      <c r="E561" t="s">
        <v>1130</v>
      </c>
      <c r="F561" t="s">
        <v>37</v>
      </c>
    </row>
    <row r="562" spans="1:6" outlineLevel="3" x14ac:dyDescent="0.25">
      <c r="A562" s="4" t="s">
        <v>421</v>
      </c>
      <c r="B562" t="s">
        <v>422</v>
      </c>
      <c r="C562" t="s">
        <v>1991</v>
      </c>
      <c r="D562" t="s">
        <v>237</v>
      </c>
      <c r="E562" t="s">
        <v>1130</v>
      </c>
      <c r="F562" t="s">
        <v>37</v>
      </c>
    </row>
    <row r="563" spans="1:6" outlineLevel="3" x14ac:dyDescent="0.25">
      <c r="A563" s="4" t="s">
        <v>421</v>
      </c>
      <c r="B563" t="s">
        <v>422</v>
      </c>
      <c r="C563" t="s">
        <v>4072</v>
      </c>
      <c r="D563" t="s">
        <v>237</v>
      </c>
      <c r="E563" t="s">
        <v>1130</v>
      </c>
      <c r="F563" t="s">
        <v>37</v>
      </c>
    </row>
    <row r="564" spans="1:6" outlineLevel="3" x14ac:dyDescent="0.25">
      <c r="A564" s="4" t="s">
        <v>421</v>
      </c>
      <c r="B564" t="s">
        <v>422</v>
      </c>
      <c r="C564" t="s">
        <v>4073</v>
      </c>
      <c r="D564" t="s">
        <v>165</v>
      </c>
      <c r="E564" t="s">
        <v>1130</v>
      </c>
      <c r="F564" t="s">
        <v>37</v>
      </c>
    </row>
    <row r="565" spans="1:6" outlineLevel="3" x14ac:dyDescent="0.25">
      <c r="A565" s="4" t="s">
        <v>421</v>
      </c>
      <c r="B565" t="s">
        <v>422</v>
      </c>
      <c r="C565" t="s">
        <v>4074</v>
      </c>
      <c r="D565" t="s">
        <v>76</v>
      </c>
      <c r="E565" t="s">
        <v>1130</v>
      </c>
      <c r="F565" t="s">
        <v>37</v>
      </c>
    </row>
    <row r="566" spans="1:6" outlineLevel="3" x14ac:dyDescent="0.25">
      <c r="A566" s="4" t="s">
        <v>421</v>
      </c>
      <c r="B566" t="s">
        <v>422</v>
      </c>
      <c r="C566" t="s">
        <v>1992</v>
      </c>
      <c r="D566" t="s">
        <v>6</v>
      </c>
      <c r="E566" t="s">
        <v>1131</v>
      </c>
      <c r="F566" t="s">
        <v>37</v>
      </c>
    </row>
    <row r="567" spans="1:6" outlineLevel="3" x14ac:dyDescent="0.25">
      <c r="A567" s="4" t="s">
        <v>421</v>
      </c>
      <c r="B567" t="s">
        <v>422</v>
      </c>
      <c r="C567" t="s">
        <v>4075</v>
      </c>
      <c r="D567" t="s">
        <v>165</v>
      </c>
      <c r="E567" t="s">
        <v>1131</v>
      </c>
      <c r="F567" t="s">
        <v>37</v>
      </c>
    </row>
    <row r="568" spans="1:6" outlineLevel="3" x14ac:dyDescent="0.25">
      <c r="A568" s="4" t="s">
        <v>421</v>
      </c>
      <c r="B568" t="s">
        <v>422</v>
      </c>
      <c r="C568" t="s">
        <v>4076</v>
      </c>
      <c r="D568" t="s">
        <v>165</v>
      </c>
      <c r="E568" t="s">
        <v>1131</v>
      </c>
      <c r="F568" t="s">
        <v>37</v>
      </c>
    </row>
    <row r="569" spans="1:6" outlineLevel="3" x14ac:dyDescent="0.25">
      <c r="A569" s="4" t="s">
        <v>421</v>
      </c>
      <c r="B569" t="s">
        <v>422</v>
      </c>
      <c r="C569" t="s">
        <v>4077</v>
      </c>
      <c r="D569" t="s">
        <v>768</v>
      </c>
      <c r="E569" t="s">
        <v>1131</v>
      </c>
      <c r="F569" t="s">
        <v>37</v>
      </c>
    </row>
    <row r="570" spans="1:6" outlineLevel="3" x14ac:dyDescent="0.25">
      <c r="A570" s="4" t="s">
        <v>421</v>
      </c>
      <c r="B570" t="s">
        <v>422</v>
      </c>
      <c r="C570" t="s">
        <v>1993</v>
      </c>
      <c r="D570" t="s">
        <v>253</v>
      </c>
      <c r="E570" t="s">
        <v>1131</v>
      </c>
      <c r="F570" t="s">
        <v>37</v>
      </c>
    </row>
    <row r="571" spans="1:6" outlineLevel="3" x14ac:dyDescent="0.25">
      <c r="A571" s="4" t="s">
        <v>421</v>
      </c>
      <c r="B571" t="s">
        <v>422</v>
      </c>
      <c r="C571" t="s">
        <v>4078</v>
      </c>
      <c r="D571" t="s">
        <v>202</v>
      </c>
      <c r="E571" t="s">
        <v>1132</v>
      </c>
      <c r="F571" t="s">
        <v>37</v>
      </c>
    </row>
    <row r="572" spans="1:6" outlineLevel="3" x14ac:dyDescent="0.25">
      <c r="A572" s="4" t="s">
        <v>421</v>
      </c>
      <c r="B572" t="s">
        <v>422</v>
      </c>
      <c r="C572" t="s">
        <v>4079</v>
      </c>
      <c r="D572" t="s">
        <v>165</v>
      </c>
      <c r="E572" t="s">
        <v>1132</v>
      </c>
      <c r="F572" t="s">
        <v>37</v>
      </c>
    </row>
    <row r="573" spans="1:6" outlineLevel="3" x14ac:dyDescent="0.25">
      <c r="A573" s="4" t="s">
        <v>421</v>
      </c>
      <c r="B573" t="s">
        <v>422</v>
      </c>
      <c r="C573" t="s">
        <v>4080</v>
      </c>
      <c r="D573" t="s">
        <v>165</v>
      </c>
      <c r="E573" t="s">
        <v>1132</v>
      </c>
      <c r="F573" t="s">
        <v>37</v>
      </c>
    </row>
    <row r="574" spans="1:6" outlineLevel="3" x14ac:dyDescent="0.25">
      <c r="A574" s="4" t="s">
        <v>421</v>
      </c>
      <c r="B574" t="s">
        <v>422</v>
      </c>
      <c r="C574" t="s">
        <v>1788</v>
      </c>
      <c r="D574" t="s">
        <v>165</v>
      </c>
      <c r="E574" t="s">
        <v>1132</v>
      </c>
      <c r="F574" t="s">
        <v>37</v>
      </c>
    </row>
    <row r="575" spans="1:6" outlineLevel="3" x14ac:dyDescent="0.25">
      <c r="A575" s="4" t="s">
        <v>421</v>
      </c>
      <c r="B575" t="s">
        <v>422</v>
      </c>
      <c r="C575" t="s">
        <v>4081</v>
      </c>
      <c r="D575" t="s">
        <v>165</v>
      </c>
      <c r="E575" t="s">
        <v>1132</v>
      </c>
      <c r="F575" t="s">
        <v>37</v>
      </c>
    </row>
    <row r="576" spans="1:6" outlineLevel="3" x14ac:dyDescent="0.25">
      <c r="A576" s="4" t="s">
        <v>421</v>
      </c>
      <c r="B576" t="s">
        <v>422</v>
      </c>
      <c r="C576" t="s">
        <v>4082</v>
      </c>
      <c r="D576" t="s">
        <v>437</v>
      </c>
      <c r="E576" t="s">
        <v>1132</v>
      </c>
      <c r="F576" t="s">
        <v>37</v>
      </c>
    </row>
    <row r="577" spans="1:6" outlineLevel="3" x14ac:dyDescent="0.25">
      <c r="A577" s="4" t="s">
        <v>421</v>
      </c>
      <c r="B577" t="s">
        <v>422</v>
      </c>
      <c r="C577" t="s">
        <v>4083</v>
      </c>
      <c r="D577" t="s">
        <v>437</v>
      </c>
      <c r="E577" t="s">
        <v>1132</v>
      </c>
      <c r="F577" t="s">
        <v>37</v>
      </c>
    </row>
    <row r="578" spans="1:6" outlineLevel="3" x14ac:dyDescent="0.25">
      <c r="A578" s="4" t="s">
        <v>421</v>
      </c>
      <c r="B578" t="s">
        <v>422</v>
      </c>
      <c r="C578" t="s">
        <v>4084</v>
      </c>
      <c r="D578" t="s">
        <v>437</v>
      </c>
      <c r="E578" t="s">
        <v>1132</v>
      </c>
      <c r="F578" t="s">
        <v>37</v>
      </c>
    </row>
    <row r="579" spans="1:6" outlineLevel="3" x14ac:dyDescent="0.25">
      <c r="A579" s="4" t="s">
        <v>421</v>
      </c>
      <c r="B579" t="s">
        <v>422</v>
      </c>
      <c r="C579" t="s">
        <v>4085</v>
      </c>
      <c r="D579" t="s">
        <v>165</v>
      </c>
      <c r="E579" t="s">
        <v>1132</v>
      </c>
      <c r="F579" t="s">
        <v>37</v>
      </c>
    </row>
    <row r="580" spans="1:6" outlineLevel="3" x14ac:dyDescent="0.25">
      <c r="A580" s="4" t="s">
        <v>421</v>
      </c>
      <c r="B580" t="s">
        <v>422</v>
      </c>
      <c r="C580" t="s">
        <v>1994</v>
      </c>
      <c r="D580" t="s">
        <v>13</v>
      </c>
      <c r="E580" t="s">
        <v>1132</v>
      </c>
      <c r="F580" t="s">
        <v>37</v>
      </c>
    </row>
    <row r="581" spans="1:6" outlineLevel="3" x14ac:dyDescent="0.25">
      <c r="A581" s="4" t="s">
        <v>421</v>
      </c>
      <c r="B581" t="s">
        <v>422</v>
      </c>
      <c r="C581" t="s">
        <v>4086</v>
      </c>
      <c r="D581" t="s">
        <v>13</v>
      </c>
      <c r="E581" t="s">
        <v>1132</v>
      </c>
      <c r="F581" t="s">
        <v>37</v>
      </c>
    </row>
    <row r="582" spans="1:6" outlineLevel="3" x14ac:dyDescent="0.25">
      <c r="A582" s="4" t="s">
        <v>421</v>
      </c>
      <c r="B582" t="s">
        <v>422</v>
      </c>
      <c r="C582" t="s">
        <v>1995</v>
      </c>
      <c r="D582" t="s">
        <v>13</v>
      </c>
      <c r="E582" t="s">
        <v>1132</v>
      </c>
      <c r="F582" t="s">
        <v>37</v>
      </c>
    </row>
    <row r="583" spans="1:6" outlineLevel="3" x14ac:dyDescent="0.25">
      <c r="A583" s="4" t="s">
        <v>421</v>
      </c>
      <c r="B583" t="s">
        <v>422</v>
      </c>
      <c r="C583" t="s">
        <v>4087</v>
      </c>
      <c r="D583" t="s">
        <v>13</v>
      </c>
      <c r="E583" t="s">
        <v>1132</v>
      </c>
      <c r="F583" t="s">
        <v>37</v>
      </c>
    </row>
    <row r="584" spans="1:6" outlineLevel="3" x14ac:dyDescent="0.25">
      <c r="A584" s="4" t="s">
        <v>421</v>
      </c>
      <c r="B584" t="s">
        <v>422</v>
      </c>
      <c r="C584" t="s">
        <v>4088</v>
      </c>
      <c r="D584" t="s">
        <v>13</v>
      </c>
      <c r="E584" t="s">
        <v>1132</v>
      </c>
      <c r="F584" t="s">
        <v>37</v>
      </c>
    </row>
    <row r="585" spans="1:6" outlineLevel="3" x14ac:dyDescent="0.25">
      <c r="A585" s="4" t="s">
        <v>421</v>
      </c>
      <c r="B585" t="s">
        <v>422</v>
      </c>
      <c r="C585" t="s">
        <v>4089</v>
      </c>
      <c r="D585" t="s">
        <v>13</v>
      </c>
      <c r="E585" t="s">
        <v>1132</v>
      </c>
      <c r="F585" t="s">
        <v>37</v>
      </c>
    </row>
    <row r="586" spans="1:6" outlineLevel="3" x14ac:dyDescent="0.25">
      <c r="A586" s="4" t="s">
        <v>421</v>
      </c>
      <c r="B586" t="s">
        <v>422</v>
      </c>
      <c r="C586" t="s">
        <v>4090</v>
      </c>
      <c r="D586" t="s">
        <v>13</v>
      </c>
      <c r="E586" t="s">
        <v>1132</v>
      </c>
      <c r="F586" t="s">
        <v>37</v>
      </c>
    </row>
    <row r="587" spans="1:6" outlineLevel="3" x14ac:dyDescent="0.25">
      <c r="A587" s="4" t="s">
        <v>421</v>
      </c>
      <c r="B587" t="s">
        <v>422</v>
      </c>
      <c r="C587" t="s">
        <v>4091</v>
      </c>
      <c r="D587" t="s">
        <v>13</v>
      </c>
      <c r="E587" t="s">
        <v>1132</v>
      </c>
      <c r="F587" t="s">
        <v>37</v>
      </c>
    </row>
    <row r="588" spans="1:6" outlineLevel="3" x14ac:dyDescent="0.25">
      <c r="A588" s="4" t="s">
        <v>421</v>
      </c>
      <c r="B588" t="s">
        <v>422</v>
      </c>
      <c r="C588" t="s">
        <v>2888</v>
      </c>
      <c r="D588" t="s">
        <v>435</v>
      </c>
      <c r="E588" t="s">
        <v>92</v>
      </c>
      <c r="F588" t="s">
        <v>37</v>
      </c>
    </row>
    <row r="589" spans="1:6" outlineLevel="3" x14ac:dyDescent="0.25">
      <c r="A589" s="4" t="s">
        <v>421</v>
      </c>
      <c r="B589" t="s">
        <v>422</v>
      </c>
      <c r="C589" t="s">
        <v>2889</v>
      </c>
      <c r="D589" t="s">
        <v>13</v>
      </c>
      <c r="E589" t="s">
        <v>92</v>
      </c>
      <c r="F589" t="s">
        <v>37</v>
      </c>
    </row>
    <row r="590" spans="1:6" outlineLevel="3" x14ac:dyDescent="0.25">
      <c r="A590" s="4" t="s">
        <v>421</v>
      </c>
      <c r="B590" t="s">
        <v>422</v>
      </c>
      <c r="C590" t="s">
        <v>2890</v>
      </c>
      <c r="D590" t="s">
        <v>413</v>
      </c>
      <c r="E590" t="s">
        <v>92</v>
      </c>
      <c r="F590" t="s">
        <v>37</v>
      </c>
    </row>
    <row r="591" spans="1:6" outlineLevel="3" x14ac:dyDescent="0.25">
      <c r="A591" s="4" t="s">
        <v>421</v>
      </c>
      <c r="B591" t="s">
        <v>422</v>
      </c>
      <c r="C591" t="s">
        <v>2891</v>
      </c>
      <c r="D591" t="s">
        <v>124</v>
      </c>
      <c r="E591" t="s">
        <v>92</v>
      </c>
      <c r="F591" t="s">
        <v>37</v>
      </c>
    </row>
    <row r="592" spans="1:6" outlineLevel="3" x14ac:dyDescent="0.25">
      <c r="A592" s="4" t="s">
        <v>421</v>
      </c>
      <c r="B592" t="s">
        <v>422</v>
      </c>
      <c r="C592" t="s">
        <v>2892</v>
      </c>
      <c r="D592" t="s">
        <v>13</v>
      </c>
      <c r="E592" t="s">
        <v>92</v>
      </c>
      <c r="F592" t="s">
        <v>37</v>
      </c>
    </row>
    <row r="593" spans="1:6" outlineLevel="3" x14ac:dyDescent="0.25">
      <c r="A593" s="4" t="s">
        <v>421</v>
      </c>
      <c r="B593" t="s">
        <v>422</v>
      </c>
      <c r="C593" t="s">
        <v>2893</v>
      </c>
      <c r="D593" t="s">
        <v>413</v>
      </c>
      <c r="E593" t="s">
        <v>92</v>
      </c>
      <c r="F593" t="s">
        <v>37</v>
      </c>
    </row>
    <row r="594" spans="1:6" outlineLevel="3" x14ac:dyDescent="0.25">
      <c r="A594" s="4" t="s">
        <v>421</v>
      </c>
      <c r="B594" t="s">
        <v>422</v>
      </c>
      <c r="C594" t="s">
        <v>2894</v>
      </c>
      <c r="D594" t="s">
        <v>150</v>
      </c>
      <c r="E594" t="s">
        <v>92</v>
      </c>
      <c r="F594" t="s">
        <v>37</v>
      </c>
    </row>
    <row r="595" spans="1:6" outlineLevel="3" x14ac:dyDescent="0.25">
      <c r="A595" s="4" t="s">
        <v>421</v>
      </c>
      <c r="B595" t="s">
        <v>422</v>
      </c>
      <c r="C595" t="s">
        <v>2895</v>
      </c>
      <c r="D595" t="s">
        <v>250</v>
      </c>
      <c r="E595" t="s">
        <v>92</v>
      </c>
      <c r="F595" t="s">
        <v>37</v>
      </c>
    </row>
    <row r="596" spans="1:6" outlineLevel="3" x14ac:dyDescent="0.25">
      <c r="A596" s="4" t="s">
        <v>421</v>
      </c>
      <c r="B596" t="s">
        <v>422</v>
      </c>
      <c r="C596" t="s">
        <v>2896</v>
      </c>
      <c r="D596" t="s">
        <v>250</v>
      </c>
      <c r="E596" t="s">
        <v>92</v>
      </c>
      <c r="F596" t="s">
        <v>37</v>
      </c>
    </row>
    <row r="597" spans="1:6" outlineLevel="3" x14ac:dyDescent="0.25">
      <c r="A597" s="4" t="s">
        <v>421</v>
      </c>
      <c r="B597" t="s">
        <v>422</v>
      </c>
      <c r="C597" t="s">
        <v>2897</v>
      </c>
      <c r="D597" t="s">
        <v>211</v>
      </c>
      <c r="E597" t="s">
        <v>92</v>
      </c>
      <c r="F597" t="s">
        <v>37</v>
      </c>
    </row>
    <row r="598" spans="1:6" outlineLevel="3" x14ac:dyDescent="0.25">
      <c r="A598" s="4" t="s">
        <v>421</v>
      </c>
      <c r="B598" t="s">
        <v>422</v>
      </c>
      <c r="C598" t="s">
        <v>2898</v>
      </c>
      <c r="D598" t="s">
        <v>44</v>
      </c>
      <c r="E598" t="s">
        <v>92</v>
      </c>
      <c r="F598" t="s">
        <v>37</v>
      </c>
    </row>
    <row r="599" spans="1:6" outlineLevel="3" x14ac:dyDescent="0.25">
      <c r="A599" s="4" t="s">
        <v>421</v>
      </c>
      <c r="B599" t="s">
        <v>422</v>
      </c>
      <c r="C599" t="s">
        <v>2899</v>
      </c>
      <c r="D599" t="s">
        <v>165</v>
      </c>
      <c r="E599" t="s">
        <v>92</v>
      </c>
      <c r="F599" t="s">
        <v>37</v>
      </c>
    </row>
    <row r="600" spans="1:6" outlineLevel="3" x14ac:dyDescent="0.25">
      <c r="A600" s="4" t="s">
        <v>421</v>
      </c>
      <c r="B600" t="s">
        <v>422</v>
      </c>
      <c r="C600" t="s">
        <v>2900</v>
      </c>
      <c r="D600" t="s">
        <v>202</v>
      </c>
      <c r="E600" t="s">
        <v>92</v>
      </c>
      <c r="F600" t="s">
        <v>37</v>
      </c>
    </row>
    <row r="601" spans="1:6" outlineLevel="3" x14ac:dyDescent="0.25">
      <c r="A601" s="4" t="s">
        <v>421</v>
      </c>
      <c r="B601" t="s">
        <v>422</v>
      </c>
      <c r="C601" t="s">
        <v>2901</v>
      </c>
      <c r="D601" t="s">
        <v>65</v>
      </c>
      <c r="E601" t="s">
        <v>92</v>
      </c>
      <c r="F601" t="s">
        <v>37</v>
      </c>
    </row>
    <row r="602" spans="1:6" outlineLevel="3" x14ac:dyDescent="0.25">
      <c r="A602" s="4" t="s">
        <v>421</v>
      </c>
      <c r="B602" t="s">
        <v>422</v>
      </c>
      <c r="C602" t="s">
        <v>2902</v>
      </c>
      <c r="D602" t="s">
        <v>143</v>
      </c>
      <c r="E602" t="s">
        <v>92</v>
      </c>
      <c r="F602" t="s">
        <v>37</v>
      </c>
    </row>
    <row r="603" spans="1:6" outlineLevel="3" x14ac:dyDescent="0.25">
      <c r="A603" s="4" t="s">
        <v>421</v>
      </c>
      <c r="B603" t="s">
        <v>422</v>
      </c>
      <c r="C603" t="s">
        <v>2825</v>
      </c>
      <c r="D603" t="s">
        <v>1078</v>
      </c>
      <c r="E603" t="s">
        <v>302</v>
      </c>
      <c r="F603" t="s">
        <v>37</v>
      </c>
    </row>
    <row r="604" spans="1:6" outlineLevel="3" x14ac:dyDescent="0.25">
      <c r="A604" s="4" t="s">
        <v>421</v>
      </c>
      <c r="B604" t="s">
        <v>422</v>
      </c>
      <c r="C604" t="s">
        <v>2826</v>
      </c>
      <c r="D604" t="s">
        <v>429</v>
      </c>
      <c r="E604" t="s">
        <v>302</v>
      </c>
      <c r="F604" t="s">
        <v>37</v>
      </c>
    </row>
    <row r="605" spans="1:6" outlineLevel="3" x14ac:dyDescent="0.25">
      <c r="A605" s="4" t="s">
        <v>421</v>
      </c>
      <c r="B605" t="s">
        <v>422</v>
      </c>
      <c r="C605" t="s">
        <v>2827</v>
      </c>
      <c r="D605" t="s">
        <v>437</v>
      </c>
      <c r="E605" t="s">
        <v>302</v>
      </c>
      <c r="F605" t="s">
        <v>37</v>
      </c>
    </row>
    <row r="606" spans="1:6" outlineLevel="3" x14ac:dyDescent="0.25">
      <c r="A606" s="4" t="s">
        <v>421</v>
      </c>
      <c r="B606" t="s">
        <v>422</v>
      </c>
      <c r="C606" t="s">
        <v>2828</v>
      </c>
      <c r="D606" t="s">
        <v>13</v>
      </c>
      <c r="E606" t="s">
        <v>302</v>
      </c>
      <c r="F606" t="s">
        <v>37</v>
      </c>
    </row>
    <row r="607" spans="1:6" outlineLevel="3" x14ac:dyDescent="0.25">
      <c r="A607" s="4" t="s">
        <v>421</v>
      </c>
      <c r="B607" t="s">
        <v>422</v>
      </c>
      <c r="C607" t="s">
        <v>2866</v>
      </c>
      <c r="D607" t="s">
        <v>44</v>
      </c>
      <c r="E607" t="s">
        <v>161</v>
      </c>
      <c r="F607" t="s">
        <v>37</v>
      </c>
    </row>
    <row r="608" spans="1:6" outlineLevel="3" x14ac:dyDescent="0.25">
      <c r="A608" s="4" t="s">
        <v>421</v>
      </c>
      <c r="B608" t="s">
        <v>422</v>
      </c>
      <c r="C608" t="s">
        <v>2867</v>
      </c>
      <c r="D608" t="s">
        <v>126</v>
      </c>
      <c r="E608" t="s">
        <v>161</v>
      </c>
      <c r="F608" t="s">
        <v>37</v>
      </c>
    </row>
    <row r="609" spans="1:6" outlineLevel="3" x14ac:dyDescent="0.25">
      <c r="A609" s="4" t="s">
        <v>421</v>
      </c>
      <c r="B609" t="s">
        <v>422</v>
      </c>
      <c r="C609" t="s">
        <v>4092</v>
      </c>
      <c r="D609" t="s">
        <v>237</v>
      </c>
      <c r="E609" t="s">
        <v>1133</v>
      </c>
      <c r="F609" t="s">
        <v>37</v>
      </c>
    </row>
    <row r="610" spans="1:6" outlineLevel="3" x14ac:dyDescent="0.25">
      <c r="A610" s="4" t="s">
        <v>421</v>
      </c>
      <c r="B610" t="s">
        <v>422</v>
      </c>
      <c r="C610" t="s">
        <v>2903</v>
      </c>
      <c r="D610" t="s">
        <v>126</v>
      </c>
      <c r="E610" t="s">
        <v>131</v>
      </c>
      <c r="F610" t="s">
        <v>37</v>
      </c>
    </row>
    <row r="611" spans="1:6" outlineLevel="3" x14ac:dyDescent="0.25">
      <c r="A611" s="4" t="s">
        <v>421</v>
      </c>
      <c r="B611" t="s">
        <v>422</v>
      </c>
      <c r="C611" t="s">
        <v>2904</v>
      </c>
      <c r="D611" t="s">
        <v>6</v>
      </c>
      <c r="E611" t="s">
        <v>131</v>
      </c>
      <c r="F611" t="s">
        <v>37</v>
      </c>
    </row>
    <row r="612" spans="1:6" outlineLevel="3" x14ac:dyDescent="0.25">
      <c r="A612" s="4" t="s">
        <v>421</v>
      </c>
      <c r="B612" t="s">
        <v>422</v>
      </c>
      <c r="C612" t="s">
        <v>2905</v>
      </c>
      <c r="D612" t="s">
        <v>126</v>
      </c>
      <c r="E612" t="s">
        <v>131</v>
      </c>
      <c r="F612" t="s">
        <v>37</v>
      </c>
    </row>
    <row r="613" spans="1:6" outlineLevel="3" x14ac:dyDescent="0.25">
      <c r="A613" s="4" t="s">
        <v>421</v>
      </c>
      <c r="B613" t="s">
        <v>422</v>
      </c>
      <c r="C613" t="s">
        <v>1840</v>
      </c>
      <c r="D613" t="s">
        <v>165</v>
      </c>
      <c r="E613" t="s">
        <v>131</v>
      </c>
      <c r="F613" t="s">
        <v>37</v>
      </c>
    </row>
    <row r="614" spans="1:6" outlineLevel="3" x14ac:dyDescent="0.25">
      <c r="A614" s="4" t="s">
        <v>421</v>
      </c>
      <c r="B614" t="s">
        <v>422</v>
      </c>
      <c r="C614" t="s">
        <v>2906</v>
      </c>
      <c r="D614" t="s">
        <v>13</v>
      </c>
      <c r="E614" t="s">
        <v>131</v>
      </c>
      <c r="F614" t="s">
        <v>37</v>
      </c>
    </row>
    <row r="615" spans="1:6" outlineLevel="3" x14ac:dyDescent="0.25">
      <c r="A615" s="4" t="s">
        <v>421</v>
      </c>
      <c r="B615" t="s">
        <v>422</v>
      </c>
      <c r="C615" t="s">
        <v>2907</v>
      </c>
      <c r="D615" t="s">
        <v>6</v>
      </c>
      <c r="E615" t="s">
        <v>131</v>
      </c>
      <c r="F615" t="s">
        <v>37</v>
      </c>
    </row>
    <row r="616" spans="1:6" outlineLevel="3" x14ac:dyDescent="0.25">
      <c r="A616" s="4" t="s">
        <v>421</v>
      </c>
      <c r="B616" t="s">
        <v>422</v>
      </c>
      <c r="C616" t="s">
        <v>2908</v>
      </c>
      <c r="D616" t="s">
        <v>126</v>
      </c>
      <c r="E616" t="s">
        <v>131</v>
      </c>
      <c r="F616" t="s">
        <v>37</v>
      </c>
    </row>
    <row r="617" spans="1:6" outlineLevel="3" x14ac:dyDescent="0.25">
      <c r="A617" s="4" t="s">
        <v>421</v>
      </c>
      <c r="B617" t="s">
        <v>422</v>
      </c>
      <c r="C617" t="s">
        <v>2909</v>
      </c>
      <c r="D617" t="s">
        <v>65</v>
      </c>
      <c r="E617" t="s">
        <v>131</v>
      </c>
      <c r="F617" t="s">
        <v>37</v>
      </c>
    </row>
    <row r="618" spans="1:6" outlineLevel="3" x14ac:dyDescent="0.25">
      <c r="A618" s="4" t="s">
        <v>421</v>
      </c>
      <c r="B618" t="s">
        <v>422</v>
      </c>
      <c r="C618" t="s">
        <v>2910</v>
      </c>
      <c r="D618" t="s">
        <v>78</v>
      </c>
      <c r="E618" t="s">
        <v>131</v>
      </c>
      <c r="F618" t="s">
        <v>37</v>
      </c>
    </row>
    <row r="619" spans="1:6" outlineLevel="3" x14ac:dyDescent="0.25">
      <c r="A619" s="4" t="s">
        <v>421</v>
      </c>
      <c r="B619" t="s">
        <v>422</v>
      </c>
      <c r="C619" t="s">
        <v>1841</v>
      </c>
      <c r="D619" t="s">
        <v>119</v>
      </c>
      <c r="E619" t="s">
        <v>131</v>
      </c>
      <c r="F619" t="s">
        <v>37</v>
      </c>
    </row>
    <row r="620" spans="1:6" outlineLevel="3" x14ac:dyDescent="0.25">
      <c r="A620" s="4" t="s">
        <v>421</v>
      </c>
      <c r="B620" t="s">
        <v>422</v>
      </c>
      <c r="C620" t="s">
        <v>2911</v>
      </c>
      <c r="D620" t="s">
        <v>78</v>
      </c>
      <c r="E620" t="s">
        <v>131</v>
      </c>
      <c r="F620" t="s">
        <v>37</v>
      </c>
    </row>
    <row r="621" spans="1:6" outlineLevel="3" x14ac:dyDescent="0.25">
      <c r="A621" s="4" t="s">
        <v>421</v>
      </c>
      <c r="B621" t="s">
        <v>422</v>
      </c>
      <c r="C621" t="s">
        <v>1842</v>
      </c>
      <c r="D621" t="s">
        <v>119</v>
      </c>
      <c r="E621" t="s">
        <v>131</v>
      </c>
      <c r="F621" t="s">
        <v>37</v>
      </c>
    </row>
    <row r="622" spans="1:6" outlineLevel="3" x14ac:dyDescent="0.25">
      <c r="A622" s="4" t="s">
        <v>421</v>
      </c>
      <c r="B622" t="s">
        <v>422</v>
      </c>
      <c r="C622" t="s">
        <v>2912</v>
      </c>
      <c r="D622" t="s">
        <v>437</v>
      </c>
      <c r="E622" t="s">
        <v>131</v>
      </c>
      <c r="F622" t="s">
        <v>37</v>
      </c>
    </row>
    <row r="623" spans="1:6" outlineLevel="3" x14ac:dyDescent="0.25">
      <c r="A623" s="4" t="s">
        <v>421</v>
      </c>
      <c r="B623" t="s">
        <v>422</v>
      </c>
      <c r="C623" t="s">
        <v>2913</v>
      </c>
      <c r="D623" t="s">
        <v>76</v>
      </c>
      <c r="E623" t="s">
        <v>131</v>
      </c>
      <c r="F623" t="s">
        <v>37</v>
      </c>
    </row>
    <row r="624" spans="1:6" outlineLevel="3" x14ac:dyDescent="0.25">
      <c r="A624" s="4" t="s">
        <v>421</v>
      </c>
      <c r="B624" t="s">
        <v>422</v>
      </c>
      <c r="C624" t="s">
        <v>2914</v>
      </c>
      <c r="D624" t="s">
        <v>6</v>
      </c>
      <c r="E624" t="s">
        <v>131</v>
      </c>
      <c r="F624" t="s">
        <v>37</v>
      </c>
    </row>
    <row r="625" spans="1:6" outlineLevel="3" x14ac:dyDescent="0.25">
      <c r="A625" s="4" t="s">
        <v>421</v>
      </c>
      <c r="B625" t="s">
        <v>422</v>
      </c>
      <c r="C625" t="s">
        <v>2915</v>
      </c>
      <c r="D625" t="s">
        <v>67</v>
      </c>
      <c r="E625" t="s">
        <v>131</v>
      </c>
      <c r="F625" t="s">
        <v>37</v>
      </c>
    </row>
    <row r="626" spans="1:6" outlineLevel="3" x14ac:dyDescent="0.25">
      <c r="A626" s="4" t="s">
        <v>421</v>
      </c>
      <c r="B626" t="s">
        <v>422</v>
      </c>
      <c r="C626" t="s">
        <v>2916</v>
      </c>
      <c r="D626" t="s">
        <v>13</v>
      </c>
      <c r="E626" t="s">
        <v>131</v>
      </c>
      <c r="F626" t="s">
        <v>37</v>
      </c>
    </row>
    <row r="627" spans="1:6" outlineLevel="3" x14ac:dyDescent="0.25">
      <c r="A627" s="4" t="s">
        <v>421</v>
      </c>
      <c r="B627" t="s">
        <v>422</v>
      </c>
      <c r="C627" t="s">
        <v>2917</v>
      </c>
      <c r="D627" t="s">
        <v>6</v>
      </c>
      <c r="E627" t="s">
        <v>131</v>
      </c>
      <c r="F627" t="s">
        <v>37</v>
      </c>
    </row>
    <row r="628" spans="1:6" outlineLevel="3" x14ac:dyDescent="0.25">
      <c r="A628" s="4" t="s">
        <v>421</v>
      </c>
      <c r="B628" t="s">
        <v>422</v>
      </c>
      <c r="C628" t="s">
        <v>2918</v>
      </c>
      <c r="D628" t="s">
        <v>13</v>
      </c>
      <c r="E628" t="s">
        <v>131</v>
      </c>
      <c r="F628" t="s">
        <v>37</v>
      </c>
    </row>
    <row r="629" spans="1:6" outlineLevel="3" x14ac:dyDescent="0.25">
      <c r="A629" s="4" t="s">
        <v>421</v>
      </c>
      <c r="B629" t="s">
        <v>422</v>
      </c>
      <c r="C629" t="s">
        <v>1843</v>
      </c>
      <c r="D629" t="s">
        <v>119</v>
      </c>
      <c r="E629" t="s">
        <v>131</v>
      </c>
      <c r="F629" t="s">
        <v>37</v>
      </c>
    </row>
    <row r="630" spans="1:6" outlineLevel="3" x14ac:dyDescent="0.25">
      <c r="A630" s="4" t="s">
        <v>421</v>
      </c>
      <c r="B630" t="s">
        <v>422</v>
      </c>
      <c r="C630" t="s">
        <v>2919</v>
      </c>
      <c r="D630" t="s">
        <v>126</v>
      </c>
      <c r="E630" t="s">
        <v>131</v>
      </c>
      <c r="F630" t="s">
        <v>37</v>
      </c>
    </row>
    <row r="631" spans="1:6" outlineLevel="3" x14ac:dyDescent="0.25">
      <c r="A631" s="4" t="s">
        <v>421</v>
      </c>
      <c r="B631" t="s">
        <v>422</v>
      </c>
      <c r="C631" t="s">
        <v>2920</v>
      </c>
      <c r="D631" t="s">
        <v>76</v>
      </c>
      <c r="E631" t="s">
        <v>131</v>
      </c>
      <c r="F631" t="s">
        <v>37</v>
      </c>
    </row>
    <row r="632" spans="1:6" outlineLevel="3" x14ac:dyDescent="0.25">
      <c r="A632" s="4" t="s">
        <v>421</v>
      </c>
      <c r="B632" t="s">
        <v>422</v>
      </c>
      <c r="C632" t="s">
        <v>2921</v>
      </c>
      <c r="D632" t="s">
        <v>13</v>
      </c>
      <c r="E632" t="s">
        <v>131</v>
      </c>
      <c r="F632" t="s">
        <v>37</v>
      </c>
    </row>
    <row r="633" spans="1:6" outlineLevel="3" x14ac:dyDescent="0.25">
      <c r="A633" s="4" t="s">
        <v>421</v>
      </c>
      <c r="B633" t="s">
        <v>422</v>
      </c>
      <c r="C633" t="s">
        <v>2922</v>
      </c>
      <c r="D633" t="s">
        <v>237</v>
      </c>
      <c r="E633" t="s">
        <v>131</v>
      </c>
      <c r="F633" t="s">
        <v>37</v>
      </c>
    </row>
    <row r="634" spans="1:6" outlineLevel="3" x14ac:dyDescent="0.25">
      <c r="A634" s="4" t="s">
        <v>421</v>
      </c>
      <c r="B634" t="s">
        <v>422</v>
      </c>
      <c r="C634" t="s">
        <v>2923</v>
      </c>
      <c r="D634" t="s">
        <v>13</v>
      </c>
      <c r="E634" t="s">
        <v>131</v>
      </c>
      <c r="F634" t="s">
        <v>37</v>
      </c>
    </row>
    <row r="635" spans="1:6" outlineLevel="3" x14ac:dyDescent="0.25">
      <c r="A635" s="4" t="s">
        <v>421</v>
      </c>
      <c r="B635" t="s">
        <v>422</v>
      </c>
      <c r="C635" t="s">
        <v>2924</v>
      </c>
      <c r="D635" t="s">
        <v>437</v>
      </c>
      <c r="E635" t="s">
        <v>131</v>
      </c>
      <c r="F635" t="s">
        <v>37</v>
      </c>
    </row>
    <row r="636" spans="1:6" outlineLevel="3" x14ac:dyDescent="0.25">
      <c r="A636" s="4" t="s">
        <v>421</v>
      </c>
      <c r="B636" t="s">
        <v>422</v>
      </c>
      <c r="C636" t="s">
        <v>2925</v>
      </c>
      <c r="D636" t="s">
        <v>13</v>
      </c>
      <c r="E636" t="s">
        <v>131</v>
      </c>
      <c r="F636" t="s">
        <v>37</v>
      </c>
    </row>
    <row r="637" spans="1:6" outlineLevel="3" x14ac:dyDescent="0.25">
      <c r="A637" s="4" t="s">
        <v>421</v>
      </c>
      <c r="B637" t="s">
        <v>422</v>
      </c>
      <c r="C637" t="s">
        <v>2926</v>
      </c>
      <c r="D637" t="s">
        <v>437</v>
      </c>
      <c r="E637" t="s">
        <v>131</v>
      </c>
      <c r="F637" t="s">
        <v>37</v>
      </c>
    </row>
    <row r="638" spans="1:6" outlineLevel="3" x14ac:dyDescent="0.25">
      <c r="A638" s="4" t="s">
        <v>421</v>
      </c>
      <c r="B638" t="s">
        <v>422</v>
      </c>
      <c r="C638" t="s">
        <v>2927</v>
      </c>
      <c r="D638" t="s">
        <v>202</v>
      </c>
      <c r="E638" t="s">
        <v>131</v>
      </c>
      <c r="F638" t="s">
        <v>37</v>
      </c>
    </row>
    <row r="639" spans="1:6" outlineLevel="3" x14ac:dyDescent="0.25">
      <c r="A639" s="4" t="s">
        <v>421</v>
      </c>
      <c r="B639" t="s">
        <v>422</v>
      </c>
      <c r="C639" t="s">
        <v>1844</v>
      </c>
      <c r="D639" t="s">
        <v>119</v>
      </c>
      <c r="E639" t="s">
        <v>131</v>
      </c>
      <c r="F639" t="s">
        <v>37</v>
      </c>
    </row>
    <row r="640" spans="1:6" outlineLevel="3" x14ac:dyDescent="0.25">
      <c r="A640" s="4" t="s">
        <v>421</v>
      </c>
      <c r="B640" t="s">
        <v>422</v>
      </c>
      <c r="C640" t="s">
        <v>2928</v>
      </c>
      <c r="D640" t="s">
        <v>78</v>
      </c>
      <c r="E640" t="s">
        <v>131</v>
      </c>
      <c r="F640" t="s">
        <v>37</v>
      </c>
    </row>
    <row r="641" spans="1:6" outlineLevel="3" x14ac:dyDescent="0.25">
      <c r="A641" s="4" t="s">
        <v>421</v>
      </c>
      <c r="B641" t="s">
        <v>422</v>
      </c>
      <c r="C641" t="s">
        <v>1845</v>
      </c>
      <c r="D641" t="s">
        <v>119</v>
      </c>
      <c r="E641" t="s">
        <v>131</v>
      </c>
      <c r="F641" t="s">
        <v>37</v>
      </c>
    </row>
    <row r="642" spans="1:6" outlineLevel="3" x14ac:dyDescent="0.25">
      <c r="A642" s="4" t="s">
        <v>421</v>
      </c>
      <c r="B642" t="s">
        <v>422</v>
      </c>
      <c r="C642" t="s">
        <v>2929</v>
      </c>
      <c r="D642" t="s">
        <v>126</v>
      </c>
      <c r="E642" t="s">
        <v>131</v>
      </c>
      <c r="F642" t="s">
        <v>37</v>
      </c>
    </row>
    <row r="643" spans="1:6" outlineLevel="3" x14ac:dyDescent="0.25">
      <c r="A643" s="4" t="s">
        <v>421</v>
      </c>
      <c r="B643" t="s">
        <v>422</v>
      </c>
      <c r="C643" t="s">
        <v>2930</v>
      </c>
      <c r="D643" t="s">
        <v>67</v>
      </c>
      <c r="E643" t="s">
        <v>131</v>
      </c>
      <c r="F643" t="s">
        <v>37</v>
      </c>
    </row>
    <row r="644" spans="1:6" outlineLevel="3" x14ac:dyDescent="0.25">
      <c r="A644" s="4" t="s">
        <v>421</v>
      </c>
      <c r="B644" t="s">
        <v>422</v>
      </c>
      <c r="C644" t="s">
        <v>2931</v>
      </c>
      <c r="D644" t="s">
        <v>13</v>
      </c>
      <c r="E644" t="s">
        <v>131</v>
      </c>
      <c r="F644" t="s">
        <v>37</v>
      </c>
    </row>
    <row r="645" spans="1:6" outlineLevel="3" x14ac:dyDescent="0.25">
      <c r="A645" s="4" t="s">
        <v>421</v>
      </c>
      <c r="B645" t="s">
        <v>422</v>
      </c>
      <c r="C645" t="s">
        <v>2932</v>
      </c>
      <c r="D645" t="s">
        <v>76</v>
      </c>
      <c r="E645" t="s">
        <v>131</v>
      </c>
      <c r="F645" t="s">
        <v>37</v>
      </c>
    </row>
    <row r="646" spans="1:6" outlineLevel="3" x14ac:dyDescent="0.25">
      <c r="A646" s="4" t="s">
        <v>421</v>
      </c>
      <c r="B646" t="s">
        <v>422</v>
      </c>
      <c r="C646" t="s">
        <v>2933</v>
      </c>
      <c r="D646" t="s">
        <v>78</v>
      </c>
      <c r="E646" t="s">
        <v>131</v>
      </c>
      <c r="F646" t="s">
        <v>37</v>
      </c>
    </row>
    <row r="647" spans="1:6" outlineLevel="3" x14ac:dyDescent="0.25">
      <c r="A647" s="4" t="s">
        <v>421</v>
      </c>
      <c r="B647" t="s">
        <v>422</v>
      </c>
      <c r="C647" t="s">
        <v>2934</v>
      </c>
      <c r="D647" t="s">
        <v>202</v>
      </c>
      <c r="E647" t="s">
        <v>131</v>
      </c>
      <c r="F647" t="s">
        <v>37</v>
      </c>
    </row>
    <row r="648" spans="1:6" outlineLevel="3" x14ac:dyDescent="0.25">
      <c r="A648" s="4" t="s">
        <v>421</v>
      </c>
      <c r="B648" t="s">
        <v>422</v>
      </c>
      <c r="C648" t="s">
        <v>2935</v>
      </c>
      <c r="D648" t="s">
        <v>126</v>
      </c>
      <c r="E648" t="s">
        <v>131</v>
      </c>
      <c r="F648" t="s">
        <v>37</v>
      </c>
    </row>
    <row r="649" spans="1:6" outlineLevel="3" x14ac:dyDescent="0.25">
      <c r="A649" s="4" t="s">
        <v>421</v>
      </c>
      <c r="B649" t="s">
        <v>422</v>
      </c>
      <c r="C649" t="s">
        <v>2936</v>
      </c>
      <c r="D649" t="s">
        <v>124</v>
      </c>
      <c r="E649" t="s">
        <v>131</v>
      </c>
      <c r="F649" t="s">
        <v>37</v>
      </c>
    </row>
    <row r="650" spans="1:6" outlineLevel="3" x14ac:dyDescent="0.25">
      <c r="A650" s="4" t="s">
        <v>421</v>
      </c>
      <c r="B650" t="s">
        <v>422</v>
      </c>
      <c r="C650" t="s">
        <v>2937</v>
      </c>
      <c r="D650" t="s">
        <v>126</v>
      </c>
      <c r="E650" t="s">
        <v>131</v>
      </c>
      <c r="F650" t="s">
        <v>37</v>
      </c>
    </row>
    <row r="651" spans="1:6" outlineLevel="3" x14ac:dyDescent="0.25">
      <c r="A651" s="4" t="s">
        <v>421</v>
      </c>
      <c r="B651" t="s">
        <v>422</v>
      </c>
      <c r="C651" t="s">
        <v>2938</v>
      </c>
      <c r="D651" t="s">
        <v>76</v>
      </c>
      <c r="E651" t="s">
        <v>131</v>
      </c>
      <c r="F651" t="s">
        <v>37</v>
      </c>
    </row>
    <row r="652" spans="1:6" outlineLevel="3" x14ac:dyDescent="0.25">
      <c r="A652" s="4" t="s">
        <v>421</v>
      </c>
      <c r="B652" t="s">
        <v>422</v>
      </c>
      <c r="C652" t="s">
        <v>2939</v>
      </c>
      <c r="D652" t="s">
        <v>13</v>
      </c>
      <c r="E652" t="s">
        <v>131</v>
      </c>
      <c r="F652" t="s">
        <v>37</v>
      </c>
    </row>
    <row r="653" spans="1:6" outlineLevel="3" x14ac:dyDescent="0.25">
      <c r="A653" s="4" t="s">
        <v>421</v>
      </c>
      <c r="B653" t="s">
        <v>422</v>
      </c>
      <c r="C653" t="s">
        <v>1846</v>
      </c>
      <c r="D653" t="s">
        <v>437</v>
      </c>
      <c r="E653" t="s">
        <v>131</v>
      </c>
      <c r="F653" t="s">
        <v>37</v>
      </c>
    </row>
    <row r="654" spans="1:6" outlineLevel="3" x14ac:dyDescent="0.25">
      <c r="A654" s="4" t="s">
        <v>421</v>
      </c>
      <c r="B654" t="s">
        <v>422</v>
      </c>
      <c r="C654" t="s">
        <v>1847</v>
      </c>
      <c r="D654" t="s">
        <v>126</v>
      </c>
      <c r="E654" t="s">
        <v>131</v>
      </c>
      <c r="F654" t="s">
        <v>37</v>
      </c>
    </row>
    <row r="655" spans="1:6" outlineLevel="3" x14ac:dyDescent="0.25">
      <c r="A655" s="4" t="s">
        <v>421</v>
      </c>
      <c r="B655" t="s">
        <v>422</v>
      </c>
      <c r="C655" t="s">
        <v>1848</v>
      </c>
      <c r="D655" t="s">
        <v>437</v>
      </c>
      <c r="E655" t="s">
        <v>131</v>
      </c>
      <c r="F655" t="s">
        <v>37</v>
      </c>
    </row>
    <row r="656" spans="1:6" outlineLevel="3" x14ac:dyDescent="0.25">
      <c r="A656" s="4" t="s">
        <v>421</v>
      </c>
      <c r="B656" t="s">
        <v>422</v>
      </c>
      <c r="C656" t="s">
        <v>1849</v>
      </c>
      <c r="D656" t="s">
        <v>126</v>
      </c>
      <c r="E656" t="s">
        <v>131</v>
      </c>
      <c r="F656" t="s">
        <v>37</v>
      </c>
    </row>
    <row r="657" spans="1:6" outlineLevel="3" x14ac:dyDescent="0.25">
      <c r="A657" s="4" t="s">
        <v>421</v>
      </c>
      <c r="B657" t="s">
        <v>422</v>
      </c>
      <c r="C657" t="s">
        <v>2940</v>
      </c>
      <c r="D657" t="s">
        <v>437</v>
      </c>
      <c r="E657" t="s">
        <v>131</v>
      </c>
      <c r="F657" t="s">
        <v>37</v>
      </c>
    </row>
    <row r="658" spans="1:6" outlineLevel="3" x14ac:dyDescent="0.25">
      <c r="A658" s="4" t="s">
        <v>421</v>
      </c>
      <c r="B658" t="s">
        <v>422</v>
      </c>
      <c r="C658" t="s">
        <v>1753</v>
      </c>
      <c r="D658" t="s">
        <v>13</v>
      </c>
      <c r="E658" t="s">
        <v>131</v>
      </c>
      <c r="F658" t="s">
        <v>37</v>
      </c>
    </row>
    <row r="659" spans="1:6" outlineLevel="3" x14ac:dyDescent="0.25">
      <c r="A659" s="4" t="s">
        <v>421</v>
      </c>
      <c r="B659" t="s">
        <v>422</v>
      </c>
      <c r="C659" t="s">
        <v>2941</v>
      </c>
      <c r="D659" t="s">
        <v>165</v>
      </c>
      <c r="E659" t="s">
        <v>131</v>
      </c>
      <c r="F659" t="s">
        <v>37</v>
      </c>
    </row>
    <row r="660" spans="1:6" outlineLevel="3" x14ac:dyDescent="0.25">
      <c r="A660" s="4" t="s">
        <v>421</v>
      </c>
      <c r="B660" t="s">
        <v>422</v>
      </c>
      <c r="C660" t="s">
        <v>1850</v>
      </c>
      <c r="D660" t="s">
        <v>126</v>
      </c>
      <c r="E660" t="s">
        <v>131</v>
      </c>
      <c r="F660" t="s">
        <v>37</v>
      </c>
    </row>
    <row r="661" spans="1:6" outlineLevel="3" x14ac:dyDescent="0.25">
      <c r="A661" s="4" t="s">
        <v>421</v>
      </c>
      <c r="B661" t="s">
        <v>422</v>
      </c>
      <c r="C661" t="s">
        <v>2942</v>
      </c>
      <c r="D661" t="s">
        <v>202</v>
      </c>
      <c r="E661" t="s">
        <v>131</v>
      </c>
      <c r="F661" t="s">
        <v>37</v>
      </c>
    </row>
    <row r="662" spans="1:6" outlineLevel="3" x14ac:dyDescent="0.25">
      <c r="A662" s="4" t="s">
        <v>421</v>
      </c>
      <c r="B662" t="s">
        <v>422</v>
      </c>
      <c r="C662" t="s">
        <v>2943</v>
      </c>
      <c r="D662" t="s">
        <v>126</v>
      </c>
      <c r="E662" t="s">
        <v>131</v>
      </c>
      <c r="F662" t="s">
        <v>37</v>
      </c>
    </row>
    <row r="663" spans="1:6" outlineLevel="3" x14ac:dyDescent="0.25">
      <c r="A663" s="4" t="s">
        <v>421</v>
      </c>
      <c r="B663" t="s">
        <v>422</v>
      </c>
      <c r="C663" t="s">
        <v>2944</v>
      </c>
      <c r="D663" t="s">
        <v>165</v>
      </c>
      <c r="E663" t="s">
        <v>131</v>
      </c>
      <c r="F663" t="s">
        <v>37</v>
      </c>
    </row>
    <row r="664" spans="1:6" outlineLevel="3" x14ac:dyDescent="0.25">
      <c r="A664" s="4" t="s">
        <v>421</v>
      </c>
      <c r="B664" t="s">
        <v>422</v>
      </c>
      <c r="C664" t="s">
        <v>2945</v>
      </c>
      <c r="D664" t="s">
        <v>126</v>
      </c>
      <c r="E664" t="s">
        <v>131</v>
      </c>
      <c r="F664" t="s">
        <v>37</v>
      </c>
    </row>
    <row r="665" spans="1:6" outlineLevel="3" x14ac:dyDescent="0.25">
      <c r="A665" s="4" t="s">
        <v>421</v>
      </c>
      <c r="B665" t="s">
        <v>422</v>
      </c>
      <c r="C665" t="s">
        <v>2946</v>
      </c>
      <c r="D665" t="s">
        <v>435</v>
      </c>
      <c r="E665" t="s">
        <v>131</v>
      </c>
      <c r="F665" t="s">
        <v>37</v>
      </c>
    </row>
    <row r="666" spans="1:6" outlineLevel="3" x14ac:dyDescent="0.25">
      <c r="A666" s="4" t="s">
        <v>421</v>
      </c>
      <c r="B666" t="s">
        <v>422</v>
      </c>
      <c r="C666" t="s">
        <v>2947</v>
      </c>
      <c r="D666" t="s">
        <v>13</v>
      </c>
      <c r="E666" t="s">
        <v>131</v>
      </c>
      <c r="F666" t="s">
        <v>37</v>
      </c>
    </row>
    <row r="667" spans="1:6" outlineLevel="3" x14ac:dyDescent="0.25">
      <c r="A667" s="4" t="s">
        <v>421</v>
      </c>
      <c r="B667" t="s">
        <v>422</v>
      </c>
      <c r="C667" t="s">
        <v>2948</v>
      </c>
      <c r="D667" t="s">
        <v>190</v>
      </c>
      <c r="E667" t="s">
        <v>131</v>
      </c>
      <c r="F667" t="s">
        <v>37</v>
      </c>
    </row>
    <row r="668" spans="1:6" outlineLevel="3" x14ac:dyDescent="0.25">
      <c r="A668" s="4" t="s">
        <v>421</v>
      </c>
      <c r="B668" t="s">
        <v>422</v>
      </c>
      <c r="C668" t="s">
        <v>2949</v>
      </c>
      <c r="D668" t="s">
        <v>126</v>
      </c>
      <c r="E668" t="s">
        <v>131</v>
      </c>
      <c r="F668" t="s">
        <v>37</v>
      </c>
    </row>
    <row r="669" spans="1:6" outlineLevel="3" x14ac:dyDescent="0.25">
      <c r="A669" s="4" t="s">
        <v>421</v>
      </c>
      <c r="B669" t="s">
        <v>422</v>
      </c>
      <c r="C669" t="s">
        <v>2950</v>
      </c>
      <c r="D669" t="s">
        <v>76</v>
      </c>
      <c r="E669" t="s">
        <v>131</v>
      </c>
      <c r="F669" t="s">
        <v>37</v>
      </c>
    </row>
    <row r="670" spans="1:6" outlineLevel="3" x14ac:dyDescent="0.25">
      <c r="A670" s="4" t="s">
        <v>421</v>
      </c>
      <c r="B670" t="s">
        <v>422</v>
      </c>
      <c r="C670" t="s">
        <v>2951</v>
      </c>
      <c r="D670" t="s">
        <v>13</v>
      </c>
      <c r="E670" t="s">
        <v>131</v>
      </c>
      <c r="F670" t="s">
        <v>37</v>
      </c>
    </row>
    <row r="671" spans="1:6" outlineLevel="3" x14ac:dyDescent="0.25">
      <c r="A671" s="4" t="s">
        <v>421</v>
      </c>
      <c r="B671" t="s">
        <v>422</v>
      </c>
      <c r="C671" t="s">
        <v>2952</v>
      </c>
      <c r="D671" t="s">
        <v>6</v>
      </c>
      <c r="E671" t="s">
        <v>131</v>
      </c>
      <c r="F671" t="s">
        <v>37</v>
      </c>
    </row>
    <row r="672" spans="1:6" outlineLevel="3" x14ac:dyDescent="0.25">
      <c r="A672" s="4" t="s">
        <v>421</v>
      </c>
      <c r="B672" t="s">
        <v>422</v>
      </c>
      <c r="C672" t="s">
        <v>2953</v>
      </c>
      <c r="D672" t="s">
        <v>126</v>
      </c>
      <c r="E672" t="s">
        <v>131</v>
      </c>
      <c r="F672" t="s">
        <v>37</v>
      </c>
    </row>
    <row r="673" spans="1:6" outlineLevel="3" x14ac:dyDescent="0.25">
      <c r="A673" s="4" t="s">
        <v>421</v>
      </c>
      <c r="B673" t="s">
        <v>422</v>
      </c>
      <c r="C673" t="s">
        <v>2954</v>
      </c>
      <c r="D673" t="s">
        <v>76</v>
      </c>
      <c r="E673" t="s">
        <v>131</v>
      </c>
      <c r="F673" t="s">
        <v>37</v>
      </c>
    </row>
    <row r="674" spans="1:6" outlineLevel="3" x14ac:dyDescent="0.25">
      <c r="A674" s="4" t="s">
        <v>421</v>
      </c>
      <c r="B674" t="s">
        <v>422</v>
      </c>
      <c r="C674" t="s">
        <v>2955</v>
      </c>
      <c r="D674" t="s">
        <v>126</v>
      </c>
      <c r="E674" t="s">
        <v>131</v>
      </c>
      <c r="F674" t="s">
        <v>37</v>
      </c>
    </row>
    <row r="675" spans="1:6" outlineLevel="3" x14ac:dyDescent="0.25">
      <c r="A675" s="4" t="s">
        <v>421</v>
      </c>
      <c r="B675" t="s">
        <v>422</v>
      </c>
      <c r="C675" t="s">
        <v>2956</v>
      </c>
      <c r="D675" t="s">
        <v>165</v>
      </c>
      <c r="E675" t="s">
        <v>131</v>
      </c>
      <c r="F675" t="s">
        <v>37</v>
      </c>
    </row>
    <row r="676" spans="1:6" outlineLevel="3" x14ac:dyDescent="0.25">
      <c r="A676" s="4" t="s">
        <v>421</v>
      </c>
      <c r="B676" t="s">
        <v>422</v>
      </c>
      <c r="C676" t="s">
        <v>2957</v>
      </c>
      <c r="D676" t="s">
        <v>202</v>
      </c>
      <c r="E676" t="s">
        <v>131</v>
      </c>
      <c r="F676" t="s">
        <v>37</v>
      </c>
    </row>
    <row r="677" spans="1:6" outlineLevel="3" x14ac:dyDescent="0.25">
      <c r="A677" s="4" t="s">
        <v>421</v>
      </c>
      <c r="B677" t="s">
        <v>422</v>
      </c>
      <c r="C677" t="s">
        <v>2958</v>
      </c>
      <c r="D677" t="s">
        <v>435</v>
      </c>
      <c r="E677" t="s">
        <v>131</v>
      </c>
      <c r="F677" t="s">
        <v>37</v>
      </c>
    </row>
    <row r="678" spans="1:6" outlineLevel="3" x14ac:dyDescent="0.25">
      <c r="A678" s="4" t="s">
        <v>421</v>
      </c>
      <c r="B678" t="s">
        <v>422</v>
      </c>
      <c r="C678" t="s">
        <v>2959</v>
      </c>
      <c r="D678" t="s">
        <v>202</v>
      </c>
      <c r="E678" t="s">
        <v>131</v>
      </c>
      <c r="F678" t="s">
        <v>37</v>
      </c>
    </row>
    <row r="679" spans="1:6" outlineLevel="3" x14ac:dyDescent="0.25">
      <c r="A679" s="4" t="s">
        <v>421</v>
      </c>
      <c r="B679" t="s">
        <v>422</v>
      </c>
      <c r="C679" t="s">
        <v>2960</v>
      </c>
      <c r="D679" t="s">
        <v>768</v>
      </c>
      <c r="E679" t="s">
        <v>131</v>
      </c>
      <c r="F679" t="s">
        <v>37</v>
      </c>
    </row>
    <row r="680" spans="1:6" outlineLevel="3" x14ac:dyDescent="0.25">
      <c r="A680" s="4" t="s">
        <v>421</v>
      </c>
      <c r="B680" t="s">
        <v>422</v>
      </c>
      <c r="C680" t="s">
        <v>2961</v>
      </c>
      <c r="D680" t="s">
        <v>78</v>
      </c>
      <c r="E680" t="s">
        <v>131</v>
      </c>
      <c r="F680" t="s">
        <v>37</v>
      </c>
    </row>
    <row r="681" spans="1:6" outlineLevel="3" x14ac:dyDescent="0.25">
      <c r="A681" s="4" t="s">
        <v>421</v>
      </c>
      <c r="B681" t="s">
        <v>422</v>
      </c>
      <c r="C681" t="s">
        <v>1851</v>
      </c>
      <c r="D681" t="s">
        <v>165</v>
      </c>
      <c r="E681" t="s">
        <v>131</v>
      </c>
      <c r="F681" t="s">
        <v>37</v>
      </c>
    </row>
    <row r="682" spans="1:6" outlineLevel="3" x14ac:dyDescent="0.25">
      <c r="A682" s="4" t="s">
        <v>421</v>
      </c>
      <c r="B682" t="s">
        <v>422</v>
      </c>
      <c r="C682" t="s">
        <v>2962</v>
      </c>
      <c r="D682" t="s">
        <v>13</v>
      </c>
      <c r="E682" t="s">
        <v>131</v>
      </c>
      <c r="F682" t="s">
        <v>37</v>
      </c>
    </row>
    <row r="683" spans="1:6" outlineLevel="3" x14ac:dyDescent="0.25">
      <c r="A683" s="4" t="s">
        <v>421</v>
      </c>
      <c r="B683" t="s">
        <v>422</v>
      </c>
      <c r="C683" t="s">
        <v>2963</v>
      </c>
      <c r="D683" t="s">
        <v>435</v>
      </c>
      <c r="E683" t="s">
        <v>131</v>
      </c>
      <c r="F683" t="s">
        <v>37</v>
      </c>
    </row>
    <row r="684" spans="1:6" outlineLevel="3" x14ac:dyDescent="0.25">
      <c r="A684" s="4" t="s">
        <v>421</v>
      </c>
      <c r="B684" t="s">
        <v>422</v>
      </c>
      <c r="C684" t="s">
        <v>2964</v>
      </c>
      <c r="D684" t="s">
        <v>13</v>
      </c>
      <c r="E684" t="s">
        <v>131</v>
      </c>
      <c r="F684" t="s">
        <v>37</v>
      </c>
    </row>
    <row r="685" spans="1:6" outlineLevel="3" x14ac:dyDescent="0.25">
      <c r="A685" s="4" t="s">
        <v>421</v>
      </c>
      <c r="B685" t="s">
        <v>422</v>
      </c>
      <c r="C685" t="s">
        <v>1852</v>
      </c>
      <c r="D685" t="s">
        <v>119</v>
      </c>
      <c r="E685" t="s">
        <v>131</v>
      </c>
      <c r="F685" t="s">
        <v>37</v>
      </c>
    </row>
    <row r="686" spans="1:6" outlineLevel="3" x14ac:dyDescent="0.25">
      <c r="A686" s="4" t="s">
        <v>421</v>
      </c>
      <c r="B686" t="s">
        <v>422</v>
      </c>
      <c r="C686" t="s">
        <v>1754</v>
      </c>
      <c r="D686" t="s">
        <v>126</v>
      </c>
      <c r="E686" t="s">
        <v>131</v>
      </c>
      <c r="F686" t="s">
        <v>37</v>
      </c>
    </row>
    <row r="687" spans="1:6" outlineLevel="3" x14ac:dyDescent="0.25">
      <c r="A687" s="4" t="s">
        <v>421</v>
      </c>
      <c r="B687" t="s">
        <v>422</v>
      </c>
      <c r="C687" t="s">
        <v>2965</v>
      </c>
      <c r="D687" t="s">
        <v>437</v>
      </c>
      <c r="E687" t="s">
        <v>131</v>
      </c>
      <c r="F687" t="s">
        <v>37</v>
      </c>
    </row>
    <row r="688" spans="1:6" outlineLevel="3" x14ac:dyDescent="0.25">
      <c r="A688" s="4" t="s">
        <v>421</v>
      </c>
      <c r="B688" t="s">
        <v>422</v>
      </c>
      <c r="C688" t="s">
        <v>2966</v>
      </c>
      <c r="D688" t="s">
        <v>13</v>
      </c>
      <c r="E688" t="s">
        <v>131</v>
      </c>
      <c r="F688" t="s">
        <v>37</v>
      </c>
    </row>
    <row r="689" spans="1:6" outlineLevel="3" x14ac:dyDescent="0.25">
      <c r="A689" s="4" t="s">
        <v>421</v>
      </c>
      <c r="B689" t="s">
        <v>422</v>
      </c>
      <c r="C689" t="s">
        <v>2967</v>
      </c>
      <c r="D689" t="s">
        <v>6</v>
      </c>
      <c r="E689" t="s">
        <v>131</v>
      </c>
      <c r="F689" t="s">
        <v>37</v>
      </c>
    </row>
    <row r="690" spans="1:6" outlineLevel="3" x14ac:dyDescent="0.25">
      <c r="A690" s="4" t="s">
        <v>421</v>
      </c>
      <c r="B690" t="s">
        <v>422</v>
      </c>
      <c r="C690" t="s">
        <v>2968</v>
      </c>
      <c r="D690" t="s">
        <v>13</v>
      </c>
      <c r="E690" t="s">
        <v>131</v>
      </c>
      <c r="F690" t="s">
        <v>37</v>
      </c>
    </row>
    <row r="691" spans="1:6" outlineLevel="3" x14ac:dyDescent="0.25">
      <c r="A691" s="4" t="s">
        <v>421</v>
      </c>
      <c r="B691" t="s">
        <v>422</v>
      </c>
      <c r="C691" t="s">
        <v>2969</v>
      </c>
      <c r="D691" t="s">
        <v>13</v>
      </c>
      <c r="E691" t="s">
        <v>131</v>
      </c>
      <c r="F691" t="s">
        <v>37</v>
      </c>
    </row>
    <row r="692" spans="1:6" outlineLevel="3" x14ac:dyDescent="0.25">
      <c r="A692" s="4" t="s">
        <v>421</v>
      </c>
      <c r="B692" t="s">
        <v>422</v>
      </c>
      <c r="C692" t="s">
        <v>1853</v>
      </c>
      <c r="D692" t="s">
        <v>13</v>
      </c>
      <c r="E692" t="s">
        <v>131</v>
      </c>
      <c r="F692" t="s">
        <v>37</v>
      </c>
    </row>
    <row r="693" spans="1:6" outlineLevel="3" x14ac:dyDescent="0.25">
      <c r="A693" s="4" t="s">
        <v>421</v>
      </c>
      <c r="B693" t="s">
        <v>422</v>
      </c>
      <c r="C693" t="s">
        <v>2970</v>
      </c>
      <c r="D693" t="s">
        <v>165</v>
      </c>
      <c r="E693" t="s">
        <v>131</v>
      </c>
      <c r="F693" t="s">
        <v>37</v>
      </c>
    </row>
    <row r="694" spans="1:6" outlineLevel="3" x14ac:dyDescent="0.25">
      <c r="A694" s="4" t="s">
        <v>421</v>
      </c>
      <c r="B694" t="s">
        <v>422</v>
      </c>
      <c r="C694" t="s">
        <v>2971</v>
      </c>
      <c r="D694" t="s">
        <v>202</v>
      </c>
      <c r="E694" t="s">
        <v>131</v>
      </c>
      <c r="F694" t="s">
        <v>37</v>
      </c>
    </row>
    <row r="695" spans="1:6" outlineLevel="3" x14ac:dyDescent="0.25">
      <c r="A695" s="4" t="s">
        <v>421</v>
      </c>
      <c r="B695" t="s">
        <v>422</v>
      </c>
      <c r="C695" t="s">
        <v>2972</v>
      </c>
      <c r="D695" t="s">
        <v>103</v>
      </c>
      <c r="E695" t="s">
        <v>131</v>
      </c>
      <c r="F695" t="s">
        <v>37</v>
      </c>
    </row>
    <row r="696" spans="1:6" outlineLevel="3" x14ac:dyDescent="0.25">
      <c r="A696" s="4" t="s">
        <v>421</v>
      </c>
      <c r="B696" t="s">
        <v>422</v>
      </c>
      <c r="C696" t="s">
        <v>2973</v>
      </c>
      <c r="D696" t="s">
        <v>13</v>
      </c>
      <c r="E696" t="s">
        <v>131</v>
      </c>
      <c r="F696" t="s">
        <v>37</v>
      </c>
    </row>
    <row r="697" spans="1:6" outlineLevel="3" x14ac:dyDescent="0.25">
      <c r="A697" s="4" t="s">
        <v>421</v>
      </c>
      <c r="B697" t="s">
        <v>422</v>
      </c>
      <c r="C697" t="s">
        <v>2974</v>
      </c>
      <c r="D697" t="s">
        <v>103</v>
      </c>
      <c r="E697" t="s">
        <v>131</v>
      </c>
      <c r="F697" t="s">
        <v>37</v>
      </c>
    </row>
    <row r="698" spans="1:6" outlineLevel="3" x14ac:dyDescent="0.25">
      <c r="A698" s="4" t="s">
        <v>421</v>
      </c>
      <c r="B698" t="s">
        <v>422</v>
      </c>
      <c r="C698" t="s">
        <v>2975</v>
      </c>
      <c r="D698" t="s">
        <v>13</v>
      </c>
      <c r="E698" t="s">
        <v>131</v>
      </c>
      <c r="F698" t="s">
        <v>37</v>
      </c>
    </row>
    <row r="699" spans="1:6" outlineLevel="3" x14ac:dyDescent="0.25">
      <c r="A699" s="4" t="s">
        <v>421</v>
      </c>
      <c r="B699" t="s">
        <v>422</v>
      </c>
      <c r="C699" t="s">
        <v>2976</v>
      </c>
      <c r="D699" t="s">
        <v>124</v>
      </c>
      <c r="E699" t="s">
        <v>131</v>
      </c>
      <c r="F699" t="s">
        <v>37</v>
      </c>
    </row>
    <row r="700" spans="1:6" outlineLevel="3" x14ac:dyDescent="0.25">
      <c r="A700" s="4" t="s">
        <v>421</v>
      </c>
      <c r="B700" t="s">
        <v>422</v>
      </c>
      <c r="C700" t="s">
        <v>2977</v>
      </c>
      <c r="D700" t="s">
        <v>13</v>
      </c>
      <c r="E700" t="s">
        <v>131</v>
      </c>
      <c r="F700" t="s">
        <v>37</v>
      </c>
    </row>
    <row r="701" spans="1:6" outlineLevel="3" x14ac:dyDescent="0.25">
      <c r="A701" s="4" t="s">
        <v>421</v>
      </c>
      <c r="B701" t="s">
        <v>422</v>
      </c>
      <c r="C701" t="s">
        <v>2978</v>
      </c>
      <c r="D701" t="s">
        <v>103</v>
      </c>
      <c r="E701" t="s">
        <v>131</v>
      </c>
      <c r="F701" t="s">
        <v>37</v>
      </c>
    </row>
    <row r="702" spans="1:6" outlineLevel="3" x14ac:dyDescent="0.25">
      <c r="A702" s="4" t="s">
        <v>421</v>
      </c>
      <c r="B702" t="s">
        <v>422</v>
      </c>
      <c r="C702" t="s">
        <v>1854</v>
      </c>
      <c r="D702" t="s">
        <v>126</v>
      </c>
      <c r="E702" t="s">
        <v>131</v>
      </c>
      <c r="F702" t="s">
        <v>37</v>
      </c>
    </row>
    <row r="703" spans="1:6" outlineLevel="3" x14ac:dyDescent="0.25">
      <c r="A703" s="4" t="s">
        <v>421</v>
      </c>
      <c r="B703" t="s">
        <v>422</v>
      </c>
      <c r="C703" t="s">
        <v>2979</v>
      </c>
      <c r="D703" t="s">
        <v>13</v>
      </c>
      <c r="E703" t="s">
        <v>131</v>
      </c>
      <c r="F703" t="s">
        <v>37</v>
      </c>
    </row>
    <row r="704" spans="1:6" outlineLevel="3" x14ac:dyDescent="0.25">
      <c r="A704" s="4" t="s">
        <v>421</v>
      </c>
      <c r="B704" t="s">
        <v>422</v>
      </c>
      <c r="C704" t="s">
        <v>2980</v>
      </c>
      <c r="D704" t="s">
        <v>13</v>
      </c>
      <c r="E704" t="s">
        <v>131</v>
      </c>
      <c r="F704" t="s">
        <v>37</v>
      </c>
    </row>
    <row r="705" spans="1:6" outlineLevel="3" x14ac:dyDescent="0.25">
      <c r="A705" s="4" t="s">
        <v>421</v>
      </c>
      <c r="B705" t="s">
        <v>422</v>
      </c>
      <c r="C705" t="s">
        <v>2981</v>
      </c>
      <c r="D705" t="s">
        <v>65</v>
      </c>
      <c r="E705" t="s">
        <v>131</v>
      </c>
      <c r="F705" t="s">
        <v>37</v>
      </c>
    </row>
    <row r="706" spans="1:6" outlineLevel="3" x14ac:dyDescent="0.25">
      <c r="A706" s="4" t="s">
        <v>421</v>
      </c>
      <c r="B706" t="s">
        <v>422</v>
      </c>
      <c r="C706" t="s">
        <v>2982</v>
      </c>
      <c r="D706" t="s">
        <v>202</v>
      </c>
      <c r="E706" t="s">
        <v>131</v>
      </c>
      <c r="F706" t="s">
        <v>37</v>
      </c>
    </row>
    <row r="707" spans="1:6" outlineLevel="3" x14ac:dyDescent="0.25">
      <c r="A707" s="4" t="s">
        <v>421</v>
      </c>
      <c r="B707" t="s">
        <v>422</v>
      </c>
      <c r="C707" t="s">
        <v>2983</v>
      </c>
      <c r="D707" t="s">
        <v>65</v>
      </c>
      <c r="E707" t="s">
        <v>131</v>
      </c>
      <c r="F707" t="s">
        <v>37</v>
      </c>
    </row>
    <row r="708" spans="1:6" outlineLevel="3" x14ac:dyDescent="0.25">
      <c r="A708" s="4" t="s">
        <v>421</v>
      </c>
      <c r="B708" t="s">
        <v>422</v>
      </c>
      <c r="C708" t="s">
        <v>2984</v>
      </c>
      <c r="D708" t="s">
        <v>13</v>
      </c>
      <c r="E708" t="s">
        <v>131</v>
      </c>
      <c r="F708" t="s">
        <v>37</v>
      </c>
    </row>
    <row r="709" spans="1:6" outlineLevel="3" x14ac:dyDescent="0.25">
      <c r="A709" s="4" t="s">
        <v>421</v>
      </c>
      <c r="B709" t="s">
        <v>422</v>
      </c>
      <c r="C709" t="s">
        <v>2985</v>
      </c>
      <c r="D709" t="s">
        <v>237</v>
      </c>
      <c r="E709" t="s">
        <v>131</v>
      </c>
      <c r="F709" t="s">
        <v>37</v>
      </c>
    </row>
    <row r="710" spans="1:6" outlineLevel="3" x14ac:dyDescent="0.25">
      <c r="A710" s="4" t="s">
        <v>421</v>
      </c>
      <c r="B710" t="s">
        <v>422</v>
      </c>
      <c r="C710" t="s">
        <v>2986</v>
      </c>
      <c r="D710" t="s">
        <v>13</v>
      </c>
      <c r="E710" t="s">
        <v>131</v>
      </c>
      <c r="F710" t="s">
        <v>37</v>
      </c>
    </row>
    <row r="711" spans="1:6" outlineLevel="3" x14ac:dyDescent="0.25">
      <c r="A711" s="4" t="s">
        <v>421</v>
      </c>
      <c r="B711" t="s">
        <v>422</v>
      </c>
      <c r="C711" t="s">
        <v>2987</v>
      </c>
      <c r="D711" t="s">
        <v>65</v>
      </c>
      <c r="E711" t="s">
        <v>131</v>
      </c>
      <c r="F711" t="s">
        <v>37</v>
      </c>
    </row>
    <row r="712" spans="1:6" outlineLevel="3" x14ac:dyDescent="0.25">
      <c r="A712" s="4" t="s">
        <v>421</v>
      </c>
      <c r="B712" t="s">
        <v>422</v>
      </c>
      <c r="C712" t="s">
        <v>2988</v>
      </c>
      <c r="D712" t="s">
        <v>13</v>
      </c>
      <c r="E712" t="s">
        <v>131</v>
      </c>
      <c r="F712" t="s">
        <v>37</v>
      </c>
    </row>
    <row r="713" spans="1:6" outlineLevel="3" x14ac:dyDescent="0.25">
      <c r="A713" s="4" t="s">
        <v>421</v>
      </c>
      <c r="B713" t="s">
        <v>422</v>
      </c>
      <c r="C713" t="s">
        <v>2989</v>
      </c>
      <c r="D713" t="s">
        <v>237</v>
      </c>
      <c r="E713" t="s">
        <v>131</v>
      </c>
      <c r="F713" t="s">
        <v>37</v>
      </c>
    </row>
    <row r="714" spans="1:6" outlineLevel="3" x14ac:dyDescent="0.25">
      <c r="A714" s="4" t="s">
        <v>421</v>
      </c>
      <c r="B714" t="s">
        <v>422</v>
      </c>
      <c r="C714" t="s">
        <v>2990</v>
      </c>
      <c r="D714" t="s">
        <v>202</v>
      </c>
      <c r="E714" t="s">
        <v>131</v>
      </c>
      <c r="F714" t="s">
        <v>37</v>
      </c>
    </row>
    <row r="715" spans="1:6" outlineLevel="3" x14ac:dyDescent="0.25">
      <c r="A715" s="4" t="s">
        <v>421</v>
      </c>
      <c r="B715" t="s">
        <v>422</v>
      </c>
      <c r="C715" t="s">
        <v>2991</v>
      </c>
      <c r="D715" t="s">
        <v>6</v>
      </c>
      <c r="E715" t="s">
        <v>131</v>
      </c>
      <c r="F715" t="s">
        <v>37</v>
      </c>
    </row>
    <row r="716" spans="1:6" outlineLevel="3" x14ac:dyDescent="0.25">
      <c r="A716" s="4" t="s">
        <v>421</v>
      </c>
      <c r="B716" t="s">
        <v>422</v>
      </c>
      <c r="C716" t="s">
        <v>2992</v>
      </c>
      <c r="D716" t="s">
        <v>165</v>
      </c>
      <c r="E716" t="s">
        <v>131</v>
      </c>
      <c r="F716" t="s">
        <v>37</v>
      </c>
    </row>
    <row r="717" spans="1:6" outlineLevel="3" x14ac:dyDescent="0.25">
      <c r="A717" s="4" t="s">
        <v>421</v>
      </c>
      <c r="B717" t="s">
        <v>422</v>
      </c>
      <c r="C717" t="s">
        <v>2993</v>
      </c>
      <c r="D717" t="s">
        <v>65</v>
      </c>
      <c r="E717" t="s">
        <v>131</v>
      </c>
      <c r="F717" t="s">
        <v>37</v>
      </c>
    </row>
    <row r="718" spans="1:6" outlineLevel="3" x14ac:dyDescent="0.25">
      <c r="A718" s="4" t="s">
        <v>421</v>
      </c>
      <c r="B718" t="s">
        <v>422</v>
      </c>
      <c r="C718" t="s">
        <v>2994</v>
      </c>
      <c r="D718" t="s">
        <v>165</v>
      </c>
      <c r="E718" t="s">
        <v>131</v>
      </c>
      <c r="F718" t="s">
        <v>37</v>
      </c>
    </row>
    <row r="719" spans="1:6" outlineLevel="3" x14ac:dyDescent="0.25">
      <c r="A719" s="4" t="s">
        <v>421</v>
      </c>
      <c r="B719" t="s">
        <v>422</v>
      </c>
      <c r="C719" t="s">
        <v>2995</v>
      </c>
      <c r="D719" t="s">
        <v>76</v>
      </c>
      <c r="E719" t="s">
        <v>131</v>
      </c>
      <c r="F719" t="s">
        <v>37</v>
      </c>
    </row>
    <row r="720" spans="1:6" outlineLevel="3" x14ac:dyDescent="0.25">
      <c r="A720" s="4" t="s">
        <v>421</v>
      </c>
      <c r="B720" t="s">
        <v>422</v>
      </c>
      <c r="C720" t="s">
        <v>2996</v>
      </c>
      <c r="D720" t="s">
        <v>126</v>
      </c>
      <c r="E720" t="s">
        <v>131</v>
      </c>
      <c r="F720" t="s">
        <v>37</v>
      </c>
    </row>
    <row r="721" spans="1:6" outlineLevel="3" x14ac:dyDescent="0.25">
      <c r="A721" s="4" t="s">
        <v>421</v>
      </c>
      <c r="B721" t="s">
        <v>422</v>
      </c>
      <c r="C721" t="s">
        <v>2997</v>
      </c>
      <c r="D721" t="s">
        <v>67</v>
      </c>
      <c r="E721" t="s">
        <v>131</v>
      </c>
      <c r="F721" t="s">
        <v>37</v>
      </c>
    </row>
    <row r="722" spans="1:6" outlineLevel="3" x14ac:dyDescent="0.25">
      <c r="A722" s="4" t="s">
        <v>421</v>
      </c>
      <c r="B722" t="s">
        <v>422</v>
      </c>
      <c r="C722" t="s">
        <v>2998</v>
      </c>
      <c r="D722" t="s">
        <v>78</v>
      </c>
      <c r="E722" t="s">
        <v>131</v>
      </c>
      <c r="F722" t="s">
        <v>37</v>
      </c>
    </row>
    <row r="723" spans="1:6" outlineLevel="3" x14ac:dyDescent="0.25">
      <c r="A723" s="4" t="s">
        <v>421</v>
      </c>
      <c r="B723" t="s">
        <v>422</v>
      </c>
      <c r="C723" t="s">
        <v>2999</v>
      </c>
      <c r="D723" t="s">
        <v>44</v>
      </c>
      <c r="E723" t="s">
        <v>131</v>
      </c>
      <c r="F723" t="s">
        <v>37</v>
      </c>
    </row>
    <row r="724" spans="1:6" outlineLevel="3" x14ac:dyDescent="0.25">
      <c r="A724" s="4" t="s">
        <v>421</v>
      </c>
      <c r="B724" t="s">
        <v>422</v>
      </c>
      <c r="C724" t="s">
        <v>3000</v>
      </c>
      <c r="D724" t="s">
        <v>126</v>
      </c>
      <c r="E724" t="s">
        <v>131</v>
      </c>
      <c r="F724" t="s">
        <v>37</v>
      </c>
    </row>
    <row r="725" spans="1:6" outlineLevel="3" x14ac:dyDescent="0.25">
      <c r="A725" s="4" t="s">
        <v>421</v>
      </c>
      <c r="B725" t="s">
        <v>422</v>
      </c>
      <c r="C725" t="s">
        <v>3001</v>
      </c>
      <c r="D725" t="s">
        <v>237</v>
      </c>
      <c r="E725" t="s">
        <v>131</v>
      </c>
      <c r="F725" t="s">
        <v>37</v>
      </c>
    </row>
    <row r="726" spans="1:6" outlineLevel="3" x14ac:dyDescent="0.25">
      <c r="A726" s="4" t="s">
        <v>421</v>
      </c>
      <c r="B726" t="s">
        <v>422</v>
      </c>
      <c r="C726" t="s">
        <v>3002</v>
      </c>
      <c r="D726" t="s">
        <v>126</v>
      </c>
      <c r="E726" t="s">
        <v>131</v>
      </c>
      <c r="F726" t="s">
        <v>37</v>
      </c>
    </row>
    <row r="727" spans="1:6" outlineLevel="3" x14ac:dyDescent="0.25">
      <c r="A727" s="4" t="s">
        <v>421</v>
      </c>
      <c r="B727" t="s">
        <v>422</v>
      </c>
      <c r="C727" t="s">
        <v>1755</v>
      </c>
      <c r="D727" t="s">
        <v>126</v>
      </c>
      <c r="E727" t="s">
        <v>131</v>
      </c>
      <c r="F727" t="s">
        <v>37</v>
      </c>
    </row>
    <row r="728" spans="1:6" outlineLevel="3" x14ac:dyDescent="0.25">
      <c r="A728" s="4" t="s">
        <v>421</v>
      </c>
      <c r="B728" t="s">
        <v>422</v>
      </c>
      <c r="C728" t="s">
        <v>1855</v>
      </c>
      <c r="D728" t="s">
        <v>13</v>
      </c>
      <c r="E728" t="s">
        <v>131</v>
      </c>
      <c r="F728" t="s">
        <v>37</v>
      </c>
    </row>
    <row r="729" spans="1:6" outlineLevel="3" x14ac:dyDescent="0.25">
      <c r="A729" s="4" t="s">
        <v>421</v>
      </c>
      <c r="B729" t="s">
        <v>422</v>
      </c>
      <c r="C729" t="s">
        <v>3003</v>
      </c>
      <c r="D729" t="s">
        <v>13</v>
      </c>
      <c r="E729" t="s">
        <v>131</v>
      </c>
      <c r="F729" t="s">
        <v>37</v>
      </c>
    </row>
    <row r="730" spans="1:6" outlineLevel="3" x14ac:dyDescent="0.25">
      <c r="A730" s="4" t="s">
        <v>421</v>
      </c>
      <c r="B730" t="s">
        <v>422</v>
      </c>
      <c r="C730" t="s">
        <v>3004</v>
      </c>
      <c r="D730" t="s">
        <v>126</v>
      </c>
      <c r="E730" t="s">
        <v>131</v>
      </c>
      <c r="F730" t="s">
        <v>37</v>
      </c>
    </row>
    <row r="731" spans="1:6" outlineLevel="3" x14ac:dyDescent="0.25">
      <c r="A731" s="4" t="s">
        <v>421</v>
      </c>
      <c r="B731" t="s">
        <v>422</v>
      </c>
      <c r="C731" t="s">
        <v>1756</v>
      </c>
      <c r="D731" t="s">
        <v>126</v>
      </c>
      <c r="E731" t="s">
        <v>131</v>
      </c>
      <c r="F731" t="s">
        <v>37</v>
      </c>
    </row>
    <row r="732" spans="1:6" outlineLevel="3" x14ac:dyDescent="0.25">
      <c r="A732" s="4" t="s">
        <v>421</v>
      </c>
      <c r="B732" t="s">
        <v>422</v>
      </c>
      <c r="C732" t="s">
        <v>3005</v>
      </c>
      <c r="D732" t="s">
        <v>13</v>
      </c>
      <c r="E732" t="s">
        <v>131</v>
      </c>
      <c r="F732" t="s">
        <v>37</v>
      </c>
    </row>
    <row r="733" spans="1:6" outlineLevel="3" x14ac:dyDescent="0.25">
      <c r="A733" s="4" t="s">
        <v>421</v>
      </c>
      <c r="B733" t="s">
        <v>422</v>
      </c>
      <c r="C733" t="s">
        <v>3006</v>
      </c>
      <c r="D733" t="s">
        <v>13</v>
      </c>
      <c r="E733" t="s">
        <v>131</v>
      </c>
      <c r="F733" t="s">
        <v>37</v>
      </c>
    </row>
    <row r="734" spans="1:6" outlineLevel="3" x14ac:dyDescent="0.25">
      <c r="A734" s="4" t="s">
        <v>421</v>
      </c>
      <c r="B734" t="s">
        <v>422</v>
      </c>
      <c r="C734" t="s">
        <v>1757</v>
      </c>
      <c r="D734" t="s">
        <v>13</v>
      </c>
      <c r="E734" t="s">
        <v>131</v>
      </c>
      <c r="F734" t="s">
        <v>37</v>
      </c>
    </row>
    <row r="735" spans="1:6" outlineLevel="3" x14ac:dyDescent="0.25">
      <c r="A735" s="4" t="s">
        <v>421</v>
      </c>
      <c r="B735" t="s">
        <v>422</v>
      </c>
      <c r="C735" t="s">
        <v>3007</v>
      </c>
      <c r="D735" t="s">
        <v>165</v>
      </c>
      <c r="E735" t="s">
        <v>131</v>
      </c>
      <c r="F735" t="s">
        <v>37</v>
      </c>
    </row>
    <row r="736" spans="1:6" outlineLevel="3" x14ac:dyDescent="0.25">
      <c r="A736" s="4" t="s">
        <v>421</v>
      </c>
      <c r="B736" t="s">
        <v>422</v>
      </c>
      <c r="C736" t="s">
        <v>3008</v>
      </c>
      <c r="D736" t="s">
        <v>126</v>
      </c>
      <c r="E736" t="s">
        <v>131</v>
      </c>
      <c r="F736" t="s">
        <v>37</v>
      </c>
    </row>
    <row r="737" spans="1:6" outlineLevel="3" x14ac:dyDescent="0.25">
      <c r="A737" s="4" t="s">
        <v>421</v>
      </c>
      <c r="B737" t="s">
        <v>422</v>
      </c>
      <c r="C737" t="s">
        <v>3009</v>
      </c>
      <c r="D737" t="s">
        <v>13</v>
      </c>
      <c r="E737" t="s">
        <v>131</v>
      </c>
      <c r="F737" t="s">
        <v>37</v>
      </c>
    </row>
    <row r="738" spans="1:6" outlineLevel="3" x14ac:dyDescent="0.25">
      <c r="A738" s="4" t="s">
        <v>421</v>
      </c>
      <c r="B738" t="s">
        <v>422</v>
      </c>
      <c r="C738" t="s">
        <v>1856</v>
      </c>
      <c r="D738" t="s">
        <v>126</v>
      </c>
      <c r="E738" t="s">
        <v>131</v>
      </c>
      <c r="F738" t="s">
        <v>37</v>
      </c>
    </row>
    <row r="739" spans="1:6" outlineLevel="3" x14ac:dyDescent="0.25">
      <c r="A739" s="4" t="s">
        <v>421</v>
      </c>
      <c r="B739" t="s">
        <v>422</v>
      </c>
      <c r="C739" t="s">
        <v>3010</v>
      </c>
      <c r="D739" t="s">
        <v>437</v>
      </c>
      <c r="E739" t="s">
        <v>131</v>
      </c>
      <c r="F739" t="s">
        <v>37</v>
      </c>
    </row>
    <row r="740" spans="1:6" outlineLevel="3" x14ac:dyDescent="0.25">
      <c r="A740" s="4" t="s">
        <v>421</v>
      </c>
      <c r="B740" t="s">
        <v>422</v>
      </c>
      <c r="C740" t="s">
        <v>3011</v>
      </c>
      <c r="D740" t="s">
        <v>13</v>
      </c>
      <c r="E740" t="s">
        <v>131</v>
      </c>
      <c r="F740" t="s">
        <v>37</v>
      </c>
    </row>
    <row r="741" spans="1:6" outlineLevel="3" x14ac:dyDescent="0.25">
      <c r="A741" s="4" t="s">
        <v>421</v>
      </c>
      <c r="B741" t="s">
        <v>422</v>
      </c>
      <c r="C741" t="s">
        <v>3012</v>
      </c>
      <c r="D741" t="s">
        <v>13</v>
      </c>
      <c r="E741" t="s">
        <v>131</v>
      </c>
      <c r="F741" t="s">
        <v>37</v>
      </c>
    </row>
    <row r="742" spans="1:6" outlineLevel="3" x14ac:dyDescent="0.25">
      <c r="A742" s="4" t="s">
        <v>421</v>
      </c>
      <c r="B742" t="s">
        <v>422</v>
      </c>
      <c r="C742" t="s">
        <v>1857</v>
      </c>
      <c r="D742" t="s">
        <v>13</v>
      </c>
      <c r="E742" t="s">
        <v>131</v>
      </c>
      <c r="F742" t="s">
        <v>37</v>
      </c>
    </row>
    <row r="743" spans="1:6" outlineLevel="3" x14ac:dyDescent="0.25">
      <c r="A743" s="4" t="s">
        <v>421</v>
      </c>
      <c r="B743" t="s">
        <v>422</v>
      </c>
      <c r="C743" t="s">
        <v>1858</v>
      </c>
      <c r="D743" t="s">
        <v>165</v>
      </c>
      <c r="E743" t="s">
        <v>131</v>
      </c>
      <c r="F743" t="s">
        <v>37</v>
      </c>
    </row>
    <row r="744" spans="1:6" outlineLevel="3" x14ac:dyDescent="0.25">
      <c r="A744" s="4" t="s">
        <v>421</v>
      </c>
      <c r="B744" t="s">
        <v>422</v>
      </c>
      <c r="C744" t="s">
        <v>3013</v>
      </c>
      <c r="D744" t="s">
        <v>13</v>
      </c>
      <c r="E744" t="s">
        <v>131</v>
      </c>
      <c r="F744" t="s">
        <v>37</v>
      </c>
    </row>
    <row r="745" spans="1:6" outlineLevel="3" x14ac:dyDescent="0.25">
      <c r="A745" s="4" t="s">
        <v>421</v>
      </c>
      <c r="B745" t="s">
        <v>422</v>
      </c>
      <c r="C745" t="s">
        <v>3014</v>
      </c>
      <c r="D745" t="s">
        <v>6</v>
      </c>
      <c r="E745" t="s">
        <v>131</v>
      </c>
      <c r="F745" t="s">
        <v>37</v>
      </c>
    </row>
    <row r="746" spans="1:6" outlineLevel="3" x14ac:dyDescent="0.25">
      <c r="A746" s="4" t="s">
        <v>421</v>
      </c>
      <c r="B746" t="s">
        <v>422</v>
      </c>
      <c r="C746" t="s">
        <v>3015</v>
      </c>
      <c r="D746" t="s">
        <v>126</v>
      </c>
      <c r="E746" t="s">
        <v>131</v>
      </c>
      <c r="F746" t="s">
        <v>37</v>
      </c>
    </row>
    <row r="747" spans="1:6" outlineLevel="3" x14ac:dyDescent="0.25">
      <c r="A747" s="4" t="s">
        <v>421</v>
      </c>
      <c r="B747" t="s">
        <v>422</v>
      </c>
      <c r="C747" t="s">
        <v>3016</v>
      </c>
      <c r="D747" t="s">
        <v>6</v>
      </c>
      <c r="E747" t="s">
        <v>131</v>
      </c>
      <c r="F747" t="s">
        <v>37</v>
      </c>
    </row>
    <row r="748" spans="1:6" outlineLevel="3" x14ac:dyDescent="0.25">
      <c r="A748" s="4" t="s">
        <v>421</v>
      </c>
      <c r="B748" t="s">
        <v>422</v>
      </c>
      <c r="C748" t="s">
        <v>3017</v>
      </c>
      <c r="D748" t="s">
        <v>126</v>
      </c>
      <c r="E748" t="s">
        <v>131</v>
      </c>
      <c r="F748" t="s">
        <v>37</v>
      </c>
    </row>
    <row r="749" spans="1:6" outlineLevel="3" x14ac:dyDescent="0.25">
      <c r="A749" s="4" t="s">
        <v>421</v>
      </c>
      <c r="B749" t="s">
        <v>422</v>
      </c>
      <c r="C749" t="s">
        <v>3018</v>
      </c>
      <c r="D749" t="s">
        <v>435</v>
      </c>
      <c r="E749" t="s">
        <v>131</v>
      </c>
      <c r="F749" t="s">
        <v>37</v>
      </c>
    </row>
    <row r="750" spans="1:6" outlineLevel="3" x14ac:dyDescent="0.25">
      <c r="A750" s="4" t="s">
        <v>421</v>
      </c>
      <c r="B750" t="s">
        <v>422</v>
      </c>
      <c r="C750" t="s">
        <v>3019</v>
      </c>
      <c r="D750" t="s">
        <v>13</v>
      </c>
      <c r="E750" t="s">
        <v>131</v>
      </c>
      <c r="F750" t="s">
        <v>37</v>
      </c>
    </row>
    <row r="751" spans="1:6" outlineLevel="3" x14ac:dyDescent="0.25">
      <c r="A751" s="4" t="s">
        <v>421</v>
      </c>
      <c r="B751" t="s">
        <v>422</v>
      </c>
      <c r="C751" t="s">
        <v>3020</v>
      </c>
      <c r="D751" t="s">
        <v>437</v>
      </c>
      <c r="E751" t="s">
        <v>131</v>
      </c>
      <c r="F751" t="s">
        <v>37</v>
      </c>
    </row>
    <row r="752" spans="1:6" outlineLevel="3" x14ac:dyDescent="0.25">
      <c r="A752" s="4" t="s">
        <v>421</v>
      </c>
      <c r="B752" t="s">
        <v>422</v>
      </c>
      <c r="C752" t="s">
        <v>1859</v>
      </c>
      <c r="D752" t="s">
        <v>13</v>
      </c>
      <c r="E752" t="s">
        <v>131</v>
      </c>
      <c r="F752" t="s">
        <v>37</v>
      </c>
    </row>
    <row r="753" spans="1:6" outlineLevel="3" x14ac:dyDescent="0.25">
      <c r="A753" s="4" t="s">
        <v>421</v>
      </c>
      <c r="B753" t="s">
        <v>422</v>
      </c>
      <c r="C753" t="s">
        <v>3021</v>
      </c>
      <c r="D753" t="s">
        <v>165</v>
      </c>
      <c r="E753" t="s">
        <v>131</v>
      </c>
      <c r="F753" t="s">
        <v>37</v>
      </c>
    </row>
    <row r="754" spans="1:6" outlineLevel="3" x14ac:dyDescent="0.25">
      <c r="A754" s="4" t="s">
        <v>421</v>
      </c>
      <c r="B754" t="s">
        <v>422</v>
      </c>
      <c r="C754" t="s">
        <v>3022</v>
      </c>
      <c r="D754" t="s">
        <v>126</v>
      </c>
      <c r="E754" t="s">
        <v>131</v>
      </c>
      <c r="F754" t="s">
        <v>37</v>
      </c>
    </row>
    <row r="755" spans="1:6" outlineLevel="3" x14ac:dyDescent="0.25">
      <c r="A755" s="4" t="s">
        <v>421</v>
      </c>
      <c r="B755" t="s">
        <v>422</v>
      </c>
      <c r="C755" t="s">
        <v>3023</v>
      </c>
      <c r="D755" t="s">
        <v>202</v>
      </c>
      <c r="E755" t="s">
        <v>131</v>
      </c>
      <c r="F755" t="s">
        <v>37</v>
      </c>
    </row>
    <row r="756" spans="1:6" outlineLevel="3" x14ac:dyDescent="0.25">
      <c r="A756" s="4" t="s">
        <v>421</v>
      </c>
      <c r="B756" t="s">
        <v>422</v>
      </c>
      <c r="C756" t="s">
        <v>3024</v>
      </c>
      <c r="D756" t="s">
        <v>13</v>
      </c>
      <c r="E756" t="s">
        <v>131</v>
      </c>
      <c r="F756" t="s">
        <v>37</v>
      </c>
    </row>
    <row r="757" spans="1:6" outlineLevel="3" x14ac:dyDescent="0.25">
      <c r="A757" s="4" t="s">
        <v>421</v>
      </c>
      <c r="B757" t="s">
        <v>422</v>
      </c>
      <c r="C757" t="s">
        <v>3025</v>
      </c>
      <c r="D757" t="s">
        <v>76</v>
      </c>
      <c r="E757" t="s">
        <v>131</v>
      </c>
      <c r="F757" t="s">
        <v>37</v>
      </c>
    </row>
    <row r="758" spans="1:6" outlineLevel="3" x14ac:dyDescent="0.25">
      <c r="A758" s="4" t="s">
        <v>421</v>
      </c>
      <c r="B758" t="s">
        <v>422</v>
      </c>
      <c r="C758" t="s">
        <v>3026</v>
      </c>
      <c r="D758" t="s">
        <v>13</v>
      </c>
      <c r="E758" t="s">
        <v>131</v>
      </c>
      <c r="F758" t="s">
        <v>37</v>
      </c>
    </row>
    <row r="759" spans="1:6" outlineLevel="3" x14ac:dyDescent="0.25">
      <c r="A759" s="4" t="s">
        <v>421</v>
      </c>
      <c r="B759" t="s">
        <v>422</v>
      </c>
      <c r="C759" t="s">
        <v>3027</v>
      </c>
      <c r="D759" t="s">
        <v>65</v>
      </c>
      <c r="E759" t="s">
        <v>131</v>
      </c>
      <c r="F759" t="s">
        <v>37</v>
      </c>
    </row>
    <row r="760" spans="1:6" outlineLevel="3" x14ac:dyDescent="0.25">
      <c r="A760" s="4" t="s">
        <v>421</v>
      </c>
      <c r="B760" t="s">
        <v>422</v>
      </c>
      <c r="C760" t="s">
        <v>3028</v>
      </c>
      <c r="D760" t="s">
        <v>126</v>
      </c>
      <c r="E760" t="s">
        <v>131</v>
      </c>
      <c r="F760" t="s">
        <v>37</v>
      </c>
    </row>
    <row r="761" spans="1:6" outlineLevel="3" x14ac:dyDescent="0.25">
      <c r="A761" s="4" t="s">
        <v>421</v>
      </c>
      <c r="B761" t="s">
        <v>422</v>
      </c>
      <c r="C761" t="s">
        <v>3029</v>
      </c>
      <c r="D761" t="s">
        <v>65</v>
      </c>
      <c r="E761" t="s">
        <v>131</v>
      </c>
      <c r="F761" t="s">
        <v>37</v>
      </c>
    </row>
    <row r="762" spans="1:6" outlineLevel="3" x14ac:dyDescent="0.25">
      <c r="A762" s="4" t="s">
        <v>421</v>
      </c>
      <c r="B762" t="s">
        <v>422</v>
      </c>
      <c r="C762" t="s">
        <v>3030</v>
      </c>
      <c r="D762" t="s">
        <v>126</v>
      </c>
      <c r="E762" t="s">
        <v>131</v>
      </c>
      <c r="F762" t="s">
        <v>37</v>
      </c>
    </row>
    <row r="763" spans="1:6" outlineLevel="3" x14ac:dyDescent="0.25">
      <c r="A763" s="4" t="s">
        <v>421</v>
      </c>
      <c r="B763" t="s">
        <v>422</v>
      </c>
      <c r="C763" t="s">
        <v>3031</v>
      </c>
      <c r="D763" t="s">
        <v>6</v>
      </c>
      <c r="E763" t="s">
        <v>131</v>
      </c>
      <c r="F763" t="s">
        <v>37</v>
      </c>
    </row>
    <row r="764" spans="1:6" outlineLevel="3" x14ac:dyDescent="0.25">
      <c r="A764" s="4" t="s">
        <v>421</v>
      </c>
      <c r="B764" t="s">
        <v>422</v>
      </c>
      <c r="C764" t="s">
        <v>3032</v>
      </c>
      <c r="D764" t="s">
        <v>126</v>
      </c>
      <c r="E764" t="s">
        <v>131</v>
      </c>
      <c r="F764" t="s">
        <v>37</v>
      </c>
    </row>
    <row r="765" spans="1:6" outlineLevel="3" x14ac:dyDescent="0.25">
      <c r="A765" s="4" t="s">
        <v>421</v>
      </c>
      <c r="B765" t="s">
        <v>422</v>
      </c>
      <c r="C765" t="s">
        <v>3033</v>
      </c>
      <c r="D765" t="s">
        <v>200</v>
      </c>
      <c r="E765" t="s">
        <v>131</v>
      </c>
      <c r="F765" t="s">
        <v>37</v>
      </c>
    </row>
    <row r="766" spans="1:6" outlineLevel="3" x14ac:dyDescent="0.25">
      <c r="A766" s="4" t="s">
        <v>421</v>
      </c>
      <c r="B766" t="s">
        <v>422</v>
      </c>
      <c r="C766" t="s">
        <v>3034</v>
      </c>
      <c r="D766" t="s">
        <v>13</v>
      </c>
      <c r="E766" t="s">
        <v>131</v>
      </c>
      <c r="F766" t="s">
        <v>37</v>
      </c>
    </row>
    <row r="767" spans="1:6" outlineLevel="3" x14ac:dyDescent="0.25">
      <c r="A767" s="4" t="s">
        <v>421</v>
      </c>
      <c r="B767" t="s">
        <v>422</v>
      </c>
      <c r="C767" t="s">
        <v>3035</v>
      </c>
      <c r="D767" t="s">
        <v>267</v>
      </c>
      <c r="E767" t="s">
        <v>131</v>
      </c>
      <c r="F767" t="s">
        <v>37</v>
      </c>
    </row>
    <row r="768" spans="1:6" outlineLevel="3" x14ac:dyDescent="0.25">
      <c r="A768" s="4" t="s">
        <v>421</v>
      </c>
      <c r="B768" t="s">
        <v>422</v>
      </c>
      <c r="C768" t="s">
        <v>3036</v>
      </c>
      <c r="D768" t="s">
        <v>13</v>
      </c>
      <c r="E768" t="s">
        <v>131</v>
      </c>
      <c r="F768" t="s">
        <v>37</v>
      </c>
    </row>
    <row r="769" spans="1:6" outlineLevel="3" x14ac:dyDescent="0.25">
      <c r="A769" s="4" t="s">
        <v>421</v>
      </c>
      <c r="B769" t="s">
        <v>422</v>
      </c>
      <c r="C769" t="s">
        <v>3037</v>
      </c>
      <c r="D769" t="s">
        <v>65</v>
      </c>
      <c r="E769" t="s">
        <v>131</v>
      </c>
      <c r="F769" t="s">
        <v>37</v>
      </c>
    </row>
    <row r="770" spans="1:6" outlineLevel="3" x14ac:dyDescent="0.25">
      <c r="A770" s="4" t="s">
        <v>421</v>
      </c>
      <c r="B770" t="s">
        <v>422</v>
      </c>
      <c r="C770" t="s">
        <v>3038</v>
      </c>
      <c r="D770" t="s">
        <v>13</v>
      </c>
      <c r="E770" t="s">
        <v>131</v>
      </c>
      <c r="F770" t="s">
        <v>37</v>
      </c>
    </row>
    <row r="771" spans="1:6" outlineLevel="3" x14ac:dyDescent="0.25">
      <c r="A771" s="4" t="s">
        <v>421</v>
      </c>
      <c r="B771" t="s">
        <v>422</v>
      </c>
      <c r="C771" t="s">
        <v>3039</v>
      </c>
      <c r="D771" t="s">
        <v>76</v>
      </c>
      <c r="E771" t="s">
        <v>131</v>
      </c>
      <c r="F771" t="s">
        <v>37</v>
      </c>
    </row>
    <row r="772" spans="1:6" outlineLevel="3" x14ac:dyDescent="0.25">
      <c r="A772" s="4" t="s">
        <v>421</v>
      </c>
      <c r="B772" t="s">
        <v>422</v>
      </c>
      <c r="C772" t="s">
        <v>3040</v>
      </c>
      <c r="D772" t="s">
        <v>126</v>
      </c>
      <c r="E772" t="s">
        <v>131</v>
      </c>
      <c r="F772" t="s">
        <v>37</v>
      </c>
    </row>
    <row r="773" spans="1:6" outlineLevel="3" x14ac:dyDescent="0.25">
      <c r="A773" s="4" t="s">
        <v>421</v>
      </c>
      <c r="B773" t="s">
        <v>422</v>
      </c>
      <c r="C773" t="s">
        <v>3041</v>
      </c>
      <c r="D773" t="s">
        <v>65</v>
      </c>
      <c r="E773" t="s">
        <v>131</v>
      </c>
      <c r="F773" t="s">
        <v>37</v>
      </c>
    </row>
    <row r="774" spans="1:6" outlineLevel="3" x14ac:dyDescent="0.25">
      <c r="A774" s="4" t="s">
        <v>421</v>
      </c>
      <c r="B774" t="s">
        <v>422</v>
      </c>
      <c r="C774" t="s">
        <v>3042</v>
      </c>
      <c r="D774" t="s">
        <v>13</v>
      </c>
      <c r="E774" t="s">
        <v>131</v>
      </c>
      <c r="F774" t="s">
        <v>37</v>
      </c>
    </row>
    <row r="775" spans="1:6" outlineLevel="3" x14ac:dyDescent="0.25">
      <c r="A775" s="4" t="s">
        <v>421</v>
      </c>
      <c r="B775" t="s">
        <v>422</v>
      </c>
      <c r="C775" t="s">
        <v>3043</v>
      </c>
      <c r="D775" t="s">
        <v>71</v>
      </c>
      <c r="E775" t="s">
        <v>131</v>
      </c>
      <c r="F775" t="s">
        <v>37</v>
      </c>
    </row>
    <row r="776" spans="1:6" outlineLevel="3" x14ac:dyDescent="0.25">
      <c r="A776" s="4" t="s">
        <v>421</v>
      </c>
      <c r="B776" t="s">
        <v>422</v>
      </c>
      <c r="C776" t="s">
        <v>3044</v>
      </c>
      <c r="D776" t="s">
        <v>126</v>
      </c>
      <c r="E776" t="s">
        <v>131</v>
      </c>
      <c r="F776" t="s">
        <v>37</v>
      </c>
    </row>
    <row r="777" spans="1:6" outlineLevel="3" x14ac:dyDescent="0.25">
      <c r="A777" s="4" t="s">
        <v>421</v>
      </c>
      <c r="B777" t="s">
        <v>422</v>
      </c>
      <c r="C777" t="s">
        <v>3045</v>
      </c>
      <c r="D777" t="s">
        <v>67</v>
      </c>
      <c r="E777" t="s">
        <v>131</v>
      </c>
      <c r="F777" t="s">
        <v>37</v>
      </c>
    </row>
    <row r="778" spans="1:6" outlineLevel="3" x14ac:dyDescent="0.25">
      <c r="A778" s="4" t="s">
        <v>421</v>
      </c>
      <c r="B778" t="s">
        <v>422</v>
      </c>
      <c r="C778" t="s">
        <v>3046</v>
      </c>
      <c r="D778" t="s">
        <v>13</v>
      </c>
      <c r="E778" t="s">
        <v>131</v>
      </c>
      <c r="F778" t="s">
        <v>37</v>
      </c>
    </row>
    <row r="779" spans="1:6" outlineLevel="3" x14ac:dyDescent="0.25">
      <c r="A779" s="4" t="s">
        <v>421</v>
      </c>
      <c r="B779" t="s">
        <v>422</v>
      </c>
      <c r="C779" t="s">
        <v>3047</v>
      </c>
      <c r="D779" t="s">
        <v>237</v>
      </c>
      <c r="E779" t="s">
        <v>131</v>
      </c>
      <c r="F779" t="s">
        <v>37</v>
      </c>
    </row>
    <row r="780" spans="1:6" outlineLevel="3" x14ac:dyDescent="0.25">
      <c r="A780" s="4" t="s">
        <v>421</v>
      </c>
      <c r="B780" t="s">
        <v>422</v>
      </c>
      <c r="C780" t="s">
        <v>3048</v>
      </c>
      <c r="D780" t="s">
        <v>13</v>
      </c>
      <c r="E780" t="s">
        <v>131</v>
      </c>
      <c r="F780" t="s">
        <v>37</v>
      </c>
    </row>
    <row r="781" spans="1:6" outlineLevel="3" x14ac:dyDescent="0.25">
      <c r="A781" s="4" t="s">
        <v>421</v>
      </c>
      <c r="B781" t="s">
        <v>422</v>
      </c>
      <c r="C781" t="s">
        <v>3049</v>
      </c>
      <c r="D781" t="s">
        <v>202</v>
      </c>
      <c r="E781" t="s">
        <v>131</v>
      </c>
      <c r="F781" t="s">
        <v>37</v>
      </c>
    </row>
    <row r="782" spans="1:6" outlineLevel="3" x14ac:dyDescent="0.25">
      <c r="A782" s="4" t="s">
        <v>421</v>
      </c>
      <c r="B782" t="s">
        <v>422</v>
      </c>
      <c r="C782" t="s">
        <v>3050</v>
      </c>
      <c r="D782" t="s">
        <v>67</v>
      </c>
      <c r="E782" t="s">
        <v>131</v>
      </c>
      <c r="F782" t="s">
        <v>37</v>
      </c>
    </row>
    <row r="783" spans="1:6" outlineLevel="3" x14ac:dyDescent="0.25">
      <c r="A783" s="4" t="s">
        <v>421</v>
      </c>
      <c r="B783" t="s">
        <v>422</v>
      </c>
      <c r="C783" t="s">
        <v>3051</v>
      </c>
      <c r="D783" t="s">
        <v>13</v>
      </c>
      <c r="E783" t="s">
        <v>131</v>
      </c>
      <c r="F783" t="s">
        <v>37</v>
      </c>
    </row>
    <row r="784" spans="1:6" outlineLevel="3" x14ac:dyDescent="0.25">
      <c r="A784" s="4" t="s">
        <v>421</v>
      </c>
      <c r="B784" t="s">
        <v>422</v>
      </c>
      <c r="C784" t="s">
        <v>3052</v>
      </c>
      <c r="D784" t="s">
        <v>67</v>
      </c>
      <c r="E784" t="s">
        <v>131</v>
      </c>
      <c r="F784" t="s">
        <v>37</v>
      </c>
    </row>
    <row r="785" spans="1:6" outlineLevel="3" x14ac:dyDescent="0.25">
      <c r="A785" s="4" t="s">
        <v>421</v>
      </c>
      <c r="B785" t="s">
        <v>422</v>
      </c>
      <c r="C785" t="s">
        <v>3053</v>
      </c>
      <c r="D785" t="s">
        <v>13</v>
      </c>
      <c r="E785" t="s">
        <v>131</v>
      </c>
      <c r="F785" t="s">
        <v>37</v>
      </c>
    </row>
    <row r="786" spans="1:6" outlineLevel="3" x14ac:dyDescent="0.25">
      <c r="A786" s="4" t="s">
        <v>421</v>
      </c>
      <c r="B786" t="s">
        <v>422</v>
      </c>
      <c r="C786" t="s">
        <v>3054</v>
      </c>
      <c r="D786" t="s">
        <v>202</v>
      </c>
      <c r="E786" t="s">
        <v>131</v>
      </c>
      <c r="F786" t="s">
        <v>37</v>
      </c>
    </row>
    <row r="787" spans="1:6" outlineLevel="3" x14ac:dyDescent="0.25">
      <c r="A787" s="4" t="s">
        <v>421</v>
      </c>
      <c r="B787" t="s">
        <v>422</v>
      </c>
      <c r="C787" t="s">
        <v>3055</v>
      </c>
      <c r="D787" t="s">
        <v>200</v>
      </c>
      <c r="E787" t="s">
        <v>131</v>
      </c>
      <c r="F787" t="s">
        <v>37</v>
      </c>
    </row>
    <row r="788" spans="1:6" outlineLevel="3" x14ac:dyDescent="0.25">
      <c r="A788" s="4" t="s">
        <v>421</v>
      </c>
      <c r="B788" t="s">
        <v>422</v>
      </c>
      <c r="C788" t="s">
        <v>3056</v>
      </c>
      <c r="D788" t="s">
        <v>202</v>
      </c>
      <c r="E788" t="s">
        <v>131</v>
      </c>
      <c r="F788" t="s">
        <v>37</v>
      </c>
    </row>
    <row r="789" spans="1:6" outlineLevel="3" x14ac:dyDescent="0.25">
      <c r="A789" s="4" t="s">
        <v>421</v>
      </c>
      <c r="B789" t="s">
        <v>422</v>
      </c>
      <c r="C789" t="s">
        <v>3057</v>
      </c>
      <c r="D789" t="s">
        <v>237</v>
      </c>
      <c r="E789" t="s">
        <v>131</v>
      </c>
      <c r="F789" t="s">
        <v>37</v>
      </c>
    </row>
    <row r="790" spans="1:6" outlineLevel="3" x14ac:dyDescent="0.25">
      <c r="A790" s="4" t="s">
        <v>421</v>
      </c>
      <c r="B790" t="s">
        <v>422</v>
      </c>
      <c r="C790" t="s">
        <v>3058</v>
      </c>
      <c r="D790" t="s">
        <v>126</v>
      </c>
      <c r="E790" t="s">
        <v>131</v>
      </c>
      <c r="F790" t="s">
        <v>37</v>
      </c>
    </row>
    <row r="791" spans="1:6" outlineLevel="3" x14ac:dyDescent="0.25">
      <c r="A791" s="4" t="s">
        <v>421</v>
      </c>
      <c r="B791" t="s">
        <v>422</v>
      </c>
      <c r="C791" t="s">
        <v>3059</v>
      </c>
      <c r="D791" t="s">
        <v>267</v>
      </c>
      <c r="E791" t="s">
        <v>131</v>
      </c>
      <c r="F791" t="s">
        <v>37</v>
      </c>
    </row>
    <row r="792" spans="1:6" outlineLevel="3" x14ac:dyDescent="0.25">
      <c r="A792" s="4" t="s">
        <v>421</v>
      </c>
      <c r="B792" t="s">
        <v>422</v>
      </c>
      <c r="C792" t="s">
        <v>3060</v>
      </c>
      <c r="D792" t="s">
        <v>202</v>
      </c>
      <c r="E792" t="s">
        <v>131</v>
      </c>
      <c r="F792" t="s">
        <v>37</v>
      </c>
    </row>
    <row r="793" spans="1:6" outlineLevel="3" x14ac:dyDescent="0.25">
      <c r="A793" s="4" t="s">
        <v>421</v>
      </c>
      <c r="B793" t="s">
        <v>422</v>
      </c>
      <c r="C793" t="s">
        <v>3061</v>
      </c>
      <c r="D793" t="s">
        <v>190</v>
      </c>
      <c r="E793" t="s">
        <v>131</v>
      </c>
      <c r="F793" t="s">
        <v>37</v>
      </c>
    </row>
    <row r="794" spans="1:6" outlineLevel="3" x14ac:dyDescent="0.25">
      <c r="A794" s="4" t="s">
        <v>421</v>
      </c>
      <c r="B794" t="s">
        <v>422</v>
      </c>
      <c r="C794" t="s">
        <v>3062</v>
      </c>
      <c r="D794" t="s">
        <v>13</v>
      </c>
      <c r="E794" t="s">
        <v>131</v>
      </c>
      <c r="F794" t="s">
        <v>37</v>
      </c>
    </row>
    <row r="795" spans="1:6" outlineLevel="3" x14ac:dyDescent="0.25">
      <c r="A795" s="4" t="s">
        <v>421</v>
      </c>
      <c r="B795" t="s">
        <v>422</v>
      </c>
      <c r="C795" t="s">
        <v>3063</v>
      </c>
      <c r="D795" t="s">
        <v>190</v>
      </c>
      <c r="E795" t="s">
        <v>131</v>
      </c>
      <c r="F795" t="s">
        <v>37</v>
      </c>
    </row>
    <row r="796" spans="1:6" outlineLevel="3" x14ac:dyDescent="0.25">
      <c r="A796" s="4" t="s">
        <v>421</v>
      </c>
      <c r="B796" t="s">
        <v>422</v>
      </c>
      <c r="C796" t="s">
        <v>3064</v>
      </c>
      <c r="D796" t="s">
        <v>165</v>
      </c>
      <c r="E796" t="s">
        <v>131</v>
      </c>
      <c r="F796" t="s">
        <v>37</v>
      </c>
    </row>
    <row r="797" spans="1:6" outlineLevel="3" x14ac:dyDescent="0.25">
      <c r="A797" s="4" t="s">
        <v>421</v>
      </c>
      <c r="B797" t="s">
        <v>422</v>
      </c>
      <c r="C797" t="s">
        <v>3065</v>
      </c>
      <c r="D797" t="s">
        <v>190</v>
      </c>
      <c r="E797" t="s">
        <v>131</v>
      </c>
      <c r="F797" t="s">
        <v>37</v>
      </c>
    </row>
    <row r="798" spans="1:6" outlineLevel="3" x14ac:dyDescent="0.25">
      <c r="A798" s="4" t="s">
        <v>421</v>
      </c>
      <c r="B798" t="s">
        <v>422</v>
      </c>
      <c r="C798" t="s">
        <v>3066</v>
      </c>
      <c r="D798" t="s">
        <v>165</v>
      </c>
      <c r="E798" t="s">
        <v>131</v>
      </c>
      <c r="F798" t="s">
        <v>37</v>
      </c>
    </row>
    <row r="799" spans="1:6" outlineLevel="3" x14ac:dyDescent="0.25">
      <c r="A799" s="4" t="s">
        <v>421</v>
      </c>
      <c r="B799" t="s">
        <v>422</v>
      </c>
      <c r="C799" t="s">
        <v>3067</v>
      </c>
      <c r="D799" t="s">
        <v>44</v>
      </c>
      <c r="E799" t="s">
        <v>131</v>
      </c>
      <c r="F799" t="s">
        <v>37</v>
      </c>
    </row>
    <row r="800" spans="1:6" outlineLevel="3" x14ac:dyDescent="0.25">
      <c r="A800" s="4" t="s">
        <v>421</v>
      </c>
      <c r="B800" t="s">
        <v>422</v>
      </c>
      <c r="C800" t="s">
        <v>3068</v>
      </c>
      <c r="D800" t="s">
        <v>165</v>
      </c>
      <c r="E800" t="s">
        <v>131</v>
      </c>
      <c r="F800" t="s">
        <v>37</v>
      </c>
    </row>
    <row r="801" spans="1:6" outlineLevel="3" x14ac:dyDescent="0.25">
      <c r="A801" s="4" t="s">
        <v>421</v>
      </c>
      <c r="B801" t="s">
        <v>422</v>
      </c>
      <c r="C801" t="s">
        <v>3069</v>
      </c>
      <c r="D801" t="s">
        <v>44</v>
      </c>
      <c r="E801" t="s">
        <v>131</v>
      </c>
      <c r="F801" t="s">
        <v>37</v>
      </c>
    </row>
    <row r="802" spans="1:6" outlineLevel="3" x14ac:dyDescent="0.25">
      <c r="A802" s="4" t="s">
        <v>421</v>
      </c>
      <c r="B802" t="s">
        <v>422</v>
      </c>
      <c r="C802" t="s">
        <v>3070</v>
      </c>
      <c r="D802" t="s">
        <v>126</v>
      </c>
      <c r="E802" t="s">
        <v>131</v>
      </c>
      <c r="F802" t="s">
        <v>37</v>
      </c>
    </row>
    <row r="803" spans="1:6" outlineLevel="3" x14ac:dyDescent="0.25">
      <c r="A803" s="4" t="s">
        <v>421</v>
      </c>
      <c r="B803" t="s">
        <v>422</v>
      </c>
      <c r="C803" t="s">
        <v>1860</v>
      </c>
      <c r="D803" t="s">
        <v>165</v>
      </c>
      <c r="E803" t="s">
        <v>131</v>
      </c>
      <c r="F803" t="s">
        <v>37</v>
      </c>
    </row>
    <row r="804" spans="1:6" outlineLevel="3" x14ac:dyDescent="0.25">
      <c r="A804" s="4" t="s">
        <v>421</v>
      </c>
      <c r="B804" t="s">
        <v>422</v>
      </c>
      <c r="C804" t="s">
        <v>3071</v>
      </c>
      <c r="D804" t="s">
        <v>13</v>
      </c>
      <c r="E804" t="s">
        <v>131</v>
      </c>
      <c r="F804" t="s">
        <v>37</v>
      </c>
    </row>
    <row r="805" spans="1:6" outlineLevel="3" x14ac:dyDescent="0.25">
      <c r="A805" s="4" t="s">
        <v>421</v>
      </c>
      <c r="B805" t="s">
        <v>422</v>
      </c>
      <c r="C805" t="s">
        <v>3072</v>
      </c>
      <c r="D805" t="s">
        <v>6</v>
      </c>
      <c r="E805" t="s">
        <v>131</v>
      </c>
      <c r="F805" t="s">
        <v>37</v>
      </c>
    </row>
    <row r="806" spans="1:6" outlineLevel="3" x14ac:dyDescent="0.25">
      <c r="A806" s="4" t="s">
        <v>421</v>
      </c>
      <c r="B806" t="s">
        <v>422</v>
      </c>
      <c r="C806" t="s">
        <v>3073</v>
      </c>
      <c r="D806" t="s">
        <v>13</v>
      </c>
      <c r="E806" t="s">
        <v>131</v>
      </c>
      <c r="F806" t="s">
        <v>37</v>
      </c>
    </row>
    <row r="807" spans="1:6" outlineLevel="3" x14ac:dyDescent="0.25">
      <c r="A807" s="4" t="s">
        <v>421</v>
      </c>
      <c r="B807" t="s">
        <v>422</v>
      </c>
      <c r="C807" t="s">
        <v>1861</v>
      </c>
      <c r="D807" t="s">
        <v>119</v>
      </c>
      <c r="E807" t="s">
        <v>131</v>
      </c>
      <c r="F807" t="s">
        <v>37</v>
      </c>
    </row>
    <row r="808" spans="1:6" outlineLevel="3" x14ac:dyDescent="0.25">
      <c r="A808" s="4" t="s">
        <v>421</v>
      </c>
      <c r="B808" t="s">
        <v>422</v>
      </c>
      <c r="C808" t="s">
        <v>1862</v>
      </c>
      <c r="D808" t="s">
        <v>13</v>
      </c>
      <c r="E808" t="s">
        <v>131</v>
      </c>
      <c r="F808" t="s">
        <v>37</v>
      </c>
    </row>
    <row r="809" spans="1:6" outlineLevel="3" x14ac:dyDescent="0.25">
      <c r="A809" s="4" t="s">
        <v>421</v>
      </c>
      <c r="B809" t="s">
        <v>422</v>
      </c>
      <c r="C809" t="s">
        <v>3074</v>
      </c>
      <c r="D809" t="s">
        <v>165</v>
      </c>
      <c r="E809" t="s">
        <v>131</v>
      </c>
      <c r="F809" t="s">
        <v>37</v>
      </c>
    </row>
    <row r="810" spans="1:6" outlineLevel="3" x14ac:dyDescent="0.25">
      <c r="A810" s="4" t="s">
        <v>421</v>
      </c>
      <c r="B810" t="s">
        <v>422</v>
      </c>
      <c r="C810" t="s">
        <v>3075</v>
      </c>
      <c r="D810" t="s">
        <v>126</v>
      </c>
      <c r="E810" t="s">
        <v>131</v>
      </c>
      <c r="F810" t="s">
        <v>37</v>
      </c>
    </row>
    <row r="811" spans="1:6" outlineLevel="3" x14ac:dyDescent="0.25">
      <c r="A811" s="4" t="s">
        <v>421</v>
      </c>
      <c r="B811" t="s">
        <v>422</v>
      </c>
      <c r="C811" t="s">
        <v>3076</v>
      </c>
      <c r="D811" t="s">
        <v>141</v>
      </c>
      <c r="E811" t="s">
        <v>131</v>
      </c>
      <c r="F811" t="s">
        <v>37</v>
      </c>
    </row>
    <row r="812" spans="1:6" outlineLevel="3" x14ac:dyDescent="0.25">
      <c r="A812" s="4" t="s">
        <v>421</v>
      </c>
      <c r="B812" t="s">
        <v>422</v>
      </c>
      <c r="C812" t="s">
        <v>3077</v>
      </c>
      <c r="D812" t="s">
        <v>126</v>
      </c>
      <c r="E812" t="s">
        <v>131</v>
      </c>
      <c r="F812" t="s">
        <v>37</v>
      </c>
    </row>
    <row r="813" spans="1:6" outlineLevel="3" x14ac:dyDescent="0.25">
      <c r="A813" s="4" t="s">
        <v>421</v>
      </c>
      <c r="B813" t="s">
        <v>422</v>
      </c>
      <c r="C813" t="s">
        <v>3078</v>
      </c>
      <c r="D813" t="s">
        <v>65</v>
      </c>
      <c r="E813" t="s">
        <v>131</v>
      </c>
      <c r="F813" t="s">
        <v>37</v>
      </c>
    </row>
    <row r="814" spans="1:6" outlineLevel="3" x14ac:dyDescent="0.25">
      <c r="A814" s="4" t="s">
        <v>421</v>
      </c>
      <c r="B814" t="s">
        <v>422</v>
      </c>
      <c r="C814" t="s">
        <v>3079</v>
      </c>
      <c r="D814" t="s">
        <v>13</v>
      </c>
      <c r="E814" t="s">
        <v>131</v>
      </c>
      <c r="F814" t="s">
        <v>37</v>
      </c>
    </row>
    <row r="815" spans="1:6" outlineLevel="3" x14ac:dyDescent="0.25">
      <c r="A815" s="4" t="s">
        <v>421</v>
      </c>
      <c r="B815" t="s">
        <v>422</v>
      </c>
      <c r="C815" t="s">
        <v>3080</v>
      </c>
      <c r="D815" t="s">
        <v>267</v>
      </c>
      <c r="E815" t="s">
        <v>131</v>
      </c>
      <c r="F815" t="s">
        <v>37</v>
      </c>
    </row>
    <row r="816" spans="1:6" outlineLevel="3" x14ac:dyDescent="0.25">
      <c r="A816" s="4" t="s">
        <v>421</v>
      </c>
      <c r="B816" t="s">
        <v>422</v>
      </c>
      <c r="C816" t="s">
        <v>3081</v>
      </c>
      <c r="D816" t="s">
        <v>126</v>
      </c>
      <c r="E816" t="s">
        <v>131</v>
      </c>
      <c r="F816" t="s">
        <v>37</v>
      </c>
    </row>
    <row r="817" spans="1:6" outlineLevel="3" x14ac:dyDescent="0.25">
      <c r="A817" s="4" t="s">
        <v>421</v>
      </c>
      <c r="B817" t="s">
        <v>422</v>
      </c>
      <c r="C817" t="s">
        <v>3082</v>
      </c>
      <c r="D817" t="s">
        <v>290</v>
      </c>
      <c r="E817" t="s">
        <v>131</v>
      </c>
      <c r="F817" t="s">
        <v>37</v>
      </c>
    </row>
    <row r="818" spans="1:6" outlineLevel="3" x14ac:dyDescent="0.25">
      <c r="A818" s="4" t="s">
        <v>421</v>
      </c>
      <c r="B818" t="s">
        <v>422</v>
      </c>
      <c r="C818" t="s">
        <v>3083</v>
      </c>
      <c r="D818" t="s">
        <v>78</v>
      </c>
      <c r="E818" t="s">
        <v>131</v>
      </c>
      <c r="F818" t="s">
        <v>37</v>
      </c>
    </row>
    <row r="819" spans="1:6" outlineLevel="3" x14ac:dyDescent="0.25">
      <c r="A819" s="4" t="s">
        <v>421</v>
      </c>
      <c r="B819" t="s">
        <v>422</v>
      </c>
      <c r="C819" t="s">
        <v>3084</v>
      </c>
      <c r="D819" t="s">
        <v>44</v>
      </c>
      <c r="E819" t="s">
        <v>131</v>
      </c>
      <c r="F819" t="s">
        <v>37</v>
      </c>
    </row>
    <row r="820" spans="1:6" outlineLevel="3" x14ac:dyDescent="0.25">
      <c r="A820" s="4" t="s">
        <v>421</v>
      </c>
      <c r="B820" t="s">
        <v>422</v>
      </c>
      <c r="C820" t="s">
        <v>3085</v>
      </c>
      <c r="D820" t="s">
        <v>126</v>
      </c>
      <c r="E820" t="s">
        <v>131</v>
      </c>
      <c r="F820" t="s">
        <v>37</v>
      </c>
    </row>
    <row r="821" spans="1:6" outlineLevel="3" x14ac:dyDescent="0.25">
      <c r="A821" s="4" t="s">
        <v>421</v>
      </c>
      <c r="B821" t="s">
        <v>422</v>
      </c>
      <c r="C821" t="s">
        <v>3086</v>
      </c>
      <c r="D821" t="s">
        <v>65</v>
      </c>
      <c r="E821" t="s">
        <v>131</v>
      </c>
      <c r="F821" t="s">
        <v>37</v>
      </c>
    </row>
    <row r="822" spans="1:6" outlineLevel="3" x14ac:dyDescent="0.25">
      <c r="A822" s="4" t="s">
        <v>421</v>
      </c>
      <c r="B822" t="s">
        <v>422</v>
      </c>
      <c r="C822" t="s">
        <v>3087</v>
      </c>
      <c r="D822" t="s">
        <v>13</v>
      </c>
      <c r="E822" t="s">
        <v>131</v>
      </c>
      <c r="F822" t="s">
        <v>37</v>
      </c>
    </row>
    <row r="823" spans="1:6" outlineLevel="3" x14ac:dyDescent="0.25">
      <c r="A823" s="4" t="s">
        <v>421</v>
      </c>
      <c r="B823" t="s">
        <v>422</v>
      </c>
      <c r="C823" t="s">
        <v>3088</v>
      </c>
      <c r="D823" t="s">
        <v>124</v>
      </c>
      <c r="E823" t="s">
        <v>131</v>
      </c>
      <c r="F823" t="s">
        <v>37</v>
      </c>
    </row>
    <row r="824" spans="1:6" outlineLevel="3" x14ac:dyDescent="0.25">
      <c r="A824" s="4" t="s">
        <v>421</v>
      </c>
      <c r="B824" t="s">
        <v>422</v>
      </c>
      <c r="C824" t="s">
        <v>3089</v>
      </c>
      <c r="D824" t="s">
        <v>202</v>
      </c>
      <c r="E824" t="s">
        <v>131</v>
      </c>
      <c r="F824" t="s">
        <v>37</v>
      </c>
    </row>
    <row r="825" spans="1:6" outlineLevel="3" x14ac:dyDescent="0.25">
      <c r="A825" s="4" t="s">
        <v>421</v>
      </c>
      <c r="B825" t="s">
        <v>422</v>
      </c>
      <c r="C825" t="s">
        <v>1675</v>
      </c>
      <c r="D825" t="s">
        <v>165</v>
      </c>
      <c r="E825" t="s">
        <v>131</v>
      </c>
      <c r="F825" t="s">
        <v>37</v>
      </c>
    </row>
    <row r="826" spans="1:6" outlineLevel="3" x14ac:dyDescent="0.25">
      <c r="A826" s="4" t="s">
        <v>421</v>
      </c>
      <c r="B826" t="s">
        <v>422</v>
      </c>
      <c r="C826" t="s">
        <v>1758</v>
      </c>
      <c r="D826" t="s">
        <v>13</v>
      </c>
      <c r="E826" t="s">
        <v>131</v>
      </c>
      <c r="F826" t="s">
        <v>37</v>
      </c>
    </row>
    <row r="827" spans="1:6" outlineLevel="3" x14ac:dyDescent="0.25">
      <c r="A827" s="4" t="s">
        <v>421</v>
      </c>
      <c r="B827" t="s">
        <v>422</v>
      </c>
      <c r="C827" t="s">
        <v>1863</v>
      </c>
      <c r="D827" t="s">
        <v>165</v>
      </c>
      <c r="E827" t="s">
        <v>131</v>
      </c>
      <c r="F827" t="s">
        <v>37</v>
      </c>
    </row>
    <row r="828" spans="1:6" outlineLevel="3" x14ac:dyDescent="0.25">
      <c r="A828" s="4" t="s">
        <v>421</v>
      </c>
      <c r="B828" t="s">
        <v>422</v>
      </c>
      <c r="C828" t="s">
        <v>1864</v>
      </c>
      <c r="D828" t="s">
        <v>13</v>
      </c>
      <c r="E828" t="s">
        <v>131</v>
      </c>
      <c r="F828" t="s">
        <v>37</v>
      </c>
    </row>
    <row r="829" spans="1:6" outlineLevel="3" x14ac:dyDescent="0.25">
      <c r="A829" s="4" t="s">
        <v>421</v>
      </c>
      <c r="B829" t="s">
        <v>422</v>
      </c>
      <c r="C829" t="s">
        <v>3090</v>
      </c>
      <c r="D829" t="s">
        <v>165</v>
      </c>
      <c r="E829" t="s">
        <v>131</v>
      </c>
      <c r="F829" t="s">
        <v>37</v>
      </c>
    </row>
    <row r="830" spans="1:6" outlineLevel="3" x14ac:dyDescent="0.25">
      <c r="A830" s="4" t="s">
        <v>421</v>
      </c>
      <c r="B830" t="s">
        <v>422</v>
      </c>
      <c r="C830" t="s">
        <v>3091</v>
      </c>
      <c r="D830" t="s">
        <v>165</v>
      </c>
      <c r="E830" t="s">
        <v>131</v>
      </c>
      <c r="F830" t="s">
        <v>37</v>
      </c>
    </row>
    <row r="831" spans="1:6" outlineLevel="3" x14ac:dyDescent="0.25">
      <c r="A831" s="4" t="s">
        <v>421</v>
      </c>
      <c r="B831" t="s">
        <v>422</v>
      </c>
      <c r="C831" t="s">
        <v>3092</v>
      </c>
      <c r="D831" t="s">
        <v>202</v>
      </c>
      <c r="E831" t="s">
        <v>131</v>
      </c>
      <c r="F831" t="s">
        <v>37</v>
      </c>
    </row>
    <row r="832" spans="1:6" outlineLevel="3" x14ac:dyDescent="0.25">
      <c r="A832" s="4" t="s">
        <v>421</v>
      </c>
      <c r="B832" t="s">
        <v>422</v>
      </c>
      <c r="C832" t="s">
        <v>3093</v>
      </c>
      <c r="D832" t="s">
        <v>126</v>
      </c>
      <c r="E832" t="s">
        <v>131</v>
      </c>
      <c r="F832" t="s">
        <v>37</v>
      </c>
    </row>
    <row r="833" spans="1:6" outlineLevel="3" x14ac:dyDescent="0.25">
      <c r="A833" s="4" t="s">
        <v>421</v>
      </c>
      <c r="B833" t="s">
        <v>422</v>
      </c>
      <c r="C833" t="s">
        <v>3094</v>
      </c>
      <c r="D833" t="s">
        <v>202</v>
      </c>
      <c r="E833" t="s">
        <v>131</v>
      </c>
      <c r="F833" t="s">
        <v>37</v>
      </c>
    </row>
    <row r="834" spans="1:6" outlineLevel="3" x14ac:dyDescent="0.25">
      <c r="A834" s="4" t="s">
        <v>421</v>
      </c>
      <c r="B834" t="s">
        <v>422</v>
      </c>
      <c r="C834" t="s">
        <v>3095</v>
      </c>
      <c r="D834" t="s">
        <v>13</v>
      </c>
      <c r="E834" t="s">
        <v>131</v>
      </c>
      <c r="F834" t="s">
        <v>37</v>
      </c>
    </row>
    <row r="835" spans="1:6" outlineLevel="3" x14ac:dyDescent="0.25">
      <c r="A835" s="4" t="s">
        <v>421</v>
      </c>
      <c r="B835" t="s">
        <v>422</v>
      </c>
      <c r="C835" t="s">
        <v>3096</v>
      </c>
      <c r="D835" t="s">
        <v>126</v>
      </c>
      <c r="E835" t="s">
        <v>131</v>
      </c>
      <c r="F835" t="s">
        <v>37</v>
      </c>
    </row>
    <row r="836" spans="1:6" outlineLevel="3" x14ac:dyDescent="0.25">
      <c r="A836" s="4" t="s">
        <v>421</v>
      </c>
      <c r="B836" t="s">
        <v>422</v>
      </c>
      <c r="C836" t="s">
        <v>3097</v>
      </c>
      <c r="D836" t="s">
        <v>202</v>
      </c>
      <c r="E836" t="s">
        <v>131</v>
      </c>
      <c r="F836" t="s">
        <v>37</v>
      </c>
    </row>
    <row r="837" spans="1:6" outlineLevel="3" x14ac:dyDescent="0.25">
      <c r="A837" s="4" t="s">
        <v>421</v>
      </c>
      <c r="B837" t="s">
        <v>422</v>
      </c>
      <c r="C837" t="s">
        <v>3098</v>
      </c>
      <c r="D837" t="s">
        <v>13</v>
      </c>
      <c r="E837" t="s">
        <v>131</v>
      </c>
      <c r="F837" t="s">
        <v>37</v>
      </c>
    </row>
    <row r="838" spans="1:6" outlineLevel="3" x14ac:dyDescent="0.25">
      <c r="A838" s="4" t="s">
        <v>421</v>
      </c>
      <c r="B838" t="s">
        <v>422</v>
      </c>
      <c r="C838" t="s">
        <v>3099</v>
      </c>
      <c r="D838" t="s">
        <v>13</v>
      </c>
      <c r="E838" t="s">
        <v>131</v>
      </c>
      <c r="F838" t="s">
        <v>37</v>
      </c>
    </row>
    <row r="839" spans="1:6" outlineLevel="3" x14ac:dyDescent="0.25">
      <c r="A839" s="4" t="s">
        <v>421</v>
      </c>
      <c r="B839" t="s">
        <v>422</v>
      </c>
      <c r="C839" t="s">
        <v>3100</v>
      </c>
      <c r="D839" t="s">
        <v>44</v>
      </c>
      <c r="E839" t="s">
        <v>131</v>
      </c>
      <c r="F839" t="s">
        <v>37</v>
      </c>
    </row>
    <row r="840" spans="1:6" outlineLevel="3" x14ac:dyDescent="0.25">
      <c r="A840" s="4" t="s">
        <v>421</v>
      </c>
      <c r="B840" t="s">
        <v>422</v>
      </c>
      <c r="C840" t="s">
        <v>3101</v>
      </c>
      <c r="D840" t="s">
        <v>6</v>
      </c>
      <c r="E840" t="s">
        <v>131</v>
      </c>
      <c r="F840" t="s">
        <v>37</v>
      </c>
    </row>
    <row r="841" spans="1:6" outlineLevel="3" x14ac:dyDescent="0.25">
      <c r="A841" s="4" t="s">
        <v>421</v>
      </c>
      <c r="B841" t="s">
        <v>422</v>
      </c>
      <c r="C841" t="s">
        <v>1865</v>
      </c>
      <c r="D841" t="s">
        <v>165</v>
      </c>
      <c r="E841" t="s">
        <v>131</v>
      </c>
      <c r="F841" t="s">
        <v>37</v>
      </c>
    </row>
    <row r="842" spans="1:6" outlineLevel="3" x14ac:dyDescent="0.25">
      <c r="A842" s="4" t="s">
        <v>421</v>
      </c>
      <c r="B842" t="s">
        <v>422</v>
      </c>
      <c r="C842" t="s">
        <v>3102</v>
      </c>
      <c r="D842" t="s">
        <v>13</v>
      </c>
      <c r="E842" t="s">
        <v>131</v>
      </c>
      <c r="F842" t="s">
        <v>37</v>
      </c>
    </row>
    <row r="843" spans="1:6" outlineLevel="3" x14ac:dyDescent="0.25">
      <c r="A843" s="4" t="s">
        <v>421</v>
      </c>
      <c r="B843" t="s">
        <v>422</v>
      </c>
      <c r="C843" t="s">
        <v>3103</v>
      </c>
      <c r="D843" t="s">
        <v>437</v>
      </c>
      <c r="E843" t="s">
        <v>131</v>
      </c>
      <c r="F843" t="s">
        <v>37</v>
      </c>
    </row>
    <row r="844" spans="1:6" outlineLevel="3" x14ac:dyDescent="0.25">
      <c r="A844" s="4" t="s">
        <v>421</v>
      </c>
      <c r="B844" t="s">
        <v>422</v>
      </c>
      <c r="C844" t="s">
        <v>3104</v>
      </c>
      <c r="D844" t="s">
        <v>13</v>
      </c>
      <c r="E844" t="s">
        <v>131</v>
      </c>
      <c r="F844" t="s">
        <v>37</v>
      </c>
    </row>
    <row r="845" spans="1:6" outlineLevel="3" x14ac:dyDescent="0.25">
      <c r="A845" s="4" t="s">
        <v>421</v>
      </c>
      <c r="B845" t="s">
        <v>422</v>
      </c>
      <c r="C845" t="s">
        <v>3105</v>
      </c>
      <c r="D845" t="s">
        <v>67</v>
      </c>
      <c r="E845" t="s">
        <v>131</v>
      </c>
      <c r="F845" t="s">
        <v>37</v>
      </c>
    </row>
    <row r="846" spans="1:6" outlineLevel="3" x14ac:dyDescent="0.25">
      <c r="A846" s="4" t="s">
        <v>421</v>
      </c>
      <c r="B846" t="s">
        <v>422</v>
      </c>
      <c r="C846" t="s">
        <v>1866</v>
      </c>
      <c r="D846" t="s">
        <v>119</v>
      </c>
      <c r="E846" t="s">
        <v>131</v>
      </c>
      <c r="F846" t="s">
        <v>37</v>
      </c>
    </row>
    <row r="847" spans="1:6" outlineLevel="3" x14ac:dyDescent="0.25">
      <c r="A847" s="4" t="s">
        <v>421</v>
      </c>
      <c r="B847" t="s">
        <v>422</v>
      </c>
      <c r="C847" t="s">
        <v>3106</v>
      </c>
      <c r="D847" t="s">
        <v>65</v>
      </c>
      <c r="E847" t="s">
        <v>131</v>
      </c>
      <c r="F847" t="s">
        <v>37</v>
      </c>
    </row>
    <row r="848" spans="1:6" outlineLevel="3" x14ac:dyDescent="0.25">
      <c r="A848" s="4" t="s">
        <v>421</v>
      </c>
      <c r="B848" t="s">
        <v>422</v>
      </c>
      <c r="C848" t="s">
        <v>3107</v>
      </c>
      <c r="D848" t="s">
        <v>126</v>
      </c>
      <c r="E848" t="s">
        <v>131</v>
      </c>
      <c r="F848" t="s">
        <v>37</v>
      </c>
    </row>
    <row r="849" spans="1:6" outlineLevel="3" x14ac:dyDescent="0.25">
      <c r="A849" s="4" t="s">
        <v>421</v>
      </c>
      <c r="B849" t="s">
        <v>422</v>
      </c>
      <c r="C849" t="s">
        <v>1867</v>
      </c>
      <c r="D849" t="s">
        <v>119</v>
      </c>
      <c r="E849" t="s">
        <v>131</v>
      </c>
      <c r="F849" t="s">
        <v>37</v>
      </c>
    </row>
    <row r="850" spans="1:6" outlineLevel="3" x14ac:dyDescent="0.25">
      <c r="A850" s="4" t="s">
        <v>421</v>
      </c>
      <c r="B850" t="s">
        <v>422</v>
      </c>
      <c r="C850" t="s">
        <v>1868</v>
      </c>
      <c r="D850" t="s">
        <v>119</v>
      </c>
      <c r="E850" t="s">
        <v>131</v>
      </c>
      <c r="F850" t="s">
        <v>37</v>
      </c>
    </row>
    <row r="851" spans="1:6" outlineLevel="3" x14ac:dyDescent="0.25">
      <c r="A851" s="4" t="s">
        <v>421</v>
      </c>
      <c r="B851" t="s">
        <v>422</v>
      </c>
      <c r="C851" t="s">
        <v>3108</v>
      </c>
      <c r="D851" t="s">
        <v>44</v>
      </c>
      <c r="E851" t="s">
        <v>131</v>
      </c>
      <c r="F851" t="s">
        <v>37</v>
      </c>
    </row>
    <row r="852" spans="1:6" outlineLevel="3" x14ac:dyDescent="0.25">
      <c r="A852" s="4" t="s">
        <v>421</v>
      </c>
      <c r="B852" t="s">
        <v>422</v>
      </c>
      <c r="C852" t="s">
        <v>3109</v>
      </c>
      <c r="D852" t="s">
        <v>76</v>
      </c>
      <c r="E852" t="s">
        <v>131</v>
      </c>
      <c r="F852" t="s">
        <v>37</v>
      </c>
    </row>
    <row r="853" spans="1:6" outlineLevel="3" x14ac:dyDescent="0.25">
      <c r="A853" s="4" t="s">
        <v>421</v>
      </c>
      <c r="B853" t="s">
        <v>422</v>
      </c>
      <c r="C853" t="s">
        <v>3110</v>
      </c>
      <c r="D853" t="s">
        <v>437</v>
      </c>
      <c r="E853" t="s">
        <v>131</v>
      </c>
      <c r="F853" t="s">
        <v>37</v>
      </c>
    </row>
    <row r="854" spans="1:6" outlineLevel="3" x14ac:dyDescent="0.25">
      <c r="A854" s="4" t="s">
        <v>421</v>
      </c>
      <c r="B854" t="s">
        <v>422</v>
      </c>
      <c r="C854" t="s">
        <v>3111</v>
      </c>
      <c r="D854" t="s">
        <v>437</v>
      </c>
      <c r="E854" t="s">
        <v>131</v>
      </c>
      <c r="F854" t="s">
        <v>37</v>
      </c>
    </row>
    <row r="855" spans="1:6" outlineLevel="3" x14ac:dyDescent="0.25">
      <c r="A855" s="4" t="s">
        <v>421</v>
      </c>
      <c r="B855" t="s">
        <v>422</v>
      </c>
      <c r="C855" t="s">
        <v>3112</v>
      </c>
      <c r="D855" t="s">
        <v>437</v>
      </c>
      <c r="E855" t="s">
        <v>131</v>
      </c>
      <c r="F855" t="s">
        <v>37</v>
      </c>
    </row>
    <row r="856" spans="1:6" outlineLevel="3" x14ac:dyDescent="0.25">
      <c r="A856" s="4" t="s">
        <v>421</v>
      </c>
      <c r="B856" t="s">
        <v>422</v>
      </c>
      <c r="C856" t="s">
        <v>3113</v>
      </c>
      <c r="D856" t="s">
        <v>165</v>
      </c>
      <c r="E856" t="s">
        <v>131</v>
      </c>
      <c r="F856" t="s">
        <v>37</v>
      </c>
    </row>
    <row r="857" spans="1:6" outlineLevel="3" x14ac:dyDescent="0.25">
      <c r="A857" s="4" t="s">
        <v>421</v>
      </c>
      <c r="B857" t="s">
        <v>422</v>
      </c>
      <c r="C857" t="s">
        <v>3114</v>
      </c>
      <c r="D857" t="s">
        <v>165</v>
      </c>
      <c r="E857" t="s">
        <v>131</v>
      </c>
      <c r="F857" t="s">
        <v>37</v>
      </c>
    </row>
    <row r="858" spans="1:6" outlineLevel="3" x14ac:dyDescent="0.25">
      <c r="A858" s="4" t="s">
        <v>421</v>
      </c>
      <c r="B858" t="s">
        <v>422</v>
      </c>
      <c r="C858" t="s">
        <v>3115</v>
      </c>
      <c r="D858" t="s">
        <v>165</v>
      </c>
      <c r="E858" t="s">
        <v>131</v>
      </c>
      <c r="F858" t="s">
        <v>37</v>
      </c>
    </row>
    <row r="859" spans="1:6" outlineLevel="3" x14ac:dyDescent="0.25">
      <c r="A859" s="4" t="s">
        <v>421</v>
      </c>
      <c r="B859" t="s">
        <v>422</v>
      </c>
      <c r="C859" t="s">
        <v>3116</v>
      </c>
      <c r="D859" t="s">
        <v>147</v>
      </c>
      <c r="E859" t="s">
        <v>131</v>
      </c>
      <c r="F859" t="s">
        <v>37</v>
      </c>
    </row>
    <row r="860" spans="1:6" outlineLevel="3" x14ac:dyDescent="0.25">
      <c r="A860" s="4" t="s">
        <v>421</v>
      </c>
      <c r="B860" t="s">
        <v>422</v>
      </c>
      <c r="C860" t="s">
        <v>3117</v>
      </c>
      <c r="D860" t="s">
        <v>202</v>
      </c>
      <c r="E860" t="s">
        <v>131</v>
      </c>
      <c r="F860" t="s">
        <v>37</v>
      </c>
    </row>
    <row r="861" spans="1:6" outlineLevel="3" x14ac:dyDescent="0.25">
      <c r="A861" s="4" t="s">
        <v>421</v>
      </c>
      <c r="B861" t="s">
        <v>422</v>
      </c>
      <c r="C861" t="s">
        <v>3118</v>
      </c>
      <c r="D861" t="s">
        <v>126</v>
      </c>
      <c r="E861" t="s">
        <v>131</v>
      </c>
      <c r="F861" t="s">
        <v>37</v>
      </c>
    </row>
    <row r="862" spans="1:6" outlineLevel="3" x14ac:dyDescent="0.25">
      <c r="A862" s="4" t="s">
        <v>421</v>
      </c>
      <c r="B862" t="s">
        <v>422</v>
      </c>
      <c r="C862" t="s">
        <v>3119</v>
      </c>
      <c r="D862" t="s">
        <v>65</v>
      </c>
      <c r="E862" t="s">
        <v>131</v>
      </c>
      <c r="F862" t="s">
        <v>37</v>
      </c>
    </row>
    <row r="863" spans="1:6" outlineLevel="3" x14ac:dyDescent="0.25">
      <c r="A863" s="4" t="s">
        <v>421</v>
      </c>
      <c r="B863" t="s">
        <v>422</v>
      </c>
      <c r="C863" t="s">
        <v>3120</v>
      </c>
      <c r="D863" t="s">
        <v>437</v>
      </c>
      <c r="E863" t="s">
        <v>131</v>
      </c>
      <c r="F863" t="s">
        <v>37</v>
      </c>
    </row>
    <row r="864" spans="1:6" outlineLevel="3" x14ac:dyDescent="0.25">
      <c r="A864" s="4" t="s">
        <v>421</v>
      </c>
      <c r="B864" t="s">
        <v>422</v>
      </c>
      <c r="C864" t="s">
        <v>3121</v>
      </c>
      <c r="D864" t="s">
        <v>13</v>
      </c>
      <c r="E864" t="s">
        <v>131</v>
      </c>
      <c r="F864" t="s">
        <v>37</v>
      </c>
    </row>
    <row r="865" spans="1:6" outlineLevel="3" x14ac:dyDescent="0.25">
      <c r="A865" s="4" t="s">
        <v>421</v>
      </c>
      <c r="B865" t="s">
        <v>422</v>
      </c>
      <c r="C865" t="s">
        <v>3122</v>
      </c>
      <c r="D865" t="s">
        <v>13</v>
      </c>
      <c r="E865" t="s">
        <v>131</v>
      </c>
      <c r="F865" t="s">
        <v>37</v>
      </c>
    </row>
    <row r="866" spans="1:6" outlineLevel="3" x14ac:dyDescent="0.25">
      <c r="A866" s="4" t="s">
        <v>421</v>
      </c>
      <c r="B866" t="s">
        <v>422</v>
      </c>
      <c r="C866" t="s">
        <v>3123</v>
      </c>
      <c r="D866" t="s">
        <v>13</v>
      </c>
      <c r="E866" t="s">
        <v>131</v>
      </c>
      <c r="F866" t="s">
        <v>37</v>
      </c>
    </row>
    <row r="867" spans="1:6" outlineLevel="3" x14ac:dyDescent="0.25">
      <c r="A867" s="4" t="s">
        <v>421</v>
      </c>
      <c r="B867" t="s">
        <v>422</v>
      </c>
      <c r="C867" t="s">
        <v>3124</v>
      </c>
      <c r="D867" t="s">
        <v>13</v>
      </c>
      <c r="E867" t="s">
        <v>131</v>
      </c>
      <c r="F867" t="s">
        <v>37</v>
      </c>
    </row>
    <row r="868" spans="1:6" outlineLevel="3" x14ac:dyDescent="0.25">
      <c r="A868" s="4" t="s">
        <v>421</v>
      </c>
      <c r="B868" t="s">
        <v>422</v>
      </c>
      <c r="C868" t="s">
        <v>1869</v>
      </c>
      <c r="D868" t="s">
        <v>119</v>
      </c>
      <c r="E868" t="s">
        <v>131</v>
      </c>
      <c r="F868" t="s">
        <v>37</v>
      </c>
    </row>
    <row r="869" spans="1:6" outlineLevel="3" x14ac:dyDescent="0.25">
      <c r="A869" s="4" t="s">
        <v>421</v>
      </c>
      <c r="B869" t="s">
        <v>422</v>
      </c>
      <c r="C869" t="s">
        <v>3125</v>
      </c>
      <c r="D869" t="s">
        <v>13</v>
      </c>
      <c r="E869" t="s">
        <v>131</v>
      </c>
      <c r="F869" t="s">
        <v>37</v>
      </c>
    </row>
    <row r="870" spans="1:6" outlineLevel="3" x14ac:dyDescent="0.25">
      <c r="A870" s="4" t="s">
        <v>421</v>
      </c>
      <c r="B870" t="s">
        <v>422</v>
      </c>
      <c r="C870" t="s">
        <v>3126</v>
      </c>
      <c r="D870" t="s">
        <v>126</v>
      </c>
      <c r="E870" t="s">
        <v>131</v>
      </c>
      <c r="F870" t="s">
        <v>37</v>
      </c>
    </row>
    <row r="871" spans="1:6" outlineLevel="3" x14ac:dyDescent="0.25">
      <c r="A871" s="4" t="s">
        <v>421</v>
      </c>
      <c r="B871" t="s">
        <v>422</v>
      </c>
      <c r="C871" t="s">
        <v>3127</v>
      </c>
      <c r="D871" t="s">
        <v>6</v>
      </c>
      <c r="E871" t="s">
        <v>131</v>
      </c>
      <c r="F871" t="s">
        <v>37</v>
      </c>
    </row>
    <row r="872" spans="1:6" outlineLevel="3" x14ac:dyDescent="0.25">
      <c r="A872" s="4" t="s">
        <v>421</v>
      </c>
      <c r="B872" t="s">
        <v>422</v>
      </c>
      <c r="C872" t="s">
        <v>3128</v>
      </c>
      <c r="D872" t="s">
        <v>67</v>
      </c>
      <c r="E872" t="s">
        <v>131</v>
      </c>
      <c r="F872" t="s">
        <v>37</v>
      </c>
    </row>
    <row r="873" spans="1:6" outlineLevel="3" x14ac:dyDescent="0.25">
      <c r="A873" s="4" t="s">
        <v>421</v>
      </c>
      <c r="B873" t="s">
        <v>422</v>
      </c>
      <c r="C873" t="s">
        <v>1870</v>
      </c>
      <c r="D873" t="s">
        <v>119</v>
      </c>
      <c r="E873" t="s">
        <v>131</v>
      </c>
      <c r="F873" t="s">
        <v>37</v>
      </c>
    </row>
    <row r="874" spans="1:6" outlineLevel="3" x14ac:dyDescent="0.25">
      <c r="A874" s="4" t="s">
        <v>421</v>
      </c>
      <c r="B874" t="s">
        <v>422</v>
      </c>
      <c r="C874" t="s">
        <v>3129</v>
      </c>
      <c r="D874" t="s">
        <v>13</v>
      </c>
      <c r="E874" t="s">
        <v>131</v>
      </c>
      <c r="F874" t="s">
        <v>37</v>
      </c>
    </row>
    <row r="875" spans="1:6" outlineLevel="3" x14ac:dyDescent="0.25">
      <c r="A875" s="4" t="s">
        <v>421</v>
      </c>
      <c r="B875" t="s">
        <v>422</v>
      </c>
      <c r="C875" t="s">
        <v>3130</v>
      </c>
      <c r="D875" t="s">
        <v>202</v>
      </c>
      <c r="E875" t="s">
        <v>131</v>
      </c>
      <c r="F875" t="s">
        <v>37</v>
      </c>
    </row>
    <row r="876" spans="1:6" outlineLevel="3" x14ac:dyDescent="0.25">
      <c r="A876" s="4" t="s">
        <v>421</v>
      </c>
      <c r="B876" t="s">
        <v>422</v>
      </c>
      <c r="C876" t="s">
        <v>3131</v>
      </c>
      <c r="D876" t="s">
        <v>44</v>
      </c>
      <c r="E876" t="s">
        <v>131</v>
      </c>
      <c r="F876" t="s">
        <v>37</v>
      </c>
    </row>
    <row r="877" spans="1:6" outlineLevel="3" x14ac:dyDescent="0.25">
      <c r="A877" s="4" t="s">
        <v>421</v>
      </c>
      <c r="B877" t="s">
        <v>422</v>
      </c>
      <c r="C877" t="s">
        <v>3132</v>
      </c>
      <c r="D877" t="s">
        <v>44</v>
      </c>
      <c r="E877" t="s">
        <v>131</v>
      </c>
      <c r="F877" t="s">
        <v>37</v>
      </c>
    </row>
    <row r="878" spans="1:6" outlineLevel="3" x14ac:dyDescent="0.25">
      <c r="A878" s="4" t="s">
        <v>421</v>
      </c>
      <c r="B878" t="s">
        <v>422</v>
      </c>
      <c r="C878" t="s">
        <v>3133</v>
      </c>
      <c r="D878" t="s">
        <v>103</v>
      </c>
      <c r="E878" t="s">
        <v>131</v>
      </c>
      <c r="F878" t="s">
        <v>37</v>
      </c>
    </row>
    <row r="879" spans="1:6" outlineLevel="3" x14ac:dyDescent="0.25">
      <c r="A879" s="4" t="s">
        <v>421</v>
      </c>
      <c r="B879" t="s">
        <v>422</v>
      </c>
      <c r="C879" t="s">
        <v>3134</v>
      </c>
      <c r="D879" t="s">
        <v>44</v>
      </c>
      <c r="E879" t="s">
        <v>131</v>
      </c>
      <c r="F879" t="s">
        <v>37</v>
      </c>
    </row>
    <row r="880" spans="1:6" outlineLevel="3" x14ac:dyDescent="0.25">
      <c r="A880" s="4" t="s">
        <v>421</v>
      </c>
      <c r="B880" t="s">
        <v>422</v>
      </c>
      <c r="C880" t="s">
        <v>3135</v>
      </c>
      <c r="D880" t="s">
        <v>65</v>
      </c>
      <c r="E880" t="s">
        <v>131</v>
      </c>
      <c r="F880" t="s">
        <v>37</v>
      </c>
    </row>
    <row r="881" spans="1:6" outlineLevel="3" x14ac:dyDescent="0.25">
      <c r="A881" s="4" t="s">
        <v>421</v>
      </c>
      <c r="B881" t="s">
        <v>422</v>
      </c>
      <c r="C881" t="s">
        <v>3136</v>
      </c>
      <c r="D881" t="s">
        <v>126</v>
      </c>
      <c r="E881" t="s">
        <v>131</v>
      </c>
      <c r="F881" t="s">
        <v>37</v>
      </c>
    </row>
    <row r="882" spans="1:6" outlineLevel="3" x14ac:dyDescent="0.25">
      <c r="A882" s="4" t="s">
        <v>421</v>
      </c>
      <c r="B882" t="s">
        <v>422</v>
      </c>
      <c r="C882" t="s">
        <v>3137</v>
      </c>
      <c r="D882" t="s">
        <v>65</v>
      </c>
      <c r="E882" t="s">
        <v>131</v>
      </c>
      <c r="F882" t="s">
        <v>37</v>
      </c>
    </row>
    <row r="883" spans="1:6" outlineLevel="3" x14ac:dyDescent="0.25">
      <c r="A883" s="4" t="s">
        <v>421</v>
      </c>
      <c r="B883" t="s">
        <v>422</v>
      </c>
      <c r="C883" t="s">
        <v>3138</v>
      </c>
      <c r="D883" t="s">
        <v>6</v>
      </c>
      <c r="E883" t="s">
        <v>131</v>
      </c>
      <c r="F883" t="s">
        <v>37</v>
      </c>
    </row>
    <row r="884" spans="1:6" outlineLevel="3" x14ac:dyDescent="0.25">
      <c r="A884" s="4" t="s">
        <v>421</v>
      </c>
      <c r="B884" t="s">
        <v>422</v>
      </c>
      <c r="C884" t="s">
        <v>3139</v>
      </c>
      <c r="D884" t="s">
        <v>275</v>
      </c>
      <c r="E884" t="s">
        <v>131</v>
      </c>
      <c r="F884" t="s">
        <v>37</v>
      </c>
    </row>
    <row r="885" spans="1:6" outlineLevel="3" x14ac:dyDescent="0.25">
      <c r="A885" s="4" t="s">
        <v>421</v>
      </c>
      <c r="B885" t="s">
        <v>422</v>
      </c>
      <c r="C885" t="s">
        <v>3140</v>
      </c>
      <c r="D885" t="s">
        <v>76</v>
      </c>
      <c r="E885" t="s">
        <v>131</v>
      </c>
      <c r="F885" t="s">
        <v>37</v>
      </c>
    </row>
    <row r="886" spans="1:6" outlineLevel="3" x14ac:dyDescent="0.25">
      <c r="A886" s="4" t="s">
        <v>421</v>
      </c>
      <c r="B886" t="s">
        <v>422</v>
      </c>
      <c r="C886" t="s">
        <v>3141</v>
      </c>
      <c r="D886" t="s">
        <v>6</v>
      </c>
      <c r="E886" t="s">
        <v>131</v>
      </c>
      <c r="F886" t="s">
        <v>37</v>
      </c>
    </row>
    <row r="887" spans="1:6" outlineLevel="3" x14ac:dyDescent="0.25">
      <c r="A887" s="4" t="s">
        <v>421</v>
      </c>
      <c r="B887" t="s">
        <v>422</v>
      </c>
      <c r="C887" t="s">
        <v>1871</v>
      </c>
      <c r="D887" t="s">
        <v>202</v>
      </c>
      <c r="E887" t="s">
        <v>131</v>
      </c>
      <c r="F887" t="s">
        <v>37</v>
      </c>
    </row>
    <row r="888" spans="1:6" outlineLevel="3" x14ac:dyDescent="0.25">
      <c r="A888" s="4" t="s">
        <v>421</v>
      </c>
      <c r="B888" t="s">
        <v>422</v>
      </c>
      <c r="C888" t="s">
        <v>3142</v>
      </c>
      <c r="D888" t="s">
        <v>202</v>
      </c>
      <c r="E888" t="s">
        <v>131</v>
      </c>
      <c r="F888" t="s">
        <v>37</v>
      </c>
    </row>
    <row r="889" spans="1:6" outlineLevel="3" x14ac:dyDescent="0.25">
      <c r="A889" s="4" t="s">
        <v>421</v>
      </c>
      <c r="B889" t="s">
        <v>422</v>
      </c>
      <c r="C889" t="s">
        <v>3143</v>
      </c>
      <c r="D889" t="s">
        <v>124</v>
      </c>
      <c r="E889" t="s">
        <v>131</v>
      </c>
      <c r="F889" t="s">
        <v>37</v>
      </c>
    </row>
    <row r="890" spans="1:6" outlineLevel="3" x14ac:dyDescent="0.25">
      <c r="A890" s="4" t="s">
        <v>421</v>
      </c>
      <c r="B890" t="s">
        <v>422</v>
      </c>
      <c r="C890" t="s">
        <v>3144</v>
      </c>
      <c r="D890" t="s">
        <v>237</v>
      </c>
      <c r="E890" t="s">
        <v>131</v>
      </c>
      <c r="F890" t="s">
        <v>37</v>
      </c>
    </row>
    <row r="891" spans="1:6" outlineLevel="3" x14ac:dyDescent="0.25">
      <c r="A891" s="4" t="s">
        <v>421</v>
      </c>
      <c r="B891" t="s">
        <v>422</v>
      </c>
      <c r="C891" t="s">
        <v>3145</v>
      </c>
      <c r="D891" t="s">
        <v>13</v>
      </c>
      <c r="E891" t="s">
        <v>131</v>
      </c>
      <c r="F891" t="s">
        <v>37</v>
      </c>
    </row>
    <row r="892" spans="1:6" outlineLevel="3" x14ac:dyDescent="0.25">
      <c r="A892" s="4" t="s">
        <v>421</v>
      </c>
      <c r="B892" t="s">
        <v>422</v>
      </c>
      <c r="C892" t="s">
        <v>3146</v>
      </c>
      <c r="D892" t="s">
        <v>13</v>
      </c>
      <c r="E892" t="s">
        <v>131</v>
      </c>
      <c r="F892" t="s">
        <v>37</v>
      </c>
    </row>
    <row r="893" spans="1:6" outlineLevel="3" x14ac:dyDescent="0.25">
      <c r="A893" s="4" t="s">
        <v>421</v>
      </c>
      <c r="B893" t="s">
        <v>422</v>
      </c>
      <c r="C893" t="s">
        <v>3147</v>
      </c>
      <c r="D893" t="s">
        <v>6</v>
      </c>
      <c r="E893" t="s">
        <v>131</v>
      </c>
      <c r="F893" t="s">
        <v>37</v>
      </c>
    </row>
    <row r="894" spans="1:6" outlineLevel="3" x14ac:dyDescent="0.25">
      <c r="A894" s="4" t="s">
        <v>421</v>
      </c>
      <c r="B894" t="s">
        <v>422</v>
      </c>
      <c r="C894" t="s">
        <v>3148</v>
      </c>
      <c r="D894" t="s">
        <v>67</v>
      </c>
      <c r="E894" t="s">
        <v>131</v>
      </c>
      <c r="F894" t="s">
        <v>37</v>
      </c>
    </row>
    <row r="895" spans="1:6" outlineLevel="3" x14ac:dyDescent="0.25">
      <c r="A895" s="4" t="s">
        <v>421</v>
      </c>
      <c r="B895" t="s">
        <v>422</v>
      </c>
      <c r="C895" t="s">
        <v>3149</v>
      </c>
      <c r="D895" t="s">
        <v>437</v>
      </c>
      <c r="E895" t="s">
        <v>131</v>
      </c>
      <c r="F895" t="s">
        <v>37</v>
      </c>
    </row>
    <row r="896" spans="1:6" outlineLevel="3" x14ac:dyDescent="0.25">
      <c r="A896" s="4" t="s">
        <v>421</v>
      </c>
      <c r="B896" t="s">
        <v>422</v>
      </c>
      <c r="C896" t="s">
        <v>1872</v>
      </c>
      <c r="D896" t="s">
        <v>119</v>
      </c>
      <c r="E896" t="s">
        <v>131</v>
      </c>
      <c r="F896" t="s">
        <v>37</v>
      </c>
    </row>
    <row r="897" spans="1:6" outlineLevel="3" x14ac:dyDescent="0.25">
      <c r="A897" s="4" t="s">
        <v>421</v>
      </c>
      <c r="B897" t="s">
        <v>422</v>
      </c>
      <c r="C897" t="s">
        <v>3150</v>
      </c>
      <c r="D897" t="s">
        <v>437</v>
      </c>
      <c r="E897" t="s">
        <v>131</v>
      </c>
      <c r="F897" t="s">
        <v>37</v>
      </c>
    </row>
    <row r="898" spans="1:6" outlineLevel="3" x14ac:dyDescent="0.25">
      <c r="A898" s="4" t="s">
        <v>421</v>
      </c>
      <c r="B898" t="s">
        <v>422</v>
      </c>
      <c r="C898" t="s">
        <v>3151</v>
      </c>
      <c r="D898" t="s">
        <v>65</v>
      </c>
      <c r="E898" t="s">
        <v>131</v>
      </c>
      <c r="F898" t="s">
        <v>37</v>
      </c>
    </row>
    <row r="899" spans="1:6" outlineLevel="3" x14ac:dyDescent="0.25">
      <c r="A899" s="4" t="s">
        <v>421</v>
      </c>
      <c r="B899" t="s">
        <v>422</v>
      </c>
      <c r="C899" t="s">
        <v>3152</v>
      </c>
      <c r="D899" t="s">
        <v>275</v>
      </c>
      <c r="E899" t="s">
        <v>131</v>
      </c>
      <c r="F899" t="s">
        <v>37</v>
      </c>
    </row>
    <row r="900" spans="1:6" outlineLevel="3" x14ac:dyDescent="0.25">
      <c r="A900" s="4" t="s">
        <v>421</v>
      </c>
      <c r="B900" t="s">
        <v>422</v>
      </c>
      <c r="C900" t="s">
        <v>3153</v>
      </c>
      <c r="D900" t="s">
        <v>44</v>
      </c>
      <c r="E900" t="s">
        <v>131</v>
      </c>
      <c r="F900" t="s">
        <v>37</v>
      </c>
    </row>
    <row r="901" spans="1:6" outlineLevel="3" x14ac:dyDescent="0.25">
      <c r="A901" s="4" t="s">
        <v>421</v>
      </c>
      <c r="B901" t="s">
        <v>422</v>
      </c>
      <c r="C901" t="s">
        <v>3154</v>
      </c>
      <c r="D901" t="s">
        <v>275</v>
      </c>
      <c r="E901" t="s">
        <v>131</v>
      </c>
      <c r="F901" t="s">
        <v>37</v>
      </c>
    </row>
    <row r="902" spans="1:6" outlineLevel="3" x14ac:dyDescent="0.25">
      <c r="A902" s="4" t="s">
        <v>421</v>
      </c>
      <c r="B902" t="s">
        <v>422</v>
      </c>
      <c r="C902" t="s">
        <v>3155</v>
      </c>
      <c r="D902" t="s">
        <v>44</v>
      </c>
      <c r="E902" t="s">
        <v>131</v>
      </c>
      <c r="F902" t="s">
        <v>37</v>
      </c>
    </row>
    <row r="903" spans="1:6" outlineLevel="3" x14ac:dyDescent="0.25">
      <c r="A903" s="4" t="s">
        <v>421</v>
      </c>
      <c r="B903" t="s">
        <v>422</v>
      </c>
      <c r="C903" t="s">
        <v>3156</v>
      </c>
      <c r="D903" t="s">
        <v>103</v>
      </c>
      <c r="E903" t="s">
        <v>131</v>
      </c>
      <c r="F903" t="s">
        <v>37</v>
      </c>
    </row>
    <row r="904" spans="1:6" outlineLevel="3" x14ac:dyDescent="0.25">
      <c r="A904" s="4" t="s">
        <v>421</v>
      </c>
      <c r="B904" t="s">
        <v>422</v>
      </c>
      <c r="C904" t="s">
        <v>3157</v>
      </c>
      <c r="D904" t="s">
        <v>165</v>
      </c>
      <c r="E904" t="s">
        <v>131</v>
      </c>
      <c r="F904" t="s">
        <v>37</v>
      </c>
    </row>
    <row r="905" spans="1:6" outlineLevel="3" x14ac:dyDescent="0.25">
      <c r="A905" s="4" t="s">
        <v>421</v>
      </c>
      <c r="B905" t="s">
        <v>422</v>
      </c>
      <c r="C905" t="s">
        <v>3158</v>
      </c>
      <c r="D905" t="s">
        <v>165</v>
      </c>
      <c r="E905" t="s">
        <v>131</v>
      </c>
      <c r="F905" t="s">
        <v>37</v>
      </c>
    </row>
    <row r="906" spans="1:6" outlineLevel="3" x14ac:dyDescent="0.25">
      <c r="A906" s="4" t="s">
        <v>421</v>
      </c>
      <c r="B906" t="s">
        <v>422</v>
      </c>
      <c r="C906" t="s">
        <v>3159</v>
      </c>
      <c r="D906" t="s">
        <v>76</v>
      </c>
      <c r="E906" t="s">
        <v>131</v>
      </c>
      <c r="F906" t="s">
        <v>37</v>
      </c>
    </row>
    <row r="907" spans="1:6" outlineLevel="3" x14ac:dyDescent="0.25">
      <c r="A907" s="4" t="s">
        <v>421</v>
      </c>
      <c r="B907" t="s">
        <v>422</v>
      </c>
      <c r="C907" t="s">
        <v>3160</v>
      </c>
      <c r="D907" t="s">
        <v>76</v>
      </c>
      <c r="E907" t="s">
        <v>131</v>
      </c>
      <c r="F907" t="s">
        <v>37</v>
      </c>
    </row>
    <row r="908" spans="1:6" outlineLevel="3" x14ac:dyDescent="0.25">
      <c r="A908" s="4" t="s">
        <v>421</v>
      </c>
      <c r="B908" t="s">
        <v>422</v>
      </c>
      <c r="C908" t="s">
        <v>3161</v>
      </c>
      <c r="D908" t="s">
        <v>165</v>
      </c>
      <c r="E908" t="s">
        <v>131</v>
      </c>
      <c r="F908" t="s">
        <v>37</v>
      </c>
    </row>
    <row r="909" spans="1:6" outlineLevel="3" x14ac:dyDescent="0.25">
      <c r="A909" s="4" t="s">
        <v>421</v>
      </c>
      <c r="B909" t="s">
        <v>422</v>
      </c>
      <c r="C909" t="s">
        <v>3162</v>
      </c>
      <c r="D909" t="s">
        <v>165</v>
      </c>
      <c r="E909" t="s">
        <v>131</v>
      </c>
      <c r="F909" t="s">
        <v>37</v>
      </c>
    </row>
    <row r="910" spans="1:6" outlineLevel="3" x14ac:dyDescent="0.25">
      <c r="A910" s="4" t="s">
        <v>421</v>
      </c>
      <c r="B910" t="s">
        <v>422</v>
      </c>
      <c r="C910" t="s">
        <v>3163</v>
      </c>
      <c r="D910" t="s">
        <v>44</v>
      </c>
      <c r="E910" t="s">
        <v>131</v>
      </c>
      <c r="F910" t="s">
        <v>37</v>
      </c>
    </row>
    <row r="911" spans="1:6" outlineLevel="3" x14ac:dyDescent="0.25">
      <c r="A911" s="4" t="s">
        <v>421</v>
      </c>
      <c r="B911" t="s">
        <v>422</v>
      </c>
      <c r="C911" t="s">
        <v>1873</v>
      </c>
      <c r="D911" t="s">
        <v>119</v>
      </c>
      <c r="E911" t="s">
        <v>131</v>
      </c>
      <c r="F911" t="s">
        <v>37</v>
      </c>
    </row>
    <row r="912" spans="1:6" outlineLevel="3" x14ac:dyDescent="0.25">
      <c r="A912" s="4" t="s">
        <v>421</v>
      </c>
      <c r="B912" t="s">
        <v>422</v>
      </c>
      <c r="C912" t="s">
        <v>3164</v>
      </c>
      <c r="D912" t="s">
        <v>126</v>
      </c>
      <c r="E912" t="s">
        <v>131</v>
      </c>
      <c r="F912" t="s">
        <v>37</v>
      </c>
    </row>
    <row r="913" spans="1:6" outlineLevel="3" x14ac:dyDescent="0.25">
      <c r="A913" s="4" t="s">
        <v>421</v>
      </c>
      <c r="B913" t="s">
        <v>422</v>
      </c>
      <c r="C913" t="s">
        <v>1874</v>
      </c>
      <c r="D913" t="s">
        <v>119</v>
      </c>
      <c r="E913" t="s">
        <v>131</v>
      </c>
      <c r="F913" t="s">
        <v>37</v>
      </c>
    </row>
    <row r="914" spans="1:6" outlineLevel="3" x14ac:dyDescent="0.25">
      <c r="A914" s="4" t="s">
        <v>421</v>
      </c>
      <c r="B914" t="s">
        <v>422</v>
      </c>
      <c r="C914" t="s">
        <v>3165</v>
      </c>
      <c r="D914" t="s">
        <v>76</v>
      </c>
      <c r="E914" t="s">
        <v>131</v>
      </c>
      <c r="F914" t="s">
        <v>37</v>
      </c>
    </row>
    <row r="915" spans="1:6" outlineLevel="3" x14ac:dyDescent="0.25">
      <c r="A915" s="4" t="s">
        <v>421</v>
      </c>
      <c r="B915" t="s">
        <v>422</v>
      </c>
      <c r="C915" t="s">
        <v>1875</v>
      </c>
      <c r="D915" t="s">
        <v>437</v>
      </c>
      <c r="E915" t="s">
        <v>131</v>
      </c>
      <c r="F915" t="s">
        <v>37</v>
      </c>
    </row>
    <row r="916" spans="1:6" outlineLevel="3" x14ac:dyDescent="0.25">
      <c r="A916" s="4" t="s">
        <v>421</v>
      </c>
      <c r="B916" t="s">
        <v>422</v>
      </c>
      <c r="C916" t="s">
        <v>3166</v>
      </c>
      <c r="D916" t="s">
        <v>126</v>
      </c>
      <c r="E916" t="s">
        <v>131</v>
      </c>
      <c r="F916" t="s">
        <v>37</v>
      </c>
    </row>
    <row r="917" spans="1:6" outlineLevel="3" x14ac:dyDescent="0.25">
      <c r="A917" s="4" t="s">
        <v>421</v>
      </c>
      <c r="B917" t="s">
        <v>422</v>
      </c>
      <c r="C917" t="s">
        <v>3167</v>
      </c>
      <c r="D917" t="s">
        <v>126</v>
      </c>
      <c r="E917" t="s">
        <v>131</v>
      </c>
      <c r="F917" t="s">
        <v>37</v>
      </c>
    </row>
    <row r="918" spans="1:6" outlineLevel="3" x14ac:dyDescent="0.25">
      <c r="A918" s="4" t="s">
        <v>421</v>
      </c>
      <c r="B918" t="s">
        <v>422</v>
      </c>
      <c r="C918" t="s">
        <v>3168</v>
      </c>
      <c r="D918" t="s">
        <v>126</v>
      </c>
      <c r="E918" t="s">
        <v>131</v>
      </c>
      <c r="F918" t="s">
        <v>37</v>
      </c>
    </row>
    <row r="919" spans="1:6" outlineLevel="3" x14ac:dyDescent="0.25">
      <c r="A919" s="4" t="s">
        <v>421</v>
      </c>
      <c r="B919" t="s">
        <v>422</v>
      </c>
      <c r="C919" t="s">
        <v>3169</v>
      </c>
      <c r="D919" t="s">
        <v>44</v>
      </c>
      <c r="E919" t="s">
        <v>131</v>
      </c>
      <c r="F919" t="s">
        <v>37</v>
      </c>
    </row>
    <row r="920" spans="1:6" outlineLevel="3" x14ac:dyDescent="0.25">
      <c r="A920" s="4" t="s">
        <v>421</v>
      </c>
      <c r="B920" t="s">
        <v>422</v>
      </c>
      <c r="C920" t="s">
        <v>3170</v>
      </c>
      <c r="D920" t="s">
        <v>211</v>
      </c>
      <c r="E920" t="s">
        <v>131</v>
      </c>
      <c r="F920" t="s">
        <v>37</v>
      </c>
    </row>
    <row r="921" spans="1:6" outlineLevel="3" x14ac:dyDescent="0.25">
      <c r="A921" s="4" t="s">
        <v>421</v>
      </c>
      <c r="B921" t="s">
        <v>422</v>
      </c>
      <c r="C921" t="s">
        <v>3171</v>
      </c>
      <c r="D921" t="s">
        <v>44</v>
      </c>
      <c r="E921" t="s">
        <v>131</v>
      </c>
      <c r="F921" t="s">
        <v>37</v>
      </c>
    </row>
    <row r="922" spans="1:6" outlineLevel="3" x14ac:dyDescent="0.25">
      <c r="A922" s="4" t="s">
        <v>421</v>
      </c>
      <c r="B922" t="s">
        <v>422</v>
      </c>
      <c r="C922" t="s">
        <v>3172</v>
      </c>
      <c r="D922" t="s">
        <v>63</v>
      </c>
      <c r="E922" t="s">
        <v>131</v>
      </c>
      <c r="F922" t="s">
        <v>37</v>
      </c>
    </row>
    <row r="923" spans="1:6" outlineLevel="3" x14ac:dyDescent="0.25">
      <c r="A923" s="4" t="s">
        <v>421</v>
      </c>
      <c r="B923" t="s">
        <v>422</v>
      </c>
      <c r="C923" t="s">
        <v>3173</v>
      </c>
      <c r="D923" t="s">
        <v>143</v>
      </c>
      <c r="E923" t="s">
        <v>131</v>
      </c>
      <c r="F923" t="s">
        <v>37</v>
      </c>
    </row>
    <row r="924" spans="1:6" outlineLevel="3" x14ac:dyDescent="0.25">
      <c r="A924" s="4" t="s">
        <v>421</v>
      </c>
      <c r="B924" t="s">
        <v>422</v>
      </c>
      <c r="C924" t="s">
        <v>3174</v>
      </c>
      <c r="D924" t="s">
        <v>237</v>
      </c>
      <c r="E924" t="s">
        <v>131</v>
      </c>
      <c r="F924" t="s">
        <v>37</v>
      </c>
    </row>
    <row r="925" spans="1:6" outlineLevel="3" x14ac:dyDescent="0.25">
      <c r="A925" s="4" t="s">
        <v>421</v>
      </c>
      <c r="B925" t="s">
        <v>422</v>
      </c>
      <c r="C925" t="s">
        <v>3175</v>
      </c>
      <c r="D925" t="s">
        <v>267</v>
      </c>
      <c r="E925" t="s">
        <v>131</v>
      </c>
      <c r="F925" t="s">
        <v>37</v>
      </c>
    </row>
    <row r="926" spans="1:6" outlineLevel="3" x14ac:dyDescent="0.25">
      <c r="A926" s="4" t="s">
        <v>421</v>
      </c>
      <c r="B926" t="s">
        <v>422</v>
      </c>
      <c r="C926" t="s">
        <v>3176</v>
      </c>
      <c r="D926" t="s">
        <v>67</v>
      </c>
      <c r="E926" t="s">
        <v>131</v>
      </c>
      <c r="F926" t="s">
        <v>37</v>
      </c>
    </row>
    <row r="927" spans="1:6" outlineLevel="3" x14ac:dyDescent="0.25">
      <c r="A927" s="4" t="s">
        <v>421</v>
      </c>
      <c r="B927" t="s">
        <v>422</v>
      </c>
      <c r="C927" t="s">
        <v>3177</v>
      </c>
      <c r="D927" t="s">
        <v>211</v>
      </c>
      <c r="E927" t="s">
        <v>131</v>
      </c>
      <c r="F927" t="s">
        <v>37</v>
      </c>
    </row>
    <row r="928" spans="1:6" outlineLevel="3" x14ac:dyDescent="0.25">
      <c r="A928" s="4" t="s">
        <v>421</v>
      </c>
      <c r="B928" t="s">
        <v>422</v>
      </c>
      <c r="C928" t="s">
        <v>3178</v>
      </c>
      <c r="D928" t="s">
        <v>63</v>
      </c>
      <c r="E928" t="s">
        <v>131</v>
      </c>
      <c r="F928" t="s">
        <v>37</v>
      </c>
    </row>
    <row r="929" spans="1:6" outlineLevel="3" x14ac:dyDescent="0.25">
      <c r="A929" s="4" t="s">
        <v>421</v>
      </c>
      <c r="B929" t="s">
        <v>422</v>
      </c>
      <c r="C929" t="s">
        <v>3179</v>
      </c>
      <c r="D929" t="s">
        <v>143</v>
      </c>
      <c r="E929" t="s">
        <v>131</v>
      </c>
      <c r="F929" t="s">
        <v>37</v>
      </c>
    </row>
    <row r="930" spans="1:6" outlineLevel="3" x14ac:dyDescent="0.25">
      <c r="A930" s="4" t="s">
        <v>421</v>
      </c>
      <c r="B930" t="s">
        <v>422</v>
      </c>
      <c r="C930" t="s">
        <v>3180</v>
      </c>
      <c r="D930" t="s">
        <v>237</v>
      </c>
      <c r="E930" t="s">
        <v>131</v>
      </c>
      <c r="F930" t="s">
        <v>37</v>
      </c>
    </row>
    <row r="931" spans="1:6" outlineLevel="3" x14ac:dyDescent="0.25">
      <c r="A931" s="4" t="s">
        <v>421</v>
      </c>
      <c r="B931" t="s">
        <v>422</v>
      </c>
      <c r="C931" t="s">
        <v>3181</v>
      </c>
      <c r="D931" t="s">
        <v>141</v>
      </c>
      <c r="E931" t="s">
        <v>131</v>
      </c>
      <c r="F931" t="s">
        <v>37</v>
      </c>
    </row>
    <row r="932" spans="1:6" outlineLevel="3" x14ac:dyDescent="0.25">
      <c r="A932" s="4" t="s">
        <v>421</v>
      </c>
      <c r="B932" t="s">
        <v>422</v>
      </c>
      <c r="C932" t="s">
        <v>3182</v>
      </c>
      <c r="D932" t="s">
        <v>67</v>
      </c>
      <c r="E932" t="s">
        <v>131</v>
      </c>
      <c r="F932" t="s">
        <v>37</v>
      </c>
    </row>
    <row r="933" spans="1:6" outlineLevel="3" x14ac:dyDescent="0.25">
      <c r="A933" s="4" t="s">
        <v>421</v>
      </c>
      <c r="B933" t="s">
        <v>422</v>
      </c>
      <c r="C933" t="s">
        <v>3183</v>
      </c>
      <c r="D933" t="s">
        <v>143</v>
      </c>
      <c r="E933" t="s">
        <v>131</v>
      </c>
      <c r="F933" t="s">
        <v>37</v>
      </c>
    </row>
    <row r="934" spans="1:6" outlineLevel="3" x14ac:dyDescent="0.25">
      <c r="A934" s="4" t="s">
        <v>421</v>
      </c>
      <c r="B934" t="s">
        <v>422</v>
      </c>
      <c r="C934" t="s">
        <v>3184</v>
      </c>
      <c r="D934" t="s">
        <v>89</v>
      </c>
      <c r="E934" t="s">
        <v>131</v>
      </c>
      <c r="F934" t="s">
        <v>37</v>
      </c>
    </row>
    <row r="935" spans="1:6" outlineLevel="3" x14ac:dyDescent="0.25">
      <c r="A935" s="4" t="s">
        <v>421</v>
      </c>
      <c r="B935" t="s">
        <v>422</v>
      </c>
      <c r="C935" t="s">
        <v>3185</v>
      </c>
      <c r="D935" t="s">
        <v>44</v>
      </c>
      <c r="E935" t="s">
        <v>131</v>
      </c>
      <c r="F935" t="s">
        <v>37</v>
      </c>
    </row>
    <row r="936" spans="1:6" outlineLevel="3" x14ac:dyDescent="0.25">
      <c r="A936" s="4" t="s">
        <v>421</v>
      </c>
      <c r="B936" t="s">
        <v>422</v>
      </c>
      <c r="C936" t="s">
        <v>3186</v>
      </c>
      <c r="D936" t="s">
        <v>143</v>
      </c>
      <c r="E936" t="s">
        <v>131</v>
      </c>
      <c r="F936" t="s">
        <v>37</v>
      </c>
    </row>
    <row r="937" spans="1:6" outlineLevel="3" x14ac:dyDescent="0.25">
      <c r="A937" s="4" t="s">
        <v>421</v>
      </c>
      <c r="B937" t="s">
        <v>422</v>
      </c>
      <c r="C937" t="s">
        <v>3187</v>
      </c>
      <c r="D937" t="s">
        <v>126</v>
      </c>
      <c r="E937" t="s">
        <v>131</v>
      </c>
      <c r="F937" t="s">
        <v>37</v>
      </c>
    </row>
    <row r="938" spans="1:6" outlineLevel="3" x14ac:dyDescent="0.25">
      <c r="A938" s="4" t="s">
        <v>421</v>
      </c>
      <c r="B938" t="s">
        <v>422</v>
      </c>
      <c r="C938" t="s">
        <v>3188</v>
      </c>
      <c r="D938" t="s">
        <v>67</v>
      </c>
      <c r="E938" t="s">
        <v>131</v>
      </c>
      <c r="F938" t="s">
        <v>37</v>
      </c>
    </row>
    <row r="939" spans="1:6" outlineLevel="3" x14ac:dyDescent="0.25">
      <c r="A939" s="4" t="s">
        <v>421</v>
      </c>
      <c r="B939" t="s">
        <v>422</v>
      </c>
      <c r="C939" t="s">
        <v>3189</v>
      </c>
      <c r="D939" t="s">
        <v>275</v>
      </c>
      <c r="E939" t="s">
        <v>131</v>
      </c>
      <c r="F939" t="s">
        <v>37</v>
      </c>
    </row>
    <row r="940" spans="1:6" outlineLevel="3" x14ac:dyDescent="0.25">
      <c r="A940" s="4" t="s">
        <v>421</v>
      </c>
      <c r="B940" t="s">
        <v>422</v>
      </c>
      <c r="C940" t="s">
        <v>3190</v>
      </c>
      <c r="D940" t="s">
        <v>165</v>
      </c>
      <c r="E940" t="s">
        <v>131</v>
      </c>
      <c r="F940" t="s">
        <v>37</v>
      </c>
    </row>
    <row r="941" spans="1:6" outlineLevel="3" x14ac:dyDescent="0.25">
      <c r="A941" s="4" t="s">
        <v>421</v>
      </c>
      <c r="B941" t="s">
        <v>422</v>
      </c>
      <c r="C941" t="s">
        <v>3191</v>
      </c>
      <c r="D941" t="s">
        <v>237</v>
      </c>
      <c r="E941" t="s">
        <v>131</v>
      </c>
      <c r="F941" t="s">
        <v>37</v>
      </c>
    </row>
    <row r="942" spans="1:6" outlineLevel="3" x14ac:dyDescent="0.25">
      <c r="A942" s="4" t="s">
        <v>421</v>
      </c>
      <c r="B942" t="s">
        <v>422</v>
      </c>
      <c r="C942" t="s">
        <v>3192</v>
      </c>
      <c r="D942" t="s">
        <v>67</v>
      </c>
      <c r="E942" t="s">
        <v>131</v>
      </c>
      <c r="F942" t="s">
        <v>37</v>
      </c>
    </row>
    <row r="943" spans="1:6" outlineLevel="3" x14ac:dyDescent="0.25">
      <c r="A943" s="4" t="s">
        <v>421</v>
      </c>
      <c r="B943" t="s">
        <v>422</v>
      </c>
      <c r="C943" t="s">
        <v>3193</v>
      </c>
      <c r="D943" t="s">
        <v>6</v>
      </c>
      <c r="E943" t="s">
        <v>131</v>
      </c>
      <c r="F943" t="s">
        <v>37</v>
      </c>
    </row>
    <row r="944" spans="1:6" outlineLevel="3" x14ac:dyDescent="0.25">
      <c r="A944" s="4" t="s">
        <v>421</v>
      </c>
      <c r="B944" t="s">
        <v>422</v>
      </c>
      <c r="C944" t="s">
        <v>3194</v>
      </c>
      <c r="D944" t="s">
        <v>6</v>
      </c>
      <c r="E944" t="s">
        <v>131</v>
      </c>
      <c r="F944" t="s">
        <v>37</v>
      </c>
    </row>
    <row r="945" spans="1:6" outlineLevel="3" x14ac:dyDescent="0.25">
      <c r="A945" s="4" t="s">
        <v>421</v>
      </c>
      <c r="B945" t="s">
        <v>422</v>
      </c>
      <c r="C945" t="s">
        <v>3195</v>
      </c>
      <c r="D945" t="s">
        <v>211</v>
      </c>
      <c r="E945" t="s">
        <v>131</v>
      </c>
      <c r="F945" t="s">
        <v>37</v>
      </c>
    </row>
    <row r="946" spans="1:6" outlineLevel="3" x14ac:dyDescent="0.25">
      <c r="A946" s="4" t="s">
        <v>421</v>
      </c>
      <c r="B946" t="s">
        <v>422</v>
      </c>
      <c r="C946" t="s">
        <v>3196</v>
      </c>
      <c r="D946" t="s">
        <v>65</v>
      </c>
      <c r="E946" t="s">
        <v>131</v>
      </c>
      <c r="F946" t="s">
        <v>37</v>
      </c>
    </row>
    <row r="947" spans="1:6" outlineLevel="3" x14ac:dyDescent="0.25">
      <c r="A947" s="4" t="s">
        <v>421</v>
      </c>
      <c r="B947" t="s">
        <v>422</v>
      </c>
      <c r="C947" t="s">
        <v>3197</v>
      </c>
      <c r="D947" t="s">
        <v>65</v>
      </c>
      <c r="E947" t="s">
        <v>131</v>
      </c>
      <c r="F947" t="s">
        <v>37</v>
      </c>
    </row>
    <row r="948" spans="1:6" outlineLevel="3" x14ac:dyDescent="0.25">
      <c r="A948" s="4" t="s">
        <v>421</v>
      </c>
      <c r="B948" t="s">
        <v>422</v>
      </c>
      <c r="C948" t="s">
        <v>3198</v>
      </c>
      <c r="D948" t="s">
        <v>65</v>
      </c>
      <c r="E948" t="s">
        <v>131</v>
      </c>
      <c r="F948" t="s">
        <v>37</v>
      </c>
    </row>
    <row r="949" spans="1:6" outlineLevel="3" x14ac:dyDescent="0.25">
      <c r="A949" s="4" t="s">
        <v>421</v>
      </c>
      <c r="B949" t="s">
        <v>422</v>
      </c>
      <c r="C949" t="s">
        <v>3199</v>
      </c>
      <c r="D949" t="s">
        <v>65</v>
      </c>
      <c r="E949" t="s">
        <v>131</v>
      </c>
      <c r="F949" t="s">
        <v>37</v>
      </c>
    </row>
    <row r="950" spans="1:6" outlineLevel="3" x14ac:dyDescent="0.25">
      <c r="A950" s="4" t="s">
        <v>421</v>
      </c>
      <c r="B950" t="s">
        <v>422</v>
      </c>
      <c r="C950" t="s">
        <v>3200</v>
      </c>
      <c r="D950" t="s">
        <v>237</v>
      </c>
      <c r="E950" t="s">
        <v>131</v>
      </c>
      <c r="F950" t="s">
        <v>37</v>
      </c>
    </row>
    <row r="951" spans="1:6" outlineLevel="3" x14ac:dyDescent="0.25">
      <c r="A951" s="4" t="s">
        <v>421</v>
      </c>
      <c r="B951" t="s">
        <v>422</v>
      </c>
      <c r="C951" t="s">
        <v>3201</v>
      </c>
      <c r="D951" t="s">
        <v>190</v>
      </c>
      <c r="E951" t="s">
        <v>131</v>
      </c>
      <c r="F951" t="s">
        <v>37</v>
      </c>
    </row>
    <row r="952" spans="1:6" outlineLevel="3" x14ac:dyDescent="0.25">
      <c r="A952" s="4" t="s">
        <v>421</v>
      </c>
      <c r="B952" t="s">
        <v>422</v>
      </c>
      <c r="C952" t="s">
        <v>3202</v>
      </c>
      <c r="D952" t="s">
        <v>190</v>
      </c>
      <c r="E952" t="s">
        <v>131</v>
      </c>
      <c r="F952" t="s">
        <v>37</v>
      </c>
    </row>
    <row r="953" spans="1:6" outlineLevel="3" x14ac:dyDescent="0.25">
      <c r="A953" s="4" t="s">
        <v>421</v>
      </c>
      <c r="B953" t="s">
        <v>422</v>
      </c>
      <c r="C953" t="s">
        <v>3203</v>
      </c>
      <c r="D953" t="s">
        <v>200</v>
      </c>
      <c r="E953" t="s">
        <v>131</v>
      </c>
      <c r="F953" t="s">
        <v>37</v>
      </c>
    </row>
    <row r="954" spans="1:6" outlineLevel="3" x14ac:dyDescent="0.25">
      <c r="A954" s="4" t="s">
        <v>421</v>
      </c>
      <c r="B954" t="s">
        <v>422</v>
      </c>
      <c r="C954" t="s">
        <v>3204</v>
      </c>
      <c r="D954" t="s">
        <v>435</v>
      </c>
      <c r="E954" t="s">
        <v>131</v>
      </c>
      <c r="F954" t="s">
        <v>37</v>
      </c>
    </row>
    <row r="955" spans="1:6" outlineLevel="3" x14ac:dyDescent="0.25">
      <c r="A955" s="4" t="s">
        <v>421</v>
      </c>
      <c r="B955" t="s">
        <v>422</v>
      </c>
      <c r="C955" t="s">
        <v>3205</v>
      </c>
      <c r="D955" t="s">
        <v>126</v>
      </c>
      <c r="E955" t="s">
        <v>131</v>
      </c>
      <c r="F955" t="s">
        <v>37</v>
      </c>
    </row>
    <row r="956" spans="1:6" outlineLevel="3" x14ac:dyDescent="0.25">
      <c r="A956" s="4" t="s">
        <v>421</v>
      </c>
      <c r="B956" t="s">
        <v>422</v>
      </c>
      <c r="C956" t="s">
        <v>3206</v>
      </c>
      <c r="D956" t="s">
        <v>126</v>
      </c>
      <c r="E956" t="s">
        <v>131</v>
      </c>
      <c r="F956" t="s">
        <v>37</v>
      </c>
    </row>
    <row r="957" spans="1:6" outlineLevel="3" x14ac:dyDescent="0.25">
      <c r="A957" s="4" t="s">
        <v>421</v>
      </c>
      <c r="B957" t="s">
        <v>422</v>
      </c>
      <c r="C957" t="s">
        <v>3207</v>
      </c>
      <c r="D957" t="s">
        <v>13</v>
      </c>
      <c r="E957" t="s">
        <v>131</v>
      </c>
      <c r="F957" t="s">
        <v>37</v>
      </c>
    </row>
    <row r="958" spans="1:6" outlineLevel="3" x14ac:dyDescent="0.25">
      <c r="A958" s="4" t="s">
        <v>421</v>
      </c>
      <c r="B958" t="s">
        <v>422</v>
      </c>
      <c r="C958" t="s">
        <v>1876</v>
      </c>
      <c r="D958" t="s">
        <v>119</v>
      </c>
      <c r="E958" t="s">
        <v>131</v>
      </c>
      <c r="F958" t="s">
        <v>37</v>
      </c>
    </row>
    <row r="959" spans="1:6" outlineLevel="3" x14ac:dyDescent="0.25">
      <c r="A959" s="4" t="s">
        <v>421</v>
      </c>
      <c r="B959" t="s">
        <v>422</v>
      </c>
      <c r="C959" t="s">
        <v>3208</v>
      </c>
      <c r="D959" t="s">
        <v>435</v>
      </c>
      <c r="E959" t="s">
        <v>131</v>
      </c>
      <c r="F959" t="s">
        <v>37</v>
      </c>
    </row>
    <row r="960" spans="1:6" outlineLevel="3" x14ac:dyDescent="0.25">
      <c r="A960" s="4" t="s">
        <v>421</v>
      </c>
      <c r="B960" t="s">
        <v>422</v>
      </c>
      <c r="C960" t="s">
        <v>3209</v>
      </c>
      <c r="D960" t="s">
        <v>89</v>
      </c>
      <c r="E960" t="s">
        <v>131</v>
      </c>
      <c r="F960" t="s">
        <v>37</v>
      </c>
    </row>
    <row r="961" spans="1:6" outlineLevel="3" x14ac:dyDescent="0.25">
      <c r="A961" s="4" t="s">
        <v>421</v>
      </c>
      <c r="B961" t="s">
        <v>422</v>
      </c>
      <c r="C961" t="s">
        <v>3210</v>
      </c>
      <c r="D961" t="s">
        <v>63</v>
      </c>
      <c r="E961" t="s">
        <v>131</v>
      </c>
      <c r="F961" t="s">
        <v>37</v>
      </c>
    </row>
    <row r="962" spans="1:6" outlineLevel="3" x14ac:dyDescent="0.25">
      <c r="A962" s="4" t="s">
        <v>421</v>
      </c>
      <c r="B962" t="s">
        <v>422</v>
      </c>
      <c r="C962" t="s">
        <v>3211</v>
      </c>
      <c r="D962" t="s">
        <v>126</v>
      </c>
      <c r="E962" t="s">
        <v>131</v>
      </c>
      <c r="F962" t="s">
        <v>37</v>
      </c>
    </row>
    <row r="963" spans="1:6" outlineLevel="3" x14ac:dyDescent="0.25">
      <c r="A963" s="4" t="s">
        <v>421</v>
      </c>
      <c r="B963" t="s">
        <v>422</v>
      </c>
      <c r="C963" t="s">
        <v>3212</v>
      </c>
      <c r="D963" t="s">
        <v>44</v>
      </c>
      <c r="E963" t="s">
        <v>131</v>
      </c>
      <c r="F963" t="s">
        <v>37</v>
      </c>
    </row>
    <row r="964" spans="1:6" outlineLevel="3" x14ac:dyDescent="0.25">
      <c r="A964" s="4" t="s">
        <v>421</v>
      </c>
      <c r="B964" t="s">
        <v>422</v>
      </c>
      <c r="C964" t="s">
        <v>3213</v>
      </c>
      <c r="D964" t="s">
        <v>126</v>
      </c>
      <c r="E964" t="s">
        <v>131</v>
      </c>
      <c r="F964" t="s">
        <v>37</v>
      </c>
    </row>
    <row r="965" spans="1:6" outlineLevel="3" x14ac:dyDescent="0.25">
      <c r="A965" s="4" t="s">
        <v>421</v>
      </c>
      <c r="B965" t="s">
        <v>422</v>
      </c>
      <c r="C965" t="s">
        <v>3214</v>
      </c>
      <c r="D965" t="s">
        <v>165</v>
      </c>
      <c r="E965" t="s">
        <v>131</v>
      </c>
      <c r="F965" t="s">
        <v>37</v>
      </c>
    </row>
    <row r="966" spans="1:6" outlineLevel="3" x14ac:dyDescent="0.25">
      <c r="A966" s="4" t="s">
        <v>421</v>
      </c>
      <c r="B966" t="s">
        <v>422</v>
      </c>
      <c r="C966" t="s">
        <v>3215</v>
      </c>
      <c r="D966" t="s">
        <v>65</v>
      </c>
      <c r="E966" t="s">
        <v>131</v>
      </c>
      <c r="F966" t="s">
        <v>37</v>
      </c>
    </row>
    <row r="967" spans="1:6" outlineLevel="3" x14ac:dyDescent="0.25">
      <c r="A967" s="4" t="s">
        <v>421</v>
      </c>
      <c r="B967" t="s">
        <v>422</v>
      </c>
      <c r="C967" t="s">
        <v>3216</v>
      </c>
      <c r="D967" t="s">
        <v>126</v>
      </c>
      <c r="E967" t="s">
        <v>131</v>
      </c>
      <c r="F967" t="s">
        <v>37</v>
      </c>
    </row>
    <row r="968" spans="1:6" outlineLevel="3" x14ac:dyDescent="0.25">
      <c r="A968" s="4" t="s">
        <v>421</v>
      </c>
      <c r="B968" t="s">
        <v>422</v>
      </c>
      <c r="C968" t="s">
        <v>1877</v>
      </c>
      <c r="D968" t="s">
        <v>119</v>
      </c>
      <c r="E968" t="s">
        <v>131</v>
      </c>
      <c r="F968" t="s">
        <v>37</v>
      </c>
    </row>
    <row r="969" spans="1:6" outlineLevel="3" x14ac:dyDescent="0.25">
      <c r="A969" s="4" t="s">
        <v>421</v>
      </c>
      <c r="B969" t="s">
        <v>422</v>
      </c>
      <c r="C969" t="s">
        <v>3217</v>
      </c>
      <c r="D969" t="s">
        <v>139</v>
      </c>
      <c r="E969" t="s">
        <v>131</v>
      </c>
      <c r="F969" t="s">
        <v>37</v>
      </c>
    </row>
    <row r="970" spans="1:6" outlineLevel="3" x14ac:dyDescent="0.25">
      <c r="A970" s="4" t="s">
        <v>421</v>
      </c>
      <c r="B970" t="s">
        <v>422</v>
      </c>
      <c r="C970" t="s">
        <v>3218</v>
      </c>
      <c r="D970" t="s">
        <v>65</v>
      </c>
      <c r="E970" t="s">
        <v>131</v>
      </c>
      <c r="F970" t="s">
        <v>37</v>
      </c>
    </row>
    <row r="971" spans="1:6" outlineLevel="3" x14ac:dyDescent="0.25">
      <c r="A971" s="4" t="s">
        <v>421</v>
      </c>
      <c r="B971" t="s">
        <v>422</v>
      </c>
      <c r="C971" t="s">
        <v>3219</v>
      </c>
      <c r="D971" t="s">
        <v>147</v>
      </c>
      <c r="E971" t="s">
        <v>131</v>
      </c>
      <c r="F971" t="s">
        <v>37</v>
      </c>
    </row>
    <row r="972" spans="1:6" outlineLevel="3" x14ac:dyDescent="0.25">
      <c r="A972" s="4" t="s">
        <v>421</v>
      </c>
      <c r="B972" t="s">
        <v>422</v>
      </c>
      <c r="C972" t="s">
        <v>3220</v>
      </c>
      <c r="D972" t="s">
        <v>437</v>
      </c>
      <c r="E972" t="s">
        <v>131</v>
      </c>
      <c r="F972" t="s">
        <v>37</v>
      </c>
    </row>
    <row r="973" spans="1:6" outlineLevel="3" x14ac:dyDescent="0.25">
      <c r="A973" s="4" t="s">
        <v>421</v>
      </c>
      <c r="B973" t="s">
        <v>422</v>
      </c>
      <c r="C973" t="s">
        <v>3221</v>
      </c>
      <c r="D973" t="s">
        <v>435</v>
      </c>
      <c r="E973" t="s">
        <v>131</v>
      </c>
      <c r="F973" t="s">
        <v>37</v>
      </c>
    </row>
    <row r="974" spans="1:6" outlineLevel="3" x14ac:dyDescent="0.25">
      <c r="A974" s="4" t="s">
        <v>421</v>
      </c>
      <c r="B974" t="s">
        <v>422</v>
      </c>
      <c r="C974" t="s">
        <v>3222</v>
      </c>
      <c r="D974" t="s">
        <v>437</v>
      </c>
      <c r="E974" t="s">
        <v>131</v>
      </c>
      <c r="F974" t="s">
        <v>37</v>
      </c>
    </row>
    <row r="975" spans="1:6" outlineLevel="3" x14ac:dyDescent="0.25">
      <c r="A975" s="4" t="s">
        <v>421</v>
      </c>
      <c r="B975" t="s">
        <v>422</v>
      </c>
      <c r="C975" t="s">
        <v>3223</v>
      </c>
      <c r="D975" t="s">
        <v>147</v>
      </c>
      <c r="E975" t="s">
        <v>131</v>
      </c>
      <c r="F975" t="s">
        <v>37</v>
      </c>
    </row>
    <row r="976" spans="1:6" outlineLevel="3" x14ac:dyDescent="0.25">
      <c r="A976" s="4" t="s">
        <v>421</v>
      </c>
      <c r="B976" t="s">
        <v>422</v>
      </c>
      <c r="C976" t="s">
        <v>3224</v>
      </c>
      <c r="D976" t="s">
        <v>435</v>
      </c>
      <c r="E976" t="s">
        <v>131</v>
      </c>
      <c r="F976" t="s">
        <v>37</v>
      </c>
    </row>
    <row r="977" spans="1:6" outlineLevel="3" x14ac:dyDescent="0.25">
      <c r="A977" s="4" t="s">
        <v>421</v>
      </c>
      <c r="B977" t="s">
        <v>422</v>
      </c>
      <c r="C977" t="s">
        <v>3225</v>
      </c>
      <c r="D977" t="s">
        <v>126</v>
      </c>
      <c r="E977" t="s">
        <v>131</v>
      </c>
      <c r="F977" t="s">
        <v>37</v>
      </c>
    </row>
    <row r="978" spans="1:6" outlineLevel="3" x14ac:dyDescent="0.25">
      <c r="A978" s="4" t="s">
        <v>421</v>
      </c>
      <c r="B978" t="s">
        <v>422</v>
      </c>
      <c r="C978" t="s">
        <v>3226</v>
      </c>
      <c r="D978" t="s">
        <v>6</v>
      </c>
      <c r="E978" t="s">
        <v>131</v>
      </c>
      <c r="F978" t="s">
        <v>37</v>
      </c>
    </row>
    <row r="979" spans="1:6" outlineLevel="3" x14ac:dyDescent="0.25">
      <c r="A979" s="4" t="s">
        <v>421</v>
      </c>
      <c r="B979" t="s">
        <v>422</v>
      </c>
      <c r="C979" t="s">
        <v>3227</v>
      </c>
      <c r="D979" t="s">
        <v>6</v>
      </c>
      <c r="E979" t="s">
        <v>131</v>
      </c>
      <c r="F979" t="s">
        <v>37</v>
      </c>
    </row>
    <row r="980" spans="1:6" outlineLevel="3" x14ac:dyDescent="0.25">
      <c r="A980" s="4" t="s">
        <v>421</v>
      </c>
      <c r="B980" t="s">
        <v>422</v>
      </c>
      <c r="C980" t="s">
        <v>3228</v>
      </c>
      <c r="D980" t="s">
        <v>126</v>
      </c>
      <c r="E980" t="s">
        <v>131</v>
      </c>
      <c r="F980" t="s">
        <v>37</v>
      </c>
    </row>
    <row r="981" spans="1:6" outlineLevel="3" x14ac:dyDescent="0.25">
      <c r="A981" s="4" t="s">
        <v>421</v>
      </c>
      <c r="B981" t="s">
        <v>422</v>
      </c>
      <c r="C981" t="s">
        <v>3229</v>
      </c>
      <c r="D981" t="s">
        <v>13</v>
      </c>
      <c r="E981" t="s">
        <v>131</v>
      </c>
      <c r="F981" t="s">
        <v>37</v>
      </c>
    </row>
    <row r="982" spans="1:6" outlineLevel="3" x14ac:dyDescent="0.25">
      <c r="A982" s="4" t="s">
        <v>421</v>
      </c>
      <c r="B982" t="s">
        <v>422</v>
      </c>
      <c r="C982" t="s">
        <v>3230</v>
      </c>
      <c r="D982" t="s">
        <v>6</v>
      </c>
      <c r="E982" t="s">
        <v>131</v>
      </c>
      <c r="F982" t="s">
        <v>37</v>
      </c>
    </row>
    <row r="983" spans="1:6" outlineLevel="3" x14ac:dyDescent="0.25">
      <c r="A983" s="4" t="s">
        <v>421</v>
      </c>
      <c r="B983" t="s">
        <v>422</v>
      </c>
      <c r="C983" t="s">
        <v>3231</v>
      </c>
      <c r="D983" t="s">
        <v>65</v>
      </c>
      <c r="E983" t="s">
        <v>131</v>
      </c>
      <c r="F983" t="s">
        <v>37</v>
      </c>
    </row>
    <row r="984" spans="1:6" outlineLevel="3" x14ac:dyDescent="0.25">
      <c r="A984" s="4" t="s">
        <v>421</v>
      </c>
      <c r="B984" t="s">
        <v>422</v>
      </c>
      <c r="C984" t="s">
        <v>3232</v>
      </c>
      <c r="D984" t="s">
        <v>6</v>
      </c>
      <c r="E984" t="s">
        <v>131</v>
      </c>
      <c r="F984" t="s">
        <v>37</v>
      </c>
    </row>
    <row r="985" spans="1:6" outlineLevel="3" x14ac:dyDescent="0.25">
      <c r="A985" s="4" t="s">
        <v>421</v>
      </c>
      <c r="B985" t="s">
        <v>422</v>
      </c>
      <c r="C985" t="s">
        <v>3233</v>
      </c>
      <c r="D985" t="s">
        <v>6</v>
      </c>
      <c r="E985" t="s">
        <v>131</v>
      </c>
      <c r="F985" t="s">
        <v>37</v>
      </c>
    </row>
    <row r="986" spans="1:6" outlineLevel="3" x14ac:dyDescent="0.25">
      <c r="A986" s="4" t="s">
        <v>421</v>
      </c>
      <c r="B986" t="s">
        <v>422</v>
      </c>
      <c r="C986" t="s">
        <v>3234</v>
      </c>
      <c r="D986" t="s">
        <v>126</v>
      </c>
      <c r="E986" t="s">
        <v>131</v>
      </c>
      <c r="F986" t="s">
        <v>37</v>
      </c>
    </row>
    <row r="987" spans="1:6" outlineLevel="3" x14ac:dyDescent="0.25">
      <c r="A987" s="4" t="s">
        <v>421</v>
      </c>
      <c r="B987" t="s">
        <v>422</v>
      </c>
      <c r="C987" t="s">
        <v>3235</v>
      </c>
      <c r="D987" t="s">
        <v>13</v>
      </c>
      <c r="E987" t="s">
        <v>131</v>
      </c>
      <c r="F987" t="s">
        <v>37</v>
      </c>
    </row>
    <row r="988" spans="1:6" outlineLevel="3" x14ac:dyDescent="0.25">
      <c r="A988" s="4" t="s">
        <v>421</v>
      </c>
      <c r="B988" t="s">
        <v>422</v>
      </c>
      <c r="C988" t="s">
        <v>3236</v>
      </c>
      <c r="D988" t="s">
        <v>78</v>
      </c>
      <c r="E988" t="s">
        <v>131</v>
      </c>
      <c r="F988" t="s">
        <v>37</v>
      </c>
    </row>
    <row r="989" spans="1:6" outlineLevel="3" x14ac:dyDescent="0.25">
      <c r="A989" s="4" t="s">
        <v>421</v>
      </c>
      <c r="B989" t="s">
        <v>422</v>
      </c>
      <c r="C989" t="s">
        <v>1878</v>
      </c>
      <c r="D989" t="s">
        <v>119</v>
      </c>
      <c r="E989" t="s">
        <v>131</v>
      </c>
      <c r="F989" t="s">
        <v>37</v>
      </c>
    </row>
    <row r="990" spans="1:6" outlineLevel="3" x14ac:dyDescent="0.25">
      <c r="A990" s="4" t="s">
        <v>421</v>
      </c>
      <c r="B990" t="s">
        <v>422</v>
      </c>
      <c r="C990" t="s">
        <v>3237</v>
      </c>
      <c r="D990" t="s">
        <v>190</v>
      </c>
      <c r="E990" t="s">
        <v>131</v>
      </c>
      <c r="F990" t="s">
        <v>37</v>
      </c>
    </row>
    <row r="991" spans="1:6" outlineLevel="3" x14ac:dyDescent="0.25">
      <c r="A991" s="4" t="s">
        <v>421</v>
      </c>
      <c r="B991" t="s">
        <v>422</v>
      </c>
      <c r="C991" t="s">
        <v>3238</v>
      </c>
      <c r="D991" t="s">
        <v>126</v>
      </c>
      <c r="E991" t="s">
        <v>131</v>
      </c>
      <c r="F991" t="s">
        <v>37</v>
      </c>
    </row>
    <row r="992" spans="1:6" outlineLevel="3" x14ac:dyDescent="0.25">
      <c r="A992" s="4" t="s">
        <v>421</v>
      </c>
      <c r="B992" t="s">
        <v>422</v>
      </c>
      <c r="C992" t="s">
        <v>3239</v>
      </c>
      <c r="D992" t="s">
        <v>13</v>
      </c>
      <c r="E992" t="s">
        <v>131</v>
      </c>
      <c r="F992" t="s">
        <v>37</v>
      </c>
    </row>
    <row r="993" spans="1:6" outlineLevel="3" x14ac:dyDescent="0.25">
      <c r="A993" s="4" t="s">
        <v>421</v>
      </c>
      <c r="B993" t="s">
        <v>422</v>
      </c>
      <c r="C993" t="s">
        <v>1879</v>
      </c>
      <c r="D993" t="s">
        <v>126</v>
      </c>
      <c r="E993" t="s">
        <v>131</v>
      </c>
      <c r="F993" t="s">
        <v>37</v>
      </c>
    </row>
    <row r="994" spans="1:6" outlineLevel="3" x14ac:dyDescent="0.25">
      <c r="A994" s="4" t="s">
        <v>421</v>
      </c>
      <c r="B994" t="s">
        <v>422</v>
      </c>
      <c r="C994" t="s">
        <v>1880</v>
      </c>
      <c r="D994" t="s">
        <v>126</v>
      </c>
      <c r="E994" t="s">
        <v>131</v>
      </c>
      <c r="F994" t="s">
        <v>37</v>
      </c>
    </row>
    <row r="995" spans="1:6" outlineLevel="3" x14ac:dyDescent="0.25">
      <c r="A995" s="4" t="s">
        <v>421</v>
      </c>
      <c r="B995" t="s">
        <v>422</v>
      </c>
      <c r="C995" t="s">
        <v>3240</v>
      </c>
      <c r="D995" t="s">
        <v>126</v>
      </c>
      <c r="E995" t="s">
        <v>131</v>
      </c>
      <c r="F995" t="s">
        <v>37</v>
      </c>
    </row>
    <row r="996" spans="1:6" outlineLevel="3" x14ac:dyDescent="0.25">
      <c r="A996" s="4" t="s">
        <v>421</v>
      </c>
      <c r="B996" t="s">
        <v>422</v>
      </c>
      <c r="C996" t="s">
        <v>3241</v>
      </c>
      <c r="D996" t="s">
        <v>126</v>
      </c>
      <c r="E996" t="s">
        <v>131</v>
      </c>
      <c r="F996" t="s">
        <v>37</v>
      </c>
    </row>
    <row r="997" spans="1:6" outlineLevel="3" x14ac:dyDescent="0.25">
      <c r="A997" s="4" t="s">
        <v>421</v>
      </c>
      <c r="B997" t="s">
        <v>422</v>
      </c>
      <c r="C997" t="s">
        <v>3242</v>
      </c>
      <c r="D997" t="s">
        <v>126</v>
      </c>
      <c r="E997" t="s">
        <v>131</v>
      </c>
      <c r="F997" t="s">
        <v>37</v>
      </c>
    </row>
    <row r="998" spans="1:6" outlineLevel="3" x14ac:dyDescent="0.25">
      <c r="A998" s="4" t="s">
        <v>421</v>
      </c>
      <c r="B998" t="s">
        <v>422</v>
      </c>
      <c r="C998" t="s">
        <v>3243</v>
      </c>
      <c r="D998" t="s">
        <v>165</v>
      </c>
      <c r="E998" t="s">
        <v>131</v>
      </c>
      <c r="F998" t="s">
        <v>37</v>
      </c>
    </row>
    <row r="999" spans="1:6" outlineLevel="3" x14ac:dyDescent="0.25">
      <c r="A999" s="4" t="s">
        <v>421</v>
      </c>
      <c r="B999" t="s">
        <v>422</v>
      </c>
      <c r="C999" t="s">
        <v>3244</v>
      </c>
      <c r="D999" t="s">
        <v>65</v>
      </c>
      <c r="E999" t="s">
        <v>131</v>
      </c>
      <c r="F999" t="s">
        <v>37</v>
      </c>
    </row>
    <row r="1000" spans="1:6" outlineLevel="3" x14ac:dyDescent="0.25">
      <c r="A1000" s="4" t="s">
        <v>421</v>
      </c>
      <c r="B1000" t="s">
        <v>422</v>
      </c>
      <c r="C1000" t="s">
        <v>3245</v>
      </c>
      <c r="D1000" t="s">
        <v>78</v>
      </c>
      <c r="E1000" t="s">
        <v>131</v>
      </c>
      <c r="F1000" t="s">
        <v>37</v>
      </c>
    </row>
    <row r="1001" spans="1:6" outlineLevel="3" x14ac:dyDescent="0.25">
      <c r="A1001" s="4" t="s">
        <v>421</v>
      </c>
      <c r="B1001" t="s">
        <v>422</v>
      </c>
      <c r="C1001" t="s">
        <v>3246</v>
      </c>
      <c r="D1001" t="s">
        <v>165</v>
      </c>
      <c r="E1001" t="s">
        <v>131</v>
      </c>
      <c r="F1001" t="s">
        <v>37</v>
      </c>
    </row>
    <row r="1002" spans="1:6" outlineLevel="3" x14ac:dyDescent="0.25">
      <c r="A1002" s="4" t="s">
        <v>421</v>
      </c>
      <c r="B1002" t="s">
        <v>422</v>
      </c>
      <c r="C1002" t="s">
        <v>3247</v>
      </c>
      <c r="D1002" t="s">
        <v>76</v>
      </c>
      <c r="E1002" t="s">
        <v>131</v>
      </c>
      <c r="F1002" t="s">
        <v>37</v>
      </c>
    </row>
    <row r="1003" spans="1:6" outlineLevel="3" x14ac:dyDescent="0.25">
      <c r="A1003" s="4" t="s">
        <v>421</v>
      </c>
      <c r="B1003" t="s">
        <v>422</v>
      </c>
      <c r="C1003" t="s">
        <v>3248</v>
      </c>
      <c r="D1003" t="s">
        <v>44</v>
      </c>
      <c r="E1003" t="s">
        <v>131</v>
      </c>
      <c r="F1003" t="s">
        <v>37</v>
      </c>
    </row>
    <row r="1004" spans="1:6" outlineLevel="3" x14ac:dyDescent="0.25">
      <c r="A1004" s="4" t="s">
        <v>421</v>
      </c>
      <c r="B1004" t="s">
        <v>422</v>
      </c>
      <c r="C1004" t="s">
        <v>3249</v>
      </c>
      <c r="D1004" t="s">
        <v>165</v>
      </c>
      <c r="E1004" t="s">
        <v>131</v>
      </c>
      <c r="F1004" t="s">
        <v>37</v>
      </c>
    </row>
    <row r="1005" spans="1:6" outlineLevel="3" x14ac:dyDescent="0.25">
      <c r="A1005" s="4" t="s">
        <v>421</v>
      </c>
      <c r="B1005" t="s">
        <v>422</v>
      </c>
      <c r="C1005" t="s">
        <v>3250</v>
      </c>
      <c r="D1005" t="s">
        <v>76</v>
      </c>
      <c r="E1005" t="s">
        <v>131</v>
      </c>
      <c r="F1005" t="s">
        <v>37</v>
      </c>
    </row>
    <row r="1006" spans="1:6" outlineLevel="3" x14ac:dyDescent="0.25">
      <c r="A1006" s="4" t="s">
        <v>421</v>
      </c>
      <c r="B1006" t="s">
        <v>422</v>
      </c>
      <c r="C1006" t="s">
        <v>3251</v>
      </c>
      <c r="D1006" t="s">
        <v>237</v>
      </c>
      <c r="E1006" t="s">
        <v>131</v>
      </c>
      <c r="F1006" t="s">
        <v>37</v>
      </c>
    </row>
    <row r="1007" spans="1:6" outlineLevel="3" x14ac:dyDescent="0.25">
      <c r="A1007" s="4" t="s">
        <v>421</v>
      </c>
      <c r="B1007" t="s">
        <v>422</v>
      </c>
      <c r="C1007" t="s">
        <v>3252</v>
      </c>
      <c r="D1007" t="s">
        <v>237</v>
      </c>
      <c r="E1007" t="s">
        <v>131</v>
      </c>
      <c r="F1007" t="s">
        <v>37</v>
      </c>
    </row>
    <row r="1008" spans="1:6" outlineLevel="3" x14ac:dyDescent="0.25">
      <c r="A1008" s="4" t="s">
        <v>421</v>
      </c>
      <c r="B1008" t="s">
        <v>422</v>
      </c>
      <c r="C1008" t="s">
        <v>3253</v>
      </c>
      <c r="D1008" t="s">
        <v>437</v>
      </c>
      <c r="E1008" t="s">
        <v>131</v>
      </c>
      <c r="F1008" t="s">
        <v>37</v>
      </c>
    </row>
    <row r="1009" spans="1:6" outlineLevel="3" x14ac:dyDescent="0.25">
      <c r="A1009" s="4" t="s">
        <v>421</v>
      </c>
      <c r="B1009" t="s">
        <v>422</v>
      </c>
      <c r="C1009" t="s">
        <v>3254</v>
      </c>
      <c r="D1009" t="s">
        <v>165</v>
      </c>
      <c r="E1009" t="s">
        <v>131</v>
      </c>
      <c r="F1009" t="s">
        <v>37</v>
      </c>
    </row>
    <row r="1010" spans="1:6" outlineLevel="3" x14ac:dyDescent="0.25">
      <c r="A1010" s="4" t="s">
        <v>421</v>
      </c>
      <c r="B1010" t="s">
        <v>422</v>
      </c>
      <c r="C1010" t="s">
        <v>3255</v>
      </c>
      <c r="D1010" t="s">
        <v>437</v>
      </c>
      <c r="E1010" t="s">
        <v>131</v>
      </c>
      <c r="F1010" t="s">
        <v>37</v>
      </c>
    </row>
    <row r="1011" spans="1:6" outlineLevel="3" x14ac:dyDescent="0.25">
      <c r="A1011" s="4" t="s">
        <v>421</v>
      </c>
      <c r="B1011" t="s">
        <v>422</v>
      </c>
      <c r="C1011" t="s">
        <v>3256</v>
      </c>
      <c r="D1011" t="s">
        <v>165</v>
      </c>
      <c r="E1011" t="s">
        <v>131</v>
      </c>
      <c r="F1011" t="s">
        <v>37</v>
      </c>
    </row>
    <row r="1012" spans="1:6" outlineLevel="3" x14ac:dyDescent="0.25">
      <c r="A1012" s="4" t="s">
        <v>421</v>
      </c>
      <c r="B1012" t="s">
        <v>422</v>
      </c>
      <c r="C1012" t="s">
        <v>3257</v>
      </c>
      <c r="D1012" t="s">
        <v>437</v>
      </c>
      <c r="E1012" t="s">
        <v>131</v>
      </c>
      <c r="F1012" t="s">
        <v>37</v>
      </c>
    </row>
    <row r="1013" spans="1:6" outlineLevel="3" x14ac:dyDescent="0.25">
      <c r="A1013" s="4" t="s">
        <v>421</v>
      </c>
      <c r="B1013" t="s">
        <v>422</v>
      </c>
      <c r="C1013" t="s">
        <v>3258</v>
      </c>
      <c r="D1013" t="s">
        <v>165</v>
      </c>
      <c r="E1013" t="s">
        <v>131</v>
      </c>
      <c r="F1013" t="s">
        <v>37</v>
      </c>
    </row>
    <row r="1014" spans="1:6" outlineLevel="3" x14ac:dyDescent="0.25">
      <c r="A1014" s="4" t="s">
        <v>421</v>
      </c>
      <c r="B1014" t="s">
        <v>422</v>
      </c>
      <c r="C1014" t="s">
        <v>3259</v>
      </c>
      <c r="D1014" t="s">
        <v>6</v>
      </c>
      <c r="E1014" t="s">
        <v>131</v>
      </c>
      <c r="F1014" t="s">
        <v>37</v>
      </c>
    </row>
    <row r="1015" spans="1:6" outlineLevel="3" x14ac:dyDescent="0.25">
      <c r="A1015" s="4" t="s">
        <v>421</v>
      </c>
      <c r="B1015" t="s">
        <v>422</v>
      </c>
      <c r="C1015" t="s">
        <v>3260</v>
      </c>
      <c r="D1015" t="s">
        <v>437</v>
      </c>
      <c r="E1015" t="s">
        <v>131</v>
      </c>
      <c r="F1015" t="s">
        <v>37</v>
      </c>
    </row>
    <row r="1016" spans="1:6" outlineLevel="3" x14ac:dyDescent="0.25">
      <c r="A1016" s="4" t="s">
        <v>421</v>
      </c>
      <c r="B1016" t="s">
        <v>422</v>
      </c>
      <c r="C1016" t="s">
        <v>3261</v>
      </c>
      <c r="D1016" t="s">
        <v>65</v>
      </c>
      <c r="E1016" t="s">
        <v>131</v>
      </c>
      <c r="F1016" t="s">
        <v>37</v>
      </c>
    </row>
    <row r="1017" spans="1:6" outlineLevel="3" x14ac:dyDescent="0.25">
      <c r="A1017" s="4" t="s">
        <v>421</v>
      </c>
      <c r="B1017" t="s">
        <v>422</v>
      </c>
      <c r="C1017" t="s">
        <v>3262</v>
      </c>
      <c r="D1017" t="s">
        <v>65</v>
      </c>
      <c r="E1017" t="s">
        <v>131</v>
      </c>
      <c r="F1017" t="s">
        <v>37</v>
      </c>
    </row>
    <row r="1018" spans="1:6" outlineLevel="3" x14ac:dyDescent="0.25">
      <c r="A1018" s="4" t="s">
        <v>421</v>
      </c>
      <c r="B1018" t="s">
        <v>422</v>
      </c>
      <c r="C1018" t="s">
        <v>3263</v>
      </c>
      <c r="D1018" t="s">
        <v>437</v>
      </c>
      <c r="E1018" t="s">
        <v>131</v>
      </c>
      <c r="F1018" t="s">
        <v>37</v>
      </c>
    </row>
    <row r="1019" spans="1:6" outlineLevel="3" x14ac:dyDescent="0.25">
      <c r="A1019" s="4" t="s">
        <v>421</v>
      </c>
      <c r="B1019" t="s">
        <v>422</v>
      </c>
      <c r="C1019" t="s">
        <v>3264</v>
      </c>
      <c r="D1019" t="s">
        <v>165</v>
      </c>
      <c r="E1019" t="s">
        <v>131</v>
      </c>
      <c r="F1019" t="s">
        <v>37</v>
      </c>
    </row>
    <row r="1020" spans="1:6" outlineLevel="3" x14ac:dyDescent="0.25">
      <c r="A1020" s="4" t="s">
        <v>421</v>
      </c>
      <c r="B1020" t="s">
        <v>422</v>
      </c>
      <c r="C1020" t="s">
        <v>1759</v>
      </c>
      <c r="D1020" t="s">
        <v>437</v>
      </c>
      <c r="E1020" t="s">
        <v>131</v>
      </c>
      <c r="F1020" t="s">
        <v>37</v>
      </c>
    </row>
    <row r="1021" spans="1:6" outlineLevel="3" x14ac:dyDescent="0.25">
      <c r="A1021" s="4" t="s">
        <v>421</v>
      </c>
      <c r="B1021" t="s">
        <v>422</v>
      </c>
      <c r="C1021" t="s">
        <v>3265</v>
      </c>
      <c r="D1021" t="s">
        <v>126</v>
      </c>
      <c r="E1021" t="s">
        <v>131</v>
      </c>
      <c r="F1021" t="s">
        <v>37</v>
      </c>
    </row>
    <row r="1022" spans="1:6" outlineLevel="3" x14ac:dyDescent="0.25">
      <c r="A1022" s="4" t="s">
        <v>421</v>
      </c>
      <c r="B1022" t="s">
        <v>422</v>
      </c>
      <c r="C1022" t="s">
        <v>3266</v>
      </c>
      <c r="D1022" t="s">
        <v>237</v>
      </c>
      <c r="E1022" t="s">
        <v>131</v>
      </c>
      <c r="F1022" t="s">
        <v>37</v>
      </c>
    </row>
    <row r="1023" spans="1:6" outlineLevel="3" x14ac:dyDescent="0.25">
      <c r="A1023" s="4" t="s">
        <v>421</v>
      </c>
      <c r="B1023" t="s">
        <v>422</v>
      </c>
      <c r="C1023" t="s">
        <v>3267</v>
      </c>
      <c r="D1023" t="s">
        <v>67</v>
      </c>
      <c r="E1023" t="s">
        <v>131</v>
      </c>
      <c r="F1023" t="s">
        <v>37</v>
      </c>
    </row>
    <row r="1024" spans="1:6" outlineLevel="3" x14ac:dyDescent="0.25">
      <c r="A1024" s="4" t="s">
        <v>421</v>
      </c>
      <c r="B1024" t="s">
        <v>422</v>
      </c>
      <c r="C1024" t="s">
        <v>3268</v>
      </c>
      <c r="D1024" t="s">
        <v>67</v>
      </c>
      <c r="E1024" t="s">
        <v>131</v>
      </c>
      <c r="F1024" t="s">
        <v>37</v>
      </c>
    </row>
    <row r="1025" spans="1:6" outlineLevel="3" x14ac:dyDescent="0.25">
      <c r="A1025" s="4" t="s">
        <v>421</v>
      </c>
      <c r="B1025" t="s">
        <v>422</v>
      </c>
      <c r="C1025" t="s">
        <v>3269</v>
      </c>
      <c r="D1025" t="s">
        <v>65</v>
      </c>
      <c r="E1025" t="s">
        <v>131</v>
      </c>
      <c r="F1025" t="s">
        <v>37</v>
      </c>
    </row>
    <row r="1026" spans="1:6" outlineLevel="3" x14ac:dyDescent="0.25">
      <c r="A1026" s="4" t="s">
        <v>421</v>
      </c>
      <c r="B1026" t="s">
        <v>422</v>
      </c>
      <c r="C1026" t="s">
        <v>3270</v>
      </c>
      <c r="D1026" t="s">
        <v>437</v>
      </c>
      <c r="E1026" t="s">
        <v>131</v>
      </c>
      <c r="F1026" t="s">
        <v>37</v>
      </c>
    </row>
    <row r="1027" spans="1:6" outlineLevel="3" x14ac:dyDescent="0.25">
      <c r="A1027" s="4" t="s">
        <v>421</v>
      </c>
      <c r="B1027" t="s">
        <v>422</v>
      </c>
      <c r="C1027" t="s">
        <v>1881</v>
      </c>
      <c r="D1027" t="s">
        <v>119</v>
      </c>
      <c r="E1027" t="s">
        <v>131</v>
      </c>
      <c r="F1027" t="s">
        <v>37</v>
      </c>
    </row>
    <row r="1028" spans="1:6" outlineLevel="3" x14ac:dyDescent="0.25">
      <c r="A1028" s="4" t="s">
        <v>421</v>
      </c>
      <c r="B1028" t="s">
        <v>422</v>
      </c>
      <c r="C1028" t="s">
        <v>3271</v>
      </c>
      <c r="D1028" t="s">
        <v>76</v>
      </c>
      <c r="E1028" t="s">
        <v>131</v>
      </c>
      <c r="F1028" t="s">
        <v>37</v>
      </c>
    </row>
    <row r="1029" spans="1:6" outlineLevel="3" x14ac:dyDescent="0.25">
      <c r="A1029" s="4" t="s">
        <v>421</v>
      </c>
      <c r="B1029" t="s">
        <v>422</v>
      </c>
      <c r="C1029" t="s">
        <v>3272</v>
      </c>
      <c r="D1029" t="s">
        <v>147</v>
      </c>
      <c r="E1029" t="s">
        <v>131</v>
      </c>
      <c r="F1029" t="s">
        <v>37</v>
      </c>
    </row>
    <row r="1030" spans="1:6" outlineLevel="3" x14ac:dyDescent="0.25">
      <c r="A1030" s="4" t="s">
        <v>421</v>
      </c>
      <c r="B1030" t="s">
        <v>422</v>
      </c>
      <c r="C1030" t="s">
        <v>3273</v>
      </c>
      <c r="D1030" t="s">
        <v>165</v>
      </c>
      <c r="E1030" t="s">
        <v>131</v>
      </c>
      <c r="F1030" t="s">
        <v>37</v>
      </c>
    </row>
    <row r="1031" spans="1:6" outlineLevel="3" x14ac:dyDescent="0.25">
      <c r="A1031" s="4" t="s">
        <v>421</v>
      </c>
      <c r="B1031" t="s">
        <v>422</v>
      </c>
      <c r="C1031" t="s">
        <v>3274</v>
      </c>
      <c r="D1031" t="s">
        <v>63</v>
      </c>
      <c r="E1031" t="s">
        <v>131</v>
      </c>
      <c r="F1031" t="s">
        <v>37</v>
      </c>
    </row>
    <row r="1032" spans="1:6" outlineLevel="3" x14ac:dyDescent="0.25">
      <c r="A1032" s="4" t="s">
        <v>421</v>
      </c>
      <c r="B1032" t="s">
        <v>422</v>
      </c>
      <c r="C1032" t="s">
        <v>3275</v>
      </c>
      <c r="D1032" t="s">
        <v>76</v>
      </c>
      <c r="E1032" t="s">
        <v>131</v>
      </c>
      <c r="F1032" t="s">
        <v>37</v>
      </c>
    </row>
    <row r="1033" spans="1:6" outlineLevel="3" x14ac:dyDescent="0.25">
      <c r="A1033" s="4" t="s">
        <v>421</v>
      </c>
      <c r="B1033" t="s">
        <v>422</v>
      </c>
      <c r="C1033" t="s">
        <v>3276</v>
      </c>
      <c r="D1033" t="s">
        <v>147</v>
      </c>
      <c r="E1033" t="s">
        <v>131</v>
      </c>
      <c r="F1033" t="s">
        <v>37</v>
      </c>
    </row>
    <row r="1034" spans="1:6" outlineLevel="3" x14ac:dyDescent="0.25">
      <c r="A1034" s="4" t="s">
        <v>421</v>
      </c>
      <c r="B1034" t="s">
        <v>422</v>
      </c>
      <c r="C1034" t="s">
        <v>3277</v>
      </c>
      <c r="D1034" t="s">
        <v>237</v>
      </c>
      <c r="E1034" t="s">
        <v>131</v>
      </c>
      <c r="F1034" t="s">
        <v>37</v>
      </c>
    </row>
    <row r="1035" spans="1:6" outlineLevel="3" x14ac:dyDescent="0.25">
      <c r="A1035" s="4" t="s">
        <v>421</v>
      </c>
      <c r="B1035" t="s">
        <v>422</v>
      </c>
      <c r="C1035" t="s">
        <v>3278</v>
      </c>
      <c r="D1035" t="s">
        <v>435</v>
      </c>
      <c r="E1035" t="s">
        <v>131</v>
      </c>
      <c r="F1035" t="s">
        <v>37</v>
      </c>
    </row>
    <row r="1036" spans="1:6" outlineLevel="3" x14ac:dyDescent="0.25">
      <c r="A1036" s="4" t="s">
        <v>421</v>
      </c>
      <c r="B1036" t="s">
        <v>422</v>
      </c>
      <c r="C1036" t="s">
        <v>3279</v>
      </c>
      <c r="D1036" t="s">
        <v>435</v>
      </c>
      <c r="E1036" t="s">
        <v>131</v>
      </c>
      <c r="F1036" t="s">
        <v>37</v>
      </c>
    </row>
    <row r="1037" spans="1:6" outlineLevel="3" x14ac:dyDescent="0.25">
      <c r="A1037" s="4" t="s">
        <v>421</v>
      </c>
      <c r="B1037" t="s">
        <v>422</v>
      </c>
      <c r="C1037" t="s">
        <v>3280</v>
      </c>
      <c r="D1037" t="s">
        <v>44</v>
      </c>
      <c r="E1037" t="s">
        <v>131</v>
      </c>
      <c r="F1037" t="s">
        <v>37</v>
      </c>
    </row>
    <row r="1038" spans="1:6" outlineLevel="3" x14ac:dyDescent="0.25">
      <c r="A1038" s="4" t="s">
        <v>421</v>
      </c>
      <c r="B1038" t="s">
        <v>422</v>
      </c>
      <c r="C1038" t="s">
        <v>3281</v>
      </c>
      <c r="D1038" t="s">
        <v>67</v>
      </c>
      <c r="E1038" t="s">
        <v>131</v>
      </c>
      <c r="F1038" t="s">
        <v>37</v>
      </c>
    </row>
    <row r="1039" spans="1:6" outlineLevel="3" x14ac:dyDescent="0.25">
      <c r="A1039" s="4" t="s">
        <v>421</v>
      </c>
      <c r="B1039" t="s">
        <v>422</v>
      </c>
      <c r="C1039" t="s">
        <v>3282</v>
      </c>
      <c r="D1039" t="s">
        <v>76</v>
      </c>
      <c r="E1039" t="s">
        <v>131</v>
      </c>
      <c r="F1039" t="s">
        <v>37</v>
      </c>
    </row>
    <row r="1040" spans="1:6" outlineLevel="3" x14ac:dyDescent="0.25">
      <c r="A1040" s="4" t="s">
        <v>421</v>
      </c>
      <c r="B1040" t="s">
        <v>422</v>
      </c>
      <c r="C1040" t="s">
        <v>3283</v>
      </c>
      <c r="D1040" t="s">
        <v>89</v>
      </c>
      <c r="E1040" t="s">
        <v>131</v>
      </c>
      <c r="F1040" t="s">
        <v>37</v>
      </c>
    </row>
    <row r="1041" spans="1:6" outlineLevel="3" x14ac:dyDescent="0.25">
      <c r="A1041" s="4" t="s">
        <v>421</v>
      </c>
      <c r="B1041" t="s">
        <v>422</v>
      </c>
      <c r="C1041" t="s">
        <v>3284</v>
      </c>
      <c r="D1041" t="s">
        <v>435</v>
      </c>
      <c r="E1041" t="s">
        <v>131</v>
      </c>
      <c r="F1041" t="s">
        <v>37</v>
      </c>
    </row>
    <row r="1042" spans="1:6" outlineLevel="3" x14ac:dyDescent="0.25">
      <c r="A1042" s="4" t="s">
        <v>421</v>
      </c>
      <c r="B1042" t="s">
        <v>422</v>
      </c>
      <c r="C1042" t="s">
        <v>3285</v>
      </c>
      <c r="D1042" t="s">
        <v>435</v>
      </c>
      <c r="E1042" t="s">
        <v>131</v>
      </c>
      <c r="F1042" t="s">
        <v>37</v>
      </c>
    </row>
    <row r="1043" spans="1:6" outlineLevel="3" x14ac:dyDescent="0.25">
      <c r="A1043" s="4" t="s">
        <v>421</v>
      </c>
      <c r="B1043" t="s">
        <v>422</v>
      </c>
      <c r="C1043" t="s">
        <v>3286</v>
      </c>
      <c r="D1043" t="s">
        <v>76</v>
      </c>
      <c r="E1043" t="s">
        <v>131</v>
      </c>
      <c r="F1043" t="s">
        <v>37</v>
      </c>
    </row>
    <row r="1044" spans="1:6" outlineLevel="3" x14ac:dyDescent="0.25">
      <c r="A1044" s="4" t="s">
        <v>421</v>
      </c>
      <c r="B1044" t="s">
        <v>422</v>
      </c>
      <c r="C1044" t="s">
        <v>3287</v>
      </c>
      <c r="D1044" t="s">
        <v>237</v>
      </c>
      <c r="E1044" t="s">
        <v>131</v>
      </c>
      <c r="F1044" t="s">
        <v>37</v>
      </c>
    </row>
    <row r="1045" spans="1:6" outlineLevel="3" x14ac:dyDescent="0.25">
      <c r="A1045" s="4" t="s">
        <v>421</v>
      </c>
      <c r="B1045" t="s">
        <v>422</v>
      </c>
      <c r="C1045" t="s">
        <v>3288</v>
      </c>
      <c r="D1045" t="s">
        <v>190</v>
      </c>
      <c r="E1045" t="s">
        <v>131</v>
      </c>
      <c r="F1045" t="s">
        <v>37</v>
      </c>
    </row>
    <row r="1046" spans="1:6" outlineLevel="3" x14ac:dyDescent="0.25">
      <c r="A1046" s="4" t="s">
        <v>421</v>
      </c>
      <c r="B1046" t="s">
        <v>422</v>
      </c>
      <c r="C1046" t="s">
        <v>3289</v>
      </c>
      <c r="D1046" t="s">
        <v>237</v>
      </c>
      <c r="E1046" t="s">
        <v>131</v>
      </c>
      <c r="F1046" t="s">
        <v>37</v>
      </c>
    </row>
    <row r="1047" spans="1:6" outlineLevel="3" x14ac:dyDescent="0.25">
      <c r="A1047" s="4" t="s">
        <v>421</v>
      </c>
      <c r="B1047" t="s">
        <v>422</v>
      </c>
      <c r="C1047" t="s">
        <v>3290</v>
      </c>
      <c r="D1047" t="s">
        <v>44</v>
      </c>
      <c r="E1047" t="s">
        <v>131</v>
      </c>
      <c r="F1047" t="s">
        <v>37</v>
      </c>
    </row>
    <row r="1048" spans="1:6" outlineLevel="3" x14ac:dyDescent="0.25">
      <c r="A1048" s="4" t="s">
        <v>421</v>
      </c>
      <c r="B1048" t="s">
        <v>422</v>
      </c>
      <c r="C1048" t="s">
        <v>1882</v>
      </c>
      <c r="D1048" t="s">
        <v>119</v>
      </c>
      <c r="E1048" t="s">
        <v>131</v>
      </c>
      <c r="F1048" t="s">
        <v>37</v>
      </c>
    </row>
    <row r="1049" spans="1:6" outlineLevel="3" x14ac:dyDescent="0.25">
      <c r="A1049" s="4" t="s">
        <v>421</v>
      </c>
      <c r="B1049" t="s">
        <v>422</v>
      </c>
      <c r="C1049" t="s">
        <v>3291</v>
      </c>
      <c r="D1049" t="s">
        <v>89</v>
      </c>
      <c r="E1049" t="s">
        <v>131</v>
      </c>
      <c r="F1049" t="s">
        <v>37</v>
      </c>
    </row>
    <row r="1050" spans="1:6" outlineLevel="3" x14ac:dyDescent="0.25">
      <c r="A1050" s="4" t="s">
        <v>421</v>
      </c>
      <c r="B1050" t="s">
        <v>422</v>
      </c>
      <c r="C1050" t="s">
        <v>3292</v>
      </c>
      <c r="D1050" t="s">
        <v>435</v>
      </c>
      <c r="E1050" t="s">
        <v>131</v>
      </c>
      <c r="F1050" t="s">
        <v>37</v>
      </c>
    </row>
    <row r="1051" spans="1:6" outlineLevel="3" x14ac:dyDescent="0.25">
      <c r="A1051" s="4" t="s">
        <v>421</v>
      </c>
      <c r="B1051" t="s">
        <v>422</v>
      </c>
      <c r="C1051" t="s">
        <v>3293</v>
      </c>
      <c r="D1051" t="s">
        <v>237</v>
      </c>
      <c r="E1051" t="s">
        <v>131</v>
      </c>
      <c r="F1051" t="s">
        <v>37</v>
      </c>
    </row>
    <row r="1052" spans="1:6" outlineLevel="3" x14ac:dyDescent="0.25">
      <c r="A1052" s="4" t="s">
        <v>421</v>
      </c>
      <c r="B1052" t="s">
        <v>422</v>
      </c>
      <c r="C1052" t="s">
        <v>3294</v>
      </c>
      <c r="D1052" t="s">
        <v>190</v>
      </c>
      <c r="E1052" t="s">
        <v>131</v>
      </c>
      <c r="F1052" t="s">
        <v>37</v>
      </c>
    </row>
    <row r="1053" spans="1:6" outlineLevel="3" x14ac:dyDescent="0.25">
      <c r="A1053" s="4" t="s">
        <v>421</v>
      </c>
      <c r="B1053" t="s">
        <v>422</v>
      </c>
      <c r="C1053" t="s">
        <v>3295</v>
      </c>
      <c r="D1053" t="s">
        <v>44</v>
      </c>
      <c r="E1053" t="s">
        <v>131</v>
      </c>
      <c r="F1053" t="s">
        <v>37</v>
      </c>
    </row>
    <row r="1054" spans="1:6" outlineLevel="3" x14ac:dyDescent="0.25">
      <c r="A1054" s="4" t="s">
        <v>421</v>
      </c>
      <c r="B1054" t="s">
        <v>422</v>
      </c>
      <c r="C1054" t="s">
        <v>3296</v>
      </c>
      <c r="D1054" t="s">
        <v>76</v>
      </c>
      <c r="E1054" t="s">
        <v>131</v>
      </c>
      <c r="F1054" t="s">
        <v>37</v>
      </c>
    </row>
    <row r="1055" spans="1:6" outlineLevel="3" x14ac:dyDescent="0.25">
      <c r="A1055" s="4" t="s">
        <v>421</v>
      </c>
      <c r="B1055" t="s">
        <v>422</v>
      </c>
      <c r="C1055" t="s">
        <v>3297</v>
      </c>
      <c r="D1055" t="s">
        <v>6</v>
      </c>
      <c r="E1055" t="s">
        <v>131</v>
      </c>
      <c r="F1055" t="s">
        <v>37</v>
      </c>
    </row>
    <row r="1056" spans="1:6" outlineLevel="3" x14ac:dyDescent="0.25">
      <c r="A1056" s="4" t="s">
        <v>421</v>
      </c>
      <c r="B1056" t="s">
        <v>422</v>
      </c>
      <c r="C1056" t="s">
        <v>3298</v>
      </c>
      <c r="D1056" t="s">
        <v>147</v>
      </c>
      <c r="E1056" t="s">
        <v>131</v>
      </c>
      <c r="F1056" t="s">
        <v>37</v>
      </c>
    </row>
    <row r="1057" spans="1:6" outlineLevel="3" x14ac:dyDescent="0.25">
      <c r="A1057" s="4" t="s">
        <v>421</v>
      </c>
      <c r="B1057" t="s">
        <v>422</v>
      </c>
      <c r="C1057" t="s">
        <v>3299</v>
      </c>
      <c r="D1057" t="s">
        <v>190</v>
      </c>
      <c r="E1057" t="s">
        <v>131</v>
      </c>
      <c r="F1057" t="s">
        <v>37</v>
      </c>
    </row>
    <row r="1058" spans="1:6" outlineLevel="3" x14ac:dyDescent="0.25">
      <c r="A1058" s="4" t="s">
        <v>421</v>
      </c>
      <c r="B1058" t="s">
        <v>422</v>
      </c>
      <c r="C1058" t="s">
        <v>3300</v>
      </c>
      <c r="D1058" t="s">
        <v>67</v>
      </c>
      <c r="E1058" t="s">
        <v>131</v>
      </c>
      <c r="F1058" t="s">
        <v>37</v>
      </c>
    </row>
    <row r="1059" spans="1:6" outlineLevel="3" x14ac:dyDescent="0.25">
      <c r="A1059" s="4" t="s">
        <v>421</v>
      </c>
      <c r="B1059" t="s">
        <v>422</v>
      </c>
      <c r="C1059" t="s">
        <v>3301</v>
      </c>
      <c r="D1059" t="s">
        <v>67</v>
      </c>
      <c r="E1059" t="s">
        <v>131</v>
      </c>
      <c r="F1059" t="s">
        <v>37</v>
      </c>
    </row>
    <row r="1060" spans="1:6" outlineLevel="3" x14ac:dyDescent="0.25">
      <c r="A1060" s="4" t="s">
        <v>421</v>
      </c>
      <c r="B1060" t="s">
        <v>422</v>
      </c>
      <c r="C1060" t="s">
        <v>3302</v>
      </c>
      <c r="D1060" t="s">
        <v>407</v>
      </c>
      <c r="E1060" t="s">
        <v>131</v>
      </c>
      <c r="F1060" t="s">
        <v>37</v>
      </c>
    </row>
    <row r="1061" spans="1:6" outlineLevel="3" x14ac:dyDescent="0.25">
      <c r="A1061" s="4" t="s">
        <v>421</v>
      </c>
      <c r="B1061" t="s">
        <v>422</v>
      </c>
      <c r="C1061" t="s">
        <v>3303</v>
      </c>
      <c r="D1061" t="s">
        <v>250</v>
      </c>
      <c r="E1061" t="s">
        <v>131</v>
      </c>
      <c r="F1061" t="s">
        <v>37</v>
      </c>
    </row>
    <row r="1062" spans="1:6" outlineLevel="3" x14ac:dyDescent="0.25">
      <c r="A1062" s="4" t="s">
        <v>421</v>
      </c>
      <c r="B1062" t="s">
        <v>422</v>
      </c>
      <c r="C1062" t="s">
        <v>3304</v>
      </c>
      <c r="D1062" t="s">
        <v>103</v>
      </c>
      <c r="E1062" t="s">
        <v>131</v>
      </c>
      <c r="F1062" t="s">
        <v>37</v>
      </c>
    </row>
    <row r="1063" spans="1:6" outlineLevel="3" x14ac:dyDescent="0.25">
      <c r="A1063" s="4" t="s">
        <v>421</v>
      </c>
      <c r="B1063" t="s">
        <v>422</v>
      </c>
      <c r="C1063" t="s">
        <v>3305</v>
      </c>
      <c r="D1063" t="s">
        <v>435</v>
      </c>
      <c r="E1063" t="s">
        <v>131</v>
      </c>
      <c r="F1063" t="s">
        <v>37</v>
      </c>
    </row>
    <row r="1064" spans="1:6" outlineLevel="3" x14ac:dyDescent="0.25">
      <c r="A1064" s="4" t="s">
        <v>421</v>
      </c>
      <c r="B1064" t="s">
        <v>422</v>
      </c>
      <c r="C1064" t="s">
        <v>3306</v>
      </c>
      <c r="D1064" t="s">
        <v>103</v>
      </c>
      <c r="E1064" t="s">
        <v>131</v>
      </c>
      <c r="F1064" t="s">
        <v>37</v>
      </c>
    </row>
    <row r="1065" spans="1:6" outlineLevel="3" x14ac:dyDescent="0.25">
      <c r="A1065" s="4" t="s">
        <v>421</v>
      </c>
      <c r="B1065" t="s">
        <v>422</v>
      </c>
      <c r="C1065" t="s">
        <v>3307</v>
      </c>
      <c r="D1065" t="s">
        <v>190</v>
      </c>
      <c r="E1065" t="s">
        <v>131</v>
      </c>
      <c r="F1065" t="s">
        <v>37</v>
      </c>
    </row>
    <row r="1066" spans="1:6" outlineLevel="3" x14ac:dyDescent="0.25">
      <c r="A1066" s="4" t="s">
        <v>421</v>
      </c>
      <c r="B1066" t="s">
        <v>422</v>
      </c>
      <c r="C1066" t="s">
        <v>3308</v>
      </c>
      <c r="D1066" t="s">
        <v>67</v>
      </c>
      <c r="E1066" t="s">
        <v>131</v>
      </c>
      <c r="F1066" t="s">
        <v>37</v>
      </c>
    </row>
    <row r="1067" spans="1:6" outlineLevel="3" x14ac:dyDescent="0.25">
      <c r="A1067" s="4" t="s">
        <v>421</v>
      </c>
      <c r="B1067" t="s">
        <v>422</v>
      </c>
      <c r="C1067" t="s">
        <v>3309</v>
      </c>
      <c r="D1067" t="s">
        <v>190</v>
      </c>
      <c r="E1067" t="s">
        <v>131</v>
      </c>
      <c r="F1067" t="s">
        <v>37</v>
      </c>
    </row>
    <row r="1068" spans="1:6" outlineLevel="3" x14ac:dyDescent="0.25">
      <c r="A1068" s="4" t="s">
        <v>421</v>
      </c>
      <c r="B1068" t="s">
        <v>422</v>
      </c>
      <c r="C1068" t="s">
        <v>3310</v>
      </c>
      <c r="D1068" t="s">
        <v>190</v>
      </c>
      <c r="E1068" t="s">
        <v>131</v>
      </c>
      <c r="F1068" t="s">
        <v>37</v>
      </c>
    </row>
    <row r="1069" spans="1:6" outlineLevel="3" x14ac:dyDescent="0.25">
      <c r="A1069" s="4" t="s">
        <v>421</v>
      </c>
      <c r="B1069" t="s">
        <v>422</v>
      </c>
      <c r="C1069" t="s">
        <v>3311</v>
      </c>
      <c r="D1069" t="s">
        <v>44</v>
      </c>
      <c r="E1069" t="s">
        <v>131</v>
      </c>
      <c r="F1069" t="s">
        <v>37</v>
      </c>
    </row>
    <row r="1070" spans="1:6" outlineLevel="3" x14ac:dyDescent="0.25">
      <c r="A1070" s="4" t="s">
        <v>421</v>
      </c>
      <c r="B1070" t="s">
        <v>422</v>
      </c>
      <c r="C1070" t="s">
        <v>3312</v>
      </c>
      <c r="D1070" t="s">
        <v>435</v>
      </c>
      <c r="E1070" t="s">
        <v>131</v>
      </c>
      <c r="F1070" t="s">
        <v>37</v>
      </c>
    </row>
    <row r="1071" spans="1:6" outlineLevel="3" x14ac:dyDescent="0.25">
      <c r="A1071" s="4" t="s">
        <v>421</v>
      </c>
      <c r="B1071" t="s">
        <v>422</v>
      </c>
      <c r="C1071" t="s">
        <v>3313</v>
      </c>
      <c r="D1071" t="s">
        <v>44</v>
      </c>
      <c r="E1071" t="s">
        <v>131</v>
      </c>
      <c r="F1071" t="s">
        <v>37</v>
      </c>
    </row>
    <row r="1072" spans="1:6" outlineLevel="3" x14ac:dyDescent="0.25">
      <c r="A1072" s="4" t="s">
        <v>421</v>
      </c>
      <c r="B1072" t="s">
        <v>422</v>
      </c>
      <c r="C1072" t="s">
        <v>3314</v>
      </c>
      <c r="D1072" t="s">
        <v>6</v>
      </c>
      <c r="E1072" t="s">
        <v>131</v>
      </c>
      <c r="F1072" t="s">
        <v>37</v>
      </c>
    </row>
    <row r="1073" spans="1:6" outlineLevel="3" x14ac:dyDescent="0.25">
      <c r="A1073" s="4" t="s">
        <v>421</v>
      </c>
      <c r="B1073" t="s">
        <v>422</v>
      </c>
      <c r="C1073" t="s">
        <v>3315</v>
      </c>
      <c r="D1073" t="s">
        <v>437</v>
      </c>
      <c r="E1073" t="s">
        <v>131</v>
      </c>
      <c r="F1073" t="s">
        <v>37</v>
      </c>
    </row>
    <row r="1074" spans="1:6" outlineLevel="3" x14ac:dyDescent="0.25">
      <c r="A1074" s="4" t="s">
        <v>421</v>
      </c>
      <c r="B1074" t="s">
        <v>422</v>
      </c>
      <c r="C1074" t="s">
        <v>3316</v>
      </c>
      <c r="D1074" t="s">
        <v>437</v>
      </c>
      <c r="E1074" t="s">
        <v>131</v>
      </c>
      <c r="F1074" t="s">
        <v>37</v>
      </c>
    </row>
    <row r="1075" spans="1:6" outlineLevel="3" x14ac:dyDescent="0.25">
      <c r="A1075" s="4" t="s">
        <v>421</v>
      </c>
      <c r="B1075" t="s">
        <v>422</v>
      </c>
      <c r="C1075" t="s">
        <v>3317</v>
      </c>
      <c r="D1075" t="s">
        <v>6</v>
      </c>
      <c r="E1075" t="s">
        <v>131</v>
      </c>
      <c r="F1075" t="s">
        <v>37</v>
      </c>
    </row>
    <row r="1076" spans="1:6" outlineLevel="3" x14ac:dyDescent="0.25">
      <c r="A1076" s="4" t="s">
        <v>421</v>
      </c>
      <c r="B1076" t="s">
        <v>422</v>
      </c>
      <c r="C1076" t="s">
        <v>3318</v>
      </c>
      <c r="D1076" t="s">
        <v>6</v>
      </c>
      <c r="E1076" t="s">
        <v>131</v>
      </c>
      <c r="F1076" t="s">
        <v>37</v>
      </c>
    </row>
    <row r="1077" spans="1:6" outlineLevel="3" x14ac:dyDescent="0.25">
      <c r="A1077" s="4" t="s">
        <v>421</v>
      </c>
      <c r="B1077" t="s">
        <v>422</v>
      </c>
      <c r="C1077" t="s">
        <v>3319</v>
      </c>
      <c r="D1077" t="s">
        <v>6</v>
      </c>
      <c r="E1077" t="s">
        <v>131</v>
      </c>
      <c r="F1077" t="s">
        <v>37</v>
      </c>
    </row>
    <row r="1078" spans="1:6" outlineLevel="3" x14ac:dyDescent="0.25">
      <c r="A1078" s="4" t="s">
        <v>421</v>
      </c>
      <c r="B1078" t="s">
        <v>422</v>
      </c>
      <c r="C1078" t="s">
        <v>3320</v>
      </c>
      <c r="D1078" t="s">
        <v>67</v>
      </c>
      <c r="E1078" t="s">
        <v>131</v>
      </c>
      <c r="F1078" t="s">
        <v>37</v>
      </c>
    </row>
    <row r="1079" spans="1:6" outlineLevel="3" x14ac:dyDescent="0.25">
      <c r="A1079" s="4" t="s">
        <v>421</v>
      </c>
      <c r="B1079" t="s">
        <v>422</v>
      </c>
      <c r="C1079" t="s">
        <v>3321</v>
      </c>
      <c r="D1079" t="s">
        <v>6</v>
      </c>
      <c r="E1079" t="s">
        <v>131</v>
      </c>
      <c r="F1079" t="s">
        <v>37</v>
      </c>
    </row>
    <row r="1080" spans="1:6" outlineLevel="3" x14ac:dyDescent="0.25">
      <c r="A1080" s="4" t="s">
        <v>421</v>
      </c>
      <c r="B1080" t="s">
        <v>422</v>
      </c>
      <c r="C1080" t="s">
        <v>3322</v>
      </c>
      <c r="D1080" t="s">
        <v>165</v>
      </c>
      <c r="E1080" t="s">
        <v>131</v>
      </c>
      <c r="F1080" t="s">
        <v>37</v>
      </c>
    </row>
    <row r="1081" spans="1:6" outlineLevel="3" x14ac:dyDescent="0.25">
      <c r="A1081" s="4" t="s">
        <v>421</v>
      </c>
      <c r="B1081" t="s">
        <v>422</v>
      </c>
      <c r="C1081" t="s">
        <v>3323</v>
      </c>
      <c r="D1081" t="s">
        <v>211</v>
      </c>
      <c r="E1081" t="s">
        <v>131</v>
      </c>
      <c r="F1081" t="s">
        <v>37</v>
      </c>
    </row>
    <row r="1082" spans="1:6" outlineLevel="3" x14ac:dyDescent="0.25">
      <c r="A1082" s="4" t="s">
        <v>421</v>
      </c>
      <c r="B1082" t="s">
        <v>422</v>
      </c>
      <c r="C1082" t="s">
        <v>1883</v>
      </c>
      <c r="D1082" t="s">
        <v>119</v>
      </c>
      <c r="E1082" t="s">
        <v>131</v>
      </c>
      <c r="F1082" t="s">
        <v>37</v>
      </c>
    </row>
    <row r="1083" spans="1:6" outlineLevel="3" x14ac:dyDescent="0.25">
      <c r="A1083" s="4" t="s">
        <v>421</v>
      </c>
      <c r="B1083" t="s">
        <v>422</v>
      </c>
      <c r="C1083" t="s">
        <v>3324</v>
      </c>
      <c r="D1083" t="s">
        <v>13</v>
      </c>
      <c r="E1083" t="s">
        <v>131</v>
      </c>
      <c r="F1083" t="s">
        <v>37</v>
      </c>
    </row>
    <row r="1084" spans="1:6" outlineLevel="3" x14ac:dyDescent="0.25">
      <c r="A1084" s="4" t="s">
        <v>421</v>
      </c>
      <c r="B1084" t="s">
        <v>422</v>
      </c>
      <c r="C1084" t="s">
        <v>3325</v>
      </c>
      <c r="D1084" t="s">
        <v>437</v>
      </c>
      <c r="E1084" t="s">
        <v>131</v>
      </c>
      <c r="F1084" t="s">
        <v>37</v>
      </c>
    </row>
    <row r="1085" spans="1:6" outlineLevel="3" x14ac:dyDescent="0.25">
      <c r="A1085" s="4" t="s">
        <v>421</v>
      </c>
      <c r="B1085" t="s">
        <v>422</v>
      </c>
      <c r="C1085" t="s">
        <v>3326</v>
      </c>
      <c r="D1085" t="s">
        <v>437</v>
      </c>
      <c r="E1085" t="s">
        <v>131</v>
      </c>
      <c r="F1085" t="s">
        <v>37</v>
      </c>
    </row>
    <row r="1086" spans="1:6" outlineLevel="3" x14ac:dyDescent="0.25">
      <c r="A1086" s="4" t="s">
        <v>421</v>
      </c>
      <c r="B1086" t="s">
        <v>422</v>
      </c>
      <c r="C1086" t="s">
        <v>3327</v>
      </c>
      <c r="D1086" t="s">
        <v>437</v>
      </c>
      <c r="E1086" t="s">
        <v>131</v>
      </c>
      <c r="F1086" t="s">
        <v>37</v>
      </c>
    </row>
    <row r="1087" spans="1:6" outlineLevel="3" x14ac:dyDescent="0.25">
      <c r="A1087" s="4" t="s">
        <v>421</v>
      </c>
      <c r="B1087" t="s">
        <v>422</v>
      </c>
      <c r="C1087" t="s">
        <v>3328</v>
      </c>
      <c r="D1087" t="s">
        <v>437</v>
      </c>
      <c r="E1087" t="s">
        <v>131</v>
      </c>
      <c r="F1087" t="s">
        <v>37</v>
      </c>
    </row>
    <row r="1088" spans="1:6" outlineLevel="3" x14ac:dyDescent="0.25">
      <c r="A1088" s="4" t="s">
        <v>421</v>
      </c>
      <c r="B1088" t="s">
        <v>422</v>
      </c>
      <c r="C1088" t="s">
        <v>3329</v>
      </c>
      <c r="D1088" t="s">
        <v>407</v>
      </c>
      <c r="E1088" t="s">
        <v>131</v>
      </c>
      <c r="F1088" t="s">
        <v>37</v>
      </c>
    </row>
    <row r="1089" spans="1:6" outlineLevel="3" x14ac:dyDescent="0.25">
      <c r="A1089" s="4" t="s">
        <v>421</v>
      </c>
      <c r="B1089" t="s">
        <v>422</v>
      </c>
      <c r="C1089" t="s">
        <v>3330</v>
      </c>
      <c r="D1089" t="s">
        <v>89</v>
      </c>
      <c r="E1089" t="s">
        <v>131</v>
      </c>
      <c r="F1089" t="s">
        <v>37</v>
      </c>
    </row>
    <row r="1090" spans="1:6" outlineLevel="3" x14ac:dyDescent="0.25">
      <c r="A1090" s="4" t="s">
        <v>421</v>
      </c>
      <c r="B1090" t="s">
        <v>422</v>
      </c>
      <c r="C1090" t="s">
        <v>1760</v>
      </c>
      <c r="D1090" t="s">
        <v>119</v>
      </c>
      <c r="E1090" t="s">
        <v>131</v>
      </c>
      <c r="F1090" t="s">
        <v>37</v>
      </c>
    </row>
    <row r="1091" spans="1:6" outlineLevel="3" x14ac:dyDescent="0.25">
      <c r="A1091" s="4" t="s">
        <v>421</v>
      </c>
      <c r="B1091" t="s">
        <v>422</v>
      </c>
      <c r="C1091" t="s">
        <v>3331</v>
      </c>
      <c r="D1091" t="s">
        <v>237</v>
      </c>
      <c r="E1091" t="s">
        <v>131</v>
      </c>
      <c r="F1091" t="s">
        <v>37</v>
      </c>
    </row>
    <row r="1092" spans="1:6" outlineLevel="3" x14ac:dyDescent="0.25">
      <c r="A1092" s="4" t="s">
        <v>421</v>
      </c>
      <c r="B1092" t="s">
        <v>422</v>
      </c>
      <c r="C1092" t="s">
        <v>3332</v>
      </c>
      <c r="D1092" t="s">
        <v>437</v>
      </c>
      <c r="E1092" t="s">
        <v>131</v>
      </c>
      <c r="F1092" t="s">
        <v>37</v>
      </c>
    </row>
    <row r="1093" spans="1:6" outlineLevel="3" x14ac:dyDescent="0.25">
      <c r="A1093" s="4" t="s">
        <v>421</v>
      </c>
      <c r="B1093" t="s">
        <v>422</v>
      </c>
      <c r="C1093" t="s">
        <v>3333</v>
      </c>
      <c r="D1093" t="s">
        <v>165</v>
      </c>
      <c r="E1093" t="s">
        <v>131</v>
      </c>
      <c r="F1093" t="s">
        <v>37</v>
      </c>
    </row>
    <row r="1094" spans="1:6" outlineLevel="3" x14ac:dyDescent="0.25">
      <c r="A1094" s="4" t="s">
        <v>421</v>
      </c>
      <c r="B1094" t="s">
        <v>422</v>
      </c>
      <c r="C1094" t="s">
        <v>3334</v>
      </c>
      <c r="D1094" t="s">
        <v>126</v>
      </c>
      <c r="E1094" t="s">
        <v>131</v>
      </c>
      <c r="F1094" t="s">
        <v>37</v>
      </c>
    </row>
    <row r="1095" spans="1:6" outlineLevel="3" x14ac:dyDescent="0.25">
      <c r="A1095" s="4" t="s">
        <v>421</v>
      </c>
      <c r="B1095" t="s">
        <v>422</v>
      </c>
      <c r="C1095" t="s">
        <v>3335</v>
      </c>
      <c r="D1095" t="s">
        <v>6</v>
      </c>
      <c r="E1095" t="s">
        <v>131</v>
      </c>
      <c r="F1095" t="s">
        <v>37</v>
      </c>
    </row>
    <row r="1096" spans="1:6" outlineLevel="3" x14ac:dyDescent="0.25">
      <c r="A1096" s="4" t="s">
        <v>421</v>
      </c>
      <c r="B1096" t="s">
        <v>422</v>
      </c>
      <c r="C1096" t="s">
        <v>3336</v>
      </c>
      <c r="D1096" t="s">
        <v>44</v>
      </c>
      <c r="E1096" t="s">
        <v>131</v>
      </c>
      <c r="F1096" t="s">
        <v>37</v>
      </c>
    </row>
    <row r="1097" spans="1:6" outlineLevel="3" x14ac:dyDescent="0.25">
      <c r="A1097" s="4" t="s">
        <v>421</v>
      </c>
      <c r="B1097" t="s">
        <v>422</v>
      </c>
      <c r="C1097" t="s">
        <v>3337</v>
      </c>
      <c r="D1097" t="s">
        <v>437</v>
      </c>
      <c r="E1097" t="s">
        <v>131</v>
      </c>
      <c r="F1097" t="s">
        <v>37</v>
      </c>
    </row>
    <row r="1098" spans="1:6" outlineLevel="3" x14ac:dyDescent="0.25">
      <c r="A1098" s="4" t="s">
        <v>421</v>
      </c>
      <c r="B1098" t="s">
        <v>422</v>
      </c>
      <c r="C1098" t="s">
        <v>3338</v>
      </c>
      <c r="D1098" t="s">
        <v>6</v>
      </c>
      <c r="E1098" t="s">
        <v>131</v>
      </c>
      <c r="F1098" t="s">
        <v>37</v>
      </c>
    </row>
    <row r="1099" spans="1:6" outlineLevel="3" x14ac:dyDescent="0.25">
      <c r="A1099" s="4" t="s">
        <v>421</v>
      </c>
      <c r="B1099" t="s">
        <v>422</v>
      </c>
      <c r="C1099" t="s">
        <v>3339</v>
      </c>
      <c r="D1099" t="s">
        <v>165</v>
      </c>
      <c r="E1099" t="s">
        <v>131</v>
      </c>
      <c r="F1099" t="s">
        <v>37</v>
      </c>
    </row>
    <row r="1100" spans="1:6" outlineLevel="3" x14ac:dyDescent="0.25">
      <c r="A1100" s="4" t="s">
        <v>421</v>
      </c>
      <c r="B1100" t="s">
        <v>422</v>
      </c>
      <c r="C1100" t="s">
        <v>1884</v>
      </c>
      <c r="D1100" t="s">
        <v>119</v>
      </c>
      <c r="E1100" t="s">
        <v>131</v>
      </c>
      <c r="F1100" t="s">
        <v>37</v>
      </c>
    </row>
    <row r="1101" spans="1:6" outlineLevel="3" x14ac:dyDescent="0.25">
      <c r="A1101" s="4" t="s">
        <v>421</v>
      </c>
      <c r="B1101" t="s">
        <v>422</v>
      </c>
      <c r="C1101" t="s">
        <v>3340</v>
      </c>
      <c r="D1101" t="s">
        <v>6</v>
      </c>
      <c r="E1101" t="s">
        <v>131</v>
      </c>
      <c r="F1101" t="s">
        <v>37</v>
      </c>
    </row>
    <row r="1102" spans="1:6" outlineLevel="3" x14ac:dyDescent="0.25">
      <c r="A1102" s="4" t="s">
        <v>421</v>
      </c>
      <c r="B1102" t="s">
        <v>422</v>
      </c>
      <c r="C1102" t="s">
        <v>3341</v>
      </c>
      <c r="D1102" t="s">
        <v>76</v>
      </c>
      <c r="E1102" t="s">
        <v>131</v>
      </c>
      <c r="F1102" t="s">
        <v>37</v>
      </c>
    </row>
    <row r="1103" spans="1:6" outlineLevel="3" x14ac:dyDescent="0.25">
      <c r="A1103" s="4" t="s">
        <v>421</v>
      </c>
      <c r="B1103" t="s">
        <v>422</v>
      </c>
      <c r="C1103" t="s">
        <v>3342</v>
      </c>
      <c r="D1103" t="s">
        <v>76</v>
      </c>
      <c r="E1103" t="s">
        <v>131</v>
      </c>
      <c r="F1103" t="s">
        <v>37</v>
      </c>
    </row>
    <row r="1104" spans="1:6" outlineLevel="3" x14ac:dyDescent="0.25">
      <c r="A1104" s="4" t="s">
        <v>421</v>
      </c>
      <c r="B1104" t="s">
        <v>422</v>
      </c>
      <c r="C1104" t="s">
        <v>3343</v>
      </c>
      <c r="D1104" t="s">
        <v>76</v>
      </c>
      <c r="E1104" t="s">
        <v>131</v>
      </c>
      <c r="F1104" t="s">
        <v>37</v>
      </c>
    </row>
    <row r="1105" spans="1:6" outlineLevel="3" x14ac:dyDescent="0.25">
      <c r="A1105" s="4" t="s">
        <v>421</v>
      </c>
      <c r="B1105" t="s">
        <v>422</v>
      </c>
      <c r="C1105" t="s">
        <v>3344</v>
      </c>
      <c r="D1105" t="s">
        <v>103</v>
      </c>
      <c r="E1105" t="s">
        <v>131</v>
      </c>
      <c r="F1105" t="s">
        <v>37</v>
      </c>
    </row>
    <row r="1106" spans="1:6" outlineLevel="3" x14ac:dyDescent="0.25">
      <c r="A1106" s="4" t="s">
        <v>421</v>
      </c>
      <c r="B1106" t="s">
        <v>422</v>
      </c>
      <c r="C1106" t="s">
        <v>3345</v>
      </c>
      <c r="D1106" t="s">
        <v>89</v>
      </c>
      <c r="E1106" t="s">
        <v>131</v>
      </c>
      <c r="F1106" t="s">
        <v>37</v>
      </c>
    </row>
    <row r="1107" spans="1:6" outlineLevel="3" x14ac:dyDescent="0.25">
      <c r="A1107" s="4" t="s">
        <v>421</v>
      </c>
      <c r="B1107" t="s">
        <v>422</v>
      </c>
      <c r="C1107" t="s">
        <v>3346</v>
      </c>
      <c r="D1107" t="s">
        <v>67</v>
      </c>
      <c r="E1107" t="s">
        <v>131</v>
      </c>
      <c r="F1107" t="s">
        <v>37</v>
      </c>
    </row>
    <row r="1108" spans="1:6" outlineLevel="3" x14ac:dyDescent="0.25">
      <c r="A1108" s="4" t="s">
        <v>421</v>
      </c>
      <c r="B1108" t="s">
        <v>422</v>
      </c>
      <c r="C1108" t="s">
        <v>3347</v>
      </c>
      <c r="D1108" t="s">
        <v>147</v>
      </c>
      <c r="E1108" t="s">
        <v>131</v>
      </c>
      <c r="F1108" t="s">
        <v>37</v>
      </c>
    </row>
    <row r="1109" spans="1:6" outlineLevel="3" x14ac:dyDescent="0.25">
      <c r="A1109" s="4" t="s">
        <v>421</v>
      </c>
      <c r="B1109" t="s">
        <v>422</v>
      </c>
      <c r="C1109" t="s">
        <v>3348</v>
      </c>
      <c r="D1109" t="s">
        <v>63</v>
      </c>
      <c r="E1109" t="s">
        <v>131</v>
      </c>
      <c r="F1109" t="s">
        <v>37</v>
      </c>
    </row>
    <row r="1110" spans="1:6" outlineLevel="3" x14ac:dyDescent="0.25">
      <c r="A1110" s="4" t="s">
        <v>421</v>
      </c>
      <c r="B1110" t="s">
        <v>422</v>
      </c>
      <c r="C1110" t="s">
        <v>3349</v>
      </c>
      <c r="D1110" t="s">
        <v>124</v>
      </c>
      <c r="E1110" t="s">
        <v>131</v>
      </c>
      <c r="F1110" t="s">
        <v>37</v>
      </c>
    </row>
    <row r="1111" spans="1:6" outlineLevel="3" x14ac:dyDescent="0.25">
      <c r="A1111" s="4" t="s">
        <v>421</v>
      </c>
      <c r="B1111" t="s">
        <v>422</v>
      </c>
      <c r="C1111" t="s">
        <v>3350</v>
      </c>
      <c r="D1111" t="s">
        <v>237</v>
      </c>
      <c r="E1111" t="s">
        <v>131</v>
      </c>
      <c r="F1111" t="s">
        <v>37</v>
      </c>
    </row>
    <row r="1112" spans="1:6" outlineLevel="3" x14ac:dyDescent="0.25">
      <c r="A1112" s="4" t="s">
        <v>421</v>
      </c>
      <c r="B1112" t="s">
        <v>422</v>
      </c>
      <c r="C1112" t="s">
        <v>3351</v>
      </c>
      <c r="D1112" t="s">
        <v>67</v>
      </c>
      <c r="E1112" t="s">
        <v>131</v>
      </c>
      <c r="F1112" t="s">
        <v>37</v>
      </c>
    </row>
    <row r="1113" spans="1:6" outlineLevel="3" x14ac:dyDescent="0.25">
      <c r="A1113" s="4" t="s">
        <v>421</v>
      </c>
      <c r="B1113" t="s">
        <v>422</v>
      </c>
      <c r="C1113" t="s">
        <v>3352</v>
      </c>
      <c r="D1113" t="s">
        <v>435</v>
      </c>
      <c r="E1113" t="s">
        <v>131</v>
      </c>
      <c r="F1113" t="s">
        <v>37</v>
      </c>
    </row>
    <row r="1114" spans="1:6" outlineLevel="3" x14ac:dyDescent="0.25">
      <c r="A1114" s="4" t="s">
        <v>421</v>
      </c>
      <c r="B1114" t="s">
        <v>422</v>
      </c>
      <c r="C1114" t="s">
        <v>3353</v>
      </c>
      <c r="D1114" t="s">
        <v>435</v>
      </c>
      <c r="E1114" t="s">
        <v>131</v>
      </c>
      <c r="F1114" t="s">
        <v>37</v>
      </c>
    </row>
    <row r="1115" spans="1:6" outlineLevel="3" x14ac:dyDescent="0.25">
      <c r="A1115" s="4" t="s">
        <v>421</v>
      </c>
      <c r="B1115" t="s">
        <v>422</v>
      </c>
      <c r="C1115" t="s">
        <v>1761</v>
      </c>
      <c r="D1115" t="s">
        <v>119</v>
      </c>
      <c r="E1115" t="s">
        <v>131</v>
      </c>
      <c r="F1115" t="s">
        <v>37</v>
      </c>
    </row>
    <row r="1116" spans="1:6" outlineLevel="3" x14ac:dyDescent="0.25">
      <c r="A1116" s="4" t="s">
        <v>421</v>
      </c>
      <c r="B1116" t="s">
        <v>422</v>
      </c>
      <c r="C1116" t="s">
        <v>3354</v>
      </c>
      <c r="D1116" t="s">
        <v>437</v>
      </c>
      <c r="E1116" t="s">
        <v>131</v>
      </c>
      <c r="F1116" t="s">
        <v>37</v>
      </c>
    </row>
    <row r="1117" spans="1:6" outlineLevel="3" x14ac:dyDescent="0.25">
      <c r="A1117" s="4" t="s">
        <v>421</v>
      </c>
      <c r="B1117" t="s">
        <v>422</v>
      </c>
      <c r="C1117" t="s">
        <v>3355</v>
      </c>
      <c r="D1117" t="s">
        <v>6</v>
      </c>
      <c r="E1117" t="s">
        <v>131</v>
      </c>
      <c r="F1117" t="s">
        <v>37</v>
      </c>
    </row>
    <row r="1118" spans="1:6" outlineLevel="3" x14ac:dyDescent="0.25">
      <c r="A1118" s="4" t="s">
        <v>421</v>
      </c>
      <c r="B1118" t="s">
        <v>422</v>
      </c>
      <c r="C1118" t="s">
        <v>3356</v>
      </c>
      <c r="D1118" t="s">
        <v>6</v>
      </c>
      <c r="E1118" t="s">
        <v>131</v>
      </c>
      <c r="F1118" t="s">
        <v>37</v>
      </c>
    </row>
    <row r="1119" spans="1:6" outlineLevel="3" x14ac:dyDescent="0.25">
      <c r="A1119" s="4" t="s">
        <v>421</v>
      </c>
      <c r="B1119" t="s">
        <v>422</v>
      </c>
      <c r="C1119" t="s">
        <v>3357</v>
      </c>
      <c r="D1119" t="s">
        <v>76</v>
      </c>
      <c r="E1119" t="s">
        <v>131</v>
      </c>
      <c r="F1119" t="s">
        <v>37</v>
      </c>
    </row>
    <row r="1120" spans="1:6" outlineLevel="3" x14ac:dyDescent="0.25">
      <c r="A1120" s="4" t="s">
        <v>421</v>
      </c>
      <c r="B1120" t="s">
        <v>422</v>
      </c>
      <c r="C1120" t="s">
        <v>1885</v>
      </c>
      <c r="D1120" t="s">
        <v>119</v>
      </c>
      <c r="E1120" t="s">
        <v>131</v>
      </c>
      <c r="F1120" t="s">
        <v>37</v>
      </c>
    </row>
    <row r="1121" spans="1:6" outlineLevel="3" x14ac:dyDescent="0.25">
      <c r="A1121" s="4" t="s">
        <v>421</v>
      </c>
      <c r="B1121" t="s">
        <v>422</v>
      </c>
      <c r="C1121" t="s">
        <v>3358</v>
      </c>
      <c r="D1121" t="s">
        <v>124</v>
      </c>
      <c r="E1121" t="s">
        <v>131</v>
      </c>
      <c r="F1121" t="s">
        <v>37</v>
      </c>
    </row>
    <row r="1122" spans="1:6" outlineLevel="3" x14ac:dyDescent="0.25">
      <c r="A1122" s="4" t="s">
        <v>421</v>
      </c>
      <c r="B1122" t="s">
        <v>422</v>
      </c>
      <c r="C1122" t="s">
        <v>3359</v>
      </c>
      <c r="D1122" t="s">
        <v>44</v>
      </c>
      <c r="E1122" t="s">
        <v>131</v>
      </c>
      <c r="F1122" t="s">
        <v>37</v>
      </c>
    </row>
    <row r="1123" spans="1:6" outlineLevel="3" x14ac:dyDescent="0.25">
      <c r="A1123" s="4" t="s">
        <v>421</v>
      </c>
      <c r="B1123" t="s">
        <v>422</v>
      </c>
      <c r="C1123" t="s">
        <v>3360</v>
      </c>
      <c r="D1123" t="s">
        <v>76</v>
      </c>
      <c r="E1123" t="s">
        <v>131</v>
      </c>
      <c r="F1123" t="s">
        <v>37</v>
      </c>
    </row>
    <row r="1124" spans="1:6" outlineLevel="3" x14ac:dyDescent="0.25">
      <c r="A1124" s="4" t="s">
        <v>421</v>
      </c>
      <c r="B1124" t="s">
        <v>422</v>
      </c>
      <c r="C1124" t="s">
        <v>3361</v>
      </c>
      <c r="D1124" t="s">
        <v>6</v>
      </c>
      <c r="E1124" t="s">
        <v>131</v>
      </c>
      <c r="F1124" t="s">
        <v>37</v>
      </c>
    </row>
    <row r="1125" spans="1:6" outlineLevel="3" x14ac:dyDescent="0.25">
      <c r="A1125" s="4" t="s">
        <v>421</v>
      </c>
      <c r="B1125" t="s">
        <v>422</v>
      </c>
      <c r="C1125" t="s">
        <v>1886</v>
      </c>
      <c r="D1125" t="s">
        <v>202</v>
      </c>
      <c r="E1125" t="s">
        <v>131</v>
      </c>
      <c r="F1125" t="s">
        <v>37</v>
      </c>
    </row>
    <row r="1126" spans="1:6" outlineLevel="3" x14ac:dyDescent="0.25">
      <c r="A1126" s="4" t="s">
        <v>421</v>
      </c>
      <c r="B1126" t="s">
        <v>422</v>
      </c>
      <c r="C1126" t="s">
        <v>3362</v>
      </c>
      <c r="D1126" t="s">
        <v>202</v>
      </c>
      <c r="E1126" t="s">
        <v>131</v>
      </c>
      <c r="F1126" t="s">
        <v>37</v>
      </c>
    </row>
    <row r="1127" spans="1:6" outlineLevel="3" x14ac:dyDescent="0.25">
      <c r="A1127" s="4" t="s">
        <v>421</v>
      </c>
      <c r="B1127" t="s">
        <v>422</v>
      </c>
      <c r="C1127" t="s">
        <v>3363</v>
      </c>
      <c r="D1127" t="s">
        <v>165</v>
      </c>
      <c r="E1127" t="s">
        <v>131</v>
      </c>
      <c r="F1127" t="s">
        <v>37</v>
      </c>
    </row>
    <row r="1128" spans="1:6" outlineLevel="3" x14ac:dyDescent="0.25">
      <c r="A1128" s="4" t="s">
        <v>421</v>
      </c>
      <c r="B1128" t="s">
        <v>422</v>
      </c>
      <c r="C1128" t="s">
        <v>3364</v>
      </c>
      <c r="D1128" t="s">
        <v>6</v>
      </c>
      <c r="E1128" t="s">
        <v>131</v>
      </c>
      <c r="F1128" t="s">
        <v>37</v>
      </c>
    </row>
    <row r="1129" spans="1:6" outlineLevel="3" x14ac:dyDescent="0.25">
      <c r="A1129" s="4" t="s">
        <v>421</v>
      </c>
      <c r="B1129" t="s">
        <v>422</v>
      </c>
      <c r="C1129" t="s">
        <v>3365</v>
      </c>
      <c r="D1129" t="s">
        <v>165</v>
      </c>
      <c r="E1129" t="s">
        <v>131</v>
      </c>
      <c r="F1129" t="s">
        <v>37</v>
      </c>
    </row>
    <row r="1130" spans="1:6" outlineLevel="3" x14ac:dyDescent="0.25">
      <c r="A1130" s="4" t="s">
        <v>421</v>
      </c>
      <c r="B1130" t="s">
        <v>422</v>
      </c>
      <c r="C1130" t="s">
        <v>3366</v>
      </c>
      <c r="D1130" t="s">
        <v>76</v>
      </c>
      <c r="E1130" t="s">
        <v>131</v>
      </c>
      <c r="F1130" t="s">
        <v>37</v>
      </c>
    </row>
    <row r="1131" spans="1:6" outlineLevel="3" x14ac:dyDescent="0.25">
      <c r="A1131" s="4" t="s">
        <v>421</v>
      </c>
      <c r="B1131" t="s">
        <v>422</v>
      </c>
      <c r="C1131" t="s">
        <v>3367</v>
      </c>
      <c r="D1131" t="s">
        <v>65</v>
      </c>
      <c r="E1131" t="s">
        <v>131</v>
      </c>
      <c r="F1131" t="s">
        <v>37</v>
      </c>
    </row>
    <row r="1132" spans="1:6" outlineLevel="3" x14ac:dyDescent="0.25">
      <c r="A1132" s="4" t="s">
        <v>421</v>
      </c>
      <c r="B1132" t="s">
        <v>422</v>
      </c>
      <c r="C1132" t="s">
        <v>3368</v>
      </c>
      <c r="D1132" t="s">
        <v>76</v>
      </c>
      <c r="E1132" t="s">
        <v>131</v>
      </c>
      <c r="F1132" t="s">
        <v>37</v>
      </c>
    </row>
    <row r="1133" spans="1:6" outlineLevel="3" x14ac:dyDescent="0.25">
      <c r="A1133" s="4" t="s">
        <v>421</v>
      </c>
      <c r="B1133" t="s">
        <v>422</v>
      </c>
      <c r="C1133" t="s">
        <v>1887</v>
      </c>
      <c r="D1133" t="s">
        <v>437</v>
      </c>
      <c r="E1133" t="s">
        <v>131</v>
      </c>
      <c r="F1133" t="s">
        <v>37</v>
      </c>
    </row>
    <row r="1134" spans="1:6" outlineLevel="3" x14ac:dyDescent="0.25">
      <c r="A1134" s="4" t="s">
        <v>421</v>
      </c>
      <c r="B1134" t="s">
        <v>422</v>
      </c>
      <c r="C1134" t="s">
        <v>3369</v>
      </c>
      <c r="D1134" t="s">
        <v>126</v>
      </c>
      <c r="E1134" t="s">
        <v>131</v>
      </c>
      <c r="F1134" t="s">
        <v>37</v>
      </c>
    </row>
    <row r="1135" spans="1:6" outlineLevel="3" x14ac:dyDescent="0.25">
      <c r="A1135" s="4" t="s">
        <v>421</v>
      </c>
      <c r="B1135" t="s">
        <v>422</v>
      </c>
      <c r="C1135" t="s">
        <v>1888</v>
      </c>
      <c r="D1135" t="s">
        <v>126</v>
      </c>
      <c r="E1135" t="s">
        <v>131</v>
      </c>
      <c r="F1135" t="s">
        <v>37</v>
      </c>
    </row>
    <row r="1136" spans="1:6" outlineLevel="3" x14ac:dyDescent="0.25">
      <c r="A1136" s="4" t="s">
        <v>421</v>
      </c>
      <c r="B1136" t="s">
        <v>422</v>
      </c>
      <c r="C1136" t="s">
        <v>3370</v>
      </c>
      <c r="D1136" t="s">
        <v>126</v>
      </c>
      <c r="E1136" t="s">
        <v>131</v>
      </c>
      <c r="F1136" t="s">
        <v>37</v>
      </c>
    </row>
    <row r="1137" spans="1:6" outlineLevel="3" x14ac:dyDescent="0.25">
      <c r="A1137" s="4" t="s">
        <v>421</v>
      </c>
      <c r="B1137" t="s">
        <v>422</v>
      </c>
      <c r="C1137" t="s">
        <v>3371</v>
      </c>
      <c r="D1137" t="s">
        <v>202</v>
      </c>
      <c r="E1137" t="s">
        <v>131</v>
      </c>
      <c r="F1137" t="s">
        <v>37</v>
      </c>
    </row>
    <row r="1138" spans="1:6" outlineLevel="3" x14ac:dyDescent="0.25">
      <c r="A1138" s="4" t="s">
        <v>421</v>
      </c>
      <c r="B1138" t="s">
        <v>422</v>
      </c>
      <c r="C1138" t="s">
        <v>3372</v>
      </c>
      <c r="D1138" t="s">
        <v>147</v>
      </c>
      <c r="E1138" t="s">
        <v>131</v>
      </c>
      <c r="F1138" t="s">
        <v>37</v>
      </c>
    </row>
    <row r="1139" spans="1:6" outlineLevel="3" x14ac:dyDescent="0.25">
      <c r="A1139" s="4" t="s">
        <v>421</v>
      </c>
      <c r="B1139" t="s">
        <v>422</v>
      </c>
      <c r="C1139" t="s">
        <v>3373</v>
      </c>
      <c r="D1139" t="s">
        <v>437</v>
      </c>
      <c r="E1139" t="s">
        <v>131</v>
      </c>
      <c r="F1139" t="s">
        <v>37</v>
      </c>
    </row>
    <row r="1140" spans="1:6" outlineLevel="3" x14ac:dyDescent="0.25">
      <c r="A1140" s="4" t="s">
        <v>421</v>
      </c>
      <c r="B1140" t="s">
        <v>422</v>
      </c>
      <c r="C1140" t="s">
        <v>3374</v>
      </c>
      <c r="D1140" t="s">
        <v>165</v>
      </c>
      <c r="E1140" t="s">
        <v>131</v>
      </c>
      <c r="F1140" t="s">
        <v>37</v>
      </c>
    </row>
    <row r="1141" spans="1:6" outlineLevel="3" x14ac:dyDescent="0.25">
      <c r="A1141" s="4" t="s">
        <v>421</v>
      </c>
      <c r="B1141" t="s">
        <v>422</v>
      </c>
      <c r="C1141" t="s">
        <v>1889</v>
      </c>
      <c r="D1141" t="s">
        <v>119</v>
      </c>
      <c r="E1141" t="s">
        <v>131</v>
      </c>
      <c r="F1141" t="s">
        <v>37</v>
      </c>
    </row>
    <row r="1142" spans="1:6" outlineLevel="3" x14ac:dyDescent="0.25">
      <c r="A1142" s="4" t="s">
        <v>421</v>
      </c>
      <c r="B1142" t="s">
        <v>422</v>
      </c>
      <c r="C1142" t="s">
        <v>3375</v>
      </c>
      <c r="D1142" t="s">
        <v>6</v>
      </c>
      <c r="E1142" t="s">
        <v>131</v>
      </c>
      <c r="F1142" t="s">
        <v>37</v>
      </c>
    </row>
    <row r="1143" spans="1:6" outlineLevel="3" x14ac:dyDescent="0.25">
      <c r="A1143" s="4" t="s">
        <v>421</v>
      </c>
      <c r="B1143" t="s">
        <v>422</v>
      </c>
      <c r="C1143" t="s">
        <v>3376</v>
      </c>
      <c r="D1143" t="s">
        <v>237</v>
      </c>
      <c r="E1143" t="s">
        <v>131</v>
      </c>
      <c r="F1143" t="s">
        <v>37</v>
      </c>
    </row>
    <row r="1144" spans="1:6" outlineLevel="3" x14ac:dyDescent="0.25">
      <c r="A1144" s="4" t="s">
        <v>421</v>
      </c>
      <c r="B1144" t="s">
        <v>422</v>
      </c>
      <c r="C1144" t="s">
        <v>3377</v>
      </c>
      <c r="D1144" t="s">
        <v>6</v>
      </c>
      <c r="E1144" t="s">
        <v>131</v>
      </c>
      <c r="F1144" t="s">
        <v>37</v>
      </c>
    </row>
    <row r="1145" spans="1:6" outlineLevel="3" x14ac:dyDescent="0.25">
      <c r="A1145" s="4" t="s">
        <v>421</v>
      </c>
      <c r="B1145" t="s">
        <v>422</v>
      </c>
      <c r="C1145" t="s">
        <v>3378</v>
      </c>
      <c r="D1145" t="s">
        <v>165</v>
      </c>
      <c r="E1145" t="s">
        <v>131</v>
      </c>
      <c r="F1145" t="s">
        <v>37</v>
      </c>
    </row>
    <row r="1146" spans="1:6" outlineLevel="3" x14ac:dyDescent="0.25">
      <c r="A1146" s="4" t="s">
        <v>421</v>
      </c>
      <c r="B1146" t="s">
        <v>422</v>
      </c>
      <c r="C1146" t="s">
        <v>3379</v>
      </c>
      <c r="D1146" t="s">
        <v>89</v>
      </c>
      <c r="E1146" t="s">
        <v>131</v>
      </c>
      <c r="F1146" t="s">
        <v>37</v>
      </c>
    </row>
    <row r="1147" spans="1:6" outlineLevel="3" x14ac:dyDescent="0.25">
      <c r="A1147" s="4" t="s">
        <v>421</v>
      </c>
      <c r="B1147" t="s">
        <v>422</v>
      </c>
      <c r="C1147" t="s">
        <v>3380</v>
      </c>
      <c r="D1147" t="s">
        <v>124</v>
      </c>
      <c r="E1147" t="s">
        <v>131</v>
      </c>
      <c r="F1147" t="s">
        <v>37</v>
      </c>
    </row>
    <row r="1148" spans="1:6" outlineLevel="3" x14ac:dyDescent="0.25">
      <c r="A1148" s="4" t="s">
        <v>421</v>
      </c>
      <c r="B1148" t="s">
        <v>422</v>
      </c>
      <c r="C1148" t="s">
        <v>3381</v>
      </c>
      <c r="D1148" t="s">
        <v>6</v>
      </c>
      <c r="E1148" t="s">
        <v>131</v>
      </c>
      <c r="F1148" t="s">
        <v>37</v>
      </c>
    </row>
    <row r="1149" spans="1:6" outlineLevel="3" x14ac:dyDescent="0.25">
      <c r="A1149" s="4" t="s">
        <v>421</v>
      </c>
      <c r="B1149" t="s">
        <v>422</v>
      </c>
      <c r="C1149" t="s">
        <v>3382</v>
      </c>
      <c r="D1149" t="s">
        <v>6</v>
      </c>
      <c r="E1149" t="s">
        <v>131</v>
      </c>
      <c r="F1149" t="s">
        <v>37</v>
      </c>
    </row>
    <row r="1150" spans="1:6" outlineLevel="3" x14ac:dyDescent="0.25">
      <c r="A1150" s="4" t="s">
        <v>421</v>
      </c>
      <c r="B1150" t="s">
        <v>422</v>
      </c>
      <c r="C1150" t="s">
        <v>1890</v>
      </c>
      <c r="D1150" t="s">
        <v>202</v>
      </c>
      <c r="E1150" t="s">
        <v>131</v>
      </c>
      <c r="F1150" t="s">
        <v>37</v>
      </c>
    </row>
    <row r="1151" spans="1:6" outlineLevel="3" x14ac:dyDescent="0.25">
      <c r="A1151" s="4" t="s">
        <v>421</v>
      </c>
      <c r="B1151" t="s">
        <v>422</v>
      </c>
      <c r="C1151" t="s">
        <v>3383</v>
      </c>
      <c r="D1151" t="s">
        <v>202</v>
      </c>
      <c r="E1151" t="s">
        <v>131</v>
      </c>
      <c r="F1151" t="s">
        <v>37</v>
      </c>
    </row>
    <row r="1152" spans="1:6" outlineLevel="3" x14ac:dyDescent="0.25">
      <c r="A1152" s="4" t="s">
        <v>421</v>
      </c>
      <c r="B1152" t="s">
        <v>422</v>
      </c>
      <c r="C1152" t="s">
        <v>3384</v>
      </c>
      <c r="D1152" t="s">
        <v>6</v>
      </c>
      <c r="E1152" t="s">
        <v>131</v>
      </c>
      <c r="F1152" t="s">
        <v>37</v>
      </c>
    </row>
    <row r="1153" spans="1:6" outlineLevel="3" x14ac:dyDescent="0.25">
      <c r="A1153" s="4" t="s">
        <v>421</v>
      </c>
      <c r="B1153" t="s">
        <v>422</v>
      </c>
      <c r="C1153" t="s">
        <v>3385</v>
      </c>
      <c r="D1153" t="s">
        <v>141</v>
      </c>
      <c r="E1153" t="s">
        <v>131</v>
      </c>
      <c r="F1153" t="s">
        <v>37</v>
      </c>
    </row>
    <row r="1154" spans="1:6" outlineLevel="3" x14ac:dyDescent="0.25">
      <c r="A1154" s="4" t="s">
        <v>421</v>
      </c>
      <c r="B1154" t="s">
        <v>422</v>
      </c>
      <c r="C1154" t="s">
        <v>3386</v>
      </c>
      <c r="D1154" t="s">
        <v>190</v>
      </c>
      <c r="E1154" t="s">
        <v>131</v>
      </c>
      <c r="F1154" t="s">
        <v>37</v>
      </c>
    </row>
    <row r="1155" spans="1:6" outlineLevel="3" x14ac:dyDescent="0.25">
      <c r="A1155" s="4" t="s">
        <v>421</v>
      </c>
      <c r="B1155" t="s">
        <v>422</v>
      </c>
      <c r="C1155" t="s">
        <v>3387</v>
      </c>
      <c r="D1155" t="s">
        <v>143</v>
      </c>
      <c r="E1155" t="s">
        <v>131</v>
      </c>
      <c r="F1155" t="s">
        <v>37</v>
      </c>
    </row>
    <row r="1156" spans="1:6" outlineLevel="3" x14ac:dyDescent="0.25">
      <c r="A1156" s="4" t="s">
        <v>421</v>
      </c>
      <c r="B1156" t="s">
        <v>422</v>
      </c>
      <c r="C1156" t="s">
        <v>3388</v>
      </c>
      <c r="D1156" t="s">
        <v>76</v>
      </c>
      <c r="E1156" t="s">
        <v>131</v>
      </c>
      <c r="F1156" t="s">
        <v>37</v>
      </c>
    </row>
    <row r="1157" spans="1:6" outlineLevel="3" x14ac:dyDescent="0.25">
      <c r="A1157" s="4" t="s">
        <v>421</v>
      </c>
      <c r="B1157" t="s">
        <v>422</v>
      </c>
      <c r="C1157" t="s">
        <v>3389</v>
      </c>
      <c r="D1157" t="s">
        <v>1074</v>
      </c>
      <c r="E1157" t="s">
        <v>131</v>
      </c>
      <c r="F1157" t="s">
        <v>37</v>
      </c>
    </row>
    <row r="1158" spans="1:6" outlineLevel="3" x14ac:dyDescent="0.25">
      <c r="A1158" s="4" t="s">
        <v>421</v>
      </c>
      <c r="B1158" t="s">
        <v>422</v>
      </c>
      <c r="C1158" t="s">
        <v>3390</v>
      </c>
      <c r="D1158" t="s">
        <v>6</v>
      </c>
      <c r="E1158" t="s">
        <v>131</v>
      </c>
      <c r="F1158" t="s">
        <v>37</v>
      </c>
    </row>
    <row r="1159" spans="1:6" outlineLevel="3" x14ac:dyDescent="0.25">
      <c r="A1159" s="4" t="s">
        <v>421</v>
      </c>
      <c r="B1159" t="s">
        <v>422</v>
      </c>
      <c r="C1159" t="s">
        <v>3391</v>
      </c>
      <c r="D1159" t="s">
        <v>6</v>
      </c>
      <c r="E1159" t="s">
        <v>131</v>
      </c>
      <c r="F1159" t="s">
        <v>37</v>
      </c>
    </row>
    <row r="1160" spans="1:6" outlineLevel="3" x14ac:dyDescent="0.25">
      <c r="A1160" s="4" t="s">
        <v>421</v>
      </c>
      <c r="B1160" t="s">
        <v>422</v>
      </c>
      <c r="C1160" t="s">
        <v>3392</v>
      </c>
      <c r="D1160" t="s">
        <v>13</v>
      </c>
      <c r="E1160" t="s">
        <v>131</v>
      </c>
      <c r="F1160" t="s">
        <v>37</v>
      </c>
    </row>
    <row r="1161" spans="1:6" outlineLevel="3" x14ac:dyDescent="0.25">
      <c r="A1161" s="4" t="s">
        <v>421</v>
      </c>
      <c r="B1161" t="s">
        <v>422</v>
      </c>
      <c r="C1161" t="s">
        <v>3393</v>
      </c>
      <c r="D1161" t="s">
        <v>202</v>
      </c>
      <c r="E1161" t="s">
        <v>131</v>
      </c>
      <c r="F1161" t="s">
        <v>37</v>
      </c>
    </row>
    <row r="1162" spans="1:6" outlineLevel="3" x14ac:dyDescent="0.25">
      <c r="A1162" s="4" t="s">
        <v>421</v>
      </c>
      <c r="B1162" t="s">
        <v>422</v>
      </c>
      <c r="C1162" t="s">
        <v>1891</v>
      </c>
      <c r="D1162" t="s">
        <v>119</v>
      </c>
      <c r="E1162" t="s">
        <v>131</v>
      </c>
      <c r="F1162" t="s">
        <v>37</v>
      </c>
    </row>
    <row r="1163" spans="1:6" outlineLevel="3" x14ac:dyDescent="0.25">
      <c r="A1163" s="4" t="s">
        <v>421</v>
      </c>
      <c r="B1163" t="s">
        <v>422</v>
      </c>
      <c r="C1163" t="s">
        <v>1892</v>
      </c>
      <c r="D1163" t="s">
        <v>119</v>
      </c>
      <c r="E1163" t="s">
        <v>131</v>
      </c>
      <c r="F1163" t="s">
        <v>37</v>
      </c>
    </row>
    <row r="1164" spans="1:6" outlineLevel="3" x14ac:dyDescent="0.25">
      <c r="A1164" s="4" t="s">
        <v>421</v>
      </c>
      <c r="B1164" t="s">
        <v>422</v>
      </c>
      <c r="C1164" t="s">
        <v>1893</v>
      </c>
      <c r="D1164" t="s">
        <v>437</v>
      </c>
      <c r="E1164" t="s">
        <v>131</v>
      </c>
      <c r="F1164" t="s">
        <v>37</v>
      </c>
    </row>
    <row r="1165" spans="1:6" outlineLevel="3" x14ac:dyDescent="0.25">
      <c r="A1165" s="4" t="s">
        <v>421</v>
      </c>
      <c r="B1165" t="s">
        <v>422</v>
      </c>
      <c r="C1165" t="s">
        <v>3394</v>
      </c>
      <c r="D1165" t="s">
        <v>126</v>
      </c>
      <c r="E1165" t="s">
        <v>131</v>
      </c>
      <c r="F1165" t="s">
        <v>37</v>
      </c>
    </row>
    <row r="1166" spans="1:6" outlineLevel="3" x14ac:dyDescent="0.25">
      <c r="A1166" s="4" t="s">
        <v>421</v>
      </c>
      <c r="B1166" t="s">
        <v>422</v>
      </c>
      <c r="C1166" t="s">
        <v>3395</v>
      </c>
      <c r="D1166" t="s">
        <v>13</v>
      </c>
      <c r="E1166" t="s">
        <v>131</v>
      </c>
      <c r="F1166" t="s">
        <v>37</v>
      </c>
    </row>
    <row r="1167" spans="1:6" outlineLevel="3" x14ac:dyDescent="0.25">
      <c r="A1167" s="4" t="s">
        <v>421</v>
      </c>
      <c r="B1167" t="s">
        <v>422</v>
      </c>
      <c r="C1167" t="s">
        <v>1894</v>
      </c>
      <c r="D1167" t="s">
        <v>119</v>
      </c>
      <c r="E1167" t="s">
        <v>131</v>
      </c>
      <c r="F1167" t="s">
        <v>37</v>
      </c>
    </row>
    <row r="1168" spans="1:6" outlineLevel="3" x14ac:dyDescent="0.25">
      <c r="A1168" s="4" t="s">
        <v>421</v>
      </c>
      <c r="B1168" t="s">
        <v>422</v>
      </c>
      <c r="C1168" t="s">
        <v>3396</v>
      </c>
      <c r="D1168" t="s">
        <v>1270</v>
      </c>
      <c r="E1168" t="s">
        <v>131</v>
      </c>
      <c r="F1168" t="s">
        <v>37</v>
      </c>
    </row>
    <row r="1169" spans="1:6" outlineLevel="3" x14ac:dyDescent="0.25">
      <c r="A1169" s="4" t="s">
        <v>421</v>
      </c>
      <c r="B1169" t="s">
        <v>422</v>
      </c>
      <c r="C1169" t="s">
        <v>3397</v>
      </c>
      <c r="D1169" t="s">
        <v>437</v>
      </c>
      <c r="E1169" t="s">
        <v>131</v>
      </c>
      <c r="F1169" t="s">
        <v>37</v>
      </c>
    </row>
    <row r="1170" spans="1:6" outlineLevel="3" x14ac:dyDescent="0.25">
      <c r="A1170" s="4" t="s">
        <v>421</v>
      </c>
      <c r="B1170" t="s">
        <v>422</v>
      </c>
      <c r="C1170" t="s">
        <v>3398</v>
      </c>
      <c r="D1170" t="s">
        <v>165</v>
      </c>
      <c r="E1170" t="s">
        <v>131</v>
      </c>
      <c r="F1170" t="s">
        <v>37</v>
      </c>
    </row>
    <row r="1171" spans="1:6" outlineLevel="3" x14ac:dyDescent="0.25">
      <c r="A1171" s="4" t="s">
        <v>421</v>
      </c>
      <c r="B1171" t="s">
        <v>422</v>
      </c>
      <c r="C1171" t="s">
        <v>3399</v>
      </c>
      <c r="D1171" t="s">
        <v>202</v>
      </c>
      <c r="E1171" t="s">
        <v>131</v>
      </c>
      <c r="F1171" t="s">
        <v>37</v>
      </c>
    </row>
    <row r="1172" spans="1:6" outlineLevel="3" x14ac:dyDescent="0.25">
      <c r="A1172" s="4" t="s">
        <v>421</v>
      </c>
      <c r="B1172" t="s">
        <v>422</v>
      </c>
      <c r="C1172" t="s">
        <v>3400</v>
      </c>
      <c r="D1172" t="s">
        <v>165</v>
      </c>
      <c r="E1172" t="s">
        <v>131</v>
      </c>
      <c r="F1172" t="s">
        <v>37</v>
      </c>
    </row>
    <row r="1173" spans="1:6" outlineLevel="3" x14ac:dyDescent="0.25">
      <c r="A1173" s="4" t="s">
        <v>421</v>
      </c>
      <c r="B1173" t="s">
        <v>422</v>
      </c>
      <c r="C1173" t="s">
        <v>3401</v>
      </c>
      <c r="D1173" t="s">
        <v>437</v>
      </c>
      <c r="E1173" t="s">
        <v>131</v>
      </c>
      <c r="F1173" t="s">
        <v>37</v>
      </c>
    </row>
    <row r="1174" spans="1:6" outlineLevel="3" x14ac:dyDescent="0.25">
      <c r="A1174" s="4" t="s">
        <v>421</v>
      </c>
      <c r="B1174" t="s">
        <v>422</v>
      </c>
      <c r="C1174" t="s">
        <v>3402</v>
      </c>
      <c r="D1174" t="s">
        <v>165</v>
      </c>
      <c r="E1174" t="s">
        <v>131</v>
      </c>
      <c r="F1174" t="s">
        <v>37</v>
      </c>
    </row>
    <row r="1175" spans="1:6" outlineLevel="3" x14ac:dyDescent="0.25">
      <c r="A1175" s="4" t="s">
        <v>421</v>
      </c>
      <c r="B1175" t="s">
        <v>422</v>
      </c>
      <c r="C1175" t="s">
        <v>3403</v>
      </c>
      <c r="D1175" t="s">
        <v>165</v>
      </c>
      <c r="E1175" t="s">
        <v>131</v>
      </c>
      <c r="F1175" t="s">
        <v>37</v>
      </c>
    </row>
    <row r="1176" spans="1:6" outlineLevel="3" x14ac:dyDescent="0.25">
      <c r="A1176" s="4" t="s">
        <v>421</v>
      </c>
      <c r="B1176" t="s">
        <v>422</v>
      </c>
      <c r="C1176" t="s">
        <v>3404</v>
      </c>
      <c r="D1176" t="s">
        <v>202</v>
      </c>
      <c r="E1176" t="s">
        <v>131</v>
      </c>
      <c r="F1176" t="s">
        <v>37</v>
      </c>
    </row>
    <row r="1177" spans="1:6" outlineLevel="3" x14ac:dyDescent="0.25">
      <c r="A1177" s="4" t="s">
        <v>421</v>
      </c>
      <c r="B1177" t="s">
        <v>422</v>
      </c>
      <c r="C1177" t="s">
        <v>3405</v>
      </c>
      <c r="D1177" t="s">
        <v>165</v>
      </c>
      <c r="E1177" t="s">
        <v>131</v>
      </c>
      <c r="F1177" t="s">
        <v>37</v>
      </c>
    </row>
    <row r="1178" spans="1:6" outlineLevel="3" x14ac:dyDescent="0.25">
      <c r="A1178" s="4" t="s">
        <v>421</v>
      </c>
      <c r="B1178" t="s">
        <v>422</v>
      </c>
      <c r="C1178" t="s">
        <v>3406</v>
      </c>
      <c r="D1178" t="s">
        <v>165</v>
      </c>
      <c r="E1178" t="s">
        <v>131</v>
      </c>
      <c r="F1178" t="s">
        <v>37</v>
      </c>
    </row>
    <row r="1179" spans="1:6" outlineLevel="3" x14ac:dyDescent="0.25">
      <c r="A1179" s="4" t="s">
        <v>421</v>
      </c>
      <c r="B1179" t="s">
        <v>422</v>
      </c>
      <c r="C1179" t="s">
        <v>3407</v>
      </c>
      <c r="D1179" t="s">
        <v>165</v>
      </c>
      <c r="E1179" t="s">
        <v>131</v>
      </c>
      <c r="F1179" t="s">
        <v>37</v>
      </c>
    </row>
    <row r="1180" spans="1:6" outlineLevel="3" x14ac:dyDescent="0.25">
      <c r="A1180" s="4" t="s">
        <v>421</v>
      </c>
      <c r="B1180" t="s">
        <v>422</v>
      </c>
      <c r="C1180" t="s">
        <v>1762</v>
      </c>
      <c r="D1180" t="s">
        <v>202</v>
      </c>
      <c r="E1180" t="s">
        <v>131</v>
      </c>
      <c r="F1180" t="s">
        <v>37</v>
      </c>
    </row>
    <row r="1181" spans="1:6" outlineLevel="3" x14ac:dyDescent="0.25">
      <c r="A1181" s="4" t="s">
        <v>421</v>
      </c>
      <c r="B1181" t="s">
        <v>422</v>
      </c>
      <c r="C1181" t="s">
        <v>3408</v>
      </c>
      <c r="D1181" t="s">
        <v>202</v>
      </c>
      <c r="E1181" t="s">
        <v>131</v>
      </c>
      <c r="F1181" t="s">
        <v>37</v>
      </c>
    </row>
    <row r="1182" spans="1:6" outlineLevel="3" x14ac:dyDescent="0.25">
      <c r="A1182" s="4" t="s">
        <v>421</v>
      </c>
      <c r="B1182" t="s">
        <v>422</v>
      </c>
      <c r="C1182" t="s">
        <v>3409</v>
      </c>
      <c r="D1182" t="s">
        <v>437</v>
      </c>
      <c r="E1182" t="s">
        <v>131</v>
      </c>
      <c r="F1182" t="s">
        <v>37</v>
      </c>
    </row>
    <row r="1183" spans="1:6" outlineLevel="3" x14ac:dyDescent="0.25">
      <c r="A1183" s="4" t="s">
        <v>421</v>
      </c>
      <c r="B1183" t="s">
        <v>422</v>
      </c>
      <c r="C1183" t="s">
        <v>3410</v>
      </c>
      <c r="D1183" t="s">
        <v>6</v>
      </c>
      <c r="E1183" t="s">
        <v>131</v>
      </c>
      <c r="F1183" t="s">
        <v>37</v>
      </c>
    </row>
    <row r="1184" spans="1:6" outlineLevel="3" x14ac:dyDescent="0.25">
      <c r="A1184" s="4" t="s">
        <v>421</v>
      </c>
      <c r="B1184" t="s">
        <v>422</v>
      </c>
      <c r="C1184" t="s">
        <v>3411</v>
      </c>
      <c r="D1184" t="s">
        <v>165</v>
      </c>
      <c r="E1184" t="s">
        <v>131</v>
      </c>
      <c r="F1184" t="s">
        <v>37</v>
      </c>
    </row>
    <row r="1185" spans="1:6" outlineLevel="3" x14ac:dyDescent="0.25">
      <c r="A1185" s="4" t="s">
        <v>421</v>
      </c>
      <c r="B1185" t="s">
        <v>422</v>
      </c>
      <c r="C1185" t="s">
        <v>3412</v>
      </c>
      <c r="D1185" t="s">
        <v>202</v>
      </c>
      <c r="E1185" t="s">
        <v>131</v>
      </c>
      <c r="F1185" t="s">
        <v>37</v>
      </c>
    </row>
    <row r="1186" spans="1:6" outlineLevel="3" x14ac:dyDescent="0.25">
      <c r="A1186" s="4" t="s">
        <v>421</v>
      </c>
      <c r="B1186" t="s">
        <v>422</v>
      </c>
      <c r="C1186" t="s">
        <v>3413</v>
      </c>
      <c r="D1186" t="s">
        <v>126</v>
      </c>
      <c r="E1186" t="s">
        <v>131</v>
      </c>
      <c r="F1186" t="s">
        <v>37</v>
      </c>
    </row>
    <row r="1187" spans="1:6" outlineLevel="3" x14ac:dyDescent="0.25">
      <c r="A1187" s="4" t="s">
        <v>421</v>
      </c>
      <c r="B1187" t="s">
        <v>422</v>
      </c>
      <c r="C1187" t="s">
        <v>3414</v>
      </c>
      <c r="D1187" t="s">
        <v>237</v>
      </c>
      <c r="E1187" t="s">
        <v>131</v>
      </c>
      <c r="F1187" t="s">
        <v>37</v>
      </c>
    </row>
    <row r="1188" spans="1:6" outlineLevel="3" x14ac:dyDescent="0.25">
      <c r="A1188" s="4" t="s">
        <v>421</v>
      </c>
      <c r="B1188" t="s">
        <v>422</v>
      </c>
      <c r="C1188" t="s">
        <v>1895</v>
      </c>
      <c r="D1188" t="s">
        <v>126</v>
      </c>
      <c r="E1188" t="s">
        <v>131</v>
      </c>
      <c r="F1188" t="s">
        <v>37</v>
      </c>
    </row>
    <row r="1189" spans="1:6" outlineLevel="3" x14ac:dyDescent="0.25">
      <c r="A1189" s="4" t="s">
        <v>421</v>
      </c>
      <c r="B1189" t="s">
        <v>422</v>
      </c>
      <c r="C1189" t="s">
        <v>3415</v>
      </c>
      <c r="D1189" t="s">
        <v>437</v>
      </c>
      <c r="E1189" t="s">
        <v>131</v>
      </c>
      <c r="F1189" t="s">
        <v>37</v>
      </c>
    </row>
    <row r="1190" spans="1:6" outlineLevel="3" x14ac:dyDescent="0.25">
      <c r="A1190" s="4" t="s">
        <v>421</v>
      </c>
      <c r="B1190" t="s">
        <v>422</v>
      </c>
      <c r="C1190" t="s">
        <v>3416</v>
      </c>
      <c r="D1190" t="s">
        <v>4</v>
      </c>
      <c r="E1190" t="s">
        <v>131</v>
      </c>
      <c r="F1190" t="s">
        <v>37</v>
      </c>
    </row>
    <row r="1191" spans="1:6" outlineLevel="3" x14ac:dyDescent="0.25">
      <c r="A1191" s="4" t="s">
        <v>421</v>
      </c>
      <c r="B1191" t="s">
        <v>422</v>
      </c>
      <c r="C1191" t="s">
        <v>3417</v>
      </c>
      <c r="D1191" t="s">
        <v>46</v>
      </c>
      <c r="E1191" t="s">
        <v>131</v>
      </c>
      <c r="F1191" t="s">
        <v>37</v>
      </c>
    </row>
    <row r="1192" spans="1:6" outlineLevel="3" x14ac:dyDescent="0.25">
      <c r="A1192" s="4" t="s">
        <v>421</v>
      </c>
      <c r="B1192" t="s">
        <v>422</v>
      </c>
      <c r="C1192" t="s">
        <v>3418</v>
      </c>
      <c r="D1192" t="s">
        <v>46</v>
      </c>
      <c r="E1192" t="s">
        <v>131</v>
      </c>
      <c r="F1192" t="s">
        <v>37</v>
      </c>
    </row>
    <row r="1193" spans="1:6" outlineLevel="3" x14ac:dyDescent="0.25">
      <c r="A1193" s="4" t="s">
        <v>421</v>
      </c>
      <c r="B1193" t="s">
        <v>422</v>
      </c>
      <c r="C1193" t="s">
        <v>1896</v>
      </c>
      <c r="D1193" t="s">
        <v>165</v>
      </c>
      <c r="E1193" t="s">
        <v>82</v>
      </c>
      <c r="F1193" t="s">
        <v>37</v>
      </c>
    </row>
    <row r="1194" spans="1:6" outlineLevel="3" x14ac:dyDescent="0.25">
      <c r="A1194" s="4" t="s">
        <v>421</v>
      </c>
      <c r="B1194" t="s">
        <v>422</v>
      </c>
      <c r="C1194" t="s">
        <v>3419</v>
      </c>
      <c r="D1194" t="s">
        <v>13</v>
      </c>
      <c r="E1194" t="s">
        <v>82</v>
      </c>
      <c r="F1194" t="s">
        <v>37</v>
      </c>
    </row>
    <row r="1195" spans="1:6" outlineLevel="3" x14ac:dyDescent="0.25">
      <c r="A1195" s="4" t="s">
        <v>421</v>
      </c>
      <c r="B1195" t="s">
        <v>422</v>
      </c>
      <c r="C1195" t="s">
        <v>3420</v>
      </c>
      <c r="D1195" t="s">
        <v>44</v>
      </c>
      <c r="E1195" t="s">
        <v>82</v>
      </c>
      <c r="F1195" t="s">
        <v>37</v>
      </c>
    </row>
    <row r="1196" spans="1:6" outlineLevel="3" x14ac:dyDescent="0.25">
      <c r="A1196" s="4" t="s">
        <v>421</v>
      </c>
      <c r="B1196" t="s">
        <v>422</v>
      </c>
      <c r="C1196" t="s">
        <v>3421</v>
      </c>
      <c r="D1196" t="s">
        <v>13</v>
      </c>
      <c r="E1196" t="s">
        <v>82</v>
      </c>
      <c r="F1196" t="s">
        <v>37</v>
      </c>
    </row>
    <row r="1197" spans="1:6" outlineLevel="3" x14ac:dyDescent="0.25">
      <c r="A1197" s="4" t="s">
        <v>421</v>
      </c>
      <c r="B1197" t="s">
        <v>422</v>
      </c>
      <c r="C1197" t="s">
        <v>3422</v>
      </c>
      <c r="D1197" t="s">
        <v>126</v>
      </c>
      <c r="E1197" t="s">
        <v>82</v>
      </c>
      <c r="F1197" t="s">
        <v>37</v>
      </c>
    </row>
    <row r="1198" spans="1:6" outlineLevel="3" x14ac:dyDescent="0.25">
      <c r="A1198" s="4" t="s">
        <v>421</v>
      </c>
      <c r="B1198" t="s">
        <v>422</v>
      </c>
      <c r="C1198" t="s">
        <v>3423</v>
      </c>
      <c r="D1198" t="s">
        <v>126</v>
      </c>
      <c r="E1198" t="s">
        <v>82</v>
      </c>
      <c r="F1198" t="s">
        <v>37</v>
      </c>
    </row>
    <row r="1199" spans="1:6" outlineLevel="3" x14ac:dyDescent="0.25">
      <c r="A1199" s="4" t="s">
        <v>421</v>
      </c>
      <c r="B1199" t="s">
        <v>422</v>
      </c>
      <c r="C1199" t="s">
        <v>3424</v>
      </c>
      <c r="D1199" t="s">
        <v>165</v>
      </c>
      <c r="E1199" t="s">
        <v>82</v>
      </c>
      <c r="F1199" t="s">
        <v>37</v>
      </c>
    </row>
    <row r="1200" spans="1:6" outlineLevel="3" x14ac:dyDescent="0.25">
      <c r="A1200" s="4" t="s">
        <v>421</v>
      </c>
      <c r="B1200" t="s">
        <v>422</v>
      </c>
      <c r="C1200" t="s">
        <v>3425</v>
      </c>
      <c r="D1200" t="s">
        <v>165</v>
      </c>
      <c r="E1200" t="s">
        <v>82</v>
      </c>
      <c r="F1200" t="s">
        <v>37</v>
      </c>
    </row>
    <row r="1201" spans="1:6" outlineLevel="3" x14ac:dyDescent="0.25">
      <c r="A1201" s="4" t="s">
        <v>421</v>
      </c>
      <c r="B1201" t="s">
        <v>422</v>
      </c>
      <c r="C1201" t="s">
        <v>3426</v>
      </c>
      <c r="D1201" t="s">
        <v>126</v>
      </c>
      <c r="E1201" t="s">
        <v>82</v>
      </c>
      <c r="F1201" t="s">
        <v>37</v>
      </c>
    </row>
    <row r="1202" spans="1:6" outlineLevel="3" x14ac:dyDescent="0.25">
      <c r="A1202" s="4" t="s">
        <v>421</v>
      </c>
      <c r="B1202" t="s">
        <v>422</v>
      </c>
      <c r="C1202" t="s">
        <v>2095</v>
      </c>
      <c r="D1202" t="s">
        <v>13</v>
      </c>
      <c r="E1202" t="s">
        <v>228</v>
      </c>
      <c r="F1202" t="s">
        <v>37</v>
      </c>
    </row>
    <row r="1203" spans="1:6" outlineLevel="3" x14ac:dyDescent="0.25">
      <c r="A1203" s="4" t="s">
        <v>421</v>
      </c>
      <c r="B1203" t="s">
        <v>422</v>
      </c>
      <c r="C1203" t="s">
        <v>2096</v>
      </c>
      <c r="D1203" t="s">
        <v>165</v>
      </c>
      <c r="E1203" t="s">
        <v>228</v>
      </c>
      <c r="F1203" t="s">
        <v>37</v>
      </c>
    </row>
    <row r="1204" spans="1:6" outlineLevel="3" x14ac:dyDescent="0.25">
      <c r="A1204" s="4" t="s">
        <v>421</v>
      </c>
      <c r="B1204" t="s">
        <v>422</v>
      </c>
      <c r="C1204" t="s">
        <v>2097</v>
      </c>
      <c r="D1204" t="s">
        <v>13</v>
      </c>
      <c r="E1204" t="s">
        <v>228</v>
      </c>
      <c r="F1204" t="s">
        <v>37</v>
      </c>
    </row>
    <row r="1205" spans="1:6" outlineLevel="3" x14ac:dyDescent="0.25">
      <c r="A1205" s="4" t="s">
        <v>421</v>
      </c>
      <c r="B1205" t="s">
        <v>422</v>
      </c>
      <c r="C1205" t="s">
        <v>2098</v>
      </c>
      <c r="D1205" t="s">
        <v>165</v>
      </c>
      <c r="E1205" t="s">
        <v>228</v>
      </c>
      <c r="F1205" t="s">
        <v>37</v>
      </c>
    </row>
    <row r="1206" spans="1:6" outlineLevel="3" x14ac:dyDescent="0.25">
      <c r="A1206" s="4" t="s">
        <v>421</v>
      </c>
      <c r="B1206" t="s">
        <v>422</v>
      </c>
      <c r="C1206" t="s">
        <v>1498</v>
      </c>
      <c r="D1206" t="s">
        <v>165</v>
      </c>
      <c r="E1206" t="s">
        <v>228</v>
      </c>
      <c r="F1206" t="s">
        <v>37</v>
      </c>
    </row>
    <row r="1207" spans="1:6" outlineLevel="3" x14ac:dyDescent="0.25">
      <c r="A1207" s="4" t="s">
        <v>421</v>
      </c>
      <c r="B1207" t="s">
        <v>422</v>
      </c>
      <c r="C1207" t="s">
        <v>1499</v>
      </c>
      <c r="D1207" t="s">
        <v>202</v>
      </c>
      <c r="E1207" t="s">
        <v>228</v>
      </c>
      <c r="F1207" t="s">
        <v>37</v>
      </c>
    </row>
    <row r="1208" spans="1:6" outlineLevel="3" x14ac:dyDescent="0.25">
      <c r="A1208" s="4" t="s">
        <v>421</v>
      </c>
      <c r="B1208" t="s">
        <v>422</v>
      </c>
      <c r="C1208" t="s">
        <v>2099</v>
      </c>
      <c r="D1208" t="s">
        <v>165</v>
      </c>
      <c r="E1208" t="s">
        <v>228</v>
      </c>
      <c r="F1208" t="s">
        <v>37</v>
      </c>
    </row>
    <row r="1209" spans="1:6" outlineLevel="3" x14ac:dyDescent="0.25">
      <c r="A1209" s="4" t="s">
        <v>421</v>
      </c>
      <c r="B1209" t="s">
        <v>422</v>
      </c>
      <c r="C1209" t="s">
        <v>2100</v>
      </c>
      <c r="D1209" t="s">
        <v>165</v>
      </c>
      <c r="E1209" t="s">
        <v>228</v>
      </c>
      <c r="F1209" t="s">
        <v>37</v>
      </c>
    </row>
    <row r="1210" spans="1:6" outlineLevel="3" x14ac:dyDescent="0.25">
      <c r="A1210" s="4" t="s">
        <v>421</v>
      </c>
      <c r="B1210" t="s">
        <v>422</v>
      </c>
      <c r="C1210" t="s">
        <v>2101</v>
      </c>
      <c r="D1210" t="s">
        <v>13</v>
      </c>
      <c r="E1210" t="s">
        <v>228</v>
      </c>
      <c r="F1210" t="s">
        <v>37</v>
      </c>
    </row>
    <row r="1211" spans="1:6" outlineLevel="3" x14ac:dyDescent="0.25">
      <c r="A1211" s="4" t="s">
        <v>421</v>
      </c>
      <c r="B1211" t="s">
        <v>422</v>
      </c>
      <c r="C1211" t="s">
        <v>2102</v>
      </c>
      <c r="D1211" t="s">
        <v>202</v>
      </c>
      <c r="E1211" t="s">
        <v>228</v>
      </c>
      <c r="F1211" t="s">
        <v>37</v>
      </c>
    </row>
    <row r="1212" spans="1:6" outlineLevel="3" x14ac:dyDescent="0.25">
      <c r="A1212" s="4" t="s">
        <v>421</v>
      </c>
      <c r="B1212" t="s">
        <v>422</v>
      </c>
      <c r="C1212" t="s">
        <v>2103</v>
      </c>
      <c r="D1212" t="s">
        <v>437</v>
      </c>
      <c r="E1212" t="s">
        <v>228</v>
      </c>
      <c r="F1212" t="s">
        <v>37</v>
      </c>
    </row>
    <row r="1213" spans="1:6" outlineLevel="3" x14ac:dyDescent="0.25">
      <c r="A1213" s="4" t="s">
        <v>421</v>
      </c>
      <c r="B1213" t="s">
        <v>422</v>
      </c>
      <c r="C1213" t="s">
        <v>2104</v>
      </c>
      <c r="D1213" t="s">
        <v>6</v>
      </c>
      <c r="E1213" t="s">
        <v>228</v>
      </c>
      <c r="F1213" t="s">
        <v>37</v>
      </c>
    </row>
    <row r="1214" spans="1:6" outlineLevel="3" x14ac:dyDescent="0.25">
      <c r="A1214" s="4" t="s">
        <v>421</v>
      </c>
      <c r="B1214" t="s">
        <v>422</v>
      </c>
      <c r="C1214" t="s">
        <v>2105</v>
      </c>
      <c r="D1214" t="s">
        <v>202</v>
      </c>
      <c r="E1214" t="s">
        <v>228</v>
      </c>
      <c r="F1214" t="s">
        <v>37</v>
      </c>
    </row>
    <row r="1215" spans="1:6" outlineLevel="3" x14ac:dyDescent="0.25">
      <c r="A1215" s="4" t="s">
        <v>421</v>
      </c>
      <c r="B1215" t="s">
        <v>422</v>
      </c>
      <c r="C1215" t="s">
        <v>2106</v>
      </c>
      <c r="D1215" t="s">
        <v>65</v>
      </c>
      <c r="E1215" t="s">
        <v>228</v>
      </c>
      <c r="F1215" t="s">
        <v>37</v>
      </c>
    </row>
    <row r="1216" spans="1:6" outlineLevel="3" x14ac:dyDescent="0.25">
      <c r="A1216" s="4" t="s">
        <v>421</v>
      </c>
      <c r="B1216" t="s">
        <v>422</v>
      </c>
      <c r="C1216" t="s">
        <v>2107</v>
      </c>
      <c r="D1216" t="s">
        <v>165</v>
      </c>
      <c r="E1216" t="s">
        <v>228</v>
      </c>
      <c r="F1216" t="s">
        <v>37</v>
      </c>
    </row>
    <row r="1217" spans="1:6" outlineLevel="3" x14ac:dyDescent="0.25">
      <c r="A1217" s="4" t="s">
        <v>421</v>
      </c>
      <c r="B1217" t="s">
        <v>422</v>
      </c>
      <c r="C1217" t="s">
        <v>2108</v>
      </c>
      <c r="D1217" t="s">
        <v>437</v>
      </c>
      <c r="E1217" t="s">
        <v>228</v>
      </c>
      <c r="F1217" t="s">
        <v>37</v>
      </c>
    </row>
    <row r="1218" spans="1:6" outlineLevel="3" x14ac:dyDescent="0.25">
      <c r="A1218" s="4" t="s">
        <v>421</v>
      </c>
      <c r="B1218" t="s">
        <v>422</v>
      </c>
      <c r="C1218" t="s">
        <v>2109</v>
      </c>
      <c r="D1218" t="s">
        <v>202</v>
      </c>
      <c r="E1218" t="s">
        <v>228</v>
      </c>
      <c r="F1218" t="s">
        <v>37</v>
      </c>
    </row>
    <row r="1219" spans="1:6" outlineLevel="3" x14ac:dyDescent="0.25">
      <c r="A1219" s="4" t="s">
        <v>421</v>
      </c>
      <c r="B1219" t="s">
        <v>422</v>
      </c>
      <c r="C1219" t="s">
        <v>2110</v>
      </c>
      <c r="D1219" t="s">
        <v>13</v>
      </c>
      <c r="E1219" t="s">
        <v>228</v>
      </c>
      <c r="F1219" t="s">
        <v>37</v>
      </c>
    </row>
    <row r="1220" spans="1:6" outlineLevel="3" x14ac:dyDescent="0.25">
      <c r="A1220" s="4" t="s">
        <v>421</v>
      </c>
      <c r="B1220" t="s">
        <v>422</v>
      </c>
      <c r="C1220" t="s">
        <v>2111</v>
      </c>
      <c r="D1220" t="s">
        <v>119</v>
      </c>
      <c r="E1220" t="s">
        <v>228</v>
      </c>
      <c r="F1220" t="s">
        <v>37</v>
      </c>
    </row>
    <row r="1221" spans="1:6" outlineLevel="3" x14ac:dyDescent="0.25">
      <c r="A1221" s="4" t="s">
        <v>421</v>
      </c>
      <c r="B1221" t="s">
        <v>422</v>
      </c>
      <c r="C1221" t="s">
        <v>2112</v>
      </c>
      <c r="D1221" t="s">
        <v>65</v>
      </c>
      <c r="E1221" t="s">
        <v>228</v>
      </c>
      <c r="F1221" t="s">
        <v>37</v>
      </c>
    </row>
    <row r="1222" spans="1:6" outlineLevel="3" x14ac:dyDescent="0.25">
      <c r="A1222" s="4" t="s">
        <v>421</v>
      </c>
      <c r="B1222" t="s">
        <v>422</v>
      </c>
      <c r="C1222" t="s">
        <v>2113</v>
      </c>
      <c r="D1222" t="s">
        <v>65</v>
      </c>
      <c r="E1222" t="s">
        <v>228</v>
      </c>
      <c r="F1222" t="s">
        <v>37</v>
      </c>
    </row>
    <row r="1223" spans="1:6" outlineLevel="3" x14ac:dyDescent="0.25">
      <c r="A1223" s="4" t="s">
        <v>421</v>
      </c>
      <c r="B1223" t="s">
        <v>422</v>
      </c>
      <c r="C1223" t="s">
        <v>2114</v>
      </c>
      <c r="D1223" t="s">
        <v>65</v>
      </c>
      <c r="E1223" t="s">
        <v>228</v>
      </c>
      <c r="F1223" t="s">
        <v>37</v>
      </c>
    </row>
    <row r="1224" spans="1:6" outlineLevel="3" x14ac:dyDescent="0.25">
      <c r="A1224" s="4" t="s">
        <v>421</v>
      </c>
      <c r="B1224" t="s">
        <v>422</v>
      </c>
      <c r="C1224" t="s">
        <v>1280</v>
      </c>
      <c r="D1224" t="s">
        <v>76</v>
      </c>
      <c r="E1224" t="s">
        <v>228</v>
      </c>
      <c r="F1224" t="s">
        <v>37</v>
      </c>
    </row>
    <row r="1225" spans="1:6" outlineLevel="3" x14ac:dyDescent="0.25">
      <c r="A1225" s="4" t="s">
        <v>421</v>
      </c>
      <c r="B1225" t="s">
        <v>422</v>
      </c>
      <c r="C1225" t="s">
        <v>2115</v>
      </c>
      <c r="D1225" t="s">
        <v>437</v>
      </c>
      <c r="E1225" t="s">
        <v>228</v>
      </c>
      <c r="F1225" t="s">
        <v>37</v>
      </c>
    </row>
    <row r="1226" spans="1:6" outlineLevel="3" x14ac:dyDescent="0.25">
      <c r="A1226" s="4" t="s">
        <v>421</v>
      </c>
      <c r="B1226" t="s">
        <v>422</v>
      </c>
      <c r="C1226" t="s">
        <v>2116</v>
      </c>
      <c r="D1226" t="s">
        <v>202</v>
      </c>
      <c r="E1226" t="s">
        <v>228</v>
      </c>
      <c r="F1226" t="s">
        <v>37</v>
      </c>
    </row>
    <row r="1227" spans="1:6" outlineLevel="3" x14ac:dyDescent="0.25">
      <c r="A1227" s="4" t="s">
        <v>421</v>
      </c>
      <c r="B1227" t="s">
        <v>422</v>
      </c>
      <c r="C1227" t="s">
        <v>2117</v>
      </c>
      <c r="D1227" t="s">
        <v>6</v>
      </c>
      <c r="E1227" t="s">
        <v>228</v>
      </c>
      <c r="F1227" t="s">
        <v>37</v>
      </c>
    </row>
    <row r="1228" spans="1:6" outlineLevel="3" x14ac:dyDescent="0.25">
      <c r="A1228" s="4" t="s">
        <v>421</v>
      </c>
      <c r="B1228" t="s">
        <v>422</v>
      </c>
      <c r="C1228" t="s">
        <v>1500</v>
      </c>
      <c r="D1228" t="s">
        <v>202</v>
      </c>
      <c r="E1228" t="s">
        <v>228</v>
      </c>
      <c r="F1228" t="s">
        <v>37</v>
      </c>
    </row>
    <row r="1229" spans="1:6" outlineLevel="3" x14ac:dyDescent="0.25">
      <c r="A1229" s="4" t="s">
        <v>421</v>
      </c>
      <c r="B1229" t="s">
        <v>422</v>
      </c>
      <c r="C1229" t="s">
        <v>2118</v>
      </c>
      <c r="D1229" t="s">
        <v>165</v>
      </c>
      <c r="E1229" t="s">
        <v>228</v>
      </c>
      <c r="F1229" t="s">
        <v>37</v>
      </c>
    </row>
    <row r="1230" spans="1:6" outlineLevel="3" x14ac:dyDescent="0.25">
      <c r="A1230" s="4" t="s">
        <v>421</v>
      </c>
      <c r="B1230" t="s">
        <v>422</v>
      </c>
      <c r="C1230" t="s">
        <v>2119</v>
      </c>
      <c r="D1230" t="s">
        <v>119</v>
      </c>
      <c r="E1230" t="s">
        <v>228</v>
      </c>
      <c r="F1230" t="s">
        <v>37</v>
      </c>
    </row>
    <row r="1231" spans="1:6" outlineLevel="3" x14ac:dyDescent="0.25">
      <c r="A1231" s="4" t="s">
        <v>421</v>
      </c>
      <c r="B1231" t="s">
        <v>422</v>
      </c>
      <c r="C1231" t="s">
        <v>2120</v>
      </c>
      <c r="D1231" t="s">
        <v>165</v>
      </c>
      <c r="E1231" t="s">
        <v>228</v>
      </c>
      <c r="F1231" t="s">
        <v>37</v>
      </c>
    </row>
    <row r="1232" spans="1:6" outlineLevel="3" x14ac:dyDescent="0.25">
      <c r="A1232" s="4" t="s">
        <v>421</v>
      </c>
      <c r="B1232" t="s">
        <v>422</v>
      </c>
      <c r="C1232" t="s">
        <v>2121</v>
      </c>
      <c r="D1232" t="s">
        <v>165</v>
      </c>
      <c r="E1232" t="s">
        <v>228</v>
      </c>
      <c r="F1232" t="s">
        <v>37</v>
      </c>
    </row>
    <row r="1233" spans="1:6" outlineLevel="3" x14ac:dyDescent="0.25">
      <c r="A1233" s="4" t="s">
        <v>421</v>
      </c>
      <c r="B1233" t="s">
        <v>422</v>
      </c>
      <c r="C1233" t="s">
        <v>2122</v>
      </c>
      <c r="D1233" t="s">
        <v>165</v>
      </c>
      <c r="E1233" t="s">
        <v>228</v>
      </c>
      <c r="F1233" t="s">
        <v>37</v>
      </c>
    </row>
    <row r="1234" spans="1:6" outlineLevel="3" x14ac:dyDescent="0.25">
      <c r="A1234" s="4" t="s">
        <v>421</v>
      </c>
      <c r="B1234" t="s">
        <v>422</v>
      </c>
      <c r="C1234" t="s">
        <v>1281</v>
      </c>
      <c r="D1234" t="s">
        <v>165</v>
      </c>
      <c r="E1234" t="s">
        <v>228</v>
      </c>
      <c r="F1234" t="s">
        <v>37</v>
      </c>
    </row>
    <row r="1235" spans="1:6" outlineLevel="3" x14ac:dyDescent="0.25">
      <c r="A1235" s="4" t="s">
        <v>421</v>
      </c>
      <c r="B1235" t="s">
        <v>422</v>
      </c>
      <c r="C1235" t="s">
        <v>2123</v>
      </c>
      <c r="D1235" t="s">
        <v>202</v>
      </c>
      <c r="E1235" t="s">
        <v>228</v>
      </c>
      <c r="F1235" t="s">
        <v>37</v>
      </c>
    </row>
    <row r="1236" spans="1:6" outlineLevel="3" x14ac:dyDescent="0.25">
      <c r="A1236" s="4" t="s">
        <v>421</v>
      </c>
      <c r="B1236" t="s">
        <v>422</v>
      </c>
      <c r="C1236" t="s">
        <v>2124</v>
      </c>
      <c r="D1236" t="s">
        <v>65</v>
      </c>
      <c r="E1236" t="s">
        <v>228</v>
      </c>
      <c r="F1236" t="s">
        <v>37</v>
      </c>
    </row>
    <row r="1237" spans="1:6" outlineLevel="3" x14ac:dyDescent="0.25">
      <c r="A1237" s="4" t="s">
        <v>421</v>
      </c>
      <c r="B1237" t="s">
        <v>422</v>
      </c>
      <c r="C1237" t="s">
        <v>2125</v>
      </c>
      <c r="D1237" t="s">
        <v>65</v>
      </c>
      <c r="E1237" t="s">
        <v>228</v>
      </c>
      <c r="F1237" t="s">
        <v>37</v>
      </c>
    </row>
    <row r="1238" spans="1:6" outlineLevel="3" x14ac:dyDescent="0.25">
      <c r="A1238" s="4" t="s">
        <v>421</v>
      </c>
      <c r="B1238" t="s">
        <v>422</v>
      </c>
      <c r="C1238" t="s">
        <v>2126</v>
      </c>
      <c r="D1238" t="s">
        <v>13</v>
      </c>
      <c r="E1238" t="s">
        <v>228</v>
      </c>
      <c r="F1238" t="s">
        <v>37</v>
      </c>
    </row>
    <row r="1239" spans="1:6" outlineLevel="3" x14ac:dyDescent="0.25">
      <c r="A1239" s="4" t="s">
        <v>421</v>
      </c>
      <c r="B1239" t="s">
        <v>422</v>
      </c>
      <c r="C1239" t="s">
        <v>2127</v>
      </c>
      <c r="D1239" t="s">
        <v>190</v>
      </c>
      <c r="E1239" t="s">
        <v>228</v>
      </c>
      <c r="F1239" t="s">
        <v>37</v>
      </c>
    </row>
    <row r="1240" spans="1:6" outlineLevel="3" x14ac:dyDescent="0.25">
      <c r="A1240" s="4" t="s">
        <v>421</v>
      </c>
      <c r="B1240" t="s">
        <v>422</v>
      </c>
      <c r="C1240" t="s">
        <v>2128</v>
      </c>
      <c r="D1240" t="s">
        <v>65</v>
      </c>
      <c r="E1240" t="s">
        <v>228</v>
      </c>
      <c r="F1240" t="s">
        <v>37</v>
      </c>
    </row>
    <row r="1241" spans="1:6" outlineLevel="3" x14ac:dyDescent="0.25">
      <c r="A1241" s="4" t="s">
        <v>421</v>
      </c>
      <c r="B1241" t="s">
        <v>422</v>
      </c>
      <c r="C1241" t="s">
        <v>2129</v>
      </c>
      <c r="D1241" t="s">
        <v>65</v>
      </c>
      <c r="E1241" t="s">
        <v>228</v>
      </c>
      <c r="F1241" t="s">
        <v>37</v>
      </c>
    </row>
    <row r="1242" spans="1:6" outlineLevel="3" x14ac:dyDescent="0.25">
      <c r="A1242" s="4" t="s">
        <v>421</v>
      </c>
      <c r="B1242" t="s">
        <v>422</v>
      </c>
      <c r="C1242" t="s">
        <v>2130</v>
      </c>
      <c r="D1242" t="s">
        <v>65</v>
      </c>
      <c r="E1242" t="s">
        <v>228</v>
      </c>
      <c r="F1242" t="s">
        <v>37</v>
      </c>
    </row>
    <row r="1243" spans="1:6" outlineLevel="3" x14ac:dyDescent="0.25">
      <c r="A1243" s="4" t="s">
        <v>421</v>
      </c>
      <c r="B1243" t="s">
        <v>422</v>
      </c>
      <c r="C1243" t="s">
        <v>2131</v>
      </c>
      <c r="D1243" t="s">
        <v>6</v>
      </c>
      <c r="E1243" t="s">
        <v>228</v>
      </c>
      <c r="F1243" t="s">
        <v>37</v>
      </c>
    </row>
    <row r="1244" spans="1:6" outlineLevel="3" x14ac:dyDescent="0.25">
      <c r="A1244" s="4" t="s">
        <v>421</v>
      </c>
      <c r="B1244" t="s">
        <v>422</v>
      </c>
      <c r="C1244" t="s">
        <v>1501</v>
      </c>
      <c r="D1244" t="s">
        <v>76</v>
      </c>
      <c r="E1244" t="s">
        <v>228</v>
      </c>
      <c r="F1244" t="s">
        <v>37</v>
      </c>
    </row>
    <row r="1245" spans="1:6" outlineLevel="3" x14ac:dyDescent="0.25">
      <c r="A1245" s="4" t="s">
        <v>421</v>
      </c>
      <c r="B1245" t="s">
        <v>422</v>
      </c>
      <c r="C1245" t="s">
        <v>2132</v>
      </c>
      <c r="D1245" t="s">
        <v>165</v>
      </c>
      <c r="E1245" t="s">
        <v>228</v>
      </c>
      <c r="F1245" t="s">
        <v>37</v>
      </c>
    </row>
    <row r="1246" spans="1:6" outlineLevel="3" x14ac:dyDescent="0.25">
      <c r="A1246" s="4" t="s">
        <v>421</v>
      </c>
      <c r="B1246" t="s">
        <v>422</v>
      </c>
      <c r="C1246" t="s">
        <v>2133</v>
      </c>
      <c r="D1246" t="s">
        <v>119</v>
      </c>
      <c r="E1246" t="s">
        <v>228</v>
      </c>
      <c r="F1246" t="s">
        <v>37</v>
      </c>
    </row>
    <row r="1247" spans="1:6" outlineLevel="3" x14ac:dyDescent="0.25">
      <c r="A1247" s="4" t="s">
        <v>421</v>
      </c>
      <c r="B1247" t="s">
        <v>422</v>
      </c>
      <c r="C1247" t="s">
        <v>2134</v>
      </c>
      <c r="D1247" t="s">
        <v>119</v>
      </c>
      <c r="E1247" t="s">
        <v>228</v>
      </c>
      <c r="F1247" t="s">
        <v>37</v>
      </c>
    </row>
    <row r="1248" spans="1:6" outlineLevel="3" x14ac:dyDescent="0.25">
      <c r="A1248" s="4" t="s">
        <v>421</v>
      </c>
      <c r="B1248" t="s">
        <v>422</v>
      </c>
      <c r="C1248" t="s">
        <v>2135</v>
      </c>
      <c r="D1248" t="s">
        <v>165</v>
      </c>
      <c r="E1248" t="s">
        <v>228</v>
      </c>
      <c r="F1248" t="s">
        <v>37</v>
      </c>
    </row>
    <row r="1249" spans="1:6" outlineLevel="3" x14ac:dyDescent="0.25">
      <c r="A1249" s="4" t="s">
        <v>421</v>
      </c>
      <c r="B1249" t="s">
        <v>422</v>
      </c>
      <c r="C1249" t="s">
        <v>2136</v>
      </c>
      <c r="D1249" t="s">
        <v>165</v>
      </c>
      <c r="E1249" t="s">
        <v>228</v>
      </c>
      <c r="F1249" t="s">
        <v>37</v>
      </c>
    </row>
    <row r="1250" spans="1:6" outlineLevel="3" x14ac:dyDescent="0.25">
      <c r="A1250" s="4" t="s">
        <v>421</v>
      </c>
      <c r="B1250" t="s">
        <v>422</v>
      </c>
      <c r="C1250" t="s">
        <v>1502</v>
      </c>
      <c r="D1250" t="s">
        <v>76</v>
      </c>
      <c r="E1250" t="s">
        <v>228</v>
      </c>
      <c r="F1250" t="s">
        <v>37</v>
      </c>
    </row>
    <row r="1251" spans="1:6" outlineLevel="3" x14ac:dyDescent="0.25">
      <c r="A1251" s="4" t="s">
        <v>421</v>
      </c>
      <c r="B1251" t="s">
        <v>422</v>
      </c>
      <c r="C1251" t="s">
        <v>1503</v>
      </c>
      <c r="D1251" t="s">
        <v>202</v>
      </c>
      <c r="E1251" t="s">
        <v>228</v>
      </c>
      <c r="F1251" t="s">
        <v>37</v>
      </c>
    </row>
    <row r="1252" spans="1:6" outlineLevel="3" x14ac:dyDescent="0.25">
      <c r="A1252" s="4" t="s">
        <v>421</v>
      </c>
      <c r="B1252" t="s">
        <v>422</v>
      </c>
      <c r="C1252" t="s">
        <v>1504</v>
      </c>
      <c r="D1252" t="s">
        <v>126</v>
      </c>
      <c r="E1252" t="s">
        <v>228</v>
      </c>
      <c r="F1252" t="s">
        <v>37</v>
      </c>
    </row>
    <row r="1253" spans="1:6" outlineLevel="3" x14ac:dyDescent="0.25">
      <c r="A1253" s="4" t="s">
        <v>421</v>
      </c>
      <c r="B1253" t="s">
        <v>422</v>
      </c>
      <c r="C1253" t="s">
        <v>2137</v>
      </c>
      <c r="D1253" t="s">
        <v>13</v>
      </c>
      <c r="E1253" t="s">
        <v>228</v>
      </c>
      <c r="F1253" t="s">
        <v>37</v>
      </c>
    </row>
    <row r="1254" spans="1:6" outlineLevel="3" x14ac:dyDescent="0.25">
      <c r="A1254" s="4" t="s">
        <v>421</v>
      </c>
      <c r="B1254" t="s">
        <v>422</v>
      </c>
      <c r="C1254" t="s">
        <v>2138</v>
      </c>
      <c r="D1254" t="s">
        <v>202</v>
      </c>
      <c r="E1254" t="s">
        <v>193</v>
      </c>
      <c r="F1254" t="s">
        <v>37</v>
      </c>
    </row>
    <row r="1255" spans="1:6" outlineLevel="3" x14ac:dyDescent="0.25">
      <c r="A1255" s="4" t="s">
        <v>421</v>
      </c>
      <c r="B1255" t="s">
        <v>422</v>
      </c>
      <c r="C1255" t="s">
        <v>2139</v>
      </c>
      <c r="D1255" t="s">
        <v>6</v>
      </c>
      <c r="E1255" t="s">
        <v>193</v>
      </c>
      <c r="F1255" t="s">
        <v>37</v>
      </c>
    </row>
    <row r="1256" spans="1:6" outlineLevel="3" x14ac:dyDescent="0.25">
      <c r="A1256" s="4" t="s">
        <v>421</v>
      </c>
      <c r="B1256" t="s">
        <v>422</v>
      </c>
      <c r="C1256" t="s">
        <v>2140</v>
      </c>
      <c r="D1256" t="s">
        <v>437</v>
      </c>
      <c r="E1256" t="s">
        <v>193</v>
      </c>
      <c r="F1256" t="s">
        <v>37</v>
      </c>
    </row>
    <row r="1257" spans="1:6" outlineLevel="3" x14ac:dyDescent="0.25">
      <c r="A1257" s="4" t="s">
        <v>421</v>
      </c>
      <c r="B1257" t="s">
        <v>422</v>
      </c>
      <c r="C1257" t="s">
        <v>2141</v>
      </c>
      <c r="D1257" t="s">
        <v>437</v>
      </c>
      <c r="E1257" t="s">
        <v>193</v>
      </c>
      <c r="F1257" t="s">
        <v>37</v>
      </c>
    </row>
    <row r="1258" spans="1:6" outlineLevel="3" x14ac:dyDescent="0.25">
      <c r="A1258" s="4" t="s">
        <v>421</v>
      </c>
      <c r="B1258" t="s">
        <v>422</v>
      </c>
      <c r="C1258" t="s">
        <v>2142</v>
      </c>
      <c r="D1258" t="s">
        <v>165</v>
      </c>
      <c r="E1258" t="s">
        <v>193</v>
      </c>
      <c r="F1258" t="s">
        <v>37</v>
      </c>
    </row>
    <row r="1259" spans="1:6" outlineLevel="3" x14ac:dyDescent="0.25">
      <c r="A1259" s="4" t="s">
        <v>421</v>
      </c>
      <c r="B1259" t="s">
        <v>422</v>
      </c>
      <c r="C1259" t="s">
        <v>2143</v>
      </c>
      <c r="D1259" t="s">
        <v>126</v>
      </c>
      <c r="E1259" t="s">
        <v>193</v>
      </c>
      <c r="F1259" t="s">
        <v>37</v>
      </c>
    </row>
    <row r="1260" spans="1:6" outlineLevel="3" x14ac:dyDescent="0.25">
      <c r="A1260" s="4" t="s">
        <v>421</v>
      </c>
      <c r="B1260" t="s">
        <v>422</v>
      </c>
      <c r="C1260" t="s">
        <v>2144</v>
      </c>
      <c r="D1260" t="s">
        <v>202</v>
      </c>
      <c r="E1260" t="s">
        <v>193</v>
      </c>
      <c r="F1260" t="s">
        <v>37</v>
      </c>
    </row>
    <row r="1261" spans="1:6" outlineLevel="3" x14ac:dyDescent="0.25">
      <c r="A1261" s="4" t="s">
        <v>421</v>
      </c>
      <c r="B1261" t="s">
        <v>422</v>
      </c>
      <c r="C1261" t="s">
        <v>2145</v>
      </c>
      <c r="D1261" t="s">
        <v>202</v>
      </c>
      <c r="E1261" t="s">
        <v>193</v>
      </c>
      <c r="F1261" t="s">
        <v>37</v>
      </c>
    </row>
    <row r="1262" spans="1:6" outlineLevel="3" x14ac:dyDescent="0.25">
      <c r="A1262" s="4" t="s">
        <v>421</v>
      </c>
      <c r="B1262" t="s">
        <v>422</v>
      </c>
      <c r="C1262" t="s">
        <v>2146</v>
      </c>
      <c r="D1262" t="s">
        <v>13</v>
      </c>
      <c r="E1262" t="s">
        <v>193</v>
      </c>
      <c r="F1262" t="s">
        <v>37</v>
      </c>
    </row>
    <row r="1263" spans="1:6" outlineLevel="3" x14ac:dyDescent="0.25">
      <c r="A1263" s="4" t="s">
        <v>421</v>
      </c>
      <c r="B1263" t="s">
        <v>422</v>
      </c>
      <c r="C1263" t="s">
        <v>2147</v>
      </c>
      <c r="D1263" t="s">
        <v>202</v>
      </c>
      <c r="E1263" t="s">
        <v>193</v>
      </c>
      <c r="F1263" t="s">
        <v>37</v>
      </c>
    </row>
    <row r="1264" spans="1:6" outlineLevel="3" x14ac:dyDescent="0.25">
      <c r="A1264" s="4" t="s">
        <v>421</v>
      </c>
      <c r="B1264" t="s">
        <v>422</v>
      </c>
      <c r="C1264" t="s">
        <v>2148</v>
      </c>
      <c r="D1264" t="s">
        <v>202</v>
      </c>
      <c r="E1264" t="s">
        <v>193</v>
      </c>
      <c r="F1264" t="s">
        <v>37</v>
      </c>
    </row>
    <row r="1265" spans="1:6" outlineLevel="3" x14ac:dyDescent="0.25">
      <c r="A1265" s="4" t="s">
        <v>421</v>
      </c>
      <c r="B1265" t="s">
        <v>422</v>
      </c>
      <c r="C1265" t="s">
        <v>2149</v>
      </c>
      <c r="D1265" t="s">
        <v>13</v>
      </c>
      <c r="E1265" t="s">
        <v>193</v>
      </c>
      <c r="F1265" t="s">
        <v>37</v>
      </c>
    </row>
    <row r="1266" spans="1:6" outlineLevel="3" x14ac:dyDescent="0.25">
      <c r="A1266" s="4" t="s">
        <v>421</v>
      </c>
      <c r="B1266" t="s">
        <v>422</v>
      </c>
      <c r="C1266" t="s">
        <v>1505</v>
      </c>
      <c r="D1266" t="s">
        <v>165</v>
      </c>
      <c r="E1266" t="s">
        <v>193</v>
      </c>
      <c r="F1266" t="s">
        <v>37</v>
      </c>
    </row>
    <row r="1267" spans="1:6" outlineLevel="3" x14ac:dyDescent="0.25">
      <c r="A1267" s="4" t="s">
        <v>421</v>
      </c>
      <c r="B1267" t="s">
        <v>422</v>
      </c>
      <c r="C1267" t="s">
        <v>2150</v>
      </c>
      <c r="D1267" t="s">
        <v>202</v>
      </c>
      <c r="E1267" t="s">
        <v>193</v>
      </c>
      <c r="F1267" t="s">
        <v>37</v>
      </c>
    </row>
    <row r="1268" spans="1:6" outlineLevel="3" x14ac:dyDescent="0.25">
      <c r="A1268" s="4" t="s">
        <v>421</v>
      </c>
      <c r="B1268" t="s">
        <v>422</v>
      </c>
      <c r="C1268" t="s">
        <v>1506</v>
      </c>
      <c r="D1268" t="s">
        <v>13</v>
      </c>
      <c r="E1268" t="s">
        <v>193</v>
      </c>
      <c r="F1268" t="s">
        <v>37</v>
      </c>
    </row>
    <row r="1269" spans="1:6" outlineLevel="3" x14ac:dyDescent="0.25">
      <c r="A1269" s="4" t="s">
        <v>421</v>
      </c>
      <c r="B1269" t="s">
        <v>422</v>
      </c>
      <c r="C1269" t="s">
        <v>2151</v>
      </c>
      <c r="D1269" t="s">
        <v>437</v>
      </c>
      <c r="E1269" t="s">
        <v>193</v>
      </c>
      <c r="F1269" t="s">
        <v>37</v>
      </c>
    </row>
    <row r="1270" spans="1:6" outlineLevel="3" x14ac:dyDescent="0.25">
      <c r="A1270" s="4" t="s">
        <v>421</v>
      </c>
      <c r="B1270" t="s">
        <v>422</v>
      </c>
      <c r="C1270" t="s">
        <v>2152</v>
      </c>
      <c r="D1270" t="s">
        <v>165</v>
      </c>
      <c r="E1270" t="s">
        <v>193</v>
      </c>
      <c r="F1270" t="s">
        <v>37</v>
      </c>
    </row>
    <row r="1271" spans="1:6" outlineLevel="3" x14ac:dyDescent="0.25">
      <c r="A1271" s="4" t="s">
        <v>421</v>
      </c>
      <c r="B1271" t="s">
        <v>422</v>
      </c>
      <c r="C1271" t="s">
        <v>1507</v>
      </c>
      <c r="D1271" t="s">
        <v>13</v>
      </c>
      <c r="E1271" t="s">
        <v>193</v>
      </c>
      <c r="F1271" t="s">
        <v>37</v>
      </c>
    </row>
    <row r="1272" spans="1:6" outlineLevel="3" x14ac:dyDescent="0.25">
      <c r="A1272" s="4" t="s">
        <v>421</v>
      </c>
      <c r="B1272" t="s">
        <v>422</v>
      </c>
      <c r="C1272" t="s">
        <v>1282</v>
      </c>
      <c r="D1272" t="s">
        <v>13</v>
      </c>
      <c r="E1272" t="s">
        <v>193</v>
      </c>
      <c r="F1272" t="s">
        <v>37</v>
      </c>
    </row>
    <row r="1273" spans="1:6" outlineLevel="3" x14ac:dyDescent="0.25">
      <c r="A1273" s="4" t="s">
        <v>421</v>
      </c>
      <c r="B1273" t="s">
        <v>422</v>
      </c>
      <c r="C1273" t="s">
        <v>2153</v>
      </c>
      <c r="D1273" t="s">
        <v>13</v>
      </c>
      <c r="E1273" t="s">
        <v>193</v>
      </c>
      <c r="F1273" t="s">
        <v>37</v>
      </c>
    </row>
    <row r="1274" spans="1:6" outlineLevel="3" x14ac:dyDescent="0.25">
      <c r="A1274" s="4" t="s">
        <v>421</v>
      </c>
      <c r="B1274" t="s">
        <v>422</v>
      </c>
      <c r="C1274" t="s">
        <v>2154</v>
      </c>
      <c r="D1274" t="s">
        <v>13</v>
      </c>
      <c r="E1274" t="s">
        <v>193</v>
      </c>
      <c r="F1274" t="s">
        <v>37</v>
      </c>
    </row>
    <row r="1275" spans="1:6" outlineLevel="3" x14ac:dyDescent="0.25">
      <c r="A1275" s="4" t="s">
        <v>421</v>
      </c>
      <c r="B1275" t="s">
        <v>422</v>
      </c>
      <c r="C1275" t="s">
        <v>2155</v>
      </c>
      <c r="D1275" t="s">
        <v>202</v>
      </c>
      <c r="E1275" t="s">
        <v>193</v>
      </c>
      <c r="F1275" t="s">
        <v>37</v>
      </c>
    </row>
    <row r="1276" spans="1:6" outlineLevel="3" x14ac:dyDescent="0.25">
      <c r="A1276" s="4" t="s">
        <v>421</v>
      </c>
      <c r="B1276" t="s">
        <v>422</v>
      </c>
      <c r="C1276" t="s">
        <v>2156</v>
      </c>
      <c r="D1276" t="s">
        <v>13</v>
      </c>
      <c r="E1276" t="s">
        <v>193</v>
      </c>
      <c r="F1276" t="s">
        <v>37</v>
      </c>
    </row>
    <row r="1277" spans="1:6" outlineLevel="3" x14ac:dyDescent="0.25">
      <c r="A1277" s="4" t="s">
        <v>421</v>
      </c>
      <c r="B1277" t="s">
        <v>422</v>
      </c>
      <c r="C1277" t="s">
        <v>2157</v>
      </c>
      <c r="D1277" t="s">
        <v>13</v>
      </c>
      <c r="E1277" t="s">
        <v>193</v>
      </c>
      <c r="F1277" t="s">
        <v>37</v>
      </c>
    </row>
    <row r="1278" spans="1:6" outlineLevel="3" x14ac:dyDescent="0.25">
      <c r="A1278" s="4" t="s">
        <v>421</v>
      </c>
      <c r="B1278" t="s">
        <v>422</v>
      </c>
      <c r="C1278" t="s">
        <v>2158</v>
      </c>
      <c r="D1278" t="s">
        <v>202</v>
      </c>
      <c r="E1278" t="s">
        <v>193</v>
      </c>
      <c r="F1278" t="s">
        <v>37</v>
      </c>
    </row>
    <row r="1279" spans="1:6" outlineLevel="3" x14ac:dyDescent="0.25">
      <c r="A1279" s="4" t="s">
        <v>421</v>
      </c>
      <c r="B1279" t="s">
        <v>422</v>
      </c>
      <c r="C1279" t="s">
        <v>2159</v>
      </c>
      <c r="D1279" t="s">
        <v>202</v>
      </c>
      <c r="E1279" t="s">
        <v>193</v>
      </c>
      <c r="F1279" t="s">
        <v>37</v>
      </c>
    </row>
    <row r="1280" spans="1:6" outlineLevel="3" x14ac:dyDescent="0.25">
      <c r="A1280" s="4" t="s">
        <v>421</v>
      </c>
      <c r="B1280" t="s">
        <v>422</v>
      </c>
      <c r="C1280" t="s">
        <v>2160</v>
      </c>
      <c r="D1280" t="s">
        <v>202</v>
      </c>
      <c r="E1280" t="s">
        <v>193</v>
      </c>
      <c r="F1280" t="s">
        <v>37</v>
      </c>
    </row>
    <row r="1281" spans="1:6" outlineLevel="3" x14ac:dyDescent="0.25">
      <c r="A1281" s="4" t="s">
        <v>421</v>
      </c>
      <c r="B1281" t="s">
        <v>422</v>
      </c>
      <c r="C1281" t="s">
        <v>1508</v>
      </c>
      <c r="D1281" t="s">
        <v>13</v>
      </c>
      <c r="E1281" t="s">
        <v>193</v>
      </c>
      <c r="F1281" t="s">
        <v>37</v>
      </c>
    </row>
    <row r="1282" spans="1:6" outlineLevel="3" x14ac:dyDescent="0.25">
      <c r="A1282" s="4" t="s">
        <v>421</v>
      </c>
      <c r="B1282" t="s">
        <v>422</v>
      </c>
      <c r="C1282" t="s">
        <v>1509</v>
      </c>
      <c r="D1282" t="s">
        <v>13</v>
      </c>
      <c r="E1282" t="s">
        <v>193</v>
      </c>
      <c r="F1282" t="s">
        <v>37</v>
      </c>
    </row>
    <row r="1283" spans="1:6" outlineLevel="3" x14ac:dyDescent="0.25">
      <c r="A1283" s="4" t="s">
        <v>421</v>
      </c>
      <c r="B1283" t="s">
        <v>422</v>
      </c>
      <c r="C1283" t="s">
        <v>1510</v>
      </c>
      <c r="D1283" t="s">
        <v>13</v>
      </c>
      <c r="E1283" t="s">
        <v>193</v>
      </c>
      <c r="F1283" t="s">
        <v>37</v>
      </c>
    </row>
    <row r="1284" spans="1:6" outlineLevel="3" x14ac:dyDescent="0.25">
      <c r="A1284" s="4" t="s">
        <v>421</v>
      </c>
      <c r="B1284" t="s">
        <v>422</v>
      </c>
      <c r="C1284" t="s">
        <v>1262</v>
      </c>
      <c r="D1284" t="s">
        <v>13</v>
      </c>
      <c r="E1284" t="s">
        <v>193</v>
      </c>
      <c r="F1284" t="s">
        <v>37</v>
      </c>
    </row>
    <row r="1285" spans="1:6" outlineLevel="3" x14ac:dyDescent="0.25">
      <c r="A1285" s="4" t="s">
        <v>421</v>
      </c>
      <c r="B1285" t="s">
        <v>422</v>
      </c>
      <c r="C1285" t="s">
        <v>1511</v>
      </c>
      <c r="D1285" t="s">
        <v>13</v>
      </c>
      <c r="E1285" t="s">
        <v>193</v>
      </c>
      <c r="F1285" t="s">
        <v>37</v>
      </c>
    </row>
    <row r="1286" spans="1:6" outlineLevel="3" x14ac:dyDescent="0.25">
      <c r="A1286" s="4" t="s">
        <v>421</v>
      </c>
      <c r="B1286" t="s">
        <v>422</v>
      </c>
      <c r="C1286" t="s">
        <v>1811</v>
      </c>
      <c r="D1286" t="s">
        <v>13</v>
      </c>
      <c r="E1286" t="s">
        <v>193</v>
      </c>
      <c r="F1286" t="s">
        <v>37</v>
      </c>
    </row>
    <row r="1287" spans="1:6" outlineLevel="3" x14ac:dyDescent="0.25">
      <c r="A1287" s="4" t="s">
        <v>421</v>
      </c>
      <c r="B1287" t="s">
        <v>422</v>
      </c>
      <c r="C1287" t="s">
        <v>2161</v>
      </c>
      <c r="D1287" t="s">
        <v>13</v>
      </c>
      <c r="E1287" t="s">
        <v>193</v>
      </c>
      <c r="F1287" t="s">
        <v>37</v>
      </c>
    </row>
    <row r="1288" spans="1:6" outlineLevel="3" x14ac:dyDescent="0.25">
      <c r="A1288" s="4" t="s">
        <v>421</v>
      </c>
      <c r="B1288" t="s">
        <v>422</v>
      </c>
      <c r="C1288" t="s">
        <v>2162</v>
      </c>
      <c r="D1288" t="s">
        <v>78</v>
      </c>
      <c r="E1288" t="s">
        <v>193</v>
      </c>
      <c r="F1288" t="s">
        <v>37</v>
      </c>
    </row>
    <row r="1289" spans="1:6" outlineLevel="3" x14ac:dyDescent="0.25">
      <c r="A1289" s="4" t="s">
        <v>421</v>
      </c>
      <c r="B1289" t="s">
        <v>422</v>
      </c>
      <c r="C1289" t="s">
        <v>2163</v>
      </c>
      <c r="D1289" t="s">
        <v>126</v>
      </c>
      <c r="E1289" t="s">
        <v>193</v>
      </c>
      <c r="F1289" t="s">
        <v>37</v>
      </c>
    </row>
    <row r="1290" spans="1:6" outlineLevel="3" x14ac:dyDescent="0.25">
      <c r="A1290" s="4" t="s">
        <v>421</v>
      </c>
      <c r="B1290" t="s">
        <v>422</v>
      </c>
      <c r="C1290" t="s">
        <v>2164</v>
      </c>
      <c r="D1290" t="s">
        <v>202</v>
      </c>
      <c r="E1290" t="s">
        <v>193</v>
      </c>
      <c r="F1290" t="s">
        <v>37</v>
      </c>
    </row>
    <row r="1291" spans="1:6" outlineLevel="3" x14ac:dyDescent="0.25">
      <c r="A1291" s="4" t="s">
        <v>421</v>
      </c>
      <c r="B1291" t="s">
        <v>422</v>
      </c>
      <c r="C1291" t="s">
        <v>2165</v>
      </c>
      <c r="D1291" t="s">
        <v>202</v>
      </c>
      <c r="E1291" t="s">
        <v>193</v>
      </c>
      <c r="F1291" t="s">
        <v>37</v>
      </c>
    </row>
    <row r="1292" spans="1:6" outlineLevel="3" x14ac:dyDescent="0.25">
      <c r="A1292" s="4" t="s">
        <v>421</v>
      </c>
      <c r="B1292" t="s">
        <v>422</v>
      </c>
      <c r="C1292" t="s">
        <v>2166</v>
      </c>
      <c r="D1292" t="s">
        <v>435</v>
      </c>
      <c r="E1292" t="s">
        <v>193</v>
      </c>
      <c r="F1292" t="s">
        <v>37</v>
      </c>
    </row>
    <row r="1293" spans="1:6" outlineLevel="3" x14ac:dyDescent="0.25">
      <c r="A1293" s="4" t="s">
        <v>421</v>
      </c>
      <c r="B1293" t="s">
        <v>422</v>
      </c>
      <c r="C1293" t="s">
        <v>2167</v>
      </c>
      <c r="D1293" t="s">
        <v>275</v>
      </c>
      <c r="E1293" t="s">
        <v>193</v>
      </c>
      <c r="F1293" t="s">
        <v>37</v>
      </c>
    </row>
    <row r="1294" spans="1:6" outlineLevel="3" x14ac:dyDescent="0.25">
      <c r="A1294" s="4" t="s">
        <v>421</v>
      </c>
      <c r="B1294" t="s">
        <v>422</v>
      </c>
      <c r="C1294" t="s">
        <v>1812</v>
      </c>
      <c r="D1294" t="s">
        <v>76</v>
      </c>
      <c r="E1294" t="s">
        <v>193</v>
      </c>
      <c r="F1294" t="s">
        <v>37</v>
      </c>
    </row>
    <row r="1295" spans="1:6" outlineLevel="3" x14ac:dyDescent="0.25">
      <c r="A1295" s="4" t="s">
        <v>421</v>
      </c>
      <c r="B1295" t="s">
        <v>422</v>
      </c>
      <c r="C1295" t="s">
        <v>1813</v>
      </c>
      <c r="D1295" t="s">
        <v>76</v>
      </c>
      <c r="E1295" t="s">
        <v>193</v>
      </c>
      <c r="F1295" t="s">
        <v>37</v>
      </c>
    </row>
    <row r="1296" spans="1:6" outlineLevel="3" x14ac:dyDescent="0.25">
      <c r="A1296" s="4" t="s">
        <v>421</v>
      </c>
      <c r="B1296" t="s">
        <v>422</v>
      </c>
      <c r="C1296" t="s">
        <v>1814</v>
      </c>
      <c r="D1296" t="s">
        <v>165</v>
      </c>
      <c r="E1296" t="s">
        <v>193</v>
      </c>
      <c r="F1296" t="s">
        <v>37</v>
      </c>
    </row>
    <row r="1297" spans="1:6" outlineLevel="3" x14ac:dyDescent="0.25">
      <c r="A1297" s="4" t="s">
        <v>421</v>
      </c>
      <c r="B1297" t="s">
        <v>422</v>
      </c>
      <c r="C1297" t="s">
        <v>2168</v>
      </c>
      <c r="D1297" t="s">
        <v>202</v>
      </c>
      <c r="E1297" t="s">
        <v>193</v>
      </c>
      <c r="F1297" t="s">
        <v>37</v>
      </c>
    </row>
    <row r="1298" spans="1:6" outlineLevel="3" x14ac:dyDescent="0.25">
      <c r="A1298" s="4" t="s">
        <v>421</v>
      </c>
      <c r="B1298" t="s">
        <v>422</v>
      </c>
      <c r="C1298" t="s">
        <v>2169</v>
      </c>
      <c r="D1298" t="s">
        <v>437</v>
      </c>
      <c r="E1298" t="s">
        <v>193</v>
      </c>
      <c r="F1298" t="s">
        <v>37</v>
      </c>
    </row>
    <row r="1299" spans="1:6" outlineLevel="3" x14ac:dyDescent="0.25">
      <c r="A1299" s="4" t="s">
        <v>421</v>
      </c>
      <c r="B1299" t="s">
        <v>422</v>
      </c>
      <c r="C1299" t="s">
        <v>2170</v>
      </c>
      <c r="D1299" t="s">
        <v>202</v>
      </c>
      <c r="E1299" t="s">
        <v>193</v>
      </c>
      <c r="F1299" t="s">
        <v>37</v>
      </c>
    </row>
    <row r="1300" spans="1:6" outlineLevel="3" x14ac:dyDescent="0.25">
      <c r="A1300" s="4" t="s">
        <v>421</v>
      </c>
      <c r="B1300" t="s">
        <v>422</v>
      </c>
      <c r="C1300" t="s">
        <v>2171</v>
      </c>
      <c r="D1300" t="s">
        <v>202</v>
      </c>
      <c r="E1300" t="s">
        <v>193</v>
      </c>
      <c r="F1300" t="s">
        <v>37</v>
      </c>
    </row>
    <row r="1301" spans="1:6" outlineLevel="3" x14ac:dyDescent="0.25">
      <c r="A1301" s="4" t="s">
        <v>421</v>
      </c>
      <c r="B1301" t="s">
        <v>422</v>
      </c>
      <c r="C1301" t="s">
        <v>2172</v>
      </c>
      <c r="D1301" t="s">
        <v>67</v>
      </c>
      <c r="E1301" t="s">
        <v>193</v>
      </c>
      <c r="F1301" t="s">
        <v>37</v>
      </c>
    </row>
    <row r="1302" spans="1:6" outlineLevel="3" x14ac:dyDescent="0.25">
      <c r="A1302" s="4" t="s">
        <v>421</v>
      </c>
      <c r="B1302" t="s">
        <v>422</v>
      </c>
      <c r="C1302" t="s">
        <v>2173</v>
      </c>
      <c r="D1302" t="s">
        <v>165</v>
      </c>
      <c r="E1302" t="s">
        <v>193</v>
      </c>
      <c r="F1302" t="s">
        <v>37</v>
      </c>
    </row>
    <row r="1303" spans="1:6" outlineLevel="3" x14ac:dyDescent="0.25">
      <c r="A1303" s="4" t="s">
        <v>421</v>
      </c>
      <c r="B1303" t="s">
        <v>422</v>
      </c>
      <c r="C1303" t="s">
        <v>2174</v>
      </c>
      <c r="D1303" t="s">
        <v>165</v>
      </c>
      <c r="E1303" t="s">
        <v>193</v>
      </c>
      <c r="F1303" t="s">
        <v>37</v>
      </c>
    </row>
    <row r="1304" spans="1:6" outlineLevel="3" x14ac:dyDescent="0.25">
      <c r="A1304" s="4" t="s">
        <v>421</v>
      </c>
      <c r="B1304" t="s">
        <v>422</v>
      </c>
      <c r="C1304" t="s">
        <v>2175</v>
      </c>
      <c r="D1304" t="s">
        <v>6</v>
      </c>
      <c r="E1304" t="s">
        <v>193</v>
      </c>
      <c r="F1304" t="s">
        <v>37</v>
      </c>
    </row>
    <row r="1305" spans="1:6" outlineLevel="3" x14ac:dyDescent="0.25">
      <c r="A1305" s="4" t="s">
        <v>421</v>
      </c>
      <c r="B1305" t="s">
        <v>422</v>
      </c>
      <c r="C1305" t="s">
        <v>2176</v>
      </c>
      <c r="D1305" t="s">
        <v>6</v>
      </c>
      <c r="E1305" t="s">
        <v>193</v>
      </c>
      <c r="F1305" t="s">
        <v>37</v>
      </c>
    </row>
    <row r="1306" spans="1:6" outlineLevel="3" x14ac:dyDescent="0.25">
      <c r="A1306" s="4" t="s">
        <v>421</v>
      </c>
      <c r="B1306" t="s">
        <v>422</v>
      </c>
      <c r="C1306" t="s">
        <v>2177</v>
      </c>
      <c r="D1306" t="s">
        <v>165</v>
      </c>
      <c r="E1306" t="s">
        <v>193</v>
      </c>
      <c r="F1306" t="s">
        <v>37</v>
      </c>
    </row>
    <row r="1307" spans="1:6" outlineLevel="3" x14ac:dyDescent="0.25">
      <c r="A1307" s="4" t="s">
        <v>421</v>
      </c>
      <c r="B1307" t="s">
        <v>422</v>
      </c>
      <c r="C1307" t="s">
        <v>2178</v>
      </c>
      <c r="D1307" t="s">
        <v>6</v>
      </c>
      <c r="E1307" t="s">
        <v>193</v>
      </c>
      <c r="F1307" t="s">
        <v>37</v>
      </c>
    </row>
    <row r="1308" spans="1:6" outlineLevel="3" x14ac:dyDescent="0.25">
      <c r="A1308" s="4" t="s">
        <v>421</v>
      </c>
      <c r="B1308" t="s">
        <v>422</v>
      </c>
      <c r="C1308" t="s">
        <v>1815</v>
      </c>
      <c r="D1308" t="s">
        <v>76</v>
      </c>
      <c r="E1308" t="s">
        <v>193</v>
      </c>
      <c r="F1308" t="s">
        <v>37</v>
      </c>
    </row>
    <row r="1309" spans="1:6" outlineLevel="3" x14ac:dyDescent="0.25">
      <c r="A1309" s="4" t="s">
        <v>421</v>
      </c>
      <c r="B1309" t="s">
        <v>422</v>
      </c>
      <c r="C1309" t="s">
        <v>2179</v>
      </c>
      <c r="D1309" t="s">
        <v>119</v>
      </c>
      <c r="E1309" t="s">
        <v>193</v>
      </c>
      <c r="F1309" t="s">
        <v>37</v>
      </c>
    </row>
    <row r="1310" spans="1:6" outlineLevel="3" x14ac:dyDescent="0.25">
      <c r="A1310" s="4" t="s">
        <v>421</v>
      </c>
      <c r="B1310" t="s">
        <v>422</v>
      </c>
      <c r="C1310" t="s">
        <v>2180</v>
      </c>
      <c r="D1310" t="s">
        <v>6</v>
      </c>
      <c r="E1310" t="s">
        <v>193</v>
      </c>
      <c r="F1310" t="s">
        <v>37</v>
      </c>
    </row>
    <row r="1311" spans="1:6" outlineLevel="3" x14ac:dyDescent="0.25">
      <c r="A1311" s="4" t="s">
        <v>421</v>
      </c>
      <c r="B1311" t="s">
        <v>422</v>
      </c>
      <c r="C1311" t="s">
        <v>2181</v>
      </c>
      <c r="D1311" t="s">
        <v>437</v>
      </c>
      <c r="E1311" t="s">
        <v>193</v>
      </c>
      <c r="F1311" t="s">
        <v>37</v>
      </c>
    </row>
    <row r="1312" spans="1:6" outlineLevel="3" x14ac:dyDescent="0.25">
      <c r="A1312" s="4" t="s">
        <v>421</v>
      </c>
      <c r="B1312" t="s">
        <v>422</v>
      </c>
      <c r="C1312" t="s">
        <v>2182</v>
      </c>
      <c r="D1312" t="s">
        <v>6</v>
      </c>
      <c r="E1312" t="s">
        <v>193</v>
      </c>
      <c r="F1312" t="s">
        <v>37</v>
      </c>
    </row>
    <row r="1313" spans="1:6" outlineLevel="3" x14ac:dyDescent="0.25">
      <c r="A1313" s="4" t="s">
        <v>421</v>
      </c>
      <c r="B1313" t="s">
        <v>422</v>
      </c>
      <c r="C1313" t="s">
        <v>2183</v>
      </c>
      <c r="D1313" t="s">
        <v>119</v>
      </c>
      <c r="E1313" t="s">
        <v>193</v>
      </c>
      <c r="F1313" t="s">
        <v>37</v>
      </c>
    </row>
    <row r="1314" spans="1:6" outlineLevel="3" x14ac:dyDescent="0.25">
      <c r="A1314" s="4" t="s">
        <v>421</v>
      </c>
      <c r="B1314" t="s">
        <v>422</v>
      </c>
      <c r="C1314" t="s">
        <v>2184</v>
      </c>
      <c r="D1314" t="s">
        <v>13</v>
      </c>
      <c r="E1314" t="s">
        <v>193</v>
      </c>
      <c r="F1314" t="s">
        <v>37</v>
      </c>
    </row>
    <row r="1315" spans="1:6" outlineLevel="3" x14ac:dyDescent="0.25">
      <c r="A1315" s="4" t="s">
        <v>421</v>
      </c>
      <c r="B1315" t="s">
        <v>422</v>
      </c>
      <c r="C1315" t="s">
        <v>2185</v>
      </c>
      <c r="D1315" t="s">
        <v>6</v>
      </c>
      <c r="E1315" t="s">
        <v>193</v>
      </c>
      <c r="F1315" t="s">
        <v>37</v>
      </c>
    </row>
    <row r="1316" spans="1:6" outlineLevel="3" x14ac:dyDescent="0.25">
      <c r="A1316" s="4" t="s">
        <v>421</v>
      </c>
      <c r="B1316" t="s">
        <v>422</v>
      </c>
      <c r="C1316" t="s">
        <v>2186</v>
      </c>
      <c r="D1316" t="s">
        <v>119</v>
      </c>
      <c r="E1316" t="s">
        <v>193</v>
      </c>
      <c r="F1316" t="s">
        <v>37</v>
      </c>
    </row>
    <row r="1317" spans="1:6" outlineLevel="3" x14ac:dyDescent="0.25">
      <c r="A1317" s="4" t="s">
        <v>421</v>
      </c>
      <c r="B1317" t="s">
        <v>422</v>
      </c>
      <c r="C1317" t="s">
        <v>2187</v>
      </c>
      <c r="D1317" t="s">
        <v>6</v>
      </c>
      <c r="E1317" t="s">
        <v>193</v>
      </c>
      <c r="F1317" t="s">
        <v>37</v>
      </c>
    </row>
    <row r="1318" spans="1:6" outlineLevel="3" x14ac:dyDescent="0.25">
      <c r="A1318" s="4" t="s">
        <v>421</v>
      </c>
      <c r="B1318" t="s">
        <v>422</v>
      </c>
      <c r="C1318" t="s">
        <v>1816</v>
      </c>
      <c r="D1318" t="s">
        <v>165</v>
      </c>
      <c r="E1318" t="s">
        <v>193</v>
      </c>
      <c r="F1318" t="s">
        <v>37</v>
      </c>
    </row>
    <row r="1319" spans="1:6" outlineLevel="3" x14ac:dyDescent="0.25">
      <c r="A1319" s="4" t="s">
        <v>421</v>
      </c>
      <c r="B1319" t="s">
        <v>422</v>
      </c>
      <c r="C1319" t="s">
        <v>2188</v>
      </c>
      <c r="D1319" t="s">
        <v>202</v>
      </c>
      <c r="E1319" t="s">
        <v>193</v>
      </c>
      <c r="F1319" t="s">
        <v>37</v>
      </c>
    </row>
    <row r="1320" spans="1:6" outlineLevel="3" x14ac:dyDescent="0.25">
      <c r="A1320" s="4" t="s">
        <v>421</v>
      </c>
      <c r="B1320" t="s">
        <v>422</v>
      </c>
      <c r="C1320" t="s">
        <v>2189</v>
      </c>
      <c r="D1320" t="s">
        <v>13</v>
      </c>
      <c r="E1320" t="s">
        <v>193</v>
      </c>
      <c r="F1320" t="s">
        <v>37</v>
      </c>
    </row>
    <row r="1321" spans="1:6" outlineLevel="3" x14ac:dyDescent="0.25">
      <c r="A1321" s="4" t="s">
        <v>421</v>
      </c>
      <c r="B1321" t="s">
        <v>422</v>
      </c>
      <c r="C1321" t="s">
        <v>2190</v>
      </c>
      <c r="D1321" t="s">
        <v>6</v>
      </c>
      <c r="E1321" t="s">
        <v>193</v>
      </c>
      <c r="F1321" t="s">
        <v>37</v>
      </c>
    </row>
    <row r="1322" spans="1:6" outlineLevel="3" x14ac:dyDescent="0.25">
      <c r="A1322" s="4" t="s">
        <v>421</v>
      </c>
      <c r="B1322" t="s">
        <v>422</v>
      </c>
      <c r="C1322" t="s">
        <v>1817</v>
      </c>
      <c r="D1322" t="s">
        <v>76</v>
      </c>
      <c r="E1322" t="s">
        <v>193</v>
      </c>
      <c r="F1322" t="s">
        <v>37</v>
      </c>
    </row>
    <row r="1323" spans="1:6" outlineLevel="3" x14ac:dyDescent="0.25">
      <c r="A1323" s="4" t="s">
        <v>421</v>
      </c>
      <c r="B1323" t="s">
        <v>422</v>
      </c>
      <c r="C1323" t="s">
        <v>2191</v>
      </c>
      <c r="D1323" t="s">
        <v>6</v>
      </c>
      <c r="E1323" t="s">
        <v>193</v>
      </c>
      <c r="F1323" t="s">
        <v>37</v>
      </c>
    </row>
    <row r="1324" spans="1:6" outlineLevel="3" x14ac:dyDescent="0.25">
      <c r="A1324" s="4" t="s">
        <v>421</v>
      </c>
      <c r="B1324" t="s">
        <v>422</v>
      </c>
      <c r="C1324" t="s">
        <v>2192</v>
      </c>
      <c r="D1324" t="s">
        <v>6</v>
      </c>
      <c r="E1324" t="s">
        <v>193</v>
      </c>
      <c r="F1324" t="s">
        <v>37</v>
      </c>
    </row>
    <row r="1325" spans="1:6" outlineLevel="3" x14ac:dyDescent="0.25">
      <c r="A1325" s="4" t="s">
        <v>421</v>
      </c>
      <c r="B1325" t="s">
        <v>422</v>
      </c>
      <c r="C1325" t="s">
        <v>1818</v>
      </c>
      <c r="D1325" t="s">
        <v>76</v>
      </c>
      <c r="E1325" t="s">
        <v>193</v>
      </c>
      <c r="F1325" t="s">
        <v>37</v>
      </c>
    </row>
    <row r="1326" spans="1:6" outlineLevel="3" x14ac:dyDescent="0.25">
      <c r="A1326" s="4" t="s">
        <v>421</v>
      </c>
      <c r="B1326" t="s">
        <v>422</v>
      </c>
      <c r="C1326" t="s">
        <v>2193</v>
      </c>
      <c r="D1326" t="s">
        <v>67</v>
      </c>
      <c r="E1326" t="s">
        <v>193</v>
      </c>
      <c r="F1326" t="s">
        <v>37</v>
      </c>
    </row>
    <row r="1327" spans="1:6" outlineLevel="3" x14ac:dyDescent="0.25">
      <c r="A1327" s="4" t="s">
        <v>421</v>
      </c>
      <c r="B1327" t="s">
        <v>422</v>
      </c>
      <c r="C1327" t="s">
        <v>2194</v>
      </c>
      <c r="D1327" t="s">
        <v>165</v>
      </c>
      <c r="E1327" t="s">
        <v>193</v>
      </c>
      <c r="F1327" t="s">
        <v>37</v>
      </c>
    </row>
    <row r="1328" spans="1:6" outlineLevel="3" x14ac:dyDescent="0.25">
      <c r="A1328" s="4" t="s">
        <v>421</v>
      </c>
      <c r="B1328" t="s">
        <v>422</v>
      </c>
      <c r="C1328" t="s">
        <v>2195</v>
      </c>
      <c r="D1328" t="s">
        <v>190</v>
      </c>
      <c r="E1328" t="s">
        <v>193</v>
      </c>
      <c r="F1328" t="s">
        <v>37</v>
      </c>
    </row>
    <row r="1329" spans="1:6" outlineLevel="3" x14ac:dyDescent="0.25">
      <c r="A1329" s="4" t="s">
        <v>421</v>
      </c>
      <c r="B1329" t="s">
        <v>422</v>
      </c>
      <c r="C1329" t="s">
        <v>1819</v>
      </c>
      <c r="D1329" t="s">
        <v>76</v>
      </c>
      <c r="E1329" t="s">
        <v>193</v>
      </c>
      <c r="F1329" t="s">
        <v>37</v>
      </c>
    </row>
    <row r="1330" spans="1:6" outlineLevel="3" x14ac:dyDescent="0.25">
      <c r="A1330" s="4" t="s">
        <v>421</v>
      </c>
      <c r="B1330" t="s">
        <v>422</v>
      </c>
      <c r="C1330" t="s">
        <v>2196</v>
      </c>
      <c r="D1330" t="s">
        <v>237</v>
      </c>
      <c r="E1330" t="s">
        <v>193</v>
      </c>
      <c r="F1330" t="s">
        <v>37</v>
      </c>
    </row>
    <row r="1331" spans="1:6" outlineLevel="3" x14ac:dyDescent="0.25">
      <c r="A1331" s="4" t="s">
        <v>421</v>
      </c>
      <c r="B1331" t="s">
        <v>422</v>
      </c>
      <c r="C1331" t="s">
        <v>2197</v>
      </c>
      <c r="D1331" t="s">
        <v>67</v>
      </c>
      <c r="E1331" t="s">
        <v>193</v>
      </c>
      <c r="F1331" t="s">
        <v>37</v>
      </c>
    </row>
    <row r="1332" spans="1:6" outlineLevel="3" x14ac:dyDescent="0.25">
      <c r="A1332" s="4" t="s">
        <v>421</v>
      </c>
      <c r="B1332" t="s">
        <v>422</v>
      </c>
      <c r="C1332" t="s">
        <v>2198</v>
      </c>
      <c r="D1332" t="s">
        <v>437</v>
      </c>
      <c r="E1332" t="s">
        <v>193</v>
      </c>
      <c r="F1332" t="s">
        <v>37</v>
      </c>
    </row>
    <row r="1333" spans="1:6" outlineLevel="3" x14ac:dyDescent="0.25">
      <c r="A1333" s="4" t="s">
        <v>421</v>
      </c>
      <c r="B1333" t="s">
        <v>422</v>
      </c>
      <c r="C1333" t="s">
        <v>2199</v>
      </c>
      <c r="D1333" t="s">
        <v>190</v>
      </c>
      <c r="E1333" t="s">
        <v>193</v>
      </c>
      <c r="F1333" t="s">
        <v>37</v>
      </c>
    </row>
    <row r="1334" spans="1:6" outlineLevel="3" x14ac:dyDescent="0.25">
      <c r="A1334" s="4" t="s">
        <v>421</v>
      </c>
      <c r="B1334" t="s">
        <v>422</v>
      </c>
      <c r="C1334" t="s">
        <v>2200</v>
      </c>
      <c r="D1334" t="s">
        <v>190</v>
      </c>
      <c r="E1334" t="s">
        <v>193</v>
      </c>
      <c r="F1334" t="s">
        <v>37</v>
      </c>
    </row>
    <row r="1335" spans="1:6" outlineLevel="3" x14ac:dyDescent="0.25">
      <c r="A1335" s="4" t="s">
        <v>421</v>
      </c>
      <c r="B1335" t="s">
        <v>422</v>
      </c>
      <c r="C1335" t="s">
        <v>2201</v>
      </c>
      <c r="D1335" t="s">
        <v>165</v>
      </c>
      <c r="E1335" t="s">
        <v>193</v>
      </c>
      <c r="F1335" t="s">
        <v>37</v>
      </c>
    </row>
    <row r="1336" spans="1:6" outlineLevel="3" x14ac:dyDescent="0.25">
      <c r="A1336" s="4" t="s">
        <v>421</v>
      </c>
      <c r="B1336" t="s">
        <v>422</v>
      </c>
      <c r="C1336" t="s">
        <v>2202</v>
      </c>
      <c r="D1336" t="s">
        <v>65</v>
      </c>
      <c r="E1336" t="s">
        <v>193</v>
      </c>
      <c r="F1336" t="s">
        <v>37</v>
      </c>
    </row>
    <row r="1337" spans="1:6" outlineLevel="3" x14ac:dyDescent="0.25">
      <c r="A1337" s="4" t="s">
        <v>421</v>
      </c>
      <c r="B1337" t="s">
        <v>422</v>
      </c>
      <c r="C1337" t="s">
        <v>2203</v>
      </c>
      <c r="D1337" t="s">
        <v>202</v>
      </c>
      <c r="E1337" t="s">
        <v>193</v>
      </c>
      <c r="F1337" t="s">
        <v>37</v>
      </c>
    </row>
    <row r="1338" spans="1:6" outlineLevel="3" x14ac:dyDescent="0.25">
      <c r="A1338" s="4" t="s">
        <v>421</v>
      </c>
      <c r="B1338" t="s">
        <v>422</v>
      </c>
      <c r="C1338" t="s">
        <v>2204</v>
      </c>
      <c r="D1338" t="s">
        <v>13</v>
      </c>
      <c r="E1338" t="s">
        <v>193</v>
      </c>
      <c r="F1338" t="s">
        <v>37</v>
      </c>
    </row>
    <row r="1339" spans="1:6" outlineLevel="3" x14ac:dyDescent="0.25">
      <c r="A1339" s="4" t="s">
        <v>421</v>
      </c>
      <c r="B1339" t="s">
        <v>422</v>
      </c>
      <c r="C1339" t="s">
        <v>2205</v>
      </c>
      <c r="D1339" t="s">
        <v>147</v>
      </c>
      <c r="E1339" t="s">
        <v>193</v>
      </c>
      <c r="F1339" t="s">
        <v>37</v>
      </c>
    </row>
    <row r="1340" spans="1:6" outlineLevel="3" x14ac:dyDescent="0.25">
      <c r="A1340" s="4" t="s">
        <v>421</v>
      </c>
      <c r="B1340" t="s">
        <v>422</v>
      </c>
      <c r="C1340" t="s">
        <v>2206</v>
      </c>
      <c r="D1340" t="s">
        <v>202</v>
      </c>
      <c r="E1340" t="s">
        <v>195</v>
      </c>
      <c r="F1340" t="s">
        <v>37</v>
      </c>
    </row>
    <row r="1341" spans="1:6" outlineLevel="3" x14ac:dyDescent="0.25">
      <c r="A1341" s="4" t="s">
        <v>421</v>
      </c>
      <c r="B1341" t="s">
        <v>422</v>
      </c>
      <c r="C1341" t="s">
        <v>2207</v>
      </c>
      <c r="D1341" t="s">
        <v>119</v>
      </c>
      <c r="E1341" t="s">
        <v>195</v>
      </c>
      <c r="F1341" t="s">
        <v>37</v>
      </c>
    </row>
    <row r="1342" spans="1:6" outlineLevel="3" x14ac:dyDescent="0.25">
      <c r="A1342" s="4" t="s">
        <v>421</v>
      </c>
      <c r="B1342" t="s">
        <v>422</v>
      </c>
      <c r="C1342" t="s">
        <v>2208</v>
      </c>
      <c r="D1342" t="s">
        <v>6</v>
      </c>
      <c r="E1342" t="s">
        <v>195</v>
      </c>
      <c r="F1342" t="s">
        <v>37</v>
      </c>
    </row>
    <row r="1343" spans="1:6" outlineLevel="3" x14ac:dyDescent="0.25">
      <c r="A1343" s="4" t="s">
        <v>421</v>
      </c>
      <c r="B1343" t="s">
        <v>422</v>
      </c>
      <c r="C1343" t="s">
        <v>2268</v>
      </c>
      <c r="D1343" t="s">
        <v>6</v>
      </c>
      <c r="E1343" t="s">
        <v>137</v>
      </c>
      <c r="F1343" t="s">
        <v>37</v>
      </c>
    </row>
    <row r="1344" spans="1:6" outlineLevel="3" x14ac:dyDescent="0.25">
      <c r="A1344" s="4" t="s">
        <v>421</v>
      </c>
      <c r="B1344" t="s">
        <v>422</v>
      </c>
      <c r="C1344" t="s">
        <v>2269</v>
      </c>
      <c r="D1344" t="s">
        <v>13</v>
      </c>
      <c r="E1344" t="s">
        <v>137</v>
      </c>
      <c r="F1344" t="s">
        <v>37</v>
      </c>
    </row>
    <row r="1345" spans="1:6" outlineLevel="3" x14ac:dyDescent="0.25">
      <c r="A1345" s="4" t="s">
        <v>421</v>
      </c>
      <c r="B1345" t="s">
        <v>422</v>
      </c>
      <c r="C1345" t="s">
        <v>2270</v>
      </c>
      <c r="D1345" t="s">
        <v>13</v>
      </c>
      <c r="E1345" t="s">
        <v>137</v>
      </c>
      <c r="F1345" t="s">
        <v>37</v>
      </c>
    </row>
    <row r="1346" spans="1:6" outlineLevel="3" x14ac:dyDescent="0.25">
      <c r="A1346" s="4" t="s">
        <v>421</v>
      </c>
      <c r="B1346" t="s">
        <v>422</v>
      </c>
      <c r="C1346" t="s">
        <v>2271</v>
      </c>
      <c r="D1346" t="s">
        <v>437</v>
      </c>
      <c r="E1346" t="s">
        <v>137</v>
      </c>
      <c r="F1346" t="s">
        <v>37</v>
      </c>
    </row>
    <row r="1347" spans="1:6" outlineLevel="3" x14ac:dyDescent="0.25">
      <c r="A1347" s="4" t="s">
        <v>421</v>
      </c>
      <c r="B1347" t="s">
        <v>422</v>
      </c>
      <c r="C1347" t="s">
        <v>2272</v>
      </c>
      <c r="D1347" t="s">
        <v>126</v>
      </c>
      <c r="E1347" t="s">
        <v>137</v>
      </c>
      <c r="F1347" t="s">
        <v>37</v>
      </c>
    </row>
    <row r="1348" spans="1:6" outlineLevel="3" x14ac:dyDescent="0.25">
      <c r="A1348" s="4" t="s">
        <v>421</v>
      </c>
      <c r="B1348" t="s">
        <v>422</v>
      </c>
      <c r="C1348" t="s">
        <v>2273</v>
      </c>
      <c r="D1348" t="s">
        <v>103</v>
      </c>
      <c r="E1348" t="s">
        <v>137</v>
      </c>
      <c r="F1348" t="s">
        <v>37</v>
      </c>
    </row>
    <row r="1349" spans="1:6" outlineLevel="3" x14ac:dyDescent="0.25">
      <c r="A1349" s="4" t="s">
        <v>421</v>
      </c>
      <c r="B1349" t="s">
        <v>422</v>
      </c>
      <c r="C1349" t="s">
        <v>2274</v>
      </c>
      <c r="D1349" t="s">
        <v>119</v>
      </c>
      <c r="E1349" t="s">
        <v>137</v>
      </c>
      <c r="F1349" t="s">
        <v>37</v>
      </c>
    </row>
    <row r="1350" spans="1:6" outlineLevel="3" x14ac:dyDescent="0.25">
      <c r="A1350" s="4" t="s">
        <v>421</v>
      </c>
      <c r="B1350" t="s">
        <v>422</v>
      </c>
      <c r="C1350" t="s">
        <v>2275</v>
      </c>
      <c r="D1350" t="s">
        <v>437</v>
      </c>
      <c r="E1350" t="s">
        <v>137</v>
      </c>
      <c r="F1350" t="s">
        <v>37</v>
      </c>
    </row>
    <row r="1351" spans="1:6" outlineLevel="3" x14ac:dyDescent="0.25">
      <c r="A1351" s="4" t="s">
        <v>421</v>
      </c>
      <c r="B1351" t="s">
        <v>422</v>
      </c>
      <c r="C1351" t="s">
        <v>2276</v>
      </c>
      <c r="D1351" t="s">
        <v>67</v>
      </c>
      <c r="E1351" t="s">
        <v>137</v>
      </c>
      <c r="F1351" t="s">
        <v>37</v>
      </c>
    </row>
    <row r="1352" spans="1:6" outlineLevel="3" x14ac:dyDescent="0.25">
      <c r="A1352" s="4" t="s">
        <v>421</v>
      </c>
      <c r="B1352" t="s">
        <v>422</v>
      </c>
      <c r="C1352" t="s">
        <v>2277</v>
      </c>
      <c r="D1352" t="s">
        <v>65</v>
      </c>
      <c r="E1352" t="s">
        <v>137</v>
      </c>
      <c r="F1352" t="s">
        <v>37</v>
      </c>
    </row>
    <row r="1353" spans="1:6" outlineLevel="3" x14ac:dyDescent="0.25">
      <c r="A1353" s="4" t="s">
        <v>421</v>
      </c>
      <c r="B1353" t="s">
        <v>422</v>
      </c>
      <c r="C1353" t="s">
        <v>2278</v>
      </c>
      <c r="D1353" t="s">
        <v>44</v>
      </c>
      <c r="E1353" t="s">
        <v>137</v>
      </c>
      <c r="F1353" t="s">
        <v>37</v>
      </c>
    </row>
    <row r="1354" spans="1:6" outlineLevel="3" x14ac:dyDescent="0.25">
      <c r="A1354" s="4" t="s">
        <v>421</v>
      </c>
      <c r="B1354" t="s">
        <v>422</v>
      </c>
      <c r="C1354" t="s">
        <v>2279</v>
      </c>
      <c r="D1354" t="s">
        <v>437</v>
      </c>
      <c r="E1354" t="s">
        <v>137</v>
      </c>
      <c r="F1354" t="s">
        <v>37</v>
      </c>
    </row>
    <row r="1355" spans="1:6" outlineLevel="3" x14ac:dyDescent="0.25">
      <c r="A1355" s="4" t="s">
        <v>421</v>
      </c>
      <c r="B1355" t="s">
        <v>422</v>
      </c>
      <c r="C1355" t="s">
        <v>2280</v>
      </c>
      <c r="D1355" t="s">
        <v>76</v>
      </c>
      <c r="E1355" t="s">
        <v>137</v>
      </c>
      <c r="F1355" t="s">
        <v>37</v>
      </c>
    </row>
    <row r="1356" spans="1:6" outlineLevel="3" x14ac:dyDescent="0.25">
      <c r="A1356" s="4" t="s">
        <v>421</v>
      </c>
      <c r="B1356" t="s">
        <v>422</v>
      </c>
      <c r="C1356" t="s">
        <v>2281</v>
      </c>
      <c r="D1356" t="s">
        <v>6</v>
      </c>
      <c r="E1356" t="s">
        <v>137</v>
      </c>
      <c r="F1356" t="s">
        <v>37</v>
      </c>
    </row>
    <row r="1357" spans="1:6" outlineLevel="3" x14ac:dyDescent="0.25">
      <c r="A1357" s="4" t="s">
        <v>421</v>
      </c>
      <c r="B1357" t="s">
        <v>422</v>
      </c>
      <c r="C1357" t="s">
        <v>2282</v>
      </c>
      <c r="D1357" t="s">
        <v>165</v>
      </c>
      <c r="E1357" t="s">
        <v>137</v>
      </c>
      <c r="F1357" t="s">
        <v>37</v>
      </c>
    </row>
    <row r="1358" spans="1:6" outlineLevel="3" x14ac:dyDescent="0.25">
      <c r="A1358" s="4" t="s">
        <v>421</v>
      </c>
      <c r="B1358" t="s">
        <v>422</v>
      </c>
      <c r="C1358" t="s">
        <v>2283</v>
      </c>
      <c r="D1358" t="s">
        <v>65</v>
      </c>
      <c r="E1358" t="s">
        <v>137</v>
      </c>
      <c r="F1358" t="s">
        <v>37</v>
      </c>
    </row>
    <row r="1359" spans="1:6" outlineLevel="3" x14ac:dyDescent="0.25">
      <c r="A1359" s="4" t="s">
        <v>421</v>
      </c>
      <c r="B1359" t="s">
        <v>422</v>
      </c>
      <c r="C1359" t="s">
        <v>2284</v>
      </c>
      <c r="D1359" t="s">
        <v>44</v>
      </c>
      <c r="E1359" t="s">
        <v>137</v>
      </c>
      <c r="F1359" t="s">
        <v>37</v>
      </c>
    </row>
    <row r="1360" spans="1:6" outlineLevel="3" x14ac:dyDescent="0.25">
      <c r="A1360" s="4" t="s">
        <v>421</v>
      </c>
      <c r="B1360" t="s">
        <v>422</v>
      </c>
      <c r="C1360" t="s">
        <v>2285</v>
      </c>
      <c r="D1360" t="s">
        <v>44</v>
      </c>
      <c r="E1360" t="s">
        <v>137</v>
      </c>
      <c r="F1360" t="s">
        <v>37</v>
      </c>
    </row>
    <row r="1361" spans="1:6" outlineLevel="3" x14ac:dyDescent="0.25">
      <c r="A1361" s="4" t="s">
        <v>421</v>
      </c>
      <c r="B1361" t="s">
        <v>422</v>
      </c>
      <c r="C1361" t="s">
        <v>2286</v>
      </c>
      <c r="D1361" t="s">
        <v>76</v>
      </c>
      <c r="E1361" t="s">
        <v>137</v>
      </c>
      <c r="F1361" t="s">
        <v>37</v>
      </c>
    </row>
    <row r="1362" spans="1:6" outlineLevel="3" x14ac:dyDescent="0.25">
      <c r="A1362" s="4" t="s">
        <v>421</v>
      </c>
      <c r="B1362" t="s">
        <v>422</v>
      </c>
      <c r="C1362" t="s">
        <v>2287</v>
      </c>
      <c r="D1362" t="s">
        <v>119</v>
      </c>
      <c r="E1362" t="s">
        <v>137</v>
      </c>
      <c r="F1362" t="s">
        <v>37</v>
      </c>
    </row>
    <row r="1363" spans="1:6" outlineLevel="3" x14ac:dyDescent="0.25">
      <c r="A1363" s="4" t="s">
        <v>421</v>
      </c>
      <c r="B1363" t="s">
        <v>422</v>
      </c>
      <c r="C1363" t="s">
        <v>2288</v>
      </c>
      <c r="D1363" t="s">
        <v>126</v>
      </c>
      <c r="E1363" t="s">
        <v>137</v>
      </c>
      <c r="F1363" t="s">
        <v>37</v>
      </c>
    </row>
    <row r="1364" spans="1:6" outlineLevel="3" x14ac:dyDescent="0.25">
      <c r="A1364" s="4" t="s">
        <v>421</v>
      </c>
      <c r="B1364" t="s">
        <v>422</v>
      </c>
      <c r="C1364" t="s">
        <v>2289</v>
      </c>
      <c r="D1364" t="s">
        <v>126</v>
      </c>
      <c r="E1364" t="s">
        <v>137</v>
      </c>
      <c r="F1364" t="s">
        <v>37</v>
      </c>
    </row>
    <row r="1365" spans="1:6" outlineLevel="3" x14ac:dyDescent="0.25">
      <c r="A1365" s="4" t="s">
        <v>421</v>
      </c>
      <c r="B1365" t="s">
        <v>422</v>
      </c>
      <c r="C1365" t="s">
        <v>2290</v>
      </c>
      <c r="D1365" t="s">
        <v>435</v>
      </c>
      <c r="E1365" t="s">
        <v>137</v>
      </c>
      <c r="F1365" t="s">
        <v>37</v>
      </c>
    </row>
    <row r="1366" spans="1:6" outlineLevel="3" x14ac:dyDescent="0.25">
      <c r="A1366" s="4" t="s">
        <v>421</v>
      </c>
      <c r="B1366" t="s">
        <v>422</v>
      </c>
      <c r="C1366" t="s">
        <v>2291</v>
      </c>
      <c r="D1366" t="s">
        <v>124</v>
      </c>
      <c r="E1366" t="s">
        <v>137</v>
      </c>
      <c r="F1366" t="s">
        <v>37</v>
      </c>
    </row>
    <row r="1367" spans="1:6" outlineLevel="3" x14ac:dyDescent="0.25">
      <c r="A1367" s="4" t="s">
        <v>421</v>
      </c>
      <c r="B1367" t="s">
        <v>422</v>
      </c>
      <c r="C1367" t="s">
        <v>2292</v>
      </c>
      <c r="D1367" t="s">
        <v>124</v>
      </c>
      <c r="E1367" t="s">
        <v>137</v>
      </c>
      <c r="F1367" t="s">
        <v>37</v>
      </c>
    </row>
    <row r="1368" spans="1:6" outlineLevel="3" x14ac:dyDescent="0.25">
      <c r="A1368" s="4" t="s">
        <v>421</v>
      </c>
      <c r="B1368" t="s">
        <v>422</v>
      </c>
      <c r="C1368" t="s">
        <v>2293</v>
      </c>
      <c r="D1368" t="s">
        <v>119</v>
      </c>
      <c r="E1368" t="s">
        <v>137</v>
      </c>
      <c r="F1368" t="s">
        <v>37</v>
      </c>
    </row>
    <row r="1369" spans="1:6" outlineLevel="3" x14ac:dyDescent="0.25">
      <c r="A1369" s="4" t="s">
        <v>421</v>
      </c>
      <c r="B1369" t="s">
        <v>422</v>
      </c>
      <c r="C1369" t="s">
        <v>2294</v>
      </c>
      <c r="D1369" t="s">
        <v>119</v>
      </c>
      <c r="E1369" t="s">
        <v>137</v>
      </c>
      <c r="F1369" t="s">
        <v>37</v>
      </c>
    </row>
    <row r="1370" spans="1:6" outlineLevel="3" x14ac:dyDescent="0.25">
      <c r="A1370" s="4" t="s">
        <v>421</v>
      </c>
      <c r="B1370" t="s">
        <v>422</v>
      </c>
      <c r="C1370" t="s">
        <v>2295</v>
      </c>
      <c r="D1370" t="s">
        <v>76</v>
      </c>
      <c r="E1370" t="s">
        <v>137</v>
      </c>
      <c r="F1370" t="s">
        <v>37</v>
      </c>
    </row>
    <row r="1371" spans="1:6" outlineLevel="3" x14ac:dyDescent="0.25">
      <c r="A1371" s="4" t="s">
        <v>421</v>
      </c>
      <c r="B1371" t="s">
        <v>422</v>
      </c>
      <c r="C1371" t="s">
        <v>2296</v>
      </c>
      <c r="D1371" t="s">
        <v>147</v>
      </c>
      <c r="E1371" t="s">
        <v>137</v>
      </c>
      <c r="F1371" t="s">
        <v>37</v>
      </c>
    </row>
    <row r="1372" spans="1:6" outlineLevel="3" x14ac:dyDescent="0.25">
      <c r="A1372" s="4" t="s">
        <v>421</v>
      </c>
      <c r="B1372" t="s">
        <v>422</v>
      </c>
      <c r="C1372" t="s">
        <v>2297</v>
      </c>
      <c r="D1372" t="s">
        <v>437</v>
      </c>
      <c r="E1372" t="s">
        <v>137</v>
      </c>
      <c r="F1372" t="s">
        <v>37</v>
      </c>
    </row>
    <row r="1373" spans="1:6" outlineLevel="3" x14ac:dyDescent="0.25">
      <c r="A1373" s="4" t="s">
        <v>421</v>
      </c>
      <c r="B1373" t="s">
        <v>422</v>
      </c>
      <c r="C1373" t="s">
        <v>2298</v>
      </c>
      <c r="D1373" t="s">
        <v>6</v>
      </c>
      <c r="E1373" t="s">
        <v>137</v>
      </c>
      <c r="F1373" t="s">
        <v>37</v>
      </c>
    </row>
    <row r="1374" spans="1:6" outlineLevel="3" x14ac:dyDescent="0.25">
      <c r="A1374" s="4" t="s">
        <v>421</v>
      </c>
      <c r="B1374" t="s">
        <v>422</v>
      </c>
      <c r="C1374" t="s">
        <v>2299</v>
      </c>
      <c r="D1374" t="s">
        <v>76</v>
      </c>
      <c r="E1374" t="s">
        <v>137</v>
      </c>
      <c r="F1374" t="s">
        <v>37</v>
      </c>
    </row>
    <row r="1375" spans="1:6" outlineLevel="3" x14ac:dyDescent="0.25">
      <c r="A1375" s="4" t="s">
        <v>421</v>
      </c>
      <c r="B1375" t="s">
        <v>422</v>
      </c>
      <c r="C1375" t="s">
        <v>2300</v>
      </c>
      <c r="D1375" t="s">
        <v>65</v>
      </c>
      <c r="E1375" t="s">
        <v>137</v>
      </c>
      <c r="F1375" t="s">
        <v>37</v>
      </c>
    </row>
    <row r="1376" spans="1:6" outlineLevel="3" x14ac:dyDescent="0.25">
      <c r="A1376" s="4" t="s">
        <v>421</v>
      </c>
      <c r="B1376" t="s">
        <v>422</v>
      </c>
      <c r="C1376" t="s">
        <v>2301</v>
      </c>
      <c r="D1376" t="s">
        <v>119</v>
      </c>
      <c r="E1376" t="s">
        <v>137</v>
      </c>
      <c r="F1376" t="s">
        <v>37</v>
      </c>
    </row>
    <row r="1377" spans="1:6" outlineLevel="3" x14ac:dyDescent="0.25">
      <c r="A1377" s="4" t="s">
        <v>421</v>
      </c>
      <c r="B1377" t="s">
        <v>422</v>
      </c>
      <c r="C1377" t="s">
        <v>2302</v>
      </c>
      <c r="D1377" t="s">
        <v>44</v>
      </c>
      <c r="E1377" t="s">
        <v>137</v>
      </c>
      <c r="F1377" t="s">
        <v>37</v>
      </c>
    </row>
    <row r="1378" spans="1:6" outlineLevel="3" x14ac:dyDescent="0.25">
      <c r="A1378" s="4" t="s">
        <v>421</v>
      </c>
      <c r="B1378" t="s">
        <v>422</v>
      </c>
      <c r="C1378" t="s">
        <v>2303</v>
      </c>
      <c r="D1378" t="s">
        <v>165</v>
      </c>
      <c r="E1378" t="s">
        <v>137</v>
      </c>
      <c r="F1378" t="s">
        <v>37</v>
      </c>
    </row>
    <row r="1379" spans="1:6" outlineLevel="3" x14ac:dyDescent="0.25">
      <c r="A1379" s="4" t="s">
        <v>421</v>
      </c>
      <c r="B1379" t="s">
        <v>422</v>
      </c>
      <c r="C1379" t="s">
        <v>2304</v>
      </c>
      <c r="D1379" t="s">
        <v>124</v>
      </c>
      <c r="E1379" t="s">
        <v>137</v>
      </c>
      <c r="F1379" t="s">
        <v>37</v>
      </c>
    </row>
    <row r="1380" spans="1:6" outlineLevel="3" x14ac:dyDescent="0.25">
      <c r="A1380" s="4" t="s">
        <v>421</v>
      </c>
      <c r="B1380" t="s">
        <v>422</v>
      </c>
      <c r="C1380" t="s">
        <v>2305</v>
      </c>
      <c r="D1380" t="s">
        <v>89</v>
      </c>
      <c r="E1380" t="s">
        <v>137</v>
      </c>
      <c r="F1380" t="s">
        <v>37</v>
      </c>
    </row>
    <row r="1381" spans="1:6" outlineLevel="3" x14ac:dyDescent="0.25">
      <c r="A1381" s="4" t="s">
        <v>421</v>
      </c>
      <c r="B1381" t="s">
        <v>422</v>
      </c>
      <c r="C1381" t="s">
        <v>2306</v>
      </c>
      <c r="D1381" t="s">
        <v>437</v>
      </c>
      <c r="E1381" t="s">
        <v>137</v>
      </c>
      <c r="F1381" t="s">
        <v>37</v>
      </c>
    </row>
    <row r="1382" spans="1:6" outlineLevel="3" x14ac:dyDescent="0.25">
      <c r="A1382" s="4" t="s">
        <v>421</v>
      </c>
      <c r="B1382" t="s">
        <v>422</v>
      </c>
      <c r="C1382" t="s">
        <v>2307</v>
      </c>
      <c r="D1382" t="s">
        <v>437</v>
      </c>
      <c r="E1382" t="s">
        <v>137</v>
      </c>
      <c r="F1382" t="s">
        <v>37</v>
      </c>
    </row>
    <row r="1383" spans="1:6" outlineLevel="3" x14ac:dyDescent="0.25">
      <c r="A1383" s="4" t="s">
        <v>421</v>
      </c>
      <c r="B1383" t="s">
        <v>422</v>
      </c>
      <c r="C1383" t="s">
        <v>2308</v>
      </c>
      <c r="D1383" t="s">
        <v>119</v>
      </c>
      <c r="E1383" t="s">
        <v>137</v>
      </c>
      <c r="F1383" t="s">
        <v>37</v>
      </c>
    </row>
    <row r="1384" spans="1:6" outlineLevel="3" x14ac:dyDescent="0.25">
      <c r="A1384" s="4" t="s">
        <v>421</v>
      </c>
      <c r="B1384" t="s">
        <v>422</v>
      </c>
      <c r="C1384" t="s">
        <v>2309</v>
      </c>
      <c r="D1384" t="s">
        <v>237</v>
      </c>
      <c r="E1384" t="s">
        <v>137</v>
      </c>
      <c r="F1384" t="s">
        <v>37</v>
      </c>
    </row>
    <row r="1385" spans="1:6" outlineLevel="3" x14ac:dyDescent="0.25">
      <c r="A1385" s="4" t="s">
        <v>421</v>
      </c>
      <c r="B1385" t="s">
        <v>422</v>
      </c>
      <c r="C1385" t="s">
        <v>2310</v>
      </c>
      <c r="D1385" t="s">
        <v>437</v>
      </c>
      <c r="E1385" t="s">
        <v>137</v>
      </c>
      <c r="F1385" t="s">
        <v>37</v>
      </c>
    </row>
    <row r="1386" spans="1:6" outlineLevel="3" x14ac:dyDescent="0.25">
      <c r="A1386" s="4" t="s">
        <v>421</v>
      </c>
      <c r="B1386" t="s">
        <v>422</v>
      </c>
      <c r="C1386" t="s">
        <v>2311</v>
      </c>
      <c r="D1386" t="s">
        <v>6</v>
      </c>
      <c r="E1386" t="s">
        <v>137</v>
      </c>
      <c r="F1386" t="s">
        <v>37</v>
      </c>
    </row>
    <row r="1387" spans="1:6" outlineLevel="3" x14ac:dyDescent="0.25">
      <c r="A1387" s="4" t="s">
        <v>421</v>
      </c>
      <c r="B1387" t="s">
        <v>422</v>
      </c>
      <c r="C1387" t="s">
        <v>2312</v>
      </c>
      <c r="D1387" t="s">
        <v>435</v>
      </c>
      <c r="E1387" t="s">
        <v>137</v>
      </c>
      <c r="F1387" t="s">
        <v>37</v>
      </c>
    </row>
    <row r="1388" spans="1:6" outlineLevel="3" x14ac:dyDescent="0.25">
      <c r="A1388" s="4" t="s">
        <v>421</v>
      </c>
      <c r="B1388" t="s">
        <v>422</v>
      </c>
      <c r="C1388" t="s">
        <v>2313</v>
      </c>
      <c r="D1388" t="s">
        <v>67</v>
      </c>
      <c r="E1388" t="s">
        <v>137</v>
      </c>
      <c r="F1388" t="s">
        <v>37</v>
      </c>
    </row>
    <row r="1389" spans="1:6" outlineLevel="3" x14ac:dyDescent="0.25">
      <c r="A1389" s="4" t="s">
        <v>421</v>
      </c>
      <c r="B1389" t="s">
        <v>422</v>
      </c>
      <c r="C1389" t="s">
        <v>2314</v>
      </c>
      <c r="D1389" t="s">
        <v>237</v>
      </c>
      <c r="E1389" t="s">
        <v>137</v>
      </c>
      <c r="F1389" t="s">
        <v>37</v>
      </c>
    </row>
    <row r="1390" spans="1:6" outlineLevel="3" x14ac:dyDescent="0.25">
      <c r="A1390" s="4" t="s">
        <v>421</v>
      </c>
      <c r="B1390" t="s">
        <v>422</v>
      </c>
      <c r="C1390" t="s">
        <v>2315</v>
      </c>
      <c r="D1390" t="s">
        <v>67</v>
      </c>
      <c r="E1390" t="s">
        <v>137</v>
      </c>
      <c r="F1390" t="s">
        <v>37</v>
      </c>
    </row>
    <row r="1391" spans="1:6" outlineLevel="3" x14ac:dyDescent="0.25">
      <c r="A1391" s="4" t="s">
        <v>421</v>
      </c>
      <c r="B1391" t="s">
        <v>422</v>
      </c>
      <c r="C1391" t="s">
        <v>2316</v>
      </c>
      <c r="D1391" t="s">
        <v>44</v>
      </c>
      <c r="E1391" t="s">
        <v>137</v>
      </c>
      <c r="F1391" t="s">
        <v>37</v>
      </c>
    </row>
    <row r="1392" spans="1:6" outlineLevel="3" x14ac:dyDescent="0.25">
      <c r="A1392" s="4" t="s">
        <v>421</v>
      </c>
      <c r="B1392" t="s">
        <v>422</v>
      </c>
      <c r="C1392" t="s">
        <v>2317</v>
      </c>
      <c r="D1392" t="s">
        <v>76</v>
      </c>
      <c r="E1392" t="s">
        <v>137</v>
      </c>
      <c r="F1392" t="s">
        <v>37</v>
      </c>
    </row>
    <row r="1393" spans="1:6" outlineLevel="3" x14ac:dyDescent="0.25">
      <c r="A1393" s="4" t="s">
        <v>421</v>
      </c>
      <c r="B1393" t="s">
        <v>422</v>
      </c>
      <c r="C1393" t="s">
        <v>2318</v>
      </c>
      <c r="D1393" t="s">
        <v>103</v>
      </c>
      <c r="E1393" t="s">
        <v>137</v>
      </c>
      <c r="F1393" t="s">
        <v>37</v>
      </c>
    </row>
    <row r="1394" spans="1:6" outlineLevel="3" x14ac:dyDescent="0.25">
      <c r="A1394" s="4" t="s">
        <v>421</v>
      </c>
      <c r="B1394" t="s">
        <v>422</v>
      </c>
      <c r="C1394" t="s">
        <v>2319</v>
      </c>
      <c r="D1394" t="s">
        <v>6</v>
      </c>
      <c r="E1394" t="s">
        <v>137</v>
      </c>
      <c r="F1394" t="s">
        <v>37</v>
      </c>
    </row>
    <row r="1395" spans="1:6" outlineLevel="3" x14ac:dyDescent="0.25">
      <c r="A1395" s="4" t="s">
        <v>421</v>
      </c>
      <c r="B1395" t="s">
        <v>422</v>
      </c>
      <c r="C1395" t="s">
        <v>2320</v>
      </c>
      <c r="D1395" t="s">
        <v>103</v>
      </c>
      <c r="E1395" t="s">
        <v>137</v>
      </c>
      <c r="F1395" t="s">
        <v>37</v>
      </c>
    </row>
    <row r="1396" spans="1:6" outlineLevel="3" x14ac:dyDescent="0.25">
      <c r="A1396" s="4" t="s">
        <v>421</v>
      </c>
      <c r="B1396" t="s">
        <v>422</v>
      </c>
      <c r="C1396" t="s">
        <v>2321</v>
      </c>
      <c r="D1396" t="s">
        <v>119</v>
      </c>
      <c r="E1396" t="s">
        <v>137</v>
      </c>
      <c r="F1396" t="s">
        <v>37</v>
      </c>
    </row>
    <row r="1397" spans="1:6" outlineLevel="3" x14ac:dyDescent="0.25">
      <c r="A1397" s="4" t="s">
        <v>421</v>
      </c>
      <c r="B1397" t="s">
        <v>422</v>
      </c>
      <c r="C1397" t="s">
        <v>2322</v>
      </c>
      <c r="D1397" t="s">
        <v>165</v>
      </c>
      <c r="E1397" t="s">
        <v>137</v>
      </c>
      <c r="F1397" t="s">
        <v>37</v>
      </c>
    </row>
    <row r="1398" spans="1:6" outlineLevel="3" x14ac:dyDescent="0.25">
      <c r="A1398" s="4" t="s">
        <v>421</v>
      </c>
      <c r="B1398" t="s">
        <v>422</v>
      </c>
      <c r="C1398" t="s">
        <v>2323</v>
      </c>
      <c r="D1398" t="s">
        <v>437</v>
      </c>
      <c r="E1398" t="s">
        <v>137</v>
      </c>
      <c r="F1398" t="s">
        <v>37</v>
      </c>
    </row>
    <row r="1399" spans="1:6" outlineLevel="3" x14ac:dyDescent="0.25">
      <c r="A1399" s="4" t="s">
        <v>421</v>
      </c>
      <c r="B1399" t="s">
        <v>422</v>
      </c>
      <c r="C1399" t="s">
        <v>2324</v>
      </c>
      <c r="D1399" t="s">
        <v>437</v>
      </c>
      <c r="E1399" t="s">
        <v>137</v>
      </c>
      <c r="F1399" t="s">
        <v>37</v>
      </c>
    </row>
    <row r="1400" spans="1:6" outlineLevel="3" x14ac:dyDescent="0.25">
      <c r="A1400" s="4" t="s">
        <v>421</v>
      </c>
      <c r="B1400" t="s">
        <v>422</v>
      </c>
      <c r="C1400" t="s">
        <v>2325</v>
      </c>
      <c r="D1400" t="s">
        <v>437</v>
      </c>
      <c r="E1400" t="s">
        <v>137</v>
      </c>
      <c r="F1400" t="s">
        <v>37</v>
      </c>
    </row>
    <row r="1401" spans="1:6" outlineLevel="3" x14ac:dyDescent="0.25">
      <c r="A1401" s="4" t="s">
        <v>421</v>
      </c>
      <c r="B1401" t="s">
        <v>422</v>
      </c>
      <c r="C1401" t="s">
        <v>2326</v>
      </c>
      <c r="D1401" t="s">
        <v>437</v>
      </c>
      <c r="E1401" t="s">
        <v>137</v>
      </c>
      <c r="F1401" t="s">
        <v>37</v>
      </c>
    </row>
    <row r="1402" spans="1:6" outlineLevel="3" x14ac:dyDescent="0.25">
      <c r="A1402" s="4" t="s">
        <v>421</v>
      </c>
      <c r="B1402" t="s">
        <v>422</v>
      </c>
      <c r="C1402" t="s">
        <v>2327</v>
      </c>
      <c r="D1402" t="s">
        <v>437</v>
      </c>
      <c r="E1402" t="s">
        <v>137</v>
      </c>
      <c r="F1402" t="s">
        <v>37</v>
      </c>
    </row>
    <row r="1403" spans="1:6" outlineLevel="3" x14ac:dyDescent="0.25">
      <c r="A1403" s="4" t="s">
        <v>421</v>
      </c>
      <c r="B1403" t="s">
        <v>422</v>
      </c>
      <c r="C1403" t="s">
        <v>2328</v>
      </c>
      <c r="D1403" t="s">
        <v>437</v>
      </c>
      <c r="E1403" t="s">
        <v>137</v>
      </c>
      <c r="F1403" t="s">
        <v>37</v>
      </c>
    </row>
    <row r="1404" spans="1:6" outlineLevel="3" x14ac:dyDescent="0.25">
      <c r="A1404" s="4" t="s">
        <v>421</v>
      </c>
      <c r="B1404" t="s">
        <v>422</v>
      </c>
      <c r="C1404" t="s">
        <v>2329</v>
      </c>
      <c r="D1404" t="s">
        <v>437</v>
      </c>
      <c r="E1404" t="s">
        <v>137</v>
      </c>
      <c r="F1404" t="s">
        <v>37</v>
      </c>
    </row>
    <row r="1405" spans="1:6" outlineLevel="3" x14ac:dyDescent="0.25">
      <c r="A1405" s="4" t="s">
        <v>421</v>
      </c>
      <c r="B1405" t="s">
        <v>422</v>
      </c>
      <c r="C1405" t="s">
        <v>2330</v>
      </c>
      <c r="D1405" t="s">
        <v>437</v>
      </c>
      <c r="E1405" t="s">
        <v>137</v>
      </c>
      <c r="F1405" t="s">
        <v>37</v>
      </c>
    </row>
    <row r="1406" spans="1:6" outlineLevel="3" x14ac:dyDescent="0.25">
      <c r="A1406" s="4" t="s">
        <v>421</v>
      </c>
      <c r="B1406" t="s">
        <v>422</v>
      </c>
      <c r="C1406" t="s">
        <v>2331</v>
      </c>
      <c r="D1406" t="s">
        <v>6</v>
      </c>
      <c r="E1406" t="s">
        <v>137</v>
      </c>
      <c r="F1406" t="s">
        <v>37</v>
      </c>
    </row>
    <row r="1407" spans="1:6" outlineLevel="3" x14ac:dyDescent="0.25">
      <c r="A1407" s="4" t="s">
        <v>421</v>
      </c>
      <c r="B1407" t="s">
        <v>422</v>
      </c>
      <c r="C1407" t="s">
        <v>2332</v>
      </c>
      <c r="D1407" t="s">
        <v>6</v>
      </c>
      <c r="E1407" t="s">
        <v>137</v>
      </c>
      <c r="F1407" t="s">
        <v>37</v>
      </c>
    </row>
    <row r="1408" spans="1:6" outlineLevel="3" x14ac:dyDescent="0.25">
      <c r="A1408" s="4" t="s">
        <v>421</v>
      </c>
      <c r="B1408" t="s">
        <v>422</v>
      </c>
      <c r="C1408" t="s">
        <v>2333</v>
      </c>
      <c r="D1408" t="s">
        <v>6</v>
      </c>
      <c r="E1408" t="s">
        <v>137</v>
      </c>
      <c r="F1408" t="s">
        <v>37</v>
      </c>
    </row>
    <row r="1409" spans="1:6" outlineLevel="3" x14ac:dyDescent="0.25">
      <c r="A1409" s="4" t="s">
        <v>421</v>
      </c>
      <c r="B1409" t="s">
        <v>422</v>
      </c>
      <c r="C1409" t="s">
        <v>2334</v>
      </c>
      <c r="D1409" t="s">
        <v>437</v>
      </c>
      <c r="E1409" t="s">
        <v>137</v>
      </c>
      <c r="F1409" t="s">
        <v>37</v>
      </c>
    </row>
    <row r="1410" spans="1:6" outlineLevel="3" x14ac:dyDescent="0.25">
      <c r="A1410" s="4" t="s">
        <v>421</v>
      </c>
      <c r="B1410" t="s">
        <v>422</v>
      </c>
      <c r="C1410" t="s">
        <v>2335</v>
      </c>
      <c r="D1410" t="s">
        <v>437</v>
      </c>
      <c r="E1410" t="s">
        <v>137</v>
      </c>
      <c r="F1410" t="s">
        <v>37</v>
      </c>
    </row>
    <row r="1411" spans="1:6" outlineLevel="3" x14ac:dyDescent="0.25">
      <c r="A1411" s="4" t="s">
        <v>421</v>
      </c>
      <c r="B1411" t="s">
        <v>422</v>
      </c>
      <c r="C1411" t="s">
        <v>2336</v>
      </c>
      <c r="D1411" t="s">
        <v>165</v>
      </c>
      <c r="E1411" t="s">
        <v>137</v>
      </c>
      <c r="F1411" t="s">
        <v>37</v>
      </c>
    </row>
    <row r="1412" spans="1:6" outlineLevel="3" x14ac:dyDescent="0.25">
      <c r="A1412" s="4" t="s">
        <v>421</v>
      </c>
      <c r="B1412" t="s">
        <v>422</v>
      </c>
      <c r="C1412" t="s">
        <v>2337</v>
      </c>
      <c r="D1412" t="s">
        <v>6</v>
      </c>
      <c r="E1412" t="s">
        <v>137</v>
      </c>
      <c r="F1412" t="s">
        <v>37</v>
      </c>
    </row>
    <row r="1413" spans="1:6" outlineLevel="3" x14ac:dyDescent="0.25">
      <c r="A1413" s="4" t="s">
        <v>421</v>
      </c>
      <c r="B1413" t="s">
        <v>422</v>
      </c>
      <c r="C1413" t="s">
        <v>2338</v>
      </c>
      <c r="D1413" t="s">
        <v>65</v>
      </c>
      <c r="E1413" t="s">
        <v>137</v>
      </c>
      <c r="F1413" t="s">
        <v>37</v>
      </c>
    </row>
    <row r="1414" spans="1:6" outlineLevel="3" x14ac:dyDescent="0.25">
      <c r="A1414" s="4" t="s">
        <v>421</v>
      </c>
      <c r="B1414" t="s">
        <v>422</v>
      </c>
      <c r="C1414" t="s">
        <v>2339</v>
      </c>
      <c r="D1414" t="s">
        <v>44</v>
      </c>
      <c r="E1414" t="s">
        <v>137</v>
      </c>
      <c r="F1414" t="s">
        <v>37</v>
      </c>
    </row>
    <row r="1415" spans="1:6" outlineLevel="3" x14ac:dyDescent="0.25">
      <c r="A1415" s="4" t="s">
        <v>421</v>
      </c>
      <c r="B1415" t="s">
        <v>422</v>
      </c>
      <c r="C1415" t="s">
        <v>2340</v>
      </c>
      <c r="D1415" t="s">
        <v>65</v>
      </c>
      <c r="E1415" t="s">
        <v>137</v>
      </c>
      <c r="F1415" t="s">
        <v>37</v>
      </c>
    </row>
    <row r="1416" spans="1:6" outlineLevel="3" x14ac:dyDescent="0.25">
      <c r="A1416" s="4" t="s">
        <v>421</v>
      </c>
      <c r="B1416" t="s">
        <v>422</v>
      </c>
      <c r="C1416" t="s">
        <v>2341</v>
      </c>
      <c r="D1416" t="s">
        <v>119</v>
      </c>
      <c r="E1416" t="s">
        <v>137</v>
      </c>
      <c r="F1416" t="s">
        <v>37</v>
      </c>
    </row>
    <row r="1417" spans="1:6" outlineLevel="3" x14ac:dyDescent="0.25">
      <c r="A1417" s="4" t="s">
        <v>421</v>
      </c>
      <c r="B1417" t="s">
        <v>422</v>
      </c>
      <c r="C1417" t="s">
        <v>2342</v>
      </c>
      <c r="D1417" t="s">
        <v>437</v>
      </c>
      <c r="E1417" t="s">
        <v>137</v>
      </c>
      <c r="F1417" t="s">
        <v>37</v>
      </c>
    </row>
    <row r="1418" spans="1:6" outlineLevel="3" x14ac:dyDescent="0.25">
      <c r="A1418" s="4" t="s">
        <v>421</v>
      </c>
      <c r="B1418" t="s">
        <v>422</v>
      </c>
      <c r="C1418" t="s">
        <v>2343</v>
      </c>
      <c r="D1418" t="s">
        <v>13</v>
      </c>
      <c r="E1418" t="s">
        <v>137</v>
      </c>
      <c r="F1418" t="s">
        <v>37</v>
      </c>
    </row>
    <row r="1419" spans="1:6" outlineLevel="3" x14ac:dyDescent="0.25">
      <c r="A1419" s="4" t="s">
        <v>421</v>
      </c>
      <c r="B1419" t="s">
        <v>422</v>
      </c>
      <c r="C1419" t="s">
        <v>2344</v>
      </c>
      <c r="D1419" t="s">
        <v>437</v>
      </c>
      <c r="E1419" t="s">
        <v>137</v>
      </c>
      <c r="F1419" t="s">
        <v>37</v>
      </c>
    </row>
    <row r="1420" spans="1:6" outlineLevel="3" x14ac:dyDescent="0.25">
      <c r="A1420" s="4" t="s">
        <v>421</v>
      </c>
      <c r="B1420" t="s">
        <v>422</v>
      </c>
      <c r="C1420" t="s">
        <v>2345</v>
      </c>
      <c r="D1420" t="s">
        <v>437</v>
      </c>
      <c r="E1420" t="s">
        <v>137</v>
      </c>
      <c r="F1420" t="s">
        <v>37</v>
      </c>
    </row>
    <row r="1421" spans="1:6" outlineLevel="3" x14ac:dyDescent="0.25">
      <c r="A1421" s="4" t="s">
        <v>421</v>
      </c>
      <c r="B1421" t="s">
        <v>422</v>
      </c>
      <c r="C1421" t="s">
        <v>2346</v>
      </c>
      <c r="D1421" t="s">
        <v>119</v>
      </c>
      <c r="E1421" t="s">
        <v>137</v>
      </c>
      <c r="F1421" t="s">
        <v>37</v>
      </c>
    </row>
    <row r="1422" spans="1:6" outlineLevel="3" x14ac:dyDescent="0.25">
      <c r="A1422" s="4" t="s">
        <v>421</v>
      </c>
      <c r="B1422" t="s">
        <v>422</v>
      </c>
      <c r="C1422" t="s">
        <v>2347</v>
      </c>
      <c r="D1422" t="s">
        <v>119</v>
      </c>
      <c r="E1422" t="s">
        <v>137</v>
      </c>
      <c r="F1422" t="s">
        <v>37</v>
      </c>
    </row>
    <row r="1423" spans="1:6" outlineLevel="3" x14ac:dyDescent="0.25">
      <c r="A1423" s="4" t="s">
        <v>421</v>
      </c>
      <c r="B1423" t="s">
        <v>422</v>
      </c>
      <c r="C1423" t="s">
        <v>2348</v>
      </c>
      <c r="D1423" t="s">
        <v>6</v>
      </c>
      <c r="E1423" t="s">
        <v>137</v>
      </c>
      <c r="F1423" t="s">
        <v>37</v>
      </c>
    </row>
    <row r="1424" spans="1:6" outlineLevel="3" x14ac:dyDescent="0.25">
      <c r="A1424" s="4" t="s">
        <v>421</v>
      </c>
      <c r="B1424" t="s">
        <v>422</v>
      </c>
      <c r="C1424" t="s">
        <v>2349</v>
      </c>
      <c r="D1424" t="s">
        <v>437</v>
      </c>
      <c r="E1424" t="s">
        <v>137</v>
      </c>
      <c r="F1424" t="s">
        <v>37</v>
      </c>
    </row>
    <row r="1425" spans="1:6" outlineLevel="3" x14ac:dyDescent="0.25">
      <c r="A1425" s="4" t="s">
        <v>421</v>
      </c>
      <c r="B1425" t="s">
        <v>422</v>
      </c>
      <c r="C1425" t="s">
        <v>2350</v>
      </c>
      <c r="D1425" t="s">
        <v>165</v>
      </c>
      <c r="E1425" t="s">
        <v>137</v>
      </c>
      <c r="F1425" t="s">
        <v>37</v>
      </c>
    </row>
    <row r="1426" spans="1:6" outlineLevel="3" x14ac:dyDescent="0.25">
      <c r="A1426" s="4" t="s">
        <v>421</v>
      </c>
      <c r="B1426" t="s">
        <v>422</v>
      </c>
      <c r="C1426" t="s">
        <v>2351</v>
      </c>
      <c r="D1426" t="s">
        <v>67</v>
      </c>
      <c r="E1426" t="s">
        <v>137</v>
      </c>
      <c r="F1426" t="s">
        <v>37</v>
      </c>
    </row>
    <row r="1427" spans="1:6" outlineLevel="3" x14ac:dyDescent="0.25">
      <c r="A1427" s="4" t="s">
        <v>421</v>
      </c>
      <c r="B1427" t="s">
        <v>422</v>
      </c>
      <c r="C1427" t="s">
        <v>2352</v>
      </c>
      <c r="D1427" t="s">
        <v>202</v>
      </c>
      <c r="E1427" t="s">
        <v>137</v>
      </c>
      <c r="F1427" t="s">
        <v>37</v>
      </c>
    </row>
    <row r="1428" spans="1:6" outlineLevel="3" x14ac:dyDescent="0.25">
      <c r="A1428" s="4" t="s">
        <v>421</v>
      </c>
      <c r="B1428" t="s">
        <v>422</v>
      </c>
      <c r="C1428" t="s">
        <v>2353</v>
      </c>
      <c r="D1428" t="s">
        <v>126</v>
      </c>
      <c r="E1428" t="s">
        <v>137</v>
      </c>
      <c r="F1428" t="s">
        <v>37</v>
      </c>
    </row>
    <row r="1429" spans="1:6" outlineLevel="3" x14ac:dyDescent="0.25">
      <c r="A1429" s="4" t="s">
        <v>421</v>
      </c>
      <c r="B1429" t="s">
        <v>422</v>
      </c>
      <c r="C1429" t="s">
        <v>2354</v>
      </c>
      <c r="D1429" t="s">
        <v>78</v>
      </c>
      <c r="E1429" t="s">
        <v>137</v>
      </c>
      <c r="F1429" t="s">
        <v>37</v>
      </c>
    </row>
    <row r="1430" spans="1:6" outlineLevel="3" x14ac:dyDescent="0.25">
      <c r="A1430" s="4" t="s">
        <v>421</v>
      </c>
      <c r="B1430" t="s">
        <v>422</v>
      </c>
      <c r="C1430" t="s">
        <v>1824</v>
      </c>
      <c r="D1430" t="s">
        <v>202</v>
      </c>
      <c r="E1430" t="s">
        <v>137</v>
      </c>
      <c r="F1430" t="s">
        <v>37</v>
      </c>
    </row>
    <row r="1431" spans="1:6" outlineLevel="3" x14ac:dyDescent="0.25">
      <c r="A1431" s="4" t="s">
        <v>421</v>
      </c>
      <c r="B1431" t="s">
        <v>422</v>
      </c>
      <c r="C1431" t="s">
        <v>2355</v>
      </c>
      <c r="D1431" t="s">
        <v>65</v>
      </c>
      <c r="E1431" t="s">
        <v>137</v>
      </c>
      <c r="F1431" t="s">
        <v>37</v>
      </c>
    </row>
    <row r="1432" spans="1:6" outlineLevel="3" x14ac:dyDescent="0.25">
      <c r="A1432" s="4" t="s">
        <v>421</v>
      </c>
      <c r="B1432" t="s">
        <v>422</v>
      </c>
      <c r="C1432" t="s">
        <v>2356</v>
      </c>
      <c r="D1432" t="s">
        <v>67</v>
      </c>
      <c r="E1432" t="s">
        <v>137</v>
      </c>
      <c r="F1432" t="s">
        <v>37</v>
      </c>
    </row>
    <row r="1433" spans="1:6" outlineLevel="3" x14ac:dyDescent="0.25">
      <c r="A1433" s="4" t="s">
        <v>421</v>
      </c>
      <c r="B1433" t="s">
        <v>422</v>
      </c>
      <c r="C1433" t="s">
        <v>2357</v>
      </c>
      <c r="D1433" t="s">
        <v>237</v>
      </c>
      <c r="E1433" t="s">
        <v>137</v>
      </c>
      <c r="F1433" t="s">
        <v>37</v>
      </c>
    </row>
    <row r="1434" spans="1:6" outlineLevel="3" x14ac:dyDescent="0.25">
      <c r="A1434" s="4" t="s">
        <v>421</v>
      </c>
      <c r="B1434" t="s">
        <v>422</v>
      </c>
      <c r="C1434" t="s">
        <v>2358</v>
      </c>
      <c r="D1434" t="s">
        <v>65</v>
      </c>
      <c r="E1434" t="s">
        <v>137</v>
      </c>
      <c r="F1434" t="s">
        <v>37</v>
      </c>
    </row>
    <row r="1435" spans="1:6" outlineLevel="3" x14ac:dyDescent="0.25">
      <c r="A1435" s="4" t="s">
        <v>421</v>
      </c>
      <c r="B1435" t="s">
        <v>422</v>
      </c>
      <c r="C1435" t="s">
        <v>2359</v>
      </c>
      <c r="D1435" t="s">
        <v>124</v>
      </c>
      <c r="E1435" t="s">
        <v>137</v>
      </c>
      <c r="F1435" t="s">
        <v>37</v>
      </c>
    </row>
    <row r="1436" spans="1:6" outlineLevel="3" x14ac:dyDescent="0.25">
      <c r="A1436" s="4" t="s">
        <v>421</v>
      </c>
      <c r="B1436" t="s">
        <v>422</v>
      </c>
      <c r="C1436" t="s">
        <v>2360</v>
      </c>
      <c r="D1436" t="s">
        <v>6</v>
      </c>
      <c r="E1436" t="s">
        <v>137</v>
      </c>
      <c r="F1436" t="s">
        <v>37</v>
      </c>
    </row>
    <row r="1437" spans="1:6" outlineLevel="3" x14ac:dyDescent="0.25">
      <c r="A1437" s="4" t="s">
        <v>421</v>
      </c>
      <c r="B1437" t="s">
        <v>422</v>
      </c>
      <c r="C1437" t="s">
        <v>2361</v>
      </c>
      <c r="D1437" t="s">
        <v>6</v>
      </c>
      <c r="E1437" t="s">
        <v>137</v>
      </c>
      <c r="F1437" t="s">
        <v>37</v>
      </c>
    </row>
    <row r="1438" spans="1:6" outlineLevel="3" x14ac:dyDescent="0.25">
      <c r="A1438" s="4" t="s">
        <v>421</v>
      </c>
      <c r="B1438" t="s">
        <v>422</v>
      </c>
      <c r="C1438" t="s">
        <v>2362</v>
      </c>
      <c r="D1438" t="s">
        <v>165</v>
      </c>
      <c r="E1438" t="s">
        <v>137</v>
      </c>
      <c r="F1438" t="s">
        <v>37</v>
      </c>
    </row>
    <row r="1439" spans="1:6" outlineLevel="3" x14ac:dyDescent="0.25">
      <c r="A1439" s="4" t="s">
        <v>421</v>
      </c>
      <c r="B1439" t="s">
        <v>422</v>
      </c>
      <c r="C1439" t="s">
        <v>2363</v>
      </c>
      <c r="D1439" t="s">
        <v>437</v>
      </c>
      <c r="E1439" t="s">
        <v>137</v>
      </c>
      <c r="F1439" t="s">
        <v>37</v>
      </c>
    </row>
    <row r="1440" spans="1:6" outlineLevel="3" x14ac:dyDescent="0.25">
      <c r="A1440" s="4" t="s">
        <v>421</v>
      </c>
      <c r="B1440" t="s">
        <v>422</v>
      </c>
      <c r="C1440" t="s">
        <v>2364</v>
      </c>
      <c r="D1440" t="s">
        <v>437</v>
      </c>
      <c r="E1440" t="s">
        <v>137</v>
      </c>
      <c r="F1440" t="s">
        <v>37</v>
      </c>
    </row>
    <row r="1441" spans="1:6" outlineLevel="3" x14ac:dyDescent="0.25">
      <c r="A1441" s="4" t="s">
        <v>421</v>
      </c>
      <c r="B1441" t="s">
        <v>422</v>
      </c>
      <c r="C1441" t="s">
        <v>2365</v>
      </c>
      <c r="D1441" t="s">
        <v>78</v>
      </c>
      <c r="E1441" t="s">
        <v>137</v>
      </c>
      <c r="F1441" t="s">
        <v>37</v>
      </c>
    </row>
    <row r="1442" spans="1:6" outlineLevel="3" x14ac:dyDescent="0.25">
      <c r="A1442" s="4" t="s">
        <v>421</v>
      </c>
      <c r="B1442" t="s">
        <v>422</v>
      </c>
      <c r="C1442" t="s">
        <v>1825</v>
      </c>
      <c r="D1442" t="s">
        <v>1074</v>
      </c>
      <c r="E1442" t="s">
        <v>137</v>
      </c>
      <c r="F1442" t="s">
        <v>37</v>
      </c>
    </row>
    <row r="1443" spans="1:6" outlineLevel="3" x14ac:dyDescent="0.25">
      <c r="A1443" s="4" t="s">
        <v>421</v>
      </c>
      <c r="B1443" t="s">
        <v>422</v>
      </c>
      <c r="C1443" t="s">
        <v>2366</v>
      </c>
      <c r="D1443" t="s">
        <v>126</v>
      </c>
      <c r="E1443" t="s">
        <v>137</v>
      </c>
      <c r="F1443" t="s">
        <v>37</v>
      </c>
    </row>
    <row r="1444" spans="1:6" outlineLevel="3" x14ac:dyDescent="0.25">
      <c r="A1444" s="4" t="s">
        <v>421</v>
      </c>
      <c r="B1444" t="s">
        <v>422</v>
      </c>
      <c r="C1444" t="s">
        <v>2209</v>
      </c>
      <c r="D1444" t="s">
        <v>202</v>
      </c>
      <c r="E1444" t="s">
        <v>401</v>
      </c>
      <c r="F1444" t="s">
        <v>37</v>
      </c>
    </row>
    <row r="1445" spans="1:6" outlineLevel="3" x14ac:dyDescent="0.25">
      <c r="A1445" s="4" t="s">
        <v>421</v>
      </c>
      <c r="B1445" t="s">
        <v>422</v>
      </c>
      <c r="C1445" t="s">
        <v>2210</v>
      </c>
      <c r="D1445" t="s">
        <v>44</v>
      </c>
      <c r="E1445" t="s">
        <v>401</v>
      </c>
      <c r="F1445" t="s">
        <v>37</v>
      </c>
    </row>
    <row r="1446" spans="1:6" outlineLevel="3" x14ac:dyDescent="0.25">
      <c r="A1446" s="4" t="s">
        <v>421</v>
      </c>
      <c r="B1446" t="s">
        <v>422</v>
      </c>
      <c r="C1446" t="s">
        <v>2211</v>
      </c>
      <c r="D1446" t="s">
        <v>13</v>
      </c>
      <c r="E1446" t="s">
        <v>402</v>
      </c>
      <c r="F1446" t="s">
        <v>37</v>
      </c>
    </row>
    <row r="1447" spans="1:6" outlineLevel="3" x14ac:dyDescent="0.25">
      <c r="A1447" s="4" t="s">
        <v>421</v>
      </c>
      <c r="B1447" t="s">
        <v>422</v>
      </c>
      <c r="C1447" t="s">
        <v>2212</v>
      </c>
      <c r="D1447" t="s">
        <v>44</v>
      </c>
      <c r="E1447" t="s">
        <v>402</v>
      </c>
      <c r="F1447" t="s">
        <v>37</v>
      </c>
    </row>
    <row r="1448" spans="1:6" outlineLevel="3" x14ac:dyDescent="0.25">
      <c r="A1448" s="4" t="s">
        <v>421</v>
      </c>
      <c r="B1448" t="s">
        <v>422</v>
      </c>
      <c r="C1448" t="s">
        <v>2213</v>
      </c>
      <c r="D1448" t="s">
        <v>202</v>
      </c>
      <c r="E1448" t="s">
        <v>199</v>
      </c>
      <c r="F1448" t="s">
        <v>37</v>
      </c>
    </row>
    <row r="1449" spans="1:6" outlineLevel="3" x14ac:dyDescent="0.25">
      <c r="A1449" s="4" t="s">
        <v>421</v>
      </c>
      <c r="B1449" t="s">
        <v>422</v>
      </c>
      <c r="C1449" t="s">
        <v>2214</v>
      </c>
      <c r="D1449" t="s">
        <v>44</v>
      </c>
      <c r="E1449" t="s">
        <v>199</v>
      </c>
      <c r="F1449" t="s">
        <v>37</v>
      </c>
    </row>
    <row r="1450" spans="1:6" outlineLevel="3" x14ac:dyDescent="0.25">
      <c r="A1450" s="4" t="s">
        <v>421</v>
      </c>
      <c r="B1450" t="s">
        <v>422</v>
      </c>
      <c r="C1450" t="s">
        <v>2215</v>
      </c>
      <c r="D1450" t="s">
        <v>44</v>
      </c>
      <c r="E1450" t="s">
        <v>199</v>
      </c>
      <c r="F1450" t="s">
        <v>37</v>
      </c>
    </row>
    <row r="1451" spans="1:6" outlineLevel="3" x14ac:dyDescent="0.25">
      <c r="A1451" s="4" t="s">
        <v>421</v>
      </c>
      <c r="B1451" t="s">
        <v>422</v>
      </c>
      <c r="C1451" t="s">
        <v>2216</v>
      </c>
      <c r="D1451" t="s">
        <v>435</v>
      </c>
      <c r="E1451" t="s">
        <v>199</v>
      </c>
      <c r="F1451" t="s">
        <v>37</v>
      </c>
    </row>
    <row r="1452" spans="1:6" outlineLevel="3" x14ac:dyDescent="0.25">
      <c r="A1452" s="4" t="s">
        <v>421</v>
      </c>
      <c r="B1452" t="s">
        <v>422</v>
      </c>
      <c r="C1452" t="s">
        <v>2217</v>
      </c>
      <c r="D1452" t="s">
        <v>1820</v>
      </c>
      <c r="E1452" t="s">
        <v>199</v>
      </c>
      <c r="F1452" t="s">
        <v>37</v>
      </c>
    </row>
    <row r="1453" spans="1:6" outlineLevel="3" x14ac:dyDescent="0.25">
      <c r="A1453" s="4" t="s">
        <v>421</v>
      </c>
      <c r="B1453" t="s">
        <v>422</v>
      </c>
      <c r="C1453" t="s">
        <v>2218</v>
      </c>
      <c r="D1453" t="s">
        <v>44</v>
      </c>
      <c r="E1453" t="s">
        <v>199</v>
      </c>
      <c r="F1453" t="s">
        <v>37</v>
      </c>
    </row>
    <row r="1454" spans="1:6" outlineLevel="3" x14ac:dyDescent="0.25">
      <c r="A1454" s="4" t="s">
        <v>421</v>
      </c>
      <c r="B1454" t="s">
        <v>422</v>
      </c>
      <c r="C1454" t="s">
        <v>2219</v>
      </c>
      <c r="D1454" t="s">
        <v>78</v>
      </c>
      <c r="E1454" t="s">
        <v>199</v>
      </c>
      <c r="F1454" t="s">
        <v>37</v>
      </c>
    </row>
    <row r="1455" spans="1:6" outlineLevel="3" x14ac:dyDescent="0.25">
      <c r="A1455" s="4" t="s">
        <v>421</v>
      </c>
      <c r="B1455" t="s">
        <v>422</v>
      </c>
      <c r="C1455" t="s">
        <v>2220</v>
      </c>
      <c r="D1455" t="s">
        <v>165</v>
      </c>
      <c r="E1455" t="s">
        <v>403</v>
      </c>
      <c r="F1455" t="s">
        <v>37</v>
      </c>
    </row>
    <row r="1456" spans="1:6" outlineLevel="3" x14ac:dyDescent="0.25">
      <c r="A1456" s="4" t="s">
        <v>421</v>
      </c>
      <c r="B1456" t="s">
        <v>422</v>
      </c>
      <c r="C1456" t="s">
        <v>2221</v>
      </c>
      <c r="D1456" t="s">
        <v>44</v>
      </c>
      <c r="E1456" t="s">
        <v>403</v>
      </c>
      <c r="F1456" t="s">
        <v>37</v>
      </c>
    </row>
    <row r="1457" spans="1:6" outlineLevel="3" x14ac:dyDescent="0.25">
      <c r="A1457" s="4" t="s">
        <v>421</v>
      </c>
      <c r="B1457" t="s">
        <v>422</v>
      </c>
      <c r="C1457" t="s">
        <v>2222</v>
      </c>
      <c r="D1457" t="s">
        <v>202</v>
      </c>
      <c r="E1457" t="s">
        <v>90</v>
      </c>
      <c r="F1457" t="s">
        <v>37</v>
      </c>
    </row>
    <row r="1458" spans="1:6" outlineLevel="3" x14ac:dyDescent="0.25">
      <c r="A1458" s="4" t="s">
        <v>421</v>
      </c>
      <c r="B1458" t="s">
        <v>422</v>
      </c>
      <c r="C1458" t="s">
        <v>2829</v>
      </c>
      <c r="D1458" t="s">
        <v>202</v>
      </c>
      <c r="E1458" t="s">
        <v>204</v>
      </c>
      <c r="F1458" t="s">
        <v>37</v>
      </c>
    </row>
    <row r="1459" spans="1:6" outlineLevel="3" x14ac:dyDescent="0.25">
      <c r="A1459" s="4" t="s">
        <v>421</v>
      </c>
      <c r="B1459" t="s">
        <v>422</v>
      </c>
      <c r="C1459" t="s">
        <v>2830</v>
      </c>
      <c r="D1459" t="s">
        <v>398</v>
      </c>
      <c r="E1459" t="s">
        <v>204</v>
      </c>
      <c r="F1459" t="s">
        <v>37</v>
      </c>
    </row>
    <row r="1460" spans="1:6" outlineLevel="3" x14ac:dyDescent="0.25">
      <c r="A1460" s="4" t="s">
        <v>421</v>
      </c>
      <c r="B1460" t="s">
        <v>422</v>
      </c>
      <c r="C1460" t="s">
        <v>2831</v>
      </c>
      <c r="D1460" t="s">
        <v>126</v>
      </c>
      <c r="E1460" t="s">
        <v>204</v>
      </c>
      <c r="F1460" t="s">
        <v>37</v>
      </c>
    </row>
    <row r="1461" spans="1:6" outlineLevel="3" x14ac:dyDescent="0.25">
      <c r="A1461" s="4" t="s">
        <v>421</v>
      </c>
      <c r="B1461" t="s">
        <v>422</v>
      </c>
      <c r="C1461" t="s">
        <v>2832</v>
      </c>
      <c r="D1461" t="s">
        <v>13</v>
      </c>
      <c r="E1461" t="s">
        <v>204</v>
      </c>
      <c r="F1461" t="s">
        <v>37</v>
      </c>
    </row>
    <row r="1462" spans="1:6" outlineLevel="3" x14ac:dyDescent="0.25">
      <c r="A1462" s="4" t="s">
        <v>421</v>
      </c>
      <c r="B1462" t="s">
        <v>422</v>
      </c>
      <c r="C1462" t="s">
        <v>2833</v>
      </c>
      <c r="D1462" t="s">
        <v>65</v>
      </c>
      <c r="E1462" t="s">
        <v>204</v>
      </c>
      <c r="F1462" t="s">
        <v>37</v>
      </c>
    </row>
    <row r="1463" spans="1:6" outlineLevel="3" x14ac:dyDescent="0.25">
      <c r="A1463" s="4" t="s">
        <v>421</v>
      </c>
      <c r="B1463" t="s">
        <v>422</v>
      </c>
      <c r="C1463" t="s">
        <v>1837</v>
      </c>
      <c r="D1463" t="s">
        <v>119</v>
      </c>
      <c r="E1463" t="s">
        <v>204</v>
      </c>
      <c r="F1463" t="s">
        <v>37</v>
      </c>
    </row>
    <row r="1464" spans="1:6" outlineLevel="3" x14ac:dyDescent="0.25">
      <c r="A1464" s="4" t="s">
        <v>421</v>
      </c>
      <c r="B1464" t="s">
        <v>422</v>
      </c>
      <c r="C1464" t="s">
        <v>2834</v>
      </c>
      <c r="D1464" t="s">
        <v>65</v>
      </c>
      <c r="E1464" t="s">
        <v>204</v>
      </c>
      <c r="F1464" t="s">
        <v>37</v>
      </c>
    </row>
    <row r="1465" spans="1:6" outlineLevel="3" x14ac:dyDescent="0.25">
      <c r="A1465" s="4" t="s">
        <v>421</v>
      </c>
      <c r="B1465" t="s">
        <v>422</v>
      </c>
      <c r="C1465" t="s">
        <v>2835</v>
      </c>
      <c r="D1465" t="s">
        <v>437</v>
      </c>
      <c r="E1465" t="s">
        <v>204</v>
      </c>
      <c r="F1465" t="s">
        <v>37</v>
      </c>
    </row>
    <row r="1466" spans="1:6" outlineLevel="3" x14ac:dyDescent="0.25">
      <c r="A1466" s="4" t="s">
        <v>421</v>
      </c>
      <c r="B1466" t="s">
        <v>422</v>
      </c>
      <c r="C1466" t="s">
        <v>2836</v>
      </c>
      <c r="D1466" t="s">
        <v>13</v>
      </c>
      <c r="E1466" t="s">
        <v>204</v>
      </c>
      <c r="F1466" t="s">
        <v>37</v>
      </c>
    </row>
    <row r="1467" spans="1:6" outlineLevel="3" x14ac:dyDescent="0.25">
      <c r="A1467" s="4" t="s">
        <v>421</v>
      </c>
      <c r="B1467" t="s">
        <v>422</v>
      </c>
      <c r="C1467" t="s">
        <v>2837</v>
      </c>
      <c r="D1467" t="s">
        <v>237</v>
      </c>
      <c r="E1467" t="s">
        <v>204</v>
      </c>
      <c r="F1467" t="s">
        <v>37</v>
      </c>
    </row>
    <row r="1468" spans="1:6" outlineLevel="3" x14ac:dyDescent="0.25">
      <c r="A1468" s="4" t="s">
        <v>421</v>
      </c>
      <c r="B1468" t="s">
        <v>422</v>
      </c>
      <c r="C1468" t="s">
        <v>2838</v>
      </c>
      <c r="D1468" t="s">
        <v>103</v>
      </c>
      <c r="E1468" t="s">
        <v>204</v>
      </c>
      <c r="F1468" t="s">
        <v>37</v>
      </c>
    </row>
    <row r="1469" spans="1:6" outlineLevel="3" x14ac:dyDescent="0.25">
      <c r="A1469" s="4" t="s">
        <v>421</v>
      </c>
      <c r="B1469" t="s">
        <v>422</v>
      </c>
      <c r="C1469" t="s">
        <v>2839</v>
      </c>
      <c r="D1469" t="s">
        <v>437</v>
      </c>
      <c r="E1469" t="s">
        <v>204</v>
      </c>
      <c r="F1469" t="s">
        <v>37</v>
      </c>
    </row>
    <row r="1470" spans="1:6" outlineLevel="3" x14ac:dyDescent="0.25">
      <c r="A1470" s="4" t="s">
        <v>421</v>
      </c>
      <c r="B1470" t="s">
        <v>422</v>
      </c>
      <c r="C1470" t="s">
        <v>2840</v>
      </c>
      <c r="D1470" t="s">
        <v>44</v>
      </c>
      <c r="E1470" t="s">
        <v>204</v>
      </c>
      <c r="F1470" t="s">
        <v>37</v>
      </c>
    </row>
    <row r="1471" spans="1:6" outlineLevel="3" x14ac:dyDescent="0.25">
      <c r="A1471" s="4" t="s">
        <v>421</v>
      </c>
      <c r="B1471" t="s">
        <v>422</v>
      </c>
      <c r="C1471" t="s">
        <v>2841</v>
      </c>
      <c r="D1471" t="s">
        <v>6</v>
      </c>
      <c r="E1471" t="s">
        <v>204</v>
      </c>
      <c r="F1471" t="s">
        <v>37</v>
      </c>
    </row>
    <row r="1472" spans="1:6" outlineLevel="3" x14ac:dyDescent="0.25">
      <c r="A1472" s="4" t="s">
        <v>421</v>
      </c>
      <c r="B1472" t="s">
        <v>422</v>
      </c>
      <c r="C1472" t="s">
        <v>2842</v>
      </c>
      <c r="D1472" t="s">
        <v>65</v>
      </c>
      <c r="E1472" t="s">
        <v>204</v>
      </c>
      <c r="F1472" t="s">
        <v>37</v>
      </c>
    </row>
    <row r="1473" spans="1:6" outlineLevel="3" x14ac:dyDescent="0.25">
      <c r="A1473" s="4" t="s">
        <v>421</v>
      </c>
      <c r="B1473" t="s">
        <v>422</v>
      </c>
      <c r="C1473" t="s">
        <v>2843</v>
      </c>
      <c r="D1473" t="s">
        <v>6</v>
      </c>
      <c r="E1473" t="s">
        <v>204</v>
      </c>
      <c r="F1473" t="s">
        <v>37</v>
      </c>
    </row>
    <row r="1474" spans="1:6" outlineLevel="3" x14ac:dyDescent="0.25">
      <c r="A1474" s="4" t="s">
        <v>421</v>
      </c>
      <c r="B1474" t="s">
        <v>422</v>
      </c>
      <c r="C1474" t="s">
        <v>2844</v>
      </c>
      <c r="D1474" t="s">
        <v>435</v>
      </c>
      <c r="E1474" t="s">
        <v>204</v>
      </c>
      <c r="F1474" t="s">
        <v>37</v>
      </c>
    </row>
    <row r="1475" spans="1:6" outlineLevel="3" x14ac:dyDescent="0.25">
      <c r="A1475" s="4" t="s">
        <v>421</v>
      </c>
      <c r="B1475" t="s">
        <v>422</v>
      </c>
      <c r="C1475" t="s">
        <v>2845</v>
      </c>
      <c r="D1475" t="s">
        <v>124</v>
      </c>
      <c r="E1475" t="s">
        <v>204</v>
      </c>
      <c r="F1475" t="s">
        <v>37</v>
      </c>
    </row>
    <row r="1476" spans="1:6" outlineLevel="3" x14ac:dyDescent="0.25">
      <c r="A1476" s="4" t="s">
        <v>421</v>
      </c>
      <c r="B1476" t="s">
        <v>422</v>
      </c>
      <c r="C1476" t="s">
        <v>2846</v>
      </c>
      <c r="D1476" t="s">
        <v>202</v>
      </c>
      <c r="E1476" t="s">
        <v>204</v>
      </c>
      <c r="F1476" t="s">
        <v>37</v>
      </c>
    </row>
    <row r="1477" spans="1:6" outlineLevel="3" x14ac:dyDescent="0.25">
      <c r="A1477" s="4" t="s">
        <v>421</v>
      </c>
      <c r="B1477" t="s">
        <v>422</v>
      </c>
      <c r="C1477" t="s">
        <v>2847</v>
      </c>
      <c r="D1477" t="s">
        <v>65</v>
      </c>
      <c r="E1477" t="s">
        <v>204</v>
      </c>
      <c r="F1477" t="s">
        <v>37</v>
      </c>
    </row>
    <row r="1478" spans="1:6" outlineLevel="3" x14ac:dyDescent="0.25">
      <c r="A1478" s="4" t="s">
        <v>421</v>
      </c>
      <c r="B1478" t="s">
        <v>422</v>
      </c>
      <c r="C1478" t="s">
        <v>2848</v>
      </c>
      <c r="D1478" t="s">
        <v>65</v>
      </c>
      <c r="E1478" t="s">
        <v>204</v>
      </c>
      <c r="F1478" t="s">
        <v>37</v>
      </c>
    </row>
    <row r="1479" spans="1:6" outlineLevel="3" x14ac:dyDescent="0.25">
      <c r="A1479" s="4" t="s">
        <v>421</v>
      </c>
      <c r="B1479" t="s">
        <v>422</v>
      </c>
      <c r="C1479" t="s">
        <v>2849</v>
      </c>
      <c r="D1479" t="s">
        <v>76</v>
      </c>
      <c r="E1479" t="s">
        <v>204</v>
      </c>
      <c r="F1479" t="s">
        <v>37</v>
      </c>
    </row>
    <row r="1480" spans="1:6" outlineLevel="3" x14ac:dyDescent="0.25">
      <c r="A1480" s="4" t="s">
        <v>421</v>
      </c>
      <c r="B1480" t="s">
        <v>422</v>
      </c>
      <c r="C1480" t="s">
        <v>2850</v>
      </c>
      <c r="D1480" t="s">
        <v>65</v>
      </c>
      <c r="E1480" t="s">
        <v>204</v>
      </c>
      <c r="F1480" t="s">
        <v>37</v>
      </c>
    </row>
    <row r="1481" spans="1:6" outlineLevel="3" x14ac:dyDescent="0.25">
      <c r="A1481" s="4" t="s">
        <v>421</v>
      </c>
      <c r="B1481" t="s">
        <v>422</v>
      </c>
      <c r="C1481" t="s">
        <v>2851</v>
      </c>
      <c r="D1481" t="s">
        <v>6</v>
      </c>
      <c r="E1481" t="s">
        <v>204</v>
      </c>
      <c r="F1481" t="s">
        <v>37</v>
      </c>
    </row>
    <row r="1482" spans="1:6" outlineLevel="3" x14ac:dyDescent="0.25">
      <c r="A1482" s="4" t="s">
        <v>421</v>
      </c>
      <c r="B1482" t="s">
        <v>422</v>
      </c>
      <c r="C1482" t="s">
        <v>1838</v>
      </c>
      <c r="D1482" t="s">
        <v>119</v>
      </c>
      <c r="E1482" t="s">
        <v>204</v>
      </c>
      <c r="F1482" t="s">
        <v>37</v>
      </c>
    </row>
    <row r="1483" spans="1:6" outlineLevel="3" x14ac:dyDescent="0.25">
      <c r="A1483" s="4" t="s">
        <v>421</v>
      </c>
      <c r="B1483" t="s">
        <v>422</v>
      </c>
      <c r="C1483" t="s">
        <v>2852</v>
      </c>
      <c r="D1483" t="s">
        <v>124</v>
      </c>
      <c r="E1483" t="s">
        <v>204</v>
      </c>
      <c r="F1483" t="s">
        <v>37</v>
      </c>
    </row>
    <row r="1484" spans="1:6" outlineLevel="3" x14ac:dyDescent="0.25">
      <c r="A1484" s="4" t="s">
        <v>421</v>
      </c>
      <c r="B1484" t="s">
        <v>422</v>
      </c>
      <c r="C1484" t="s">
        <v>2853</v>
      </c>
      <c r="D1484" t="s">
        <v>63</v>
      </c>
      <c r="E1484" t="s">
        <v>204</v>
      </c>
      <c r="F1484" t="s">
        <v>37</v>
      </c>
    </row>
    <row r="1485" spans="1:6" outlineLevel="3" x14ac:dyDescent="0.25">
      <c r="A1485" s="4" t="s">
        <v>421</v>
      </c>
      <c r="B1485" t="s">
        <v>422</v>
      </c>
      <c r="C1485" t="s">
        <v>2854</v>
      </c>
      <c r="D1485" t="s">
        <v>1674</v>
      </c>
      <c r="E1485" t="s">
        <v>204</v>
      </c>
      <c r="F1485" t="s">
        <v>37</v>
      </c>
    </row>
    <row r="1486" spans="1:6" outlineLevel="3" x14ac:dyDescent="0.25">
      <c r="A1486" s="4" t="s">
        <v>421</v>
      </c>
      <c r="B1486" t="s">
        <v>422</v>
      </c>
      <c r="C1486" t="s">
        <v>2855</v>
      </c>
      <c r="D1486" t="s">
        <v>428</v>
      </c>
      <c r="E1486" t="s">
        <v>204</v>
      </c>
      <c r="F1486" t="s">
        <v>37</v>
      </c>
    </row>
    <row r="1487" spans="1:6" outlineLevel="3" x14ac:dyDescent="0.25">
      <c r="A1487" s="4" t="s">
        <v>421</v>
      </c>
      <c r="B1487" t="s">
        <v>422</v>
      </c>
      <c r="C1487" t="s">
        <v>2856</v>
      </c>
      <c r="D1487" t="s">
        <v>126</v>
      </c>
      <c r="E1487" t="s">
        <v>204</v>
      </c>
      <c r="F1487" t="s">
        <v>37</v>
      </c>
    </row>
    <row r="1488" spans="1:6" outlineLevel="3" x14ac:dyDescent="0.25">
      <c r="A1488" s="4" t="s">
        <v>421</v>
      </c>
      <c r="B1488" t="s">
        <v>422</v>
      </c>
      <c r="C1488" t="s">
        <v>2857</v>
      </c>
      <c r="D1488" t="s">
        <v>103</v>
      </c>
      <c r="E1488" t="s">
        <v>204</v>
      </c>
      <c r="F1488" t="s">
        <v>37</v>
      </c>
    </row>
    <row r="1489" spans="1:6" outlineLevel="3" x14ac:dyDescent="0.25">
      <c r="A1489" s="4" t="s">
        <v>421</v>
      </c>
      <c r="B1489" t="s">
        <v>422</v>
      </c>
      <c r="C1489" t="s">
        <v>2858</v>
      </c>
      <c r="D1489" t="s">
        <v>428</v>
      </c>
      <c r="E1489" t="s">
        <v>204</v>
      </c>
      <c r="F1489" t="s">
        <v>37</v>
      </c>
    </row>
    <row r="1490" spans="1:6" outlineLevel="3" x14ac:dyDescent="0.25">
      <c r="A1490" s="4" t="s">
        <v>421</v>
      </c>
      <c r="B1490" t="s">
        <v>422</v>
      </c>
      <c r="C1490" t="s">
        <v>2859</v>
      </c>
      <c r="D1490" t="s">
        <v>437</v>
      </c>
      <c r="E1490" t="s">
        <v>204</v>
      </c>
      <c r="F1490" t="s">
        <v>37</v>
      </c>
    </row>
    <row r="1491" spans="1:6" outlineLevel="3" x14ac:dyDescent="0.25">
      <c r="A1491" s="4" t="s">
        <v>421</v>
      </c>
      <c r="B1491" t="s">
        <v>422</v>
      </c>
      <c r="C1491" t="s">
        <v>2860</v>
      </c>
      <c r="D1491" t="s">
        <v>46</v>
      </c>
      <c r="E1491" t="s">
        <v>204</v>
      </c>
      <c r="F1491" t="s">
        <v>37</v>
      </c>
    </row>
    <row r="1492" spans="1:6" outlineLevel="3" x14ac:dyDescent="0.25">
      <c r="A1492" s="4" t="s">
        <v>421</v>
      </c>
      <c r="B1492" t="s">
        <v>422</v>
      </c>
      <c r="C1492" t="s">
        <v>2861</v>
      </c>
      <c r="D1492" t="s">
        <v>46</v>
      </c>
      <c r="E1492" t="s">
        <v>204</v>
      </c>
      <c r="F1492" t="s">
        <v>37</v>
      </c>
    </row>
    <row r="1493" spans="1:6" outlineLevel="3" x14ac:dyDescent="0.25">
      <c r="A1493" s="4" t="s">
        <v>421</v>
      </c>
      <c r="B1493" t="s">
        <v>422</v>
      </c>
      <c r="C1493" t="s">
        <v>1839</v>
      </c>
      <c r="D1493" t="s">
        <v>202</v>
      </c>
      <c r="E1493" t="s">
        <v>205</v>
      </c>
      <c r="F1493" t="s">
        <v>37</v>
      </c>
    </row>
    <row r="1494" spans="1:6" outlineLevel="3" x14ac:dyDescent="0.25">
      <c r="A1494" s="4" t="s">
        <v>421</v>
      </c>
      <c r="B1494" t="s">
        <v>422</v>
      </c>
      <c r="C1494" t="s">
        <v>2862</v>
      </c>
      <c r="D1494" t="s">
        <v>202</v>
      </c>
      <c r="E1494" t="s">
        <v>205</v>
      </c>
      <c r="F1494" t="s">
        <v>37</v>
      </c>
    </row>
    <row r="1495" spans="1:6" outlineLevel="3" x14ac:dyDescent="0.25">
      <c r="A1495" s="4" t="s">
        <v>421</v>
      </c>
      <c r="B1495" t="s">
        <v>422</v>
      </c>
      <c r="C1495" t="s">
        <v>2863</v>
      </c>
      <c r="D1495" t="s">
        <v>6</v>
      </c>
      <c r="E1495" t="s">
        <v>205</v>
      </c>
      <c r="F1495" t="s">
        <v>37</v>
      </c>
    </row>
    <row r="1496" spans="1:6" outlineLevel="3" x14ac:dyDescent="0.25">
      <c r="A1496" s="4" t="s">
        <v>421</v>
      </c>
      <c r="B1496" t="s">
        <v>422</v>
      </c>
      <c r="C1496" t="s">
        <v>2864</v>
      </c>
      <c r="D1496" t="s">
        <v>126</v>
      </c>
      <c r="E1496" t="s">
        <v>205</v>
      </c>
      <c r="F1496" t="s">
        <v>37</v>
      </c>
    </row>
    <row r="1497" spans="1:6" outlineLevel="3" x14ac:dyDescent="0.25">
      <c r="A1497" s="4" t="s">
        <v>421</v>
      </c>
      <c r="B1497" t="s">
        <v>422</v>
      </c>
      <c r="C1497" t="s">
        <v>4116</v>
      </c>
      <c r="D1497" t="s">
        <v>13</v>
      </c>
      <c r="E1497" t="s">
        <v>227</v>
      </c>
      <c r="F1497" t="s">
        <v>37</v>
      </c>
    </row>
    <row r="1498" spans="1:6" outlineLevel="3" x14ac:dyDescent="0.25">
      <c r="A1498" s="4" t="s">
        <v>421</v>
      </c>
      <c r="B1498" t="s">
        <v>422</v>
      </c>
      <c r="C1498" t="s">
        <v>1997</v>
      </c>
      <c r="D1498" t="s">
        <v>6</v>
      </c>
      <c r="E1498" t="s">
        <v>227</v>
      </c>
      <c r="F1498" t="s">
        <v>37</v>
      </c>
    </row>
    <row r="1499" spans="1:6" outlineLevel="3" x14ac:dyDescent="0.25">
      <c r="A1499" s="4" t="s">
        <v>421</v>
      </c>
      <c r="B1499" t="s">
        <v>422</v>
      </c>
      <c r="C1499" t="s">
        <v>4117</v>
      </c>
      <c r="D1499" t="s">
        <v>437</v>
      </c>
      <c r="E1499" t="s">
        <v>227</v>
      </c>
      <c r="F1499" t="s">
        <v>37</v>
      </c>
    </row>
    <row r="1500" spans="1:6" outlineLevel="3" x14ac:dyDescent="0.25">
      <c r="A1500" s="4" t="s">
        <v>421</v>
      </c>
      <c r="B1500" t="s">
        <v>422</v>
      </c>
      <c r="C1500" t="s">
        <v>4118</v>
      </c>
      <c r="D1500" t="s">
        <v>13</v>
      </c>
      <c r="E1500" t="s">
        <v>367</v>
      </c>
      <c r="F1500" t="s">
        <v>37</v>
      </c>
    </row>
    <row r="1501" spans="1:6" outlineLevel="3" x14ac:dyDescent="0.25">
      <c r="A1501" s="4" t="s">
        <v>421</v>
      </c>
      <c r="B1501" t="s">
        <v>422</v>
      </c>
      <c r="C1501" t="s">
        <v>3427</v>
      </c>
      <c r="D1501" t="s">
        <v>13</v>
      </c>
      <c r="E1501" t="s">
        <v>249</v>
      </c>
      <c r="F1501" t="s">
        <v>37</v>
      </c>
    </row>
    <row r="1502" spans="1:6" outlineLevel="3" x14ac:dyDescent="0.25">
      <c r="A1502" s="4" t="s">
        <v>421</v>
      </c>
      <c r="B1502" t="s">
        <v>422</v>
      </c>
      <c r="C1502" t="s">
        <v>3428</v>
      </c>
      <c r="D1502" t="s">
        <v>190</v>
      </c>
      <c r="E1502" t="s">
        <v>249</v>
      </c>
      <c r="F1502" t="s">
        <v>37</v>
      </c>
    </row>
    <row r="1503" spans="1:6" outlineLevel="3" x14ac:dyDescent="0.25">
      <c r="A1503" s="4" t="s">
        <v>421</v>
      </c>
      <c r="B1503" t="s">
        <v>422</v>
      </c>
      <c r="C1503" t="s">
        <v>3429</v>
      </c>
      <c r="D1503" t="s">
        <v>190</v>
      </c>
      <c r="E1503" t="s">
        <v>249</v>
      </c>
      <c r="F1503" t="s">
        <v>37</v>
      </c>
    </row>
    <row r="1504" spans="1:6" outlineLevel="3" x14ac:dyDescent="0.25">
      <c r="A1504" s="4" t="s">
        <v>421</v>
      </c>
      <c r="B1504" t="s">
        <v>422</v>
      </c>
      <c r="C1504" t="s">
        <v>3430</v>
      </c>
      <c r="D1504" t="s">
        <v>67</v>
      </c>
      <c r="E1504" t="s">
        <v>249</v>
      </c>
      <c r="F1504" t="s">
        <v>37</v>
      </c>
    </row>
    <row r="1505" spans="1:6" outlineLevel="3" x14ac:dyDescent="0.25">
      <c r="A1505" s="4" t="s">
        <v>421</v>
      </c>
      <c r="B1505" t="s">
        <v>422</v>
      </c>
      <c r="C1505" t="s">
        <v>3431</v>
      </c>
      <c r="D1505" t="s">
        <v>435</v>
      </c>
      <c r="E1505" t="s">
        <v>249</v>
      </c>
      <c r="F1505" t="s">
        <v>37</v>
      </c>
    </row>
    <row r="1506" spans="1:6" outlineLevel="3" x14ac:dyDescent="0.25">
      <c r="A1506" s="4" t="s">
        <v>421</v>
      </c>
      <c r="B1506" t="s">
        <v>422</v>
      </c>
      <c r="C1506" t="s">
        <v>3432</v>
      </c>
      <c r="D1506" t="s">
        <v>237</v>
      </c>
      <c r="E1506" t="s">
        <v>249</v>
      </c>
      <c r="F1506" t="s">
        <v>37</v>
      </c>
    </row>
    <row r="1507" spans="1:6" outlineLevel="3" x14ac:dyDescent="0.25">
      <c r="A1507" s="4" t="s">
        <v>421</v>
      </c>
      <c r="B1507" t="s">
        <v>422</v>
      </c>
      <c r="C1507" t="s">
        <v>2749</v>
      </c>
      <c r="D1507" t="s">
        <v>13</v>
      </c>
      <c r="E1507" t="s">
        <v>239</v>
      </c>
      <c r="F1507" t="s">
        <v>37</v>
      </c>
    </row>
    <row r="1508" spans="1:6" outlineLevel="3" x14ac:dyDescent="0.25">
      <c r="A1508" s="4" t="s">
        <v>421</v>
      </c>
      <c r="B1508" t="s">
        <v>422</v>
      </c>
      <c r="C1508" t="s">
        <v>2750</v>
      </c>
      <c r="D1508" t="s">
        <v>202</v>
      </c>
      <c r="E1508" t="s">
        <v>239</v>
      </c>
      <c r="F1508" t="s">
        <v>37</v>
      </c>
    </row>
    <row r="1509" spans="1:6" outlineLevel="3" x14ac:dyDescent="0.25">
      <c r="A1509" s="4" t="s">
        <v>421</v>
      </c>
      <c r="B1509" t="s">
        <v>422</v>
      </c>
      <c r="C1509" t="s">
        <v>3433</v>
      </c>
      <c r="D1509" t="s">
        <v>202</v>
      </c>
      <c r="E1509" t="s">
        <v>136</v>
      </c>
      <c r="F1509" t="s">
        <v>37</v>
      </c>
    </row>
    <row r="1510" spans="1:6" outlineLevel="3" x14ac:dyDescent="0.25">
      <c r="A1510" s="4" t="s">
        <v>421</v>
      </c>
      <c r="B1510" t="s">
        <v>422</v>
      </c>
      <c r="C1510" t="s">
        <v>3434</v>
      </c>
      <c r="D1510" t="s">
        <v>165</v>
      </c>
      <c r="E1510" t="s">
        <v>136</v>
      </c>
      <c r="F1510" t="s">
        <v>37</v>
      </c>
    </row>
    <row r="1511" spans="1:6" outlineLevel="3" x14ac:dyDescent="0.25">
      <c r="A1511" s="4" t="s">
        <v>421</v>
      </c>
      <c r="B1511" t="s">
        <v>422</v>
      </c>
      <c r="C1511" t="s">
        <v>3435</v>
      </c>
      <c r="D1511" t="s">
        <v>437</v>
      </c>
      <c r="E1511" t="s">
        <v>136</v>
      </c>
      <c r="F1511" t="s">
        <v>37</v>
      </c>
    </row>
    <row r="1512" spans="1:6" outlineLevel="3" x14ac:dyDescent="0.25">
      <c r="A1512" s="4" t="s">
        <v>421</v>
      </c>
      <c r="B1512" t="s">
        <v>422</v>
      </c>
      <c r="C1512" t="s">
        <v>3436</v>
      </c>
      <c r="D1512" t="s">
        <v>165</v>
      </c>
      <c r="E1512" t="s">
        <v>136</v>
      </c>
      <c r="F1512" t="s">
        <v>37</v>
      </c>
    </row>
    <row r="1513" spans="1:6" outlineLevel="3" x14ac:dyDescent="0.25">
      <c r="A1513" s="4" t="s">
        <v>421</v>
      </c>
      <c r="B1513" t="s">
        <v>422</v>
      </c>
      <c r="C1513" t="s">
        <v>3437</v>
      </c>
      <c r="D1513" t="s">
        <v>6</v>
      </c>
      <c r="E1513" t="s">
        <v>136</v>
      </c>
      <c r="F1513" t="s">
        <v>37</v>
      </c>
    </row>
    <row r="1514" spans="1:6" outlineLevel="3" x14ac:dyDescent="0.25">
      <c r="A1514" s="4" t="s">
        <v>421</v>
      </c>
      <c r="B1514" t="s">
        <v>422</v>
      </c>
      <c r="C1514" t="s">
        <v>3438</v>
      </c>
      <c r="D1514" t="s">
        <v>165</v>
      </c>
      <c r="E1514" t="s">
        <v>136</v>
      </c>
      <c r="F1514" t="s">
        <v>37</v>
      </c>
    </row>
    <row r="1515" spans="1:6" outlineLevel="3" x14ac:dyDescent="0.25">
      <c r="A1515" s="4" t="s">
        <v>421</v>
      </c>
      <c r="B1515" t="s">
        <v>422</v>
      </c>
      <c r="C1515" t="s">
        <v>3439</v>
      </c>
      <c r="D1515" t="s">
        <v>6</v>
      </c>
      <c r="E1515" t="s">
        <v>136</v>
      </c>
      <c r="F1515" t="s">
        <v>37</v>
      </c>
    </row>
    <row r="1516" spans="1:6" outlineLevel="3" x14ac:dyDescent="0.25">
      <c r="A1516" s="4" t="s">
        <v>421</v>
      </c>
      <c r="B1516" t="s">
        <v>422</v>
      </c>
      <c r="C1516" t="s">
        <v>3440</v>
      </c>
      <c r="D1516" t="s">
        <v>150</v>
      </c>
      <c r="E1516" t="s">
        <v>136</v>
      </c>
      <c r="F1516" t="s">
        <v>37</v>
      </c>
    </row>
    <row r="1517" spans="1:6" outlineLevel="3" x14ac:dyDescent="0.25">
      <c r="A1517" s="4" t="s">
        <v>421</v>
      </c>
      <c r="B1517" t="s">
        <v>422</v>
      </c>
      <c r="C1517" t="s">
        <v>3441</v>
      </c>
      <c r="D1517" t="s">
        <v>190</v>
      </c>
      <c r="E1517" t="s">
        <v>136</v>
      </c>
      <c r="F1517" t="s">
        <v>37</v>
      </c>
    </row>
    <row r="1518" spans="1:6" outlineLevel="3" x14ac:dyDescent="0.25">
      <c r="A1518" s="4" t="s">
        <v>421</v>
      </c>
      <c r="B1518" t="s">
        <v>422</v>
      </c>
      <c r="C1518" t="s">
        <v>3442</v>
      </c>
      <c r="D1518" t="s">
        <v>202</v>
      </c>
      <c r="E1518" t="s">
        <v>136</v>
      </c>
      <c r="F1518" t="s">
        <v>37</v>
      </c>
    </row>
    <row r="1519" spans="1:6" outlineLevel="3" x14ac:dyDescent="0.25">
      <c r="A1519" s="4" t="s">
        <v>421</v>
      </c>
      <c r="B1519" t="s">
        <v>422</v>
      </c>
      <c r="C1519" t="s">
        <v>3443</v>
      </c>
      <c r="D1519" t="s">
        <v>126</v>
      </c>
      <c r="E1519" t="s">
        <v>136</v>
      </c>
      <c r="F1519" t="s">
        <v>37</v>
      </c>
    </row>
    <row r="1520" spans="1:6" outlineLevel="3" x14ac:dyDescent="0.25">
      <c r="A1520" s="4" t="s">
        <v>421</v>
      </c>
      <c r="B1520" t="s">
        <v>422</v>
      </c>
      <c r="C1520" t="s">
        <v>3444</v>
      </c>
      <c r="D1520" t="s">
        <v>237</v>
      </c>
      <c r="E1520" t="s">
        <v>136</v>
      </c>
      <c r="F1520" t="s">
        <v>37</v>
      </c>
    </row>
    <row r="1521" spans="1:6" outlineLevel="3" x14ac:dyDescent="0.25">
      <c r="A1521" s="4" t="s">
        <v>421</v>
      </c>
      <c r="B1521" t="s">
        <v>422</v>
      </c>
      <c r="C1521" t="s">
        <v>3445</v>
      </c>
      <c r="D1521" t="s">
        <v>437</v>
      </c>
      <c r="E1521" t="s">
        <v>136</v>
      </c>
      <c r="F1521" t="s">
        <v>37</v>
      </c>
    </row>
    <row r="1522" spans="1:6" outlineLevel="3" x14ac:dyDescent="0.25">
      <c r="A1522" s="4" t="s">
        <v>421</v>
      </c>
      <c r="B1522" t="s">
        <v>422</v>
      </c>
      <c r="C1522" t="s">
        <v>3446</v>
      </c>
      <c r="D1522" t="s">
        <v>44</v>
      </c>
      <c r="E1522" t="s">
        <v>136</v>
      </c>
      <c r="F1522" t="s">
        <v>37</v>
      </c>
    </row>
    <row r="1523" spans="1:6" outlineLevel="3" x14ac:dyDescent="0.25">
      <c r="A1523" s="4" t="s">
        <v>421</v>
      </c>
      <c r="B1523" t="s">
        <v>422</v>
      </c>
      <c r="C1523" t="s">
        <v>3447</v>
      </c>
      <c r="D1523" t="s">
        <v>76</v>
      </c>
      <c r="E1523" t="s">
        <v>136</v>
      </c>
      <c r="F1523" t="s">
        <v>37</v>
      </c>
    </row>
    <row r="1524" spans="1:6" outlineLevel="3" x14ac:dyDescent="0.25">
      <c r="A1524" s="4" t="s">
        <v>421</v>
      </c>
      <c r="B1524" t="s">
        <v>422</v>
      </c>
      <c r="C1524" t="s">
        <v>3448</v>
      </c>
      <c r="D1524" t="s">
        <v>6</v>
      </c>
      <c r="E1524" t="s">
        <v>136</v>
      </c>
      <c r="F1524" t="s">
        <v>37</v>
      </c>
    </row>
    <row r="1525" spans="1:6" outlineLevel="3" x14ac:dyDescent="0.25">
      <c r="A1525" s="4" t="s">
        <v>421</v>
      </c>
      <c r="B1525" t="s">
        <v>422</v>
      </c>
      <c r="C1525" t="s">
        <v>3449</v>
      </c>
      <c r="D1525" t="s">
        <v>190</v>
      </c>
      <c r="E1525" t="s">
        <v>136</v>
      </c>
      <c r="F1525" t="s">
        <v>37</v>
      </c>
    </row>
    <row r="1526" spans="1:6" outlineLevel="3" x14ac:dyDescent="0.25">
      <c r="A1526" s="4" t="s">
        <v>421</v>
      </c>
      <c r="B1526" t="s">
        <v>422</v>
      </c>
      <c r="C1526" t="s">
        <v>3450</v>
      </c>
      <c r="D1526" t="s">
        <v>190</v>
      </c>
      <c r="E1526" t="s">
        <v>136</v>
      </c>
      <c r="F1526" t="s">
        <v>37</v>
      </c>
    </row>
    <row r="1527" spans="1:6" outlineLevel="3" x14ac:dyDescent="0.25">
      <c r="A1527" s="4" t="s">
        <v>421</v>
      </c>
      <c r="B1527" t="s">
        <v>422</v>
      </c>
      <c r="C1527" t="s">
        <v>3451</v>
      </c>
      <c r="D1527" t="s">
        <v>44</v>
      </c>
      <c r="E1527" t="s">
        <v>136</v>
      </c>
      <c r="F1527" t="s">
        <v>37</v>
      </c>
    </row>
    <row r="1528" spans="1:6" outlineLevel="3" x14ac:dyDescent="0.25">
      <c r="A1528" s="4" t="s">
        <v>421</v>
      </c>
      <c r="B1528" t="s">
        <v>422</v>
      </c>
      <c r="C1528" t="s">
        <v>3452</v>
      </c>
      <c r="D1528" t="s">
        <v>67</v>
      </c>
      <c r="E1528" t="s">
        <v>136</v>
      </c>
      <c r="F1528" t="s">
        <v>37</v>
      </c>
    </row>
    <row r="1529" spans="1:6" outlineLevel="3" x14ac:dyDescent="0.25">
      <c r="A1529" s="4" t="s">
        <v>421</v>
      </c>
      <c r="B1529" t="s">
        <v>422</v>
      </c>
      <c r="C1529" t="s">
        <v>3453</v>
      </c>
      <c r="D1529" t="s">
        <v>67</v>
      </c>
      <c r="E1529" t="s">
        <v>136</v>
      </c>
      <c r="F1529" t="s">
        <v>37</v>
      </c>
    </row>
    <row r="1530" spans="1:6" outlineLevel="3" x14ac:dyDescent="0.25">
      <c r="A1530" s="4" t="s">
        <v>421</v>
      </c>
      <c r="B1530" t="s">
        <v>422</v>
      </c>
      <c r="C1530" t="s">
        <v>3454</v>
      </c>
      <c r="D1530" t="s">
        <v>76</v>
      </c>
      <c r="E1530" t="s">
        <v>136</v>
      </c>
      <c r="F1530" t="s">
        <v>37</v>
      </c>
    </row>
    <row r="1531" spans="1:6" outlineLevel="3" x14ac:dyDescent="0.25">
      <c r="A1531" s="4" t="s">
        <v>421</v>
      </c>
      <c r="B1531" t="s">
        <v>422</v>
      </c>
      <c r="C1531" t="s">
        <v>3455</v>
      </c>
      <c r="D1531" t="s">
        <v>275</v>
      </c>
      <c r="E1531" t="s">
        <v>136</v>
      </c>
      <c r="F1531" t="s">
        <v>37</v>
      </c>
    </row>
    <row r="1532" spans="1:6" outlineLevel="3" x14ac:dyDescent="0.25">
      <c r="A1532" s="4" t="s">
        <v>421</v>
      </c>
      <c r="B1532" t="s">
        <v>422</v>
      </c>
      <c r="C1532" t="s">
        <v>3456</v>
      </c>
      <c r="D1532" t="s">
        <v>103</v>
      </c>
      <c r="E1532" t="s">
        <v>136</v>
      </c>
      <c r="F1532" t="s">
        <v>37</v>
      </c>
    </row>
    <row r="1533" spans="1:6" outlineLevel="3" x14ac:dyDescent="0.25">
      <c r="A1533" s="4" t="s">
        <v>421</v>
      </c>
      <c r="B1533" t="s">
        <v>422</v>
      </c>
      <c r="C1533" t="s">
        <v>3457</v>
      </c>
      <c r="D1533" t="s">
        <v>6</v>
      </c>
      <c r="E1533" t="s">
        <v>136</v>
      </c>
      <c r="F1533" t="s">
        <v>37</v>
      </c>
    </row>
    <row r="1534" spans="1:6" outlineLevel="3" x14ac:dyDescent="0.25">
      <c r="A1534" s="4" t="s">
        <v>421</v>
      </c>
      <c r="B1534" t="s">
        <v>422</v>
      </c>
      <c r="C1534" t="s">
        <v>3458</v>
      </c>
      <c r="D1534" t="s">
        <v>143</v>
      </c>
      <c r="E1534" t="s">
        <v>136</v>
      </c>
      <c r="F1534" t="s">
        <v>37</v>
      </c>
    </row>
    <row r="1535" spans="1:6" outlineLevel="3" x14ac:dyDescent="0.25">
      <c r="A1535" s="4" t="s">
        <v>421</v>
      </c>
      <c r="B1535" t="s">
        <v>422</v>
      </c>
      <c r="C1535" t="s">
        <v>3459</v>
      </c>
      <c r="D1535" t="s">
        <v>67</v>
      </c>
      <c r="E1535" t="s">
        <v>136</v>
      </c>
      <c r="F1535" t="s">
        <v>37</v>
      </c>
    </row>
    <row r="1536" spans="1:6" outlineLevel="3" x14ac:dyDescent="0.25">
      <c r="A1536" s="4" t="s">
        <v>421</v>
      </c>
      <c r="B1536" t="s">
        <v>422</v>
      </c>
      <c r="C1536" t="s">
        <v>3460</v>
      </c>
      <c r="D1536" t="s">
        <v>76</v>
      </c>
      <c r="E1536" t="s">
        <v>136</v>
      </c>
      <c r="F1536" t="s">
        <v>37</v>
      </c>
    </row>
    <row r="1537" spans="1:6" outlineLevel="3" x14ac:dyDescent="0.25">
      <c r="A1537" s="4" t="s">
        <v>421</v>
      </c>
      <c r="B1537" t="s">
        <v>422</v>
      </c>
      <c r="C1537" t="s">
        <v>1897</v>
      </c>
      <c r="D1537" t="s">
        <v>119</v>
      </c>
      <c r="E1537" t="s">
        <v>136</v>
      </c>
      <c r="F1537" t="s">
        <v>37</v>
      </c>
    </row>
    <row r="1538" spans="1:6" outlineLevel="3" x14ac:dyDescent="0.25">
      <c r="A1538" s="4" t="s">
        <v>421</v>
      </c>
      <c r="B1538" t="s">
        <v>422</v>
      </c>
      <c r="C1538" t="s">
        <v>1898</v>
      </c>
      <c r="D1538" t="s">
        <v>119</v>
      </c>
      <c r="E1538" t="s">
        <v>136</v>
      </c>
      <c r="F1538" t="s">
        <v>37</v>
      </c>
    </row>
    <row r="1539" spans="1:6" outlineLevel="3" x14ac:dyDescent="0.25">
      <c r="A1539" s="4" t="s">
        <v>421</v>
      </c>
      <c r="B1539" t="s">
        <v>422</v>
      </c>
      <c r="C1539" t="s">
        <v>3461</v>
      </c>
      <c r="D1539" t="s">
        <v>437</v>
      </c>
      <c r="E1539" t="s">
        <v>136</v>
      </c>
      <c r="F1539" t="s">
        <v>37</v>
      </c>
    </row>
    <row r="1540" spans="1:6" outlineLevel="3" x14ac:dyDescent="0.25">
      <c r="A1540" s="4" t="s">
        <v>421</v>
      </c>
      <c r="B1540" t="s">
        <v>422</v>
      </c>
      <c r="C1540" t="s">
        <v>3462</v>
      </c>
      <c r="D1540" t="s">
        <v>124</v>
      </c>
      <c r="E1540" t="s">
        <v>136</v>
      </c>
      <c r="F1540" t="s">
        <v>37</v>
      </c>
    </row>
    <row r="1541" spans="1:6" outlineLevel="3" x14ac:dyDescent="0.25">
      <c r="A1541" s="4" t="s">
        <v>421</v>
      </c>
      <c r="B1541" t="s">
        <v>422</v>
      </c>
      <c r="C1541" t="s">
        <v>3463</v>
      </c>
      <c r="D1541" t="s">
        <v>437</v>
      </c>
      <c r="E1541" t="s">
        <v>136</v>
      </c>
      <c r="F1541" t="s">
        <v>37</v>
      </c>
    </row>
    <row r="1542" spans="1:6" outlineLevel="3" x14ac:dyDescent="0.25">
      <c r="A1542" s="4" t="s">
        <v>421</v>
      </c>
      <c r="B1542" t="s">
        <v>422</v>
      </c>
      <c r="C1542" t="s">
        <v>3464</v>
      </c>
      <c r="D1542" t="s">
        <v>437</v>
      </c>
      <c r="E1542" t="s">
        <v>136</v>
      </c>
      <c r="F1542" t="s">
        <v>37</v>
      </c>
    </row>
    <row r="1543" spans="1:6" outlineLevel="3" x14ac:dyDescent="0.25">
      <c r="A1543" s="4" t="s">
        <v>421</v>
      </c>
      <c r="B1543" t="s">
        <v>422</v>
      </c>
      <c r="C1543" t="s">
        <v>3465</v>
      </c>
      <c r="D1543" t="s">
        <v>165</v>
      </c>
      <c r="E1543" t="s">
        <v>136</v>
      </c>
      <c r="F1543" t="s">
        <v>37</v>
      </c>
    </row>
    <row r="1544" spans="1:6" outlineLevel="3" x14ac:dyDescent="0.25">
      <c r="A1544" s="4" t="s">
        <v>421</v>
      </c>
      <c r="B1544" t="s">
        <v>422</v>
      </c>
      <c r="C1544" t="s">
        <v>3466</v>
      </c>
      <c r="D1544" t="s">
        <v>165</v>
      </c>
      <c r="E1544" t="s">
        <v>136</v>
      </c>
      <c r="F1544" t="s">
        <v>37</v>
      </c>
    </row>
    <row r="1545" spans="1:6" outlineLevel="3" x14ac:dyDescent="0.25">
      <c r="A1545" s="4" t="s">
        <v>421</v>
      </c>
      <c r="B1545" t="s">
        <v>422</v>
      </c>
      <c r="C1545" t="s">
        <v>3467</v>
      </c>
      <c r="D1545" t="s">
        <v>437</v>
      </c>
      <c r="E1545" t="s">
        <v>136</v>
      </c>
      <c r="F1545" t="s">
        <v>37</v>
      </c>
    </row>
    <row r="1546" spans="1:6" outlineLevel="3" x14ac:dyDescent="0.25">
      <c r="A1546" s="4" t="s">
        <v>421</v>
      </c>
      <c r="B1546" t="s">
        <v>422</v>
      </c>
      <c r="C1546" t="s">
        <v>3468</v>
      </c>
      <c r="D1546" t="s">
        <v>165</v>
      </c>
      <c r="E1546" t="s">
        <v>136</v>
      </c>
      <c r="F1546" t="s">
        <v>37</v>
      </c>
    </row>
    <row r="1547" spans="1:6" outlineLevel="3" x14ac:dyDescent="0.25">
      <c r="A1547" s="4" t="s">
        <v>421</v>
      </c>
      <c r="B1547" t="s">
        <v>422</v>
      </c>
      <c r="C1547" t="s">
        <v>3469</v>
      </c>
      <c r="D1547" t="s">
        <v>437</v>
      </c>
      <c r="E1547" t="s">
        <v>136</v>
      </c>
      <c r="F1547" t="s">
        <v>37</v>
      </c>
    </row>
    <row r="1548" spans="1:6" outlineLevel="3" x14ac:dyDescent="0.25">
      <c r="A1548" s="4" t="s">
        <v>421</v>
      </c>
      <c r="B1548" t="s">
        <v>422</v>
      </c>
      <c r="C1548" t="s">
        <v>3470</v>
      </c>
      <c r="D1548" t="s">
        <v>437</v>
      </c>
      <c r="E1548" t="s">
        <v>136</v>
      </c>
      <c r="F1548" t="s">
        <v>37</v>
      </c>
    </row>
    <row r="1549" spans="1:6" outlineLevel="3" x14ac:dyDescent="0.25">
      <c r="A1549" s="4" t="s">
        <v>421</v>
      </c>
      <c r="B1549" t="s">
        <v>422</v>
      </c>
      <c r="C1549" t="s">
        <v>3471</v>
      </c>
      <c r="D1549" t="s">
        <v>437</v>
      </c>
      <c r="E1549" t="s">
        <v>136</v>
      </c>
      <c r="F1549" t="s">
        <v>37</v>
      </c>
    </row>
    <row r="1550" spans="1:6" outlineLevel="3" x14ac:dyDescent="0.25">
      <c r="A1550" s="4" t="s">
        <v>421</v>
      </c>
      <c r="B1550" t="s">
        <v>422</v>
      </c>
      <c r="C1550" t="s">
        <v>3472</v>
      </c>
      <c r="D1550" t="s">
        <v>437</v>
      </c>
      <c r="E1550" t="s">
        <v>136</v>
      </c>
      <c r="F1550" t="s">
        <v>37</v>
      </c>
    </row>
    <row r="1551" spans="1:6" outlineLevel="3" x14ac:dyDescent="0.25">
      <c r="A1551" s="4" t="s">
        <v>421</v>
      </c>
      <c r="B1551" t="s">
        <v>422</v>
      </c>
      <c r="C1551" t="s">
        <v>3473</v>
      </c>
      <c r="D1551" t="s">
        <v>437</v>
      </c>
      <c r="E1551" t="s">
        <v>136</v>
      </c>
      <c r="F1551" t="s">
        <v>37</v>
      </c>
    </row>
    <row r="1552" spans="1:6" outlineLevel="3" x14ac:dyDescent="0.25">
      <c r="A1552" s="4" t="s">
        <v>421</v>
      </c>
      <c r="B1552" t="s">
        <v>422</v>
      </c>
      <c r="C1552" t="s">
        <v>3474</v>
      </c>
      <c r="D1552" t="s">
        <v>437</v>
      </c>
      <c r="E1552" t="s">
        <v>136</v>
      </c>
      <c r="F1552" t="s">
        <v>37</v>
      </c>
    </row>
    <row r="1553" spans="1:6" outlineLevel="3" x14ac:dyDescent="0.25">
      <c r="A1553" s="4" t="s">
        <v>421</v>
      </c>
      <c r="B1553" t="s">
        <v>422</v>
      </c>
      <c r="C1553" t="s">
        <v>3475</v>
      </c>
      <c r="D1553" t="s">
        <v>437</v>
      </c>
      <c r="E1553" t="s">
        <v>136</v>
      </c>
      <c r="F1553" t="s">
        <v>37</v>
      </c>
    </row>
    <row r="1554" spans="1:6" outlineLevel="3" x14ac:dyDescent="0.25">
      <c r="A1554" s="4" t="s">
        <v>421</v>
      </c>
      <c r="B1554" t="s">
        <v>422</v>
      </c>
      <c r="C1554" t="s">
        <v>3476</v>
      </c>
      <c r="D1554" t="s">
        <v>437</v>
      </c>
      <c r="E1554" t="s">
        <v>136</v>
      </c>
      <c r="F1554" t="s">
        <v>37</v>
      </c>
    </row>
    <row r="1555" spans="1:6" outlineLevel="3" x14ac:dyDescent="0.25">
      <c r="A1555" s="4" t="s">
        <v>421</v>
      </c>
      <c r="B1555" t="s">
        <v>422</v>
      </c>
      <c r="C1555" t="s">
        <v>3477</v>
      </c>
      <c r="D1555" t="s">
        <v>190</v>
      </c>
      <c r="E1555" t="s">
        <v>136</v>
      </c>
      <c r="F1555" t="s">
        <v>37</v>
      </c>
    </row>
    <row r="1556" spans="1:6" outlineLevel="3" x14ac:dyDescent="0.25">
      <c r="A1556" s="4" t="s">
        <v>421</v>
      </c>
      <c r="B1556" t="s">
        <v>422</v>
      </c>
      <c r="C1556" t="s">
        <v>3478</v>
      </c>
      <c r="D1556" t="s">
        <v>437</v>
      </c>
      <c r="E1556" t="s">
        <v>136</v>
      </c>
      <c r="F1556" t="s">
        <v>37</v>
      </c>
    </row>
    <row r="1557" spans="1:6" outlineLevel="3" x14ac:dyDescent="0.25">
      <c r="A1557" s="4" t="s">
        <v>421</v>
      </c>
      <c r="B1557" t="s">
        <v>422</v>
      </c>
      <c r="C1557" t="s">
        <v>3479</v>
      </c>
      <c r="D1557" t="s">
        <v>437</v>
      </c>
      <c r="E1557" t="s">
        <v>136</v>
      </c>
      <c r="F1557" t="s">
        <v>37</v>
      </c>
    </row>
    <row r="1558" spans="1:6" outlineLevel="3" x14ac:dyDescent="0.25">
      <c r="A1558" s="4" t="s">
        <v>421</v>
      </c>
      <c r="B1558" t="s">
        <v>422</v>
      </c>
      <c r="C1558" t="s">
        <v>1899</v>
      </c>
      <c r="D1558" t="s">
        <v>437</v>
      </c>
      <c r="E1558" t="s">
        <v>136</v>
      </c>
      <c r="F1558" t="s">
        <v>37</v>
      </c>
    </row>
    <row r="1559" spans="1:6" outlineLevel="3" x14ac:dyDescent="0.25">
      <c r="A1559" s="4" t="s">
        <v>421</v>
      </c>
      <c r="B1559" t="s">
        <v>422</v>
      </c>
      <c r="C1559" t="s">
        <v>3480</v>
      </c>
      <c r="D1559" t="s">
        <v>126</v>
      </c>
      <c r="E1559" t="s">
        <v>136</v>
      </c>
      <c r="F1559" t="s">
        <v>37</v>
      </c>
    </row>
    <row r="1560" spans="1:6" outlineLevel="3" x14ac:dyDescent="0.25">
      <c r="A1560" s="4" t="s">
        <v>421</v>
      </c>
      <c r="B1560" t="s">
        <v>422</v>
      </c>
      <c r="C1560" t="s">
        <v>3481</v>
      </c>
      <c r="D1560" t="s">
        <v>13</v>
      </c>
      <c r="E1560" t="s">
        <v>136</v>
      </c>
      <c r="F1560" t="s">
        <v>37</v>
      </c>
    </row>
    <row r="1561" spans="1:6" outlineLevel="3" x14ac:dyDescent="0.25">
      <c r="A1561" s="4" t="s">
        <v>421</v>
      </c>
      <c r="B1561" t="s">
        <v>422</v>
      </c>
      <c r="C1561" t="s">
        <v>3482</v>
      </c>
      <c r="D1561" t="s">
        <v>437</v>
      </c>
      <c r="E1561" t="s">
        <v>136</v>
      </c>
      <c r="F1561" t="s">
        <v>37</v>
      </c>
    </row>
    <row r="1562" spans="1:6" outlineLevel="3" x14ac:dyDescent="0.25">
      <c r="A1562" s="4" t="s">
        <v>421</v>
      </c>
      <c r="B1562" t="s">
        <v>422</v>
      </c>
      <c r="C1562" t="s">
        <v>3483</v>
      </c>
      <c r="D1562" t="s">
        <v>437</v>
      </c>
      <c r="E1562" t="s">
        <v>136</v>
      </c>
      <c r="F1562" t="s">
        <v>37</v>
      </c>
    </row>
    <row r="1563" spans="1:6" outlineLevel="3" x14ac:dyDescent="0.25">
      <c r="A1563" s="4" t="s">
        <v>421</v>
      </c>
      <c r="B1563" t="s">
        <v>422</v>
      </c>
      <c r="C1563" t="s">
        <v>3484</v>
      </c>
      <c r="D1563" t="s">
        <v>437</v>
      </c>
      <c r="E1563" t="s">
        <v>136</v>
      </c>
      <c r="F1563" t="s">
        <v>37</v>
      </c>
    </row>
    <row r="1564" spans="1:6" outlineLevel="3" x14ac:dyDescent="0.25">
      <c r="A1564" s="4" t="s">
        <v>421</v>
      </c>
      <c r="B1564" t="s">
        <v>422</v>
      </c>
      <c r="C1564" t="s">
        <v>3485</v>
      </c>
      <c r="D1564" t="s">
        <v>13</v>
      </c>
      <c r="E1564" t="s">
        <v>136</v>
      </c>
      <c r="F1564" t="s">
        <v>37</v>
      </c>
    </row>
    <row r="1565" spans="1:6" outlineLevel="3" x14ac:dyDescent="0.25">
      <c r="A1565" s="4" t="s">
        <v>421</v>
      </c>
      <c r="B1565" t="s">
        <v>422</v>
      </c>
      <c r="C1565" t="s">
        <v>3486</v>
      </c>
      <c r="D1565" t="s">
        <v>13</v>
      </c>
      <c r="E1565" t="s">
        <v>136</v>
      </c>
      <c r="F1565" t="s">
        <v>37</v>
      </c>
    </row>
    <row r="1566" spans="1:6" outlineLevel="3" x14ac:dyDescent="0.25">
      <c r="A1566" s="4" t="s">
        <v>421</v>
      </c>
      <c r="B1566" t="s">
        <v>422</v>
      </c>
      <c r="C1566" t="s">
        <v>3487</v>
      </c>
      <c r="D1566" t="s">
        <v>13</v>
      </c>
      <c r="E1566" t="s">
        <v>136</v>
      </c>
      <c r="F1566" t="s">
        <v>37</v>
      </c>
    </row>
    <row r="1567" spans="1:6" outlineLevel="3" x14ac:dyDescent="0.25">
      <c r="A1567" s="4" t="s">
        <v>421</v>
      </c>
      <c r="B1567" t="s">
        <v>422</v>
      </c>
      <c r="C1567" t="s">
        <v>3488</v>
      </c>
      <c r="D1567" t="s">
        <v>437</v>
      </c>
      <c r="E1567" t="s">
        <v>136</v>
      </c>
      <c r="F1567" t="s">
        <v>37</v>
      </c>
    </row>
    <row r="1568" spans="1:6" outlineLevel="3" x14ac:dyDescent="0.25">
      <c r="A1568" s="4" t="s">
        <v>421</v>
      </c>
      <c r="B1568" t="s">
        <v>422</v>
      </c>
      <c r="C1568" t="s">
        <v>3489</v>
      </c>
      <c r="D1568" t="s">
        <v>165</v>
      </c>
      <c r="E1568" t="s">
        <v>136</v>
      </c>
      <c r="F1568" t="s">
        <v>37</v>
      </c>
    </row>
    <row r="1569" spans="1:6" outlineLevel="3" x14ac:dyDescent="0.25">
      <c r="A1569" s="4" t="s">
        <v>421</v>
      </c>
      <c r="B1569" t="s">
        <v>422</v>
      </c>
      <c r="C1569" t="s">
        <v>3490</v>
      </c>
      <c r="D1569" t="s">
        <v>202</v>
      </c>
      <c r="E1569" t="s">
        <v>118</v>
      </c>
      <c r="F1569" t="s">
        <v>37</v>
      </c>
    </row>
    <row r="1570" spans="1:6" outlineLevel="3" x14ac:dyDescent="0.25">
      <c r="A1570" s="4" t="s">
        <v>421</v>
      </c>
      <c r="B1570" t="s">
        <v>422</v>
      </c>
      <c r="C1570" t="s">
        <v>1900</v>
      </c>
      <c r="D1570" t="s">
        <v>126</v>
      </c>
      <c r="E1570" t="s">
        <v>118</v>
      </c>
      <c r="F1570" t="s">
        <v>37</v>
      </c>
    </row>
    <row r="1571" spans="1:6" outlineLevel="3" x14ac:dyDescent="0.25">
      <c r="A1571" s="4" t="s">
        <v>421</v>
      </c>
      <c r="B1571" t="s">
        <v>422</v>
      </c>
      <c r="C1571" t="s">
        <v>3491</v>
      </c>
      <c r="D1571" t="s">
        <v>13</v>
      </c>
      <c r="E1571" t="s">
        <v>118</v>
      </c>
      <c r="F1571" t="s">
        <v>37</v>
      </c>
    </row>
    <row r="1572" spans="1:6" outlineLevel="3" x14ac:dyDescent="0.25">
      <c r="A1572" s="4" t="s">
        <v>421</v>
      </c>
      <c r="B1572" t="s">
        <v>422</v>
      </c>
      <c r="C1572" t="s">
        <v>3492</v>
      </c>
      <c r="D1572" t="s">
        <v>13</v>
      </c>
      <c r="E1572" t="s">
        <v>118</v>
      </c>
      <c r="F1572" t="s">
        <v>37</v>
      </c>
    </row>
    <row r="1573" spans="1:6" outlineLevel="3" x14ac:dyDescent="0.25">
      <c r="A1573" s="4" t="s">
        <v>421</v>
      </c>
      <c r="B1573" t="s">
        <v>422</v>
      </c>
      <c r="C1573" t="s">
        <v>3493</v>
      </c>
      <c r="D1573" t="s">
        <v>437</v>
      </c>
      <c r="E1573" t="s">
        <v>118</v>
      </c>
      <c r="F1573" t="s">
        <v>37</v>
      </c>
    </row>
    <row r="1574" spans="1:6" outlineLevel="3" x14ac:dyDescent="0.25">
      <c r="A1574" s="4" t="s">
        <v>421</v>
      </c>
      <c r="B1574" t="s">
        <v>422</v>
      </c>
      <c r="C1574" t="s">
        <v>1901</v>
      </c>
      <c r="D1574" t="s">
        <v>13</v>
      </c>
      <c r="E1574" t="s">
        <v>118</v>
      </c>
      <c r="F1574" t="s">
        <v>37</v>
      </c>
    </row>
    <row r="1575" spans="1:6" outlineLevel="3" x14ac:dyDescent="0.25">
      <c r="A1575" s="4" t="s">
        <v>421</v>
      </c>
      <c r="B1575" t="s">
        <v>422</v>
      </c>
      <c r="C1575" t="s">
        <v>1902</v>
      </c>
      <c r="D1575" t="s">
        <v>13</v>
      </c>
      <c r="E1575" t="s">
        <v>118</v>
      </c>
      <c r="F1575" t="s">
        <v>37</v>
      </c>
    </row>
    <row r="1576" spans="1:6" outlineLevel="3" x14ac:dyDescent="0.25">
      <c r="A1576" s="4" t="s">
        <v>421</v>
      </c>
      <c r="B1576" t="s">
        <v>422</v>
      </c>
      <c r="C1576" t="s">
        <v>3494</v>
      </c>
      <c r="D1576" t="s">
        <v>126</v>
      </c>
      <c r="E1576" t="s">
        <v>118</v>
      </c>
      <c r="F1576" t="s">
        <v>37</v>
      </c>
    </row>
    <row r="1577" spans="1:6" outlineLevel="3" x14ac:dyDescent="0.25">
      <c r="A1577" s="4" t="s">
        <v>421</v>
      </c>
      <c r="B1577" t="s">
        <v>422</v>
      </c>
      <c r="C1577" t="s">
        <v>3495</v>
      </c>
      <c r="D1577" t="s">
        <v>13</v>
      </c>
      <c r="E1577" t="s">
        <v>118</v>
      </c>
      <c r="F1577" t="s">
        <v>37</v>
      </c>
    </row>
    <row r="1578" spans="1:6" outlineLevel="3" x14ac:dyDescent="0.25">
      <c r="A1578" s="4" t="s">
        <v>421</v>
      </c>
      <c r="B1578" t="s">
        <v>422</v>
      </c>
      <c r="C1578" t="s">
        <v>1903</v>
      </c>
      <c r="D1578" t="s">
        <v>202</v>
      </c>
      <c r="E1578" t="s">
        <v>118</v>
      </c>
      <c r="F1578" t="s">
        <v>37</v>
      </c>
    </row>
    <row r="1579" spans="1:6" outlineLevel="3" x14ac:dyDescent="0.25">
      <c r="A1579" s="4" t="s">
        <v>421</v>
      </c>
      <c r="B1579" t="s">
        <v>422</v>
      </c>
      <c r="C1579" t="s">
        <v>1904</v>
      </c>
      <c r="D1579" t="s">
        <v>202</v>
      </c>
      <c r="E1579" t="s">
        <v>118</v>
      </c>
      <c r="F1579" t="s">
        <v>37</v>
      </c>
    </row>
    <row r="1580" spans="1:6" outlineLevel="3" x14ac:dyDescent="0.25">
      <c r="A1580" s="4" t="s">
        <v>421</v>
      </c>
      <c r="B1580" t="s">
        <v>422</v>
      </c>
      <c r="C1580" t="s">
        <v>1905</v>
      </c>
      <c r="D1580" t="s">
        <v>202</v>
      </c>
      <c r="E1580" t="s">
        <v>118</v>
      </c>
      <c r="F1580" t="s">
        <v>37</v>
      </c>
    </row>
    <row r="1581" spans="1:6" outlineLevel="3" x14ac:dyDescent="0.25">
      <c r="A1581" s="4" t="s">
        <v>421</v>
      </c>
      <c r="B1581" t="s">
        <v>422</v>
      </c>
      <c r="C1581" t="s">
        <v>1906</v>
      </c>
      <c r="D1581" t="s">
        <v>202</v>
      </c>
      <c r="E1581" t="s">
        <v>118</v>
      </c>
      <c r="F1581" t="s">
        <v>37</v>
      </c>
    </row>
    <row r="1582" spans="1:6" outlineLevel="3" x14ac:dyDescent="0.25">
      <c r="A1582" s="4" t="s">
        <v>421</v>
      </c>
      <c r="B1582" t="s">
        <v>422</v>
      </c>
      <c r="C1582" t="s">
        <v>1907</v>
      </c>
      <c r="D1582" t="s">
        <v>202</v>
      </c>
      <c r="E1582" t="s">
        <v>118</v>
      </c>
      <c r="F1582" t="s">
        <v>37</v>
      </c>
    </row>
    <row r="1583" spans="1:6" outlineLevel="3" x14ac:dyDescent="0.25">
      <c r="A1583" s="4" t="s">
        <v>421</v>
      </c>
      <c r="B1583" t="s">
        <v>422</v>
      </c>
      <c r="C1583" t="s">
        <v>1908</v>
      </c>
      <c r="D1583" t="s">
        <v>202</v>
      </c>
      <c r="E1583" t="s">
        <v>118</v>
      </c>
      <c r="F1583" t="s">
        <v>37</v>
      </c>
    </row>
    <row r="1584" spans="1:6" outlineLevel="3" x14ac:dyDescent="0.25">
      <c r="A1584" s="4" t="s">
        <v>421</v>
      </c>
      <c r="B1584" t="s">
        <v>422</v>
      </c>
      <c r="C1584" t="s">
        <v>1763</v>
      </c>
      <c r="D1584" t="s">
        <v>202</v>
      </c>
      <c r="E1584" t="s">
        <v>118</v>
      </c>
      <c r="F1584" t="s">
        <v>37</v>
      </c>
    </row>
    <row r="1585" spans="1:6" outlineLevel="3" x14ac:dyDescent="0.25">
      <c r="A1585" s="4" t="s">
        <v>421</v>
      </c>
      <c r="B1585" t="s">
        <v>422</v>
      </c>
      <c r="C1585" t="s">
        <v>3496</v>
      </c>
      <c r="D1585" t="s">
        <v>202</v>
      </c>
      <c r="E1585" t="s">
        <v>118</v>
      </c>
      <c r="F1585" t="s">
        <v>37</v>
      </c>
    </row>
    <row r="1586" spans="1:6" outlineLevel="3" x14ac:dyDescent="0.25">
      <c r="A1586" s="4" t="s">
        <v>421</v>
      </c>
      <c r="B1586" t="s">
        <v>422</v>
      </c>
      <c r="C1586" t="s">
        <v>3497</v>
      </c>
      <c r="D1586" t="s">
        <v>13</v>
      </c>
      <c r="E1586" t="s">
        <v>118</v>
      </c>
      <c r="F1586" t="s">
        <v>37</v>
      </c>
    </row>
    <row r="1587" spans="1:6" outlineLevel="3" x14ac:dyDescent="0.25">
      <c r="A1587" s="4" t="s">
        <v>421</v>
      </c>
      <c r="B1587" t="s">
        <v>422</v>
      </c>
      <c r="C1587" t="s">
        <v>1909</v>
      </c>
      <c r="D1587" t="s">
        <v>202</v>
      </c>
      <c r="E1587" t="s">
        <v>118</v>
      </c>
      <c r="F1587" t="s">
        <v>37</v>
      </c>
    </row>
    <row r="1588" spans="1:6" outlineLevel="3" x14ac:dyDescent="0.25">
      <c r="A1588" s="4" t="s">
        <v>421</v>
      </c>
      <c r="B1588" t="s">
        <v>422</v>
      </c>
      <c r="C1588" t="s">
        <v>3498</v>
      </c>
      <c r="D1588" t="s">
        <v>202</v>
      </c>
      <c r="E1588" t="s">
        <v>118</v>
      </c>
      <c r="F1588" t="s">
        <v>37</v>
      </c>
    </row>
    <row r="1589" spans="1:6" outlineLevel="3" x14ac:dyDescent="0.25">
      <c r="A1589" s="4" t="s">
        <v>421</v>
      </c>
      <c r="B1589" t="s">
        <v>422</v>
      </c>
      <c r="C1589" t="s">
        <v>3499</v>
      </c>
      <c r="D1589" t="s">
        <v>126</v>
      </c>
      <c r="E1589" t="s">
        <v>118</v>
      </c>
      <c r="F1589" t="s">
        <v>37</v>
      </c>
    </row>
    <row r="1590" spans="1:6" outlineLevel="3" x14ac:dyDescent="0.25">
      <c r="A1590" s="4" t="s">
        <v>421</v>
      </c>
      <c r="B1590" t="s">
        <v>422</v>
      </c>
      <c r="C1590" t="s">
        <v>3500</v>
      </c>
      <c r="D1590" t="s">
        <v>202</v>
      </c>
      <c r="E1590" t="s">
        <v>118</v>
      </c>
      <c r="F1590" t="s">
        <v>37</v>
      </c>
    </row>
    <row r="1591" spans="1:6" outlineLevel="3" x14ac:dyDescent="0.25">
      <c r="A1591" s="4" t="s">
        <v>421</v>
      </c>
      <c r="B1591" t="s">
        <v>422</v>
      </c>
      <c r="C1591" t="s">
        <v>3501</v>
      </c>
      <c r="D1591" t="s">
        <v>13</v>
      </c>
      <c r="E1591" t="s">
        <v>118</v>
      </c>
      <c r="F1591" t="s">
        <v>37</v>
      </c>
    </row>
    <row r="1592" spans="1:6" outlineLevel="3" x14ac:dyDescent="0.25">
      <c r="A1592" s="4" t="s">
        <v>421</v>
      </c>
      <c r="B1592" t="s">
        <v>422</v>
      </c>
      <c r="C1592" t="s">
        <v>3502</v>
      </c>
      <c r="D1592" t="s">
        <v>13</v>
      </c>
      <c r="E1592" t="s">
        <v>118</v>
      </c>
      <c r="F1592" t="s">
        <v>37</v>
      </c>
    </row>
    <row r="1593" spans="1:6" outlineLevel="3" x14ac:dyDescent="0.25">
      <c r="A1593" s="4" t="s">
        <v>421</v>
      </c>
      <c r="B1593" t="s">
        <v>422</v>
      </c>
      <c r="C1593" t="s">
        <v>3503</v>
      </c>
      <c r="D1593" t="s">
        <v>202</v>
      </c>
      <c r="E1593" t="s">
        <v>118</v>
      </c>
      <c r="F1593" t="s">
        <v>37</v>
      </c>
    </row>
    <row r="1594" spans="1:6" outlineLevel="3" x14ac:dyDescent="0.25">
      <c r="A1594" s="4" t="s">
        <v>421</v>
      </c>
      <c r="B1594" t="s">
        <v>422</v>
      </c>
      <c r="C1594" t="s">
        <v>3504</v>
      </c>
      <c r="D1594" t="s">
        <v>13</v>
      </c>
      <c r="E1594" t="s">
        <v>118</v>
      </c>
      <c r="F1594" t="s">
        <v>37</v>
      </c>
    </row>
    <row r="1595" spans="1:6" outlineLevel="3" x14ac:dyDescent="0.25">
      <c r="A1595" s="4" t="s">
        <v>421</v>
      </c>
      <c r="B1595" t="s">
        <v>422</v>
      </c>
      <c r="C1595" t="s">
        <v>1910</v>
      </c>
      <c r="D1595" t="s">
        <v>202</v>
      </c>
      <c r="E1595" t="s">
        <v>118</v>
      </c>
      <c r="F1595" t="s">
        <v>37</v>
      </c>
    </row>
    <row r="1596" spans="1:6" outlineLevel="3" x14ac:dyDescent="0.25">
      <c r="A1596" s="4" t="s">
        <v>421</v>
      </c>
      <c r="B1596" t="s">
        <v>422</v>
      </c>
      <c r="C1596" t="s">
        <v>1911</v>
      </c>
      <c r="D1596" t="s">
        <v>202</v>
      </c>
      <c r="E1596" t="s">
        <v>118</v>
      </c>
      <c r="F1596" t="s">
        <v>37</v>
      </c>
    </row>
    <row r="1597" spans="1:6" outlineLevel="3" x14ac:dyDescent="0.25">
      <c r="A1597" s="4" t="s">
        <v>421</v>
      </c>
      <c r="B1597" t="s">
        <v>422</v>
      </c>
      <c r="C1597" t="s">
        <v>3505</v>
      </c>
      <c r="D1597" t="s">
        <v>202</v>
      </c>
      <c r="E1597" t="s">
        <v>118</v>
      </c>
      <c r="F1597" t="s">
        <v>37</v>
      </c>
    </row>
    <row r="1598" spans="1:6" outlineLevel="3" x14ac:dyDescent="0.25">
      <c r="A1598" s="4" t="s">
        <v>421</v>
      </c>
      <c r="B1598" t="s">
        <v>422</v>
      </c>
      <c r="C1598" t="s">
        <v>3506</v>
      </c>
      <c r="D1598" t="s">
        <v>13</v>
      </c>
      <c r="E1598" t="s">
        <v>118</v>
      </c>
      <c r="F1598" t="s">
        <v>37</v>
      </c>
    </row>
    <row r="1599" spans="1:6" outlineLevel="3" x14ac:dyDescent="0.25">
      <c r="A1599" s="4" t="s">
        <v>421</v>
      </c>
      <c r="B1599" t="s">
        <v>422</v>
      </c>
      <c r="C1599" t="s">
        <v>3507</v>
      </c>
      <c r="D1599" t="s">
        <v>13</v>
      </c>
      <c r="E1599" t="s">
        <v>118</v>
      </c>
      <c r="F1599" t="s">
        <v>37</v>
      </c>
    </row>
    <row r="1600" spans="1:6" outlineLevel="3" x14ac:dyDescent="0.25">
      <c r="A1600" s="4" t="s">
        <v>421</v>
      </c>
      <c r="B1600" t="s">
        <v>422</v>
      </c>
      <c r="C1600" t="s">
        <v>3508</v>
      </c>
      <c r="D1600" t="s">
        <v>202</v>
      </c>
      <c r="E1600" t="s">
        <v>118</v>
      </c>
      <c r="F1600" t="s">
        <v>37</v>
      </c>
    </row>
    <row r="1601" spans="1:6" outlineLevel="3" x14ac:dyDescent="0.25">
      <c r="A1601" s="4" t="s">
        <v>421</v>
      </c>
      <c r="B1601" t="s">
        <v>422</v>
      </c>
      <c r="C1601" t="s">
        <v>3509</v>
      </c>
      <c r="D1601" t="s">
        <v>165</v>
      </c>
      <c r="E1601" t="s">
        <v>118</v>
      </c>
      <c r="F1601" t="s">
        <v>37</v>
      </c>
    </row>
    <row r="1602" spans="1:6" outlineLevel="3" x14ac:dyDescent="0.25">
      <c r="A1602" s="4" t="s">
        <v>421</v>
      </c>
      <c r="B1602" t="s">
        <v>422</v>
      </c>
      <c r="C1602" t="s">
        <v>3510</v>
      </c>
      <c r="D1602" t="s">
        <v>202</v>
      </c>
      <c r="E1602" t="s">
        <v>118</v>
      </c>
      <c r="F1602" t="s">
        <v>37</v>
      </c>
    </row>
    <row r="1603" spans="1:6" outlineLevel="3" x14ac:dyDescent="0.25">
      <c r="A1603" s="4" t="s">
        <v>421</v>
      </c>
      <c r="B1603" t="s">
        <v>422</v>
      </c>
      <c r="C1603" t="s">
        <v>3511</v>
      </c>
      <c r="D1603" t="s">
        <v>13</v>
      </c>
      <c r="E1603" t="s">
        <v>118</v>
      </c>
      <c r="F1603" t="s">
        <v>37</v>
      </c>
    </row>
    <row r="1604" spans="1:6" outlineLevel="3" x14ac:dyDescent="0.25">
      <c r="A1604" s="4" t="s">
        <v>421</v>
      </c>
      <c r="B1604" t="s">
        <v>422</v>
      </c>
      <c r="C1604" t="s">
        <v>3512</v>
      </c>
      <c r="D1604" t="s">
        <v>202</v>
      </c>
      <c r="E1604" t="s">
        <v>118</v>
      </c>
      <c r="F1604" t="s">
        <v>37</v>
      </c>
    </row>
    <row r="1605" spans="1:6" outlineLevel="3" x14ac:dyDescent="0.25">
      <c r="A1605" s="4" t="s">
        <v>421</v>
      </c>
      <c r="B1605" t="s">
        <v>422</v>
      </c>
      <c r="C1605" t="s">
        <v>3513</v>
      </c>
      <c r="D1605" t="s">
        <v>13</v>
      </c>
      <c r="E1605" t="s">
        <v>118</v>
      </c>
      <c r="F1605" t="s">
        <v>37</v>
      </c>
    </row>
    <row r="1606" spans="1:6" outlineLevel="3" x14ac:dyDescent="0.25">
      <c r="A1606" s="4" t="s">
        <v>421</v>
      </c>
      <c r="B1606" t="s">
        <v>422</v>
      </c>
      <c r="C1606" t="s">
        <v>1912</v>
      </c>
      <c r="D1606" t="s">
        <v>202</v>
      </c>
      <c r="E1606" t="s">
        <v>118</v>
      </c>
      <c r="F1606" t="s">
        <v>37</v>
      </c>
    </row>
    <row r="1607" spans="1:6" outlineLevel="3" x14ac:dyDescent="0.25">
      <c r="A1607" s="4" t="s">
        <v>421</v>
      </c>
      <c r="B1607" t="s">
        <v>422</v>
      </c>
      <c r="C1607" t="s">
        <v>1913</v>
      </c>
      <c r="D1607" t="s">
        <v>202</v>
      </c>
      <c r="E1607" t="s">
        <v>118</v>
      </c>
      <c r="F1607" t="s">
        <v>37</v>
      </c>
    </row>
    <row r="1608" spans="1:6" outlineLevel="3" x14ac:dyDescent="0.25">
      <c r="A1608" s="4" t="s">
        <v>421</v>
      </c>
      <c r="B1608" t="s">
        <v>422</v>
      </c>
      <c r="C1608" t="s">
        <v>1914</v>
      </c>
      <c r="D1608" t="s">
        <v>202</v>
      </c>
      <c r="E1608" t="s">
        <v>118</v>
      </c>
      <c r="F1608" t="s">
        <v>37</v>
      </c>
    </row>
    <row r="1609" spans="1:6" outlineLevel="3" x14ac:dyDescent="0.25">
      <c r="A1609" s="4" t="s">
        <v>421</v>
      </c>
      <c r="B1609" t="s">
        <v>422</v>
      </c>
      <c r="C1609" t="s">
        <v>1915</v>
      </c>
      <c r="D1609" t="s">
        <v>202</v>
      </c>
      <c r="E1609" t="s">
        <v>118</v>
      </c>
      <c r="F1609" t="s">
        <v>37</v>
      </c>
    </row>
    <row r="1610" spans="1:6" outlineLevel="3" x14ac:dyDescent="0.25">
      <c r="A1610" s="4" t="s">
        <v>421</v>
      </c>
      <c r="B1610" t="s">
        <v>422</v>
      </c>
      <c r="C1610" t="s">
        <v>3514</v>
      </c>
      <c r="D1610" t="s">
        <v>202</v>
      </c>
      <c r="E1610" t="s">
        <v>118</v>
      </c>
      <c r="F1610" t="s">
        <v>37</v>
      </c>
    </row>
    <row r="1611" spans="1:6" outlineLevel="3" x14ac:dyDescent="0.25">
      <c r="A1611" s="4" t="s">
        <v>421</v>
      </c>
      <c r="B1611" t="s">
        <v>422</v>
      </c>
      <c r="C1611" t="s">
        <v>3515</v>
      </c>
      <c r="D1611" t="s">
        <v>13</v>
      </c>
      <c r="E1611" t="s">
        <v>118</v>
      </c>
      <c r="F1611" t="s">
        <v>37</v>
      </c>
    </row>
    <row r="1612" spans="1:6" outlineLevel="3" x14ac:dyDescent="0.25">
      <c r="A1612" s="4" t="s">
        <v>421</v>
      </c>
      <c r="B1612" t="s">
        <v>422</v>
      </c>
      <c r="C1612" t="s">
        <v>3516</v>
      </c>
      <c r="D1612" t="s">
        <v>202</v>
      </c>
      <c r="E1612" t="s">
        <v>118</v>
      </c>
      <c r="F1612" t="s">
        <v>37</v>
      </c>
    </row>
    <row r="1613" spans="1:6" outlineLevel="3" x14ac:dyDescent="0.25">
      <c r="A1613" s="4" t="s">
        <v>421</v>
      </c>
      <c r="B1613" t="s">
        <v>422</v>
      </c>
      <c r="C1613" t="s">
        <v>3517</v>
      </c>
      <c r="D1613" t="s">
        <v>13</v>
      </c>
      <c r="E1613" t="s">
        <v>118</v>
      </c>
      <c r="F1613" t="s">
        <v>37</v>
      </c>
    </row>
    <row r="1614" spans="1:6" outlineLevel="3" x14ac:dyDescent="0.25">
      <c r="A1614" s="4" t="s">
        <v>421</v>
      </c>
      <c r="B1614" t="s">
        <v>422</v>
      </c>
      <c r="C1614" t="s">
        <v>1916</v>
      </c>
      <c r="D1614" t="s">
        <v>202</v>
      </c>
      <c r="E1614" t="s">
        <v>118</v>
      </c>
      <c r="F1614" t="s">
        <v>37</v>
      </c>
    </row>
    <row r="1615" spans="1:6" outlineLevel="3" x14ac:dyDescent="0.25">
      <c r="A1615" s="4" t="s">
        <v>421</v>
      </c>
      <c r="B1615" t="s">
        <v>422</v>
      </c>
      <c r="C1615" t="s">
        <v>3518</v>
      </c>
      <c r="D1615" t="s">
        <v>202</v>
      </c>
      <c r="E1615" t="s">
        <v>118</v>
      </c>
      <c r="F1615" t="s">
        <v>37</v>
      </c>
    </row>
    <row r="1616" spans="1:6" outlineLevel="3" x14ac:dyDescent="0.25">
      <c r="A1616" s="4" t="s">
        <v>421</v>
      </c>
      <c r="B1616" t="s">
        <v>422</v>
      </c>
      <c r="C1616" t="s">
        <v>3519</v>
      </c>
      <c r="D1616" t="s">
        <v>13</v>
      </c>
      <c r="E1616" t="s">
        <v>118</v>
      </c>
      <c r="F1616" t="s">
        <v>37</v>
      </c>
    </row>
    <row r="1617" spans="1:6" outlineLevel="3" x14ac:dyDescent="0.25">
      <c r="A1617" s="4" t="s">
        <v>421</v>
      </c>
      <c r="B1617" t="s">
        <v>422</v>
      </c>
      <c r="C1617" t="s">
        <v>1917</v>
      </c>
      <c r="D1617" t="s">
        <v>202</v>
      </c>
      <c r="E1617" t="s">
        <v>118</v>
      </c>
      <c r="F1617" t="s">
        <v>37</v>
      </c>
    </row>
    <row r="1618" spans="1:6" outlineLevel="3" x14ac:dyDescent="0.25">
      <c r="A1618" s="4" t="s">
        <v>421</v>
      </c>
      <c r="B1618" t="s">
        <v>422</v>
      </c>
      <c r="C1618" t="s">
        <v>3520</v>
      </c>
      <c r="D1618" t="s">
        <v>202</v>
      </c>
      <c r="E1618" t="s">
        <v>118</v>
      </c>
      <c r="F1618" t="s">
        <v>37</v>
      </c>
    </row>
    <row r="1619" spans="1:6" outlineLevel="3" x14ac:dyDescent="0.25">
      <c r="A1619" s="4" t="s">
        <v>421</v>
      </c>
      <c r="B1619" t="s">
        <v>422</v>
      </c>
      <c r="C1619" t="s">
        <v>3521</v>
      </c>
      <c r="D1619" t="s">
        <v>165</v>
      </c>
      <c r="E1619" t="s">
        <v>118</v>
      </c>
      <c r="F1619" t="s">
        <v>37</v>
      </c>
    </row>
    <row r="1620" spans="1:6" outlineLevel="3" x14ac:dyDescent="0.25">
      <c r="A1620" s="4" t="s">
        <v>421</v>
      </c>
      <c r="B1620" t="s">
        <v>422</v>
      </c>
      <c r="C1620" t="s">
        <v>3522</v>
      </c>
      <c r="D1620" t="s">
        <v>202</v>
      </c>
      <c r="E1620" t="s">
        <v>118</v>
      </c>
      <c r="F1620" t="s">
        <v>37</v>
      </c>
    </row>
    <row r="1621" spans="1:6" outlineLevel="3" x14ac:dyDescent="0.25">
      <c r="A1621" s="4" t="s">
        <v>421</v>
      </c>
      <c r="B1621" t="s">
        <v>422</v>
      </c>
      <c r="C1621" t="s">
        <v>3523</v>
      </c>
      <c r="D1621" t="s">
        <v>437</v>
      </c>
      <c r="E1621" t="s">
        <v>118</v>
      </c>
      <c r="F1621" t="s">
        <v>37</v>
      </c>
    </row>
    <row r="1622" spans="1:6" outlineLevel="3" x14ac:dyDescent="0.25">
      <c r="A1622" s="4" t="s">
        <v>421</v>
      </c>
      <c r="B1622" t="s">
        <v>422</v>
      </c>
      <c r="C1622" t="s">
        <v>1764</v>
      </c>
      <c r="D1622" t="s">
        <v>202</v>
      </c>
      <c r="E1622" t="s">
        <v>118</v>
      </c>
      <c r="F1622" t="s">
        <v>37</v>
      </c>
    </row>
    <row r="1623" spans="1:6" outlineLevel="3" x14ac:dyDescent="0.25">
      <c r="A1623" s="4" t="s">
        <v>421</v>
      </c>
      <c r="B1623" t="s">
        <v>422</v>
      </c>
      <c r="C1623" t="s">
        <v>3524</v>
      </c>
      <c r="D1623" t="s">
        <v>202</v>
      </c>
      <c r="E1623" t="s">
        <v>118</v>
      </c>
      <c r="F1623" t="s">
        <v>37</v>
      </c>
    </row>
    <row r="1624" spans="1:6" outlineLevel="3" x14ac:dyDescent="0.25">
      <c r="A1624" s="4" t="s">
        <v>421</v>
      </c>
      <c r="B1624" t="s">
        <v>422</v>
      </c>
      <c r="C1624" t="s">
        <v>3525</v>
      </c>
      <c r="D1624" t="s">
        <v>165</v>
      </c>
      <c r="E1624" t="s">
        <v>118</v>
      </c>
      <c r="F1624" t="s">
        <v>37</v>
      </c>
    </row>
    <row r="1625" spans="1:6" outlineLevel="3" x14ac:dyDescent="0.25">
      <c r="A1625" s="4" t="s">
        <v>421</v>
      </c>
      <c r="B1625" t="s">
        <v>422</v>
      </c>
      <c r="C1625" t="s">
        <v>1918</v>
      </c>
      <c r="D1625" t="s">
        <v>202</v>
      </c>
      <c r="E1625" t="s">
        <v>118</v>
      </c>
      <c r="F1625" t="s">
        <v>37</v>
      </c>
    </row>
    <row r="1626" spans="1:6" outlineLevel="3" x14ac:dyDescent="0.25">
      <c r="A1626" s="4" t="s">
        <v>421</v>
      </c>
      <c r="B1626" t="s">
        <v>422</v>
      </c>
      <c r="C1626" t="s">
        <v>3526</v>
      </c>
      <c r="D1626" t="s">
        <v>202</v>
      </c>
      <c r="E1626" t="s">
        <v>118</v>
      </c>
      <c r="F1626" t="s">
        <v>37</v>
      </c>
    </row>
    <row r="1627" spans="1:6" outlineLevel="3" x14ac:dyDescent="0.25">
      <c r="A1627" s="4" t="s">
        <v>421</v>
      </c>
      <c r="B1627" t="s">
        <v>422</v>
      </c>
      <c r="C1627" t="s">
        <v>3527</v>
      </c>
      <c r="D1627" t="s">
        <v>13</v>
      </c>
      <c r="E1627" t="s">
        <v>118</v>
      </c>
      <c r="F1627" t="s">
        <v>37</v>
      </c>
    </row>
    <row r="1628" spans="1:6" outlineLevel="3" x14ac:dyDescent="0.25">
      <c r="A1628" s="4" t="s">
        <v>421</v>
      </c>
      <c r="B1628" t="s">
        <v>422</v>
      </c>
      <c r="C1628" t="s">
        <v>3528</v>
      </c>
      <c r="D1628" t="s">
        <v>211</v>
      </c>
      <c r="E1628" t="s">
        <v>118</v>
      </c>
      <c r="F1628" t="s">
        <v>37</v>
      </c>
    </row>
    <row r="1629" spans="1:6" outlineLevel="3" x14ac:dyDescent="0.25">
      <c r="A1629" s="4" t="s">
        <v>421</v>
      </c>
      <c r="B1629" t="s">
        <v>422</v>
      </c>
      <c r="C1629" t="s">
        <v>3529</v>
      </c>
      <c r="D1629" t="s">
        <v>435</v>
      </c>
      <c r="E1629" t="s">
        <v>118</v>
      </c>
      <c r="F1629" t="s">
        <v>37</v>
      </c>
    </row>
    <row r="1630" spans="1:6" outlineLevel="3" x14ac:dyDescent="0.25">
      <c r="A1630" s="4" t="s">
        <v>421</v>
      </c>
      <c r="B1630" t="s">
        <v>422</v>
      </c>
      <c r="C1630" t="s">
        <v>3530</v>
      </c>
      <c r="D1630" t="s">
        <v>124</v>
      </c>
      <c r="E1630" t="s">
        <v>118</v>
      </c>
      <c r="F1630" t="s">
        <v>37</v>
      </c>
    </row>
    <row r="1631" spans="1:6" outlineLevel="3" x14ac:dyDescent="0.25">
      <c r="A1631" s="4" t="s">
        <v>421</v>
      </c>
      <c r="B1631" t="s">
        <v>422</v>
      </c>
      <c r="C1631" t="s">
        <v>3531</v>
      </c>
      <c r="D1631" t="s">
        <v>67</v>
      </c>
      <c r="E1631" t="s">
        <v>118</v>
      </c>
      <c r="F1631" t="s">
        <v>37</v>
      </c>
    </row>
    <row r="1632" spans="1:6" outlineLevel="3" x14ac:dyDescent="0.25">
      <c r="A1632" s="4" t="s">
        <v>421</v>
      </c>
      <c r="B1632" t="s">
        <v>422</v>
      </c>
      <c r="C1632" t="s">
        <v>3532</v>
      </c>
      <c r="D1632" t="s">
        <v>190</v>
      </c>
      <c r="E1632" t="s">
        <v>118</v>
      </c>
      <c r="F1632" t="s">
        <v>37</v>
      </c>
    </row>
    <row r="1633" spans="1:6" outlineLevel="3" x14ac:dyDescent="0.25">
      <c r="A1633" s="4" t="s">
        <v>421</v>
      </c>
      <c r="B1633" t="s">
        <v>422</v>
      </c>
      <c r="C1633" t="s">
        <v>3533</v>
      </c>
      <c r="D1633" t="s">
        <v>202</v>
      </c>
      <c r="E1633" t="s">
        <v>118</v>
      </c>
      <c r="F1633" t="s">
        <v>37</v>
      </c>
    </row>
    <row r="1634" spans="1:6" outlineLevel="3" x14ac:dyDescent="0.25">
      <c r="A1634" s="4" t="s">
        <v>421</v>
      </c>
      <c r="B1634" t="s">
        <v>422</v>
      </c>
      <c r="C1634" t="s">
        <v>3534</v>
      </c>
      <c r="D1634" t="s">
        <v>165</v>
      </c>
      <c r="E1634" t="s">
        <v>118</v>
      </c>
      <c r="F1634" t="s">
        <v>37</v>
      </c>
    </row>
    <row r="1635" spans="1:6" outlineLevel="3" x14ac:dyDescent="0.25">
      <c r="A1635" s="4" t="s">
        <v>421</v>
      </c>
      <c r="B1635" t="s">
        <v>422</v>
      </c>
      <c r="C1635" t="s">
        <v>3535</v>
      </c>
      <c r="D1635" t="s">
        <v>126</v>
      </c>
      <c r="E1635" t="s">
        <v>118</v>
      </c>
      <c r="F1635" t="s">
        <v>37</v>
      </c>
    </row>
    <row r="1636" spans="1:6" outlineLevel="3" x14ac:dyDescent="0.25">
      <c r="A1636" s="4" t="s">
        <v>421</v>
      </c>
      <c r="B1636" t="s">
        <v>422</v>
      </c>
      <c r="C1636" t="s">
        <v>3536</v>
      </c>
      <c r="D1636" t="s">
        <v>13</v>
      </c>
      <c r="E1636" t="s">
        <v>118</v>
      </c>
      <c r="F1636" t="s">
        <v>37</v>
      </c>
    </row>
    <row r="1637" spans="1:6" outlineLevel="3" x14ac:dyDescent="0.25">
      <c r="A1637" s="4" t="s">
        <v>421</v>
      </c>
      <c r="B1637" t="s">
        <v>422</v>
      </c>
      <c r="C1637" t="s">
        <v>3537</v>
      </c>
      <c r="D1637" t="s">
        <v>6</v>
      </c>
      <c r="E1637" t="s">
        <v>118</v>
      </c>
      <c r="F1637" t="s">
        <v>37</v>
      </c>
    </row>
    <row r="1638" spans="1:6" outlineLevel="3" x14ac:dyDescent="0.25">
      <c r="A1638" s="4" t="s">
        <v>421</v>
      </c>
      <c r="B1638" t="s">
        <v>422</v>
      </c>
      <c r="C1638" t="s">
        <v>3538</v>
      </c>
      <c r="D1638" t="s">
        <v>165</v>
      </c>
      <c r="E1638" t="s">
        <v>118</v>
      </c>
      <c r="F1638" t="s">
        <v>37</v>
      </c>
    </row>
    <row r="1639" spans="1:6" outlineLevel="3" x14ac:dyDescent="0.25">
      <c r="A1639" s="4" t="s">
        <v>421</v>
      </c>
      <c r="B1639" t="s">
        <v>422</v>
      </c>
      <c r="C1639" t="s">
        <v>3539</v>
      </c>
      <c r="D1639" t="s">
        <v>165</v>
      </c>
      <c r="E1639" t="s">
        <v>118</v>
      </c>
      <c r="F1639" t="s">
        <v>37</v>
      </c>
    </row>
    <row r="1640" spans="1:6" outlineLevel="3" x14ac:dyDescent="0.25">
      <c r="A1640" s="4" t="s">
        <v>421</v>
      </c>
      <c r="B1640" t="s">
        <v>422</v>
      </c>
      <c r="C1640" t="s">
        <v>3540</v>
      </c>
      <c r="D1640" t="s">
        <v>67</v>
      </c>
      <c r="E1640" t="s">
        <v>118</v>
      </c>
      <c r="F1640" t="s">
        <v>37</v>
      </c>
    </row>
    <row r="1641" spans="1:6" outlineLevel="3" x14ac:dyDescent="0.25">
      <c r="A1641" s="4" t="s">
        <v>421</v>
      </c>
      <c r="B1641" t="s">
        <v>422</v>
      </c>
      <c r="C1641" t="s">
        <v>3541</v>
      </c>
      <c r="D1641" t="s">
        <v>437</v>
      </c>
      <c r="E1641" t="s">
        <v>118</v>
      </c>
      <c r="F1641" t="s">
        <v>37</v>
      </c>
    </row>
    <row r="1642" spans="1:6" outlineLevel="3" x14ac:dyDescent="0.25">
      <c r="A1642" s="4" t="s">
        <v>421</v>
      </c>
      <c r="B1642" t="s">
        <v>422</v>
      </c>
      <c r="C1642" t="s">
        <v>3542</v>
      </c>
      <c r="D1642" t="s">
        <v>202</v>
      </c>
      <c r="E1642" t="s">
        <v>118</v>
      </c>
      <c r="F1642" t="s">
        <v>37</v>
      </c>
    </row>
    <row r="1643" spans="1:6" outlineLevel="3" x14ac:dyDescent="0.25">
      <c r="A1643" s="4" t="s">
        <v>421</v>
      </c>
      <c r="B1643" t="s">
        <v>422</v>
      </c>
      <c r="C1643" t="s">
        <v>3543</v>
      </c>
      <c r="D1643" t="s">
        <v>108</v>
      </c>
      <c r="E1643" t="s">
        <v>118</v>
      </c>
      <c r="F1643" t="s">
        <v>37</v>
      </c>
    </row>
    <row r="1644" spans="1:6" outlineLevel="3" x14ac:dyDescent="0.25">
      <c r="A1644" s="4" t="s">
        <v>421</v>
      </c>
      <c r="B1644" t="s">
        <v>422</v>
      </c>
      <c r="C1644" t="s">
        <v>3544</v>
      </c>
      <c r="D1644" t="s">
        <v>435</v>
      </c>
      <c r="E1644" t="s">
        <v>118</v>
      </c>
      <c r="F1644" t="s">
        <v>37</v>
      </c>
    </row>
    <row r="1645" spans="1:6" outlineLevel="3" x14ac:dyDescent="0.25">
      <c r="A1645" s="4" t="s">
        <v>421</v>
      </c>
      <c r="B1645" t="s">
        <v>422</v>
      </c>
      <c r="C1645" t="s">
        <v>2745</v>
      </c>
      <c r="D1645" t="s">
        <v>1076</v>
      </c>
      <c r="E1645" t="s">
        <v>1120</v>
      </c>
      <c r="F1645" t="s">
        <v>37</v>
      </c>
    </row>
    <row r="1646" spans="1:6" outlineLevel="3" x14ac:dyDescent="0.25">
      <c r="A1646" s="4" t="s">
        <v>421</v>
      </c>
      <c r="B1646" t="s">
        <v>422</v>
      </c>
      <c r="C1646" t="s">
        <v>4063</v>
      </c>
      <c r="D1646" t="s">
        <v>76</v>
      </c>
      <c r="E1646" t="s">
        <v>1669</v>
      </c>
      <c r="F1646" t="s">
        <v>37</v>
      </c>
    </row>
    <row r="1647" spans="1:6" outlineLevel="3" x14ac:dyDescent="0.25">
      <c r="A1647" s="4" t="s">
        <v>421</v>
      </c>
      <c r="B1647" t="s">
        <v>422</v>
      </c>
      <c r="C1647" t="s">
        <v>4064</v>
      </c>
      <c r="D1647" t="s">
        <v>437</v>
      </c>
      <c r="E1647" t="s">
        <v>1669</v>
      </c>
      <c r="F1647" t="s">
        <v>37</v>
      </c>
    </row>
    <row r="1648" spans="1:6" outlineLevel="3" x14ac:dyDescent="0.25">
      <c r="A1648" s="4" t="s">
        <v>421</v>
      </c>
      <c r="B1648" t="s">
        <v>422</v>
      </c>
      <c r="C1648" t="s">
        <v>4093</v>
      </c>
      <c r="D1648" t="s">
        <v>119</v>
      </c>
      <c r="E1648" t="s">
        <v>1134</v>
      </c>
      <c r="F1648" t="s">
        <v>37</v>
      </c>
    </row>
    <row r="1649" spans="1:6" outlineLevel="3" x14ac:dyDescent="0.25">
      <c r="A1649" s="4" t="s">
        <v>421</v>
      </c>
      <c r="B1649" t="s">
        <v>422</v>
      </c>
      <c r="C1649" t="s">
        <v>4094</v>
      </c>
      <c r="D1649" t="s">
        <v>67</v>
      </c>
      <c r="E1649" t="s">
        <v>1134</v>
      </c>
      <c r="F1649" t="s">
        <v>37</v>
      </c>
    </row>
    <row r="1650" spans="1:6" outlineLevel="3" x14ac:dyDescent="0.25">
      <c r="A1650" s="4" t="s">
        <v>421</v>
      </c>
      <c r="B1650" t="s">
        <v>422</v>
      </c>
      <c r="C1650" t="s">
        <v>4095</v>
      </c>
      <c r="D1650" t="s">
        <v>437</v>
      </c>
      <c r="E1650" t="s">
        <v>1134</v>
      </c>
      <c r="F1650" t="s">
        <v>37</v>
      </c>
    </row>
    <row r="1651" spans="1:6" outlineLevel="3" x14ac:dyDescent="0.25">
      <c r="A1651" s="4" t="s">
        <v>421</v>
      </c>
      <c r="B1651" t="s">
        <v>422</v>
      </c>
      <c r="C1651" t="s">
        <v>4096</v>
      </c>
      <c r="D1651" t="s">
        <v>202</v>
      </c>
      <c r="E1651" t="s">
        <v>1134</v>
      </c>
      <c r="F1651" t="s">
        <v>37</v>
      </c>
    </row>
    <row r="1652" spans="1:6" outlineLevel="3" x14ac:dyDescent="0.25">
      <c r="A1652" s="4" t="s">
        <v>421</v>
      </c>
      <c r="B1652" t="s">
        <v>422</v>
      </c>
      <c r="C1652" t="s">
        <v>4097</v>
      </c>
      <c r="D1652" t="s">
        <v>67</v>
      </c>
      <c r="E1652" t="s">
        <v>1134</v>
      </c>
      <c r="F1652" t="s">
        <v>37</v>
      </c>
    </row>
    <row r="1653" spans="1:6" outlineLevel="3" x14ac:dyDescent="0.25">
      <c r="A1653" s="4" t="s">
        <v>421</v>
      </c>
      <c r="B1653" t="s">
        <v>422</v>
      </c>
      <c r="C1653" t="s">
        <v>3545</v>
      </c>
      <c r="D1653" t="s">
        <v>126</v>
      </c>
      <c r="E1653" t="s">
        <v>87</v>
      </c>
      <c r="F1653" t="s">
        <v>37</v>
      </c>
    </row>
    <row r="1654" spans="1:6" outlineLevel="3" x14ac:dyDescent="0.25">
      <c r="A1654" s="4" t="s">
        <v>421</v>
      </c>
      <c r="B1654" t="s">
        <v>422</v>
      </c>
      <c r="C1654" t="s">
        <v>3546</v>
      </c>
      <c r="D1654" t="s">
        <v>13</v>
      </c>
      <c r="E1654" t="s">
        <v>87</v>
      </c>
      <c r="F1654" t="s">
        <v>37</v>
      </c>
    </row>
    <row r="1655" spans="1:6" outlineLevel="3" x14ac:dyDescent="0.25">
      <c r="A1655" s="4" t="s">
        <v>421</v>
      </c>
      <c r="B1655" t="s">
        <v>422</v>
      </c>
      <c r="C1655" t="s">
        <v>3547</v>
      </c>
      <c r="D1655" t="s">
        <v>202</v>
      </c>
      <c r="E1655" t="s">
        <v>87</v>
      </c>
      <c r="F1655" t="s">
        <v>37</v>
      </c>
    </row>
    <row r="1656" spans="1:6" outlineLevel="3" x14ac:dyDescent="0.25">
      <c r="A1656" s="4" t="s">
        <v>421</v>
      </c>
      <c r="B1656" t="s">
        <v>422</v>
      </c>
      <c r="C1656" t="s">
        <v>1765</v>
      </c>
      <c r="D1656" t="s">
        <v>126</v>
      </c>
      <c r="E1656" t="s">
        <v>87</v>
      </c>
      <c r="F1656" t="s">
        <v>37</v>
      </c>
    </row>
    <row r="1657" spans="1:6" outlineLevel="3" x14ac:dyDescent="0.25">
      <c r="A1657" s="4" t="s">
        <v>421</v>
      </c>
      <c r="B1657" t="s">
        <v>422</v>
      </c>
      <c r="C1657" t="s">
        <v>1766</v>
      </c>
      <c r="D1657" t="s">
        <v>78</v>
      </c>
      <c r="E1657" t="s">
        <v>87</v>
      </c>
      <c r="F1657" t="s">
        <v>37</v>
      </c>
    </row>
    <row r="1658" spans="1:6" outlineLevel="3" x14ac:dyDescent="0.25">
      <c r="A1658" s="4" t="s">
        <v>421</v>
      </c>
      <c r="B1658" t="s">
        <v>422</v>
      </c>
      <c r="C1658" t="s">
        <v>3548</v>
      </c>
      <c r="D1658" t="s">
        <v>126</v>
      </c>
      <c r="E1658" t="s">
        <v>87</v>
      </c>
      <c r="F1658" t="s">
        <v>37</v>
      </c>
    </row>
    <row r="1659" spans="1:6" outlineLevel="3" x14ac:dyDescent="0.25">
      <c r="A1659" s="4" t="s">
        <v>421</v>
      </c>
      <c r="B1659" t="s">
        <v>422</v>
      </c>
      <c r="C1659" t="s">
        <v>3549</v>
      </c>
      <c r="D1659" t="s">
        <v>78</v>
      </c>
      <c r="E1659" t="s">
        <v>87</v>
      </c>
      <c r="F1659" t="s">
        <v>37</v>
      </c>
    </row>
    <row r="1660" spans="1:6" outlineLevel="3" x14ac:dyDescent="0.25">
      <c r="A1660" s="4" t="s">
        <v>421</v>
      </c>
      <c r="B1660" t="s">
        <v>422</v>
      </c>
      <c r="C1660" t="s">
        <v>1919</v>
      </c>
      <c r="D1660" t="s">
        <v>126</v>
      </c>
      <c r="E1660" t="s">
        <v>87</v>
      </c>
      <c r="F1660" t="s">
        <v>37</v>
      </c>
    </row>
    <row r="1661" spans="1:6" outlineLevel="3" x14ac:dyDescent="0.25">
      <c r="A1661" s="4" t="s">
        <v>421</v>
      </c>
      <c r="B1661" t="s">
        <v>422</v>
      </c>
      <c r="C1661" t="s">
        <v>1920</v>
      </c>
      <c r="D1661" t="s">
        <v>126</v>
      </c>
      <c r="E1661" t="s">
        <v>87</v>
      </c>
      <c r="F1661" t="s">
        <v>37</v>
      </c>
    </row>
    <row r="1662" spans="1:6" outlineLevel="3" x14ac:dyDescent="0.25">
      <c r="A1662" s="4" t="s">
        <v>421</v>
      </c>
      <c r="B1662" t="s">
        <v>422</v>
      </c>
      <c r="C1662" t="s">
        <v>3550</v>
      </c>
      <c r="D1662" t="s">
        <v>126</v>
      </c>
      <c r="E1662" t="s">
        <v>87</v>
      </c>
      <c r="F1662" t="s">
        <v>37</v>
      </c>
    </row>
    <row r="1663" spans="1:6" outlineLevel="3" x14ac:dyDescent="0.25">
      <c r="A1663" s="4" t="s">
        <v>421</v>
      </c>
      <c r="B1663" t="s">
        <v>422</v>
      </c>
      <c r="C1663" t="s">
        <v>3551</v>
      </c>
      <c r="D1663" t="s">
        <v>126</v>
      </c>
      <c r="E1663" t="s">
        <v>87</v>
      </c>
      <c r="F1663" t="s">
        <v>37</v>
      </c>
    </row>
    <row r="1664" spans="1:6" outlineLevel="3" x14ac:dyDescent="0.25">
      <c r="A1664" s="4" t="s">
        <v>421</v>
      </c>
      <c r="B1664" t="s">
        <v>422</v>
      </c>
      <c r="C1664" t="s">
        <v>3552</v>
      </c>
      <c r="D1664" t="s">
        <v>126</v>
      </c>
      <c r="E1664" t="s">
        <v>87</v>
      </c>
      <c r="F1664" t="s">
        <v>37</v>
      </c>
    </row>
    <row r="1665" spans="1:6" outlineLevel="3" x14ac:dyDescent="0.25">
      <c r="A1665" s="4" t="s">
        <v>421</v>
      </c>
      <c r="B1665" t="s">
        <v>422</v>
      </c>
      <c r="C1665" t="s">
        <v>3553</v>
      </c>
      <c r="D1665" t="s">
        <v>78</v>
      </c>
      <c r="E1665" t="s">
        <v>87</v>
      </c>
      <c r="F1665" t="s">
        <v>37</v>
      </c>
    </row>
    <row r="1666" spans="1:6" outlineLevel="3" x14ac:dyDescent="0.25">
      <c r="A1666" s="4" t="s">
        <v>421</v>
      </c>
      <c r="B1666" t="s">
        <v>422</v>
      </c>
      <c r="C1666" t="s">
        <v>1767</v>
      </c>
      <c r="D1666" t="s">
        <v>126</v>
      </c>
      <c r="E1666" t="s">
        <v>87</v>
      </c>
      <c r="F1666" t="s">
        <v>37</v>
      </c>
    </row>
    <row r="1667" spans="1:6" outlineLevel="3" x14ac:dyDescent="0.25">
      <c r="A1667" s="4" t="s">
        <v>421</v>
      </c>
      <c r="B1667" t="s">
        <v>422</v>
      </c>
      <c r="C1667" t="s">
        <v>3554</v>
      </c>
      <c r="D1667" t="s">
        <v>126</v>
      </c>
      <c r="E1667" t="s">
        <v>87</v>
      </c>
      <c r="F1667" t="s">
        <v>37</v>
      </c>
    </row>
    <row r="1668" spans="1:6" outlineLevel="3" x14ac:dyDescent="0.25">
      <c r="A1668" s="4" t="s">
        <v>421</v>
      </c>
      <c r="B1668" t="s">
        <v>422</v>
      </c>
      <c r="C1668" t="s">
        <v>3555</v>
      </c>
      <c r="D1668" t="s">
        <v>126</v>
      </c>
      <c r="E1668" t="s">
        <v>87</v>
      </c>
      <c r="F1668" t="s">
        <v>37</v>
      </c>
    </row>
    <row r="1669" spans="1:6" outlineLevel="3" x14ac:dyDescent="0.25">
      <c r="A1669" s="4" t="s">
        <v>421</v>
      </c>
      <c r="B1669" t="s">
        <v>422</v>
      </c>
      <c r="C1669" t="s">
        <v>3556</v>
      </c>
      <c r="D1669" t="s">
        <v>126</v>
      </c>
      <c r="E1669" t="s">
        <v>87</v>
      </c>
      <c r="F1669" t="s">
        <v>37</v>
      </c>
    </row>
    <row r="1670" spans="1:6" outlineLevel="3" x14ac:dyDescent="0.25">
      <c r="A1670" s="4" t="s">
        <v>421</v>
      </c>
      <c r="B1670" t="s">
        <v>422</v>
      </c>
      <c r="C1670" t="s">
        <v>3557</v>
      </c>
      <c r="D1670" t="s">
        <v>78</v>
      </c>
      <c r="E1670" t="s">
        <v>87</v>
      </c>
      <c r="F1670" t="s">
        <v>37</v>
      </c>
    </row>
    <row r="1671" spans="1:6" outlineLevel="3" x14ac:dyDescent="0.25">
      <c r="A1671" s="4" t="s">
        <v>421</v>
      </c>
      <c r="B1671" t="s">
        <v>422</v>
      </c>
      <c r="C1671" t="s">
        <v>1768</v>
      </c>
      <c r="D1671" t="s">
        <v>126</v>
      </c>
      <c r="E1671" t="s">
        <v>87</v>
      </c>
      <c r="F1671" t="s">
        <v>37</v>
      </c>
    </row>
    <row r="1672" spans="1:6" outlineLevel="3" x14ac:dyDescent="0.25">
      <c r="A1672" s="4" t="s">
        <v>421</v>
      </c>
      <c r="B1672" t="s">
        <v>422</v>
      </c>
      <c r="C1672" t="s">
        <v>1769</v>
      </c>
      <c r="D1672" t="s">
        <v>126</v>
      </c>
      <c r="E1672" t="s">
        <v>87</v>
      </c>
      <c r="F1672" t="s">
        <v>37</v>
      </c>
    </row>
    <row r="1673" spans="1:6" outlineLevel="3" x14ac:dyDescent="0.25">
      <c r="A1673" s="4" t="s">
        <v>421</v>
      </c>
      <c r="B1673" t="s">
        <v>422</v>
      </c>
      <c r="C1673" t="s">
        <v>1770</v>
      </c>
      <c r="D1673" t="s">
        <v>126</v>
      </c>
      <c r="E1673" t="s">
        <v>87</v>
      </c>
      <c r="F1673" t="s">
        <v>37</v>
      </c>
    </row>
    <row r="1674" spans="1:6" outlineLevel="3" x14ac:dyDescent="0.25">
      <c r="A1674" s="4" t="s">
        <v>421</v>
      </c>
      <c r="B1674" t="s">
        <v>422</v>
      </c>
      <c r="C1674" t="s">
        <v>1771</v>
      </c>
      <c r="D1674" t="s">
        <v>126</v>
      </c>
      <c r="E1674" t="s">
        <v>87</v>
      </c>
      <c r="F1674" t="s">
        <v>37</v>
      </c>
    </row>
    <row r="1675" spans="1:6" outlineLevel="3" x14ac:dyDescent="0.25">
      <c r="A1675" s="4" t="s">
        <v>421</v>
      </c>
      <c r="B1675" t="s">
        <v>422</v>
      </c>
      <c r="C1675" t="s">
        <v>1772</v>
      </c>
      <c r="D1675" t="s">
        <v>126</v>
      </c>
      <c r="E1675" t="s">
        <v>87</v>
      </c>
      <c r="F1675" t="s">
        <v>37</v>
      </c>
    </row>
    <row r="1676" spans="1:6" outlineLevel="3" x14ac:dyDescent="0.25">
      <c r="A1676" s="4" t="s">
        <v>421</v>
      </c>
      <c r="B1676" t="s">
        <v>422</v>
      </c>
      <c r="C1676" t="s">
        <v>3558</v>
      </c>
      <c r="D1676" t="s">
        <v>126</v>
      </c>
      <c r="E1676" t="s">
        <v>87</v>
      </c>
      <c r="F1676" t="s">
        <v>37</v>
      </c>
    </row>
    <row r="1677" spans="1:6" outlineLevel="3" x14ac:dyDescent="0.25">
      <c r="A1677" s="4" t="s">
        <v>421</v>
      </c>
      <c r="B1677" t="s">
        <v>422</v>
      </c>
      <c r="C1677" t="s">
        <v>3559</v>
      </c>
      <c r="D1677" t="s">
        <v>126</v>
      </c>
      <c r="E1677" t="s">
        <v>87</v>
      </c>
      <c r="F1677" t="s">
        <v>37</v>
      </c>
    </row>
    <row r="1678" spans="1:6" outlineLevel="3" x14ac:dyDescent="0.25">
      <c r="A1678" s="4" t="s">
        <v>421</v>
      </c>
      <c r="B1678" t="s">
        <v>422</v>
      </c>
      <c r="C1678" t="s">
        <v>3560</v>
      </c>
      <c r="D1678" t="s">
        <v>78</v>
      </c>
      <c r="E1678" t="s">
        <v>87</v>
      </c>
      <c r="F1678" t="s">
        <v>37</v>
      </c>
    </row>
    <row r="1679" spans="1:6" outlineLevel="3" x14ac:dyDescent="0.25">
      <c r="A1679" s="4" t="s">
        <v>421</v>
      </c>
      <c r="B1679" t="s">
        <v>422</v>
      </c>
      <c r="C1679" t="s">
        <v>1921</v>
      </c>
      <c r="D1679" t="s">
        <v>78</v>
      </c>
      <c r="E1679" t="s">
        <v>87</v>
      </c>
      <c r="F1679" t="s">
        <v>37</v>
      </c>
    </row>
    <row r="1680" spans="1:6" outlineLevel="3" x14ac:dyDescent="0.25">
      <c r="A1680" s="4" t="s">
        <v>421</v>
      </c>
      <c r="B1680" t="s">
        <v>422</v>
      </c>
      <c r="C1680" t="s">
        <v>3561</v>
      </c>
      <c r="D1680" t="s">
        <v>78</v>
      </c>
      <c r="E1680" t="s">
        <v>87</v>
      </c>
      <c r="F1680" t="s">
        <v>37</v>
      </c>
    </row>
    <row r="1681" spans="1:6" outlineLevel="3" x14ac:dyDescent="0.25">
      <c r="A1681" s="4" t="s">
        <v>421</v>
      </c>
      <c r="B1681" t="s">
        <v>422</v>
      </c>
      <c r="C1681" t="s">
        <v>1773</v>
      </c>
      <c r="D1681" t="s">
        <v>126</v>
      </c>
      <c r="E1681" t="s">
        <v>87</v>
      </c>
      <c r="F1681" t="s">
        <v>37</v>
      </c>
    </row>
    <row r="1682" spans="1:6" outlineLevel="3" x14ac:dyDescent="0.25">
      <c r="A1682" s="4" t="s">
        <v>421</v>
      </c>
      <c r="B1682" t="s">
        <v>422</v>
      </c>
      <c r="C1682" t="s">
        <v>1922</v>
      </c>
      <c r="D1682" t="s">
        <v>126</v>
      </c>
      <c r="E1682" t="s">
        <v>87</v>
      </c>
      <c r="F1682" t="s">
        <v>37</v>
      </c>
    </row>
    <row r="1683" spans="1:6" outlineLevel="3" x14ac:dyDescent="0.25">
      <c r="A1683" s="4" t="s">
        <v>421</v>
      </c>
      <c r="B1683" t="s">
        <v>422</v>
      </c>
      <c r="C1683" t="s">
        <v>1923</v>
      </c>
      <c r="D1683" t="s">
        <v>126</v>
      </c>
      <c r="E1683" t="s">
        <v>87</v>
      </c>
      <c r="F1683" t="s">
        <v>37</v>
      </c>
    </row>
    <row r="1684" spans="1:6" outlineLevel="3" x14ac:dyDescent="0.25">
      <c r="A1684" s="4" t="s">
        <v>421</v>
      </c>
      <c r="B1684" t="s">
        <v>422</v>
      </c>
      <c r="C1684" t="s">
        <v>1924</v>
      </c>
      <c r="D1684" t="s">
        <v>126</v>
      </c>
      <c r="E1684" t="s">
        <v>87</v>
      </c>
      <c r="F1684" t="s">
        <v>37</v>
      </c>
    </row>
    <row r="1685" spans="1:6" outlineLevel="3" x14ac:dyDescent="0.25">
      <c r="A1685" s="4" t="s">
        <v>421</v>
      </c>
      <c r="B1685" t="s">
        <v>422</v>
      </c>
      <c r="C1685" t="s">
        <v>1925</v>
      </c>
      <c r="D1685" t="s">
        <v>126</v>
      </c>
      <c r="E1685" t="s">
        <v>87</v>
      </c>
      <c r="F1685" t="s">
        <v>37</v>
      </c>
    </row>
    <row r="1686" spans="1:6" outlineLevel="3" x14ac:dyDescent="0.25">
      <c r="A1686" s="4" t="s">
        <v>421</v>
      </c>
      <c r="B1686" t="s">
        <v>422</v>
      </c>
      <c r="C1686" t="s">
        <v>1926</v>
      </c>
      <c r="D1686" t="s">
        <v>126</v>
      </c>
      <c r="E1686" t="s">
        <v>87</v>
      </c>
      <c r="F1686" t="s">
        <v>37</v>
      </c>
    </row>
    <row r="1687" spans="1:6" outlineLevel="3" x14ac:dyDescent="0.25">
      <c r="A1687" s="4" t="s">
        <v>421</v>
      </c>
      <c r="B1687" t="s">
        <v>422</v>
      </c>
      <c r="C1687" t="s">
        <v>1774</v>
      </c>
      <c r="D1687" t="s">
        <v>126</v>
      </c>
      <c r="E1687" t="s">
        <v>87</v>
      </c>
      <c r="F1687" t="s">
        <v>37</v>
      </c>
    </row>
    <row r="1688" spans="1:6" outlineLevel="3" x14ac:dyDescent="0.25">
      <c r="A1688" s="4" t="s">
        <v>421</v>
      </c>
      <c r="B1688" t="s">
        <v>422</v>
      </c>
      <c r="C1688" t="s">
        <v>1775</v>
      </c>
      <c r="D1688" t="s">
        <v>126</v>
      </c>
      <c r="E1688" t="s">
        <v>87</v>
      </c>
      <c r="F1688" t="s">
        <v>37</v>
      </c>
    </row>
    <row r="1689" spans="1:6" outlineLevel="3" x14ac:dyDescent="0.25">
      <c r="A1689" s="4" t="s">
        <v>421</v>
      </c>
      <c r="B1689" t="s">
        <v>422</v>
      </c>
      <c r="C1689" t="s">
        <v>1927</v>
      </c>
      <c r="D1689" t="s">
        <v>126</v>
      </c>
      <c r="E1689" t="s">
        <v>87</v>
      </c>
      <c r="F1689" t="s">
        <v>37</v>
      </c>
    </row>
    <row r="1690" spans="1:6" outlineLevel="3" x14ac:dyDescent="0.25">
      <c r="A1690" s="4" t="s">
        <v>421</v>
      </c>
      <c r="B1690" t="s">
        <v>422</v>
      </c>
      <c r="C1690" t="s">
        <v>1928</v>
      </c>
      <c r="D1690" t="s">
        <v>126</v>
      </c>
      <c r="E1690" t="s">
        <v>87</v>
      </c>
      <c r="F1690" t="s">
        <v>37</v>
      </c>
    </row>
    <row r="1691" spans="1:6" outlineLevel="3" x14ac:dyDescent="0.25">
      <c r="A1691" s="4" t="s">
        <v>421</v>
      </c>
      <c r="B1691" t="s">
        <v>422</v>
      </c>
      <c r="C1691" t="s">
        <v>1776</v>
      </c>
      <c r="D1691" t="s">
        <v>78</v>
      </c>
      <c r="E1691" t="s">
        <v>87</v>
      </c>
      <c r="F1691" t="s">
        <v>37</v>
      </c>
    </row>
    <row r="1692" spans="1:6" outlineLevel="3" x14ac:dyDescent="0.25">
      <c r="A1692" s="4" t="s">
        <v>421</v>
      </c>
      <c r="B1692" t="s">
        <v>422</v>
      </c>
      <c r="C1692" t="s">
        <v>3562</v>
      </c>
      <c r="D1692" t="s">
        <v>78</v>
      </c>
      <c r="E1692" t="s">
        <v>87</v>
      </c>
      <c r="F1692" t="s">
        <v>37</v>
      </c>
    </row>
    <row r="1693" spans="1:6" outlineLevel="3" x14ac:dyDescent="0.25">
      <c r="A1693" s="4" t="s">
        <v>421</v>
      </c>
      <c r="B1693" t="s">
        <v>422</v>
      </c>
      <c r="C1693" t="s">
        <v>1929</v>
      </c>
      <c r="D1693" t="s">
        <v>126</v>
      </c>
      <c r="E1693" t="s">
        <v>87</v>
      </c>
      <c r="F1693" t="s">
        <v>37</v>
      </c>
    </row>
    <row r="1694" spans="1:6" outlineLevel="3" x14ac:dyDescent="0.25">
      <c r="A1694" s="4" t="s">
        <v>421</v>
      </c>
      <c r="B1694" t="s">
        <v>422</v>
      </c>
      <c r="C1694" t="s">
        <v>3563</v>
      </c>
      <c r="D1694" t="s">
        <v>126</v>
      </c>
      <c r="E1694" t="s">
        <v>87</v>
      </c>
      <c r="F1694" t="s">
        <v>37</v>
      </c>
    </row>
    <row r="1695" spans="1:6" outlineLevel="3" x14ac:dyDescent="0.25">
      <c r="A1695" s="4" t="s">
        <v>421</v>
      </c>
      <c r="B1695" t="s">
        <v>422</v>
      </c>
      <c r="C1695" t="s">
        <v>3564</v>
      </c>
      <c r="D1695" t="s">
        <v>126</v>
      </c>
      <c r="E1695" t="s">
        <v>87</v>
      </c>
      <c r="F1695" t="s">
        <v>37</v>
      </c>
    </row>
    <row r="1696" spans="1:6" outlineLevel="3" x14ac:dyDescent="0.25">
      <c r="A1696" s="4" t="s">
        <v>421</v>
      </c>
      <c r="B1696" t="s">
        <v>422</v>
      </c>
      <c r="C1696" t="s">
        <v>3565</v>
      </c>
      <c r="D1696" t="s">
        <v>126</v>
      </c>
      <c r="E1696" t="s">
        <v>87</v>
      </c>
      <c r="F1696" t="s">
        <v>37</v>
      </c>
    </row>
    <row r="1697" spans="1:6" outlineLevel="3" x14ac:dyDescent="0.25">
      <c r="A1697" s="4" t="s">
        <v>421</v>
      </c>
      <c r="B1697" t="s">
        <v>422</v>
      </c>
      <c r="C1697" t="s">
        <v>1777</v>
      </c>
      <c r="D1697" t="s">
        <v>13</v>
      </c>
      <c r="E1697" t="s">
        <v>87</v>
      </c>
      <c r="F1697" t="s">
        <v>37</v>
      </c>
    </row>
    <row r="1698" spans="1:6" outlineLevel="3" x14ac:dyDescent="0.25">
      <c r="A1698" s="4" t="s">
        <v>421</v>
      </c>
      <c r="B1698" t="s">
        <v>422</v>
      </c>
      <c r="C1698" t="s">
        <v>1930</v>
      </c>
      <c r="D1698" t="s">
        <v>126</v>
      </c>
      <c r="E1698" t="s">
        <v>87</v>
      </c>
      <c r="F1698" t="s">
        <v>37</v>
      </c>
    </row>
    <row r="1699" spans="1:6" outlineLevel="3" x14ac:dyDescent="0.25">
      <c r="A1699" s="4" t="s">
        <v>421</v>
      </c>
      <c r="B1699" t="s">
        <v>422</v>
      </c>
      <c r="C1699" t="s">
        <v>3566</v>
      </c>
      <c r="D1699" t="s">
        <v>13</v>
      </c>
      <c r="E1699" t="s">
        <v>87</v>
      </c>
      <c r="F1699" t="s">
        <v>37</v>
      </c>
    </row>
    <row r="1700" spans="1:6" outlineLevel="3" x14ac:dyDescent="0.25">
      <c r="A1700" s="4" t="s">
        <v>421</v>
      </c>
      <c r="B1700" t="s">
        <v>422</v>
      </c>
      <c r="C1700" t="s">
        <v>3567</v>
      </c>
      <c r="D1700" t="s">
        <v>13</v>
      </c>
      <c r="E1700" t="s">
        <v>87</v>
      </c>
      <c r="F1700" t="s">
        <v>37</v>
      </c>
    </row>
    <row r="1701" spans="1:6" outlineLevel="3" x14ac:dyDescent="0.25">
      <c r="A1701" s="4" t="s">
        <v>421</v>
      </c>
      <c r="B1701" t="s">
        <v>422</v>
      </c>
      <c r="C1701" t="s">
        <v>3568</v>
      </c>
      <c r="D1701" t="s">
        <v>13</v>
      </c>
      <c r="E1701" t="s">
        <v>87</v>
      </c>
      <c r="F1701" t="s">
        <v>37</v>
      </c>
    </row>
    <row r="1702" spans="1:6" outlineLevel="3" x14ac:dyDescent="0.25">
      <c r="A1702" s="4" t="s">
        <v>421</v>
      </c>
      <c r="B1702" t="s">
        <v>422</v>
      </c>
      <c r="C1702" t="s">
        <v>3569</v>
      </c>
      <c r="D1702" t="s">
        <v>13</v>
      </c>
      <c r="E1702" t="s">
        <v>87</v>
      </c>
      <c r="F1702" t="s">
        <v>37</v>
      </c>
    </row>
    <row r="1703" spans="1:6" outlineLevel="3" x14ac:dyDescent="0.25">
      <c r="A1703" s="4" t="s">
        <v>421</v>
      </c>
      <c r="B1703" t="s">
        <v>422</v>
      </c>
      <c r="C1703" t="s">
        <v>3570</v>
      </c>
      <c r="D1703" t="s">
        <v>78</v>
      </c>
      <c r="E1703" t="s">
        <v>87</v>
      </c>
      <c r="F1703" t="s">
        <v>37</v>
      </c>
    </row>
    <row r="1704" spans="1:6" outlineLevel="3" x14ac:dyDescent="0.25">
      <c r="A1704" s="4" t="s">
        <v>421</v>
      </c>
      <c r="B1704" t="s">
        <v>422</v>
      </c>
      <c r="C1704" t="s">
        <v>1931</v>
      </c>
      <c r="D1704" t="s">
        <v>13</v>
      </c>
      <c r="E1704" t="s">
        <v>87</v>
      </c>
      <c r="F1704" t="s">
        <v>37</v>
      </c>
    </row>
    <row r="1705" spans="1:6" outlineLevel="3" x14ac:dyDescent="0.25">
      <c r="A1705" s="4" t="s">
        <v>421</v>
      </c>
      <c r="B1705" t="s">
        <v>422</v>
      </c>
      <c r="C1705" t="s">
        <v>3571</v>
      </c>
      <c r="D1705" t="s">
        <v>126</v>
      </c>
      <c r="E1705" t="s">
        <v>87</v>
      </c>
      <c r="F1705" t="s">
        <v>37</v>
      </c>
    </row>
    <row r="1706" spans="1:6" outlineLevel="3" x14ac:dyDescent="0.25">
      <c r="A1706" s="4" t="s">
        <v>421</v>
      </c>
      <c r="B1706" t="s">
        <v>422</v>
      </c>
      <c r="C1706" t="s">
        <v>3572</v>
      </c>
      <c r="D1706" t="s">
        <v>13</v>
      </c>
      <c r="E1706" t="s">
        <v>87</v>
      </c>
      <c r="F1706" t="s">
        <v>37</v>
      </c>
    </row>
    <row r="1707" spans="1:6" outlineLevel="3" x14ac:dyDescent="0.25">
      <c r="A1707" s="4" t="s">
        <v>421</v>
      </c>
      <c r="B1707" t="s">
        <v>422</v>
      </c>
      <c r="C1707" t="s">
        <v>3573</v>
      </c>
      <c r="D1707" t="s">
        <v>190</v>
      </c>
      <c r="E1707" t="s">
        <v>87</v>
      </c>
      <c r="F1707" t="s">
        <v>37</v>
      </c>
    </row>
    <row r="1708" spans="1:6" outlineLevel="3" x14ac:dyDescent="0.25">
      <c r="A1708" s="4" t="s">
        <v>421</v>
      </c>
      <c r="B1708" t="s">
        <v>422</v>
      </c>
      <c r="C1708" t="s">
        <v>3574</v>
      </c>
      <c r="D1708" t="s">
        <v>237</v>
      </c>
      <c r="E1708" t="s">
        <v>87</v>
      </c>
      <c r="F1708" t="s">
        <v>37</v>
      </c>
    </row>
    <row r="1709" spans="1:6" outlineLevel="3" x14ac:dyDescent="0.25">
      <c r="A1709" s="4" t="s">
        <v>421</v>
      </c>
      <c r="B1709" t="s">
        <v>422</v>
      </c>
      <c r="C1709" t="s">
        <v>3575</v>
      </c>
      <c r="D1709" t="s">
        <v>78</v>
      </c>
      <c r="E1709" t="s">
        <v>87</v>
      </c>
      <c r="F1709" t="s">
        <v>37</v>
      </c>
    </row>
    <row r="1710" spans="1:6" outlineLevel="3" x14ac:dyDescent="0.25">
      <c r="A1710" s="4" t="s">
        <v>421</v>
      </c>
      <c r="B1710" t="s">
        <v>422</v>
      </c>
      <c r="C1710" t="s">
        <v>3576</v>
      </c>
      <c r="D1710" t="s">
        <v>165</v>
      </c>
      <c r="E1710" t="s">
        <v>87</v>
      </c>
      <c r="F1710" t="s">
        <v>37</v>
      </c>
    </row>
    <row r="1711" spans="1:6" outlineLevel="3" x14ac:dyDescent="0.25">
      <c r="A1711" s="4" t="s">
        <v>421</v>
      </c>
      <c r="B1711" t="s">
        <v>422</v>
      </c>
      <c r="C1711" t="s">
        <v>3577</v>
      </c>
      <c r="D1711" t="s">
        <v>275</v>
      </c>
      <c r="E1711" t="s">
        <v>87</v>
      </c>
      <c r="F1711" t="s">
        <v>37</v>
      </c>
    </row>
    <row r="1712" spans="1:6" outlineLevel="3" x14ac:dyDescent="0.25">
      <c r="A1712" s="4" t="s">
        <v>421</v>
      </c>
      <c r="B1712" t="s">
        <v>422</v>
      </c>
      <c r="C1712" t="s">
        <v>3578</v>
      </c>
      <c r="D1712" t="s">
        <v>65</v>
      </c>
      <c r="E1712" t="s">
        <v>87</v>
      </c>
      <c r="F1712" t="s">
        <v>37</v>
      </c>
    </row>
    <row r="1713" spans="1:6" outlineLevel="3" x14ac:dyDescent="0.25">
      <c r="A1713" s="4" t="s">
        <v>421</v>
      </c>
      <c r="B1713" t="s">
        <v>422</v>
      </c>
      <c r="C1713" t="s">
        <v>1932</v>
      </c>
      <c r="D1713" t="s">
        <v>202</v>
      </c>
      <c r="E1713" t="s">
        <v>87</v>
      </c>
      <c r="F1713" t="s">
        <v>37</v>
      </c>
    </row>
    <row r="1714" spans="1:6" outlineLevel="3" x14ac:dyDescent="0.25">
      <c r="A1714" s="4" t="s">
        <v>421</v>
      </c>
      <c r="B1714" t="s">
        <v>422</v>
      </c>
      <c r="C1714" t="s">
        <v>3579</v>
      </c>
      <c r="D1714" t="s">
        <v>202</v>
      </c>
      <c r="E1714" t="s">
        <v>87</v>
      </c>
      <c r="F1714" t="s">
        <v>37</v>
      </c>
    </row>
    <row r="1715" spans="1:6" outlineLevel="3" x14ac:dyDescent="0.25">
      <c r="A1715" s="4" t="s">
        <v>421</v>
      </c>
      <c r="B1715" t="s">
        <v>422</v>
      </c>
      <c r="C1715" t="s">
        <v>3580</v>
      </c>
      <c r="D1715" t="s">
        <v>230</v>
      </c>
      <c r="E1715" t="s">
        <v>87</v>
      </c>
      <c r="F1715" t="s">
        <v>37</v>
      </c>
    </row>
    <row r="1716" spans="1:6" outlineLevel="3" x14ac:dyDescent="0.25">
      <c r="A1716" s="4" t="s">
        <v>421</v>
      </c>
      <c r="B1716" t="s">
        <v>422</v>
      </c>
      <c r="C1716" t="s">
        <v>3581</v>
      </c>
      <c r="D1716" t="s">
        <v>3582</v>
      </c>
      <c r="E1716" t="s">
        <v>87</v>
      </c>
      <c r="F1716" t="s">
        <v>37</v>
      </c>
    </row>
    <row r="1717" spans="1:6" outlineLevel="3" x14ac:dyDescent="0.25">
      <c r="A1717" s="4" t="s">
        <v>421</v>
      </c>
      <c r="B1717" t="s">
        <v>422</v>
      </c>
      <c r="C1717" t="s">
        <v>4098</v>
      </c>
      <c r="D1717" t="s">
        <v>67</v>
      </c>
      <c r="E1717" t="s">
        <v>1135</v>
      </c>
      <c r="F1717" t="s">
        <v>37</v>
      </c>
    </row>
    <row r="1718" spans="1:6" outlineLevel="3" x14ac:dyDescent="0.25">
      <c r="A1718" s="4" t="s">
        <v>421</v>
      </c>
      <c r="B1718" t="s">
        <v>422</v>
      </c>
      <c r="C1718" t="s">
        <v>4099</v>
      </c>
      <c r="D1718" t="s">
        <v>67</v>
      </c>
      <c r="E1718" t="s">
        <v>1135</v>
      </c>
      <c r="F1718" t="s">
        <v>37</v>
      </c>
    </row>
    <row r="1719" spans="1:6" outlineLevel="3" x14ac:dyDescent="0.25">
      <c r="A1719" s="4" t="s">
        <v>421</v>
      </c>
      <c r="B1719" t="s">
        <v>422</v>
      </c>
      <c r="C1719" t="s">
        <v>2223</v>
      </c>
      <c r="D1719" t="s">
        <v>202</v>
      </c>
      <c r="E1719" t="s">
        <v>406</v>
      </c>
      <c r="F1719" t="s">
        <v>37</v>
      </c>
    </row>
    <row r="1720" spans="1:6" outlineLevel="3" x14ac:dyDescent="0.25">
      <c r="A1720" s="4" t="s">
        <v>421</v>
      </c>
      <c r="B1720" t="s">
        <v>422</v>
      </c>
      <c r="C1720" t="s">
        <v>1821</v>
      </c>
      <c r="D1720" t="s">
        <v>44</v>
      </c>
      <c r="E1720" t="s">
        <v>406</v>
      </c>
      <c r="F1720" t="s">
        <v>37</v>
      </c>
    </row>
    <row r="1721" spans="1:6" outlineLevel="3" x14ac:dyDescent="0.25">
      <c r="A1721" s="4" t="s">
        <v>421</v>
      </c>
      <c r="B1721" t="s">
        <v>422</v>
      </c>
      <c r="C1721" t="s">
        <v>2224</v>
      </c>
      <c r="D1721" t="s">
        <v>126</v>
      </c>
      <c r="E1721" t="s">
        <v>406</v>
      </c>
      <c r="F1721" t="s">
        <v>37</v>
      </c>
    </row>
    <row r="1722" spans="1:6" outlineLevel="3" x14ac:dyDescent="0.25">
      <c r="A1722" s="4" t="s">
        <v>421</v>
      </c>
      <c r="B1722" t="s">
        <v>422</v>
      </c>
      <c r="C1722" t="s">
        <v>2747</v>
      </c>
      <c r="D1722" t="s">
        <v>202</v>
      </c>
      <c r="E1722" t="s">
        <v>1086</v>
      </c>
      <c r="F1722" t="s">
        <v>37</v>
      </c>
    </row>
    <row r="1723" spans="1:6" outlineLevel="3" x14ac:dyDescent="0.25">
      <c r="A1723" s="4" t="s">
        <v>421</v>
      </c>
      <c r="B1723" t="s">
        <v>422</v>
      </c>
      <c r="C1723" t="s">
        <v>2748</v>
      </c>
      <c r="D1723" t="s">
        <v>237</v>
      </c>
      <c r="E1723" t="s">
        <v>1086</v>
      </c>
      <c r="F1723" t="s">
        <v>37</v>
      </c>
    </row>
    <row r="1724" spans="1:6" outlineLevel="3" x14ac:dyDescent="0.25">
      <c r="A1724" s="4" t="s">
        <v>421</v>
      </c>
      <c r="B1724" t="s">
        <v>422</v>
      </c>
      <c r="C1724" t="s">
        <v>1752</v>
      </c>
      <c r="D1724" t="s">
        <v>13</v>
      </c>
      <c r="E1724" t="s">
        <v>134</v>
      </c>
      <c r="F1724" t="s">
        <v>37</v>
      </c>
    </row>
    <row r="1725" spans="1:6" outlineLevel="3" x14ac:dyDescent="0.25">
      <c r="A1725" s="4" t="s">
        <v>421</v>
      </c>
      <c r="B1725" t="s">
        <v>422</v>
      </c>
      <c r="C1725" t="s">
        <v>1827</v>
      </c>
      <c r="D1725" t="s">
        <v>13</v>
      </c>
      <c r="E1725" t="s">
        <v>91</v>
      </c>
      <c r="F1725" t="s">
        <v>37</v>
      </c>
    </row>
    <row r="1726" spans="1:6" outlineLevel="3" x14ac:dyDescent="0.25">
      <c r="A1726" s="4" t="s">
        <v>421</v>
      </c>
      <c r="B1726" t="s">
        <v>422</v>
      </c>
      <c r="C1726" t="s">
        <v>2506</v>
      </c>
      <c r="D1726" t="s">
        <v>13</v>
      </c>
      <c r="E1726" t="s">
        <v>91</v>
      </c>
      <c r="F1726" t="s">
        <v>37</v>
      </c>
    </row>
    <row r="1727" spans="1:6" outlineLevel="3" x14ac:dyDescent="0.25">
      <c r="A1727" s="4" t="s">
        <v>421</v>
      </c>
      <c r="B1727" t="s">
        <v>422</v>
      </c>
      <c r="C1727" t="s">
        <v>2507</v>
      </c>
      <c r="D1727" t="s">
        <v>126</v>
      </c>
      <c r="E1727" t="s">
        <v>91</v>
      </c>
      <c r="F1727" t="s">
        <v>37</v>
      </c>
    </row>
    <row r="1728" spans="1:6" outlineLevel="3" x14ac:dyDescent="0.25">
      <c r="A1728" s="4" t="s">
        <v>421</v>
      </c>
      <c r="B1728" t="s">
        <v>422</v>
      </c>
      <c r="C1728" t="s">
        <v>2508</v>
      </c>
      <c r="D1728" t="s">
        <v>126</v>
      </c>
      <c r="E1728" t="s">
        <v>91</v>
      </c>
      <c r="F1728" t="s">
        <v>37</v>
      </c>
    </row>
    <row r="1729" spans="1:6" outlineLevel="3" x14ac:dyDescent="0.25">
      <c r="A1729" s="4" t="s">
        <v>421</v>
      </c>
      <c r="B1729" t="s">
        <v>422</v>
      </c>
      <c r="C1729" t="s">
        <v>2509</v>
      </c>
      <c r="D1729" t="s">
        <v>437</v>
      </c>
      <c r="E1729" t="s">
        <v>91</v>
      </c>
      <c r="F1729" t="s">
        <v>37</v>
      </c>
    </row>
    <row r="1730" spans="1:6" outlineLevel="3" x14ac:dyDescent="0.25">
      <c r="A1730" s="4" t="s">
        <v>421</v>
      </c>
      <c r="B1730" t="s">
        <v>422</v>
      </c>
      <c r="C1730" t="s">
        <v>2510</v>
      </c>
      <c r="D1730" t="s">
        <v>63</v>
      </c>
      <c r="E1730" t="s">
        <v>91</v>
      </c>
      <c r="F1730" t="s">
        <v>37</v>
      </c>
    </row>
    <row r="1731" spans="1:6" outlineLevel="3" x14ac:dyDescent="0.25">
      <c r="A1731" s="4" t="s">
        <v>421</v>
      </c>
      <c r="B1731" t="s">
        <v>422</v>
      </c>
      <c r="C1731" t="s">
        <v>2511</v>
      </c>
      <c r="D1731" t="s">
        <v>67</v>
      </c>
      <c r="E1731" t="s">
        <v>91</v>
      </c>
      <c r="F1731" t="s">
        <v>37</v>
      </c>
    </row>
    <row r="1732" spans="1:6" outlineLevel="3" x14ac:dyDescent="0.25">
      <c r="A1732" s="4" t="s">
        <v>421</v>
      </c>
      <c r="B1732" t="s">
        <v>422</v>
      </c>
      <c r="C1732" t="s">
        <v>2512</v>
      </c>
      <c r="D1732" t="s">
        <v>437</v>
      </c>
      <c r="E1732" t="s">
        <v>91</v>
      </c>
      <c r="F1732" t="s">
        <v>37</v>
      </c>
    </row>
    <row r="1733" spans="1:6" outlineLevel="3" x14ac:dyDescent="0.25">
      <c r="A1733" s="4" t="s">
        <v>421</v>
      </c>
      <c r="B1733" t="s">
        <v>422</v>
      </c>
      <c r="C1733" t="s">
        <v>2513</v>
      </c>
      <c r="D1733" t="s">
        <v>165</v>
      </c>
      <c r="E1733" t="s">
        <v>91</v>
      </c>
      <c r="F1733" t="s">
        <v>37</v>
      </c>
    </row>
    <row r="1734" spans="1:6" outlineLevel="3" x14ac:dyDescent="0.25">
      <c r="A1734" s="4" t="s">
        <v>421</v>
      </c>
      <c r="B1734" t="s">
        <v>422</v>
      </c>
      <c r="C1734" t="s">
        <v>2514</v>
      </c>
      <c r="D1734" t="s">
        <v>13</v>
      </c>
      <c r="E1734" t="s">
        <v>91</v>
      </c>
      <c r="F1734" t="s">
        <v>37</v>
      </c>
    </row>
    <row r="1735" spans="1:6" outlineLevel="3" x14ac:dyDescent="0.25">
      <c r="A1735" s="4" t="s">
        <v>421</v>
      </c>
      <c r="B1735" t="s">
        <v>422</v>
      </c>
      <c r="C1735" t="s">
        <v>2515</v>
      </c>
      <c r="D1735" t="s">
        <v>437</v>
      </c>
      <c r="E1735" t="s">
        <v>91</v>
      </c>
      <c r="F1735" t="s">
        <v>37</v>
      </c>
    </row>
    <row r="1736" spans="1:6" outlineLevel="3" x14ac:dyDescent="0.25">
      <c r="A1736" s="4" t="s">
        <v>421</v>
      </c>
      <c r="B1736" t="s">
        <v>422</v>
      </c>
      <c r="C1736" t="s">
        <v>2516</v>
      </c>
      <c r="D1736" t="s">
        <v>76</v>
      </c>
      <c r="E1736" t="s">
        <v>91</v>
      </c>
      <c r="F1736" t="s">
        <v>37</v>
      </c>
    </row>
    <row r="1737" spans="1:6" outlineLevel="3" x14ac:dyDescent="0.25">
      <c r="A1737" s="4" t="s">
        <v>421</v>
      </c>
      <c r="B1737" t="s">
        <v>422</v>
      </c>
      <c r="C1737" t="s">
        <v>2517</v>
      </c>
      <c r="D1737" t="s">
        <v>435</v>
      </c>
      <c r="E1737" t="s">
        <v>91</v>
      </c>
      <c r="F1737" t="s">
        <v>37</v>
      </c>
    </row>
    <row r="1738" spans="1:6" outlineLevel="3" x14ac:dyDescent="0.25">
      <c r="A1738" s="4" t="s">
        <v>421</v>
      </c>
      <c r="B1738" t="s">
        <v>422</v>
      </c>
      <c r="C1738" t="s">
        <v>2518</v>
      </c>
      <c r="D1738" t="s">
        <v>13</v>
      </c>
      <c r="E1738" t="s">
        <v>91</v>
      </c>
      <c r="F1738" t="s">
        <v>37</v>
      </c>
    </row>
    <row r="1739" spans="1:6" outlineLevel="3" x14ac:dyDescent="0.25">
      <c r="A1739" s="4" t="s">
        <v>421</v>
      </c>
      <c r="B1739" t="s">
        <v>422</v>
      </c>
      <c r="C1739" t="s">
        <v>2519</v>
      </c>
      <c r="D1739" t="s">
        <v>13</v>
      </c>
      <c r="E1739" t="s">
        <v>91</v>
      </c>
      <c r="F1739" t="s">
        <v>37</v>
      </c>
    </row>
    <row r="1740" spans="1:6" outlineLevel="3" x14ac:dyDescent="0.25">
      <c r="A1740" s="4" t="s">
        <v>421</v>
      </c>
      <c r="B1740" t="s">
        <v>422</v>
      </c>
      <c r="C1740" t="s">
        <v>2520</v>
      </c>
      <c r="D1740" t="s">
        <v>202</v>
      </c>
      <c r="E1740" t="s">
        <v>91</v>
      </c>
      <c r="F1740" t="s">
        <v>37</v>
      </c>
    </row>
    <row r="1741" spans="1:6" outlineLevel="3" x14ac:dyDescent="0.25">
      <c r="A1741" s="4" t="s">
        <v>421</v>
      </c>
      <c r="B1741" t="s">
        <v>422</v>
      </c>
      <c r="C1741" t="s">
        <v>2521</v>
      </c>
      <c r="D1741" t="s">
        <v>202</v>
      </c>
      <c r="E1741" t="s">
        <v>91</v>
      </c>
      <c r="F1741" t="s">
        <v>37</v>
      </c>
    </row>
    <row r="1742" spans="1:6" outlineLevel="3" x14ac:dyDescent="0.25">
      <c r="A1742" s="4" t="s">
        <v>421</v>
      </c>
      <c r="B1742" t="s">
        <v>422</v>
      </c>
      <c r="C1742" t="s">
        <v>2522</v>
      </c>
      <c r="D1742" t="s">
        <v>165</v>
      </c>
      <c r="E1742" t="s">
        <v>91</v>
      </c>
      <c r="F1742" t="s">
        <v>37</v>
      </c>
    </row>
    <row r="1743" spans="1:6" outlineLevel="3" x14ac:dyDescent="0.25">
      <c r="A1743" s="4" t="s">
        <v>421</v>
      </c>
      <c r="B1743" t="s">
        <v>422</v>
      </c>
      <c r="C1743" t="s">
        <v>2523</v>
      </c>
      <c r="D1743" t="s">
        <v>165</v>
      </c>
      <c r="E1743" t="s">
        <v>91</v>
      </c>
      <c r="F1743" t="s">
        <v>37</v>
      </c>
    </row>
    <row r="1744" spans="1:6" outlineLevel="3" x14ac:dyDescent="0.25">
      <c r="A1744" s="4" t="s">
        <v>421</v>
      </c>
      <c r="B1744" t="s">
        <v>422</v>
      </c>
      <c r="C1744" t="s">
        <v>2524</v>
      </c>
      <c r="D1744" t="s">
        <v>202</v>
      </c>
      <c r="E1744" t="s">
        <v>91</v>
      </c>
      <c r="F1744" t="s">
        <v>37</v>
      </c>
    </row>
    <row r="1745" spans="1:6" outlineLevel="3" x14ac:dyDescent="0.25">
      <c r="A1745" s="4" t="s">
        <v>421</v>
      </c>
      <c r="B1745" t="s">
        <v>422</v>
      </c>
      <c r="C1745" t="s">
        <v>2525</v>
      </c>
      <c r="D1745" t="s">
        <v>165</v>
      </c>
      <c r="E1745" t="s">
        <v>91</v>
      </c>
      <c r="F1745" t="s">
        <v>37</v>
      </c>
    </row>
    <row r="1746" spans="1:6" outlineLevel="3" x14ac:dyDescent="0.25">
      <c r="A1746" s="4" t="s">
        <v>421</v>
      </c>
      <c r="B1746" t="s">
        <v>422</v>
      </c>
      <c r="C1746" t="s">
        <v>2526</v>
      </c>
      <c r="D1746" t="s">
        <v>437</v>
      </c>
      <c r="E1746" t="s">
        <v>91</v>
      </c>
      <c r="F1746" t="s">
        <v>37</v>
      </c>
    </row>
    <row r="1747" spans="1:6" outlineLevel="3" x14ac:dyDescent="0.25">
      <c r="A1747" s="4" t="s">
        <v>421</v>
      </c>
      <c r="B1747" t="s">
        <v>422</v>
      </c>
      <c r="C1747" t="s">
        <v>2527</v>
      </c>
      <c r="D1747" t="s">
        <v>13</v>
      </c>
      <c r="E1747" t="s">
        <v>91</v>
      </c>
      <c r="F1747" t="s">
        <v>37</v>
      </c>
    </row>
    <row r="1748" spans="1:6" outlineLevel="3" x14ac:dyDescent="0.25">
      <c r="A1748" s="4" t="s">
        <v>421</v>
      </c>
      <c r="B1748" t="s">
        <v>422</v>
      </c>
      <c r="C1748" t="s">
        <v>2528</v>
      </c>
      <c r="D1748" t="s">
        <v>119</v>
      </c>
      <c r="E1748" t="s">
        <v>91</v>
      </c>
      <c r="F1748" t="s">
        <v>37</v>
      </c>
    </row>
    <row r="1749" spans="1:6" outlineLevel="3" x14ac:dyDescent="0.25">
      <c r="A1749" s="4" t="s">
        <v>421</v>
      </c>
      <c r="B1749" t="s">
        <v>422</v>
      </c>
      <c r="C1749" t="s">
        <v>2529</v>
      </c>
      <c r="D1749" t="s">
        <v>165</v>
      </c>
      <c r="E1749" t="s">
        <v>91</v>
      </c>
      <c r="F1749" t="s">
        <v>37</v>
      </c>
    </row>
    <row r="1750" spans="1:6" outlineLevel="3" x14ac:dyDescent="0.25">
      <c r="A1750" s="4" t="s">
        <v>421</v>
      </c>
      <c r="B1750" t="s">
        <v>422</v>
      </c>
      <c r="C1750" t="s">
        <v>2530</v>
      </c>
      <c r="D1750" t="s">
        <v>437</v>
      </c>
      <c r="E1750" t="s">
        <v>91</v>
      </c>
      <c r="F1750" t="s">
        <v>37</v>
      </c>
    </row>
    <row r="1751" spans="1:6" outlineLevel="3" x14ac:dyDescent="0.25">
      <c r="A1751" s="4" t="s">
        <v>421</v>
      </c>
      <c r="B1751" t="s">
        <v>422</v>
      </c>
      <c r="C1751" t="s">
        <v>2531</v>
      </c>
      <c r="D1751" t="s">
        <v>6</v>
      </c>
      <c r="E1751" t="s">
        <v>91</v>
      </c>
      <c r="F1751" t="s">
        <v>37</v>
      </c>
    </row>
    <row r="1752" spans="1:6" outlineLevel="3" x14ac:dyDescent="0.25">
      <c r="A1752" s="4" t="s">
        <v>421</v>
      </c>
      <c r="B1752" t="s">
        <v>422</v>
      </c>
      <c r="C1752" t="s">
        <v>2532</v>
      </c>
      <c r="D1752" t="s">
        <v>202</v>
      </c>
      <c r="E1752" t="s">
        <v>91</v>
      </c>
      <c r="F1752" t="s">
        <v>37</v>
      </c>
    </row>
    <row r="1753" spans="1:6" outlineLevel="3" x14ac:dyDescent="0.25">
      <c r="A1753" s="4" t="s">
        <v>421</v>
      </c>
      <c r="B1753" t="s">
        <v>422</v>
      </c>
      <c r="C1753" t="s">
        <v>2533</v>
      </c>
      <c r="D1753" t="s">
        <v>76</v>
      </c>
      <c r="E1753" t="s">
        <v>91</v>
      </c>
      <c r="F1753" t="s">
        <v>37</v>
      </c>
    </row>
    <row r="1754" spans="1:6" outlineLevel="3" x14ac:dyDescent="0.25">
      <c r="A1754" s="4" t="s">
        <v>421</v>
      </c>
      <c r="B1754" t="s">
        <v>422</v>
      </c>
      <c r="C1754" t="s">
        <v>2534</v>
      </c>
      <c r="D1754" t="s">
        <v>202</v>
      </c>
      <c r="E1754" t="s">
        <v>91</v>
      </c>
      <c r="F1754" t="s">
        <v>37</v>
      </c>
    </row>
    <row r="1755" spans="1:6" outlineLevel="3" x14ac:dyDescent="0.25">
      <c r="A1755" s="4" t="s">
        <v>421</v>
      </c>
      <c r="B1755" t="s">
        <v>422</v>
      </c>
      <c r="C1755" t="s">
        <v>2535</v>
      </c>
      <c r="D1755" t="s">
        <v>202</v>
      </c>
      <c r="E1755" t="s">
        <v>91</v>
      </c>
      <c r="F1755" t="s">
        <v>37</v>
      </c>
    </row>
    <row r="1756" spans="1:6" outlineLevel="3" x14ac:dyDescent="0.25">
      <c r="A1756" s="4" t="s">
        <v>421</v>
      </c>
      <c r="B1756" t="s">
        <v>422</v>
      </c>
      <c r="C1756" t="s">
        <v>2536</v>
      </c>
      <c r="D1756" t="s">
        <v>202</v>
      </c>
      <c r="E1756" t="s">
        <v>91</v>
      </c>
      <c r="F1756" t="s">
        <v>37</v>
      </c>
    </row>
    <row r="1757" spans="1:6" outlineLevel="3" x14ac:dyDescent="0.25">
      <c r="A1757" s="4" t="s">
        <v>421</v>
      </c>
      <c r="B1757" t="s">
        <v>422</v>
      </c>
      <c r="C1757" t="s">
        <v>2537</v>
      </c>
      <c r="D1757" t="s">
        <v>202</v>
      </c>
      <c r="E1757" t="s">
        <v>91</v>
      </c>
      <c r="F1757" t="s">
        <v>37</v>
      </c>
    </row>
    <row r="1758" spans="1:6" outlineLevel="3" x14ac:dyDescent="0.25">
      <c r="A1758" s="4" t="s">
        <v>421</v>
      </c>
      <c r="B1758" t="s">
        <v>422</v>
      </c>
      <c r="C1758" t="s">
        <v>2538</v>
      </c>
      <c r="D1758" t="s">
        <v>126</v>
      </c>
      <c r="E1758" t="s">
        <v>91</v>
      </c>
      <c r="F1758" t="s">
        <v>37</v>
      </c>
    </row>
    <row r="1759" spans="1:6" outlineLevel="3" x14ac:dyDescent="0.25">
      <c r="A1759" s="4" t="s">
        <v>421</v>
      </c>
      <c r="B1759" t="s">
        <v>422</v>
      </c>
      <c r="C1759" t="s">
        <v>2539</v>
      </c>
      <c r="D1759" t="s">
        <v>13</v>
      </c>
      <c r="E1759" t="s">
        <v>91</v>
      </c>
      <c r="F1759" t="s">
        <v>37</v>
      </c>
    </row>
    <row r="1760" spans="1:6" outlineLevel="3" x14ac:dyDescent="0.25">
      <c r="A1760" s="4" t="s">
        <v>421</v>
      </c>
      <c r="B1760" t="s">
        <v>422</v>
      </c>
      <c r="C1760" t="s">
        <v>2540</v>
      </c>
      <c r="D1760" t="s">
        <v>143</v>
      </c>
      <c r="E1760" t="s">
        <v>91</v>
      </c>
      <c r="F1760" t="s">
        <v>37</v>
      </c>
    </row>
    <row r="1761" spans="1:6" outlineLevel="3" x14ac:dyDescent="0.25">
      <c r="A1761" s="4" t="s">
        <v>421</v>
      </c>
      <c r="B1761" t="s">
        <v>422</v>
      </c>
      <c r="C1761" t="s">
        <v>2541</v>
      </c>
      <c r="D1761" t="s">
        <v>119</v>
      </c>
      <c r="E1761" t="s">
        <v>91</v>
      </c>
      <c r="F1761" t="s">
        <v>37</v>
      </c>
    </row>
    <row r="1762" spans="1:6" outlineLevel="3" x14ac:dyDescent="0.25">
      <c r="A1762" s="4" t="s">
        <v>421</v>
      </c>
      <c r="B1762" t="s">
        <v>422</v>
      </c>
      <c r="C1762" t="s">
        <v>2542</v>
      </c>
      <c r="D1762" t="s">
        <v>6</v>
      </c>
      <c r="E1762" t="s">
        <v>91</v>
      </c>
      <c r="F1762" t="s">
        <v>37</v>
      </c>
    </row>
    <row r="1763" spans="1:6" outlineLevel="3" x14ac:dyDescent="0.25">
      <c r="A1763" s="4" t="s">
        <v>421</v>
      </c>
      <c r="B1763" t="s">
        <v>422</v>
      </c>
      <c r="C1763" t="s">
        <v>2543</v>
      </c>
      <c r="D1763" t="s">
        <v>437</v>
      </c>
      <c r="E1763" t="s">
        <v>91</v>
      </c>
      <c r="F1763" t="s">
        <v>37</v>
      </c>
    </row>
    <row r="1764" spans="1:6" outlineLevel="3" x14ac:dyDescent="0.25">
      <c r="A1764" s="4" t="s">
        <v>421</v>
      </c>
      <c r="B1764" t="s">
        <v>422</v>
      </c>
      <c r="C1764" t="s">
        <v>2544</v>
      </c>
      <c r="D1764" t="s">
        <v>202</v>
      </c>
      <c r="E1764" t="s">
        <v>91</v>
      </c>
      <c r="F1764" t="s">
        <v>37</v>
      </c>
    </row>
    <row r="1765" spans="1:6" outlineLevel="3" x14ac:dyDescent="0.25">
      <c r="A1765" s="4" t="s">
        <v>421</v>
      </c>
      <c r="B1765" t="s">
        <v>422</v>
      </c>
      <c r="C1765" t="s">
        <v>2545</v>
      </c>
      <c r="D1765" t="s">
        <v>119</v>
      </c>
      <c r="E1765" t="s">
        <v>91</v>
      </c>
      <c r="F1765" t="s">
        <v>37</v>
      </c>
    </row>
    <row r="1766" spans="1:6" outlineLevel="3" x14ac:dyDescent="0.25">
      <c r="A1766" s="4" t="s">
        <v>421</v>
      </c>
      <c r="B1766" t="s">
        <v>422</v>
      </c>
      <c r="C1766" t="s">
        <v>2546</v>
      </c>
      <c r="D1766" t="s">
        <v>202</v>
      </c>
      <c r="E1766" t="s">
        <v>91</v>
      </c>
      <c r="F1766" t="s">
        <v>37</v>
      </c>
    </row>
    <row r="1767" spans="1:6" outlineLevel="3" x14ac:dyDescent="0.25">
      <c r="A1767" s="4" t="s">
        <v>421</v>
      </c>
      <c r="B1767" t="s">
        <v>422</v>
      </c>
      <c r="C1767" t="s">
        <v>2547</v>
      </c>
      <c r="D1767" t="s">
        <v>13</v>
      </c>
      <c r="E1767" t="s">
        <v>91</v>
      </c>
      <c r="F1767" t="s">
        <v>37</v>
      </c>
    </row>
    <row r="1768" spans="1:6" outlineLevel="3" x14ac:dyDescent="0.25">
      <c r="A1768" s="4" t="s">
        <v>421</v>
      </c>
      <c r="B1768" t="s">
        <v>422</v>
      </c>
      <c r="C1768" t="s">
        <v>2548</v>
      </c>
      <c r="D1768" t="s">
        <v>6</v>
      </c>
      <c r="E1768" t="s">
        <v>91</v>
      </c>
      <c r="F1768" t="s">
        <v>37</v>
      </c>
    </row>
    <row r="1769" spans="1:6" outlineLevel="3" x14ac:dyDescent="0.25">
      <c r="A1769" s="4" t="s">
        <v>421</v>
      </c>
      <c r="B1769" t="s">
        <v>422</v>
      </c>
      <c r="C1769" t="s">
        <v>2549</v>
      </c>
      <c r="D1769" t="s">
        <v>13</v>
      </c>
      <c r="E1769" t="s">
        <v>91</v>
      </c>
      <c r="F1769" t="s">
        <v>37</v>
      </c>
    </row>
    <row r="1770" spans="1:6" outlineLevel="3" x14ac:dyDescent="0.25">
      <c r="A1770" s="4" t="s">
        <v>421</v>
      </c>
      <c r="B1770" t="s">
        <v>422</v>
      </c>
      <c r="C1770" t="s">
        <v>2550</v>
      </c>
      <c r="D1770" t="s">
        <v>165</v>
      </c>
      <c r="E1770" t="s">
        <v>91</v>
      </c>
      <c r="F1770" t="s">
        <v>37</v>
      </c>
    </row>
    <row r="1771" spans="1:6" outlineLevel="3" x14ac:dyDescent="0.25">
      <c r="A1771" s="4" t="s">
        <v>421</v>
      </c>
      <c r="B1771" t="s">
        <v>422</v>
      </c>
      <c r="C1771" t="s">
        <v>2551</v>
      </c>
      <c r="D1771" t="s">
        <v>202</v>
      </c>
      <c r="E1771" t="s">
        <v>91</v>
      </c>
      <c r="F1771" t="s">
        <v>37</v>
      </c>
    </row>
    <row r="1772" spans="1:6" outlineLevel="3" x14ac:dyDescent="0.25">
      <c r="A1772" s="4" t="s">
        <v>421</v>
      </c>
      <c r="B1772" t="s">
        <v>422</v>
      </c>
      <c r="C1772" t="s">
        <v>2552</v>
      </c>
      <c r="D1772" t="s">
        <v>126</v>
      </c>
      <c r="E1772" t="s">
        <v>91</v>
      </c>
      <c r="F1772" t="s">
        <v>37</v>
      </c>
    </row>
    <row r="1773" spans="1:6" outlineLevel="3" x14ac:dyDescent="0.25">
      <c r="A1773" s="4" t="s">
        <v>421</v>
      </c>
      <c r="B1773" t="s">
        <v>422</v>
      </c>
      <c r="C1773" t="s">
        <v>2553</v>
      </c>
      <c r="D1773" t="s">
        <v>6</v>
      </c>
      <c r="E1773" t="s">
        <v>91</v>
      </c>
      <c r="F1773" t="s">
        <v>37</v>
      </c>
    </row>
    <row r="1774" spans="1:6" outlineLevel="3" x14ac:dyDescent="0.25">
      <c r="A1774" s="4" t="s">
        <v>421</v>
      </c>
      <c r="B1774" t="s">
        <v>422</v>
      </c>
      <c r="C1774" t="s">
        <v>2554</v>
      </c>
      <c r="D1774" t="s">
        <v>76</v>
      </c>
      <c r="E1774" t="s">
        <v>91</v>
      </c>
      <c r="F1774" t="s">
        <v>37</v>
      </c>
    </row>
    <row r="1775" spans="1:6" outlineLevel="3" x14ac:dyDescent="0.25">
      <c r="A1775" s="4" t="s">
        <v>421</v>
      </c>
      <c r="B1775" t="s">
        <v>422</v>
      </c>
      <c r="C1775" t="s">
        <v>2555</v>
      </c>
      <c r="D1775" t="s">
        <v>76</v>
      </c>
      <c r="E1775" t="s">
        <v>91</v>
      </c>
      <c r="F1775" t="s">
        <v>37</v>
      </c>
    </row>
    <row r="1776" spans="1:6" outlineLevel="3" x14ac:dyDescent="0.25">
      <c r="A1776" s="4" t="s">
        <v>421</v>
      </c>
      <c r="B1776" t="s">
        <v>422</v>
      </c>
      <c r="C1776" t="s">
        <v>2556</v>
      </c>
      <c r="D1776" t="s">
        <v>165</v>
      </c>
      <c r="E1776" t="s">
        <v>91</v>
      </c>
      <c r="F1776" t="s">
        <v>37</v>
      </c>
    </row>
    <row r="1777" spans="1:6" outlineLevel="3" x14ac:dyDescent="0.25">
      <c r="A1777" s="4" t="s">
        <v>421</v>
      </c>
      <c r="B1777" t="s">
        <v>422</v>
      </c>
      <c r="C1777" t="s">
        <v>2557</v>
      </c>
      <c r="D1777" t="s">
        <v>119</v>
      </c>
      <c r="E1777" t="s">
        <v>91</v>
      </c>
      <c r="F1777" t="s">
        <v>37</v>
      </c>
    </row>
    <row r="1778" spans="1:6" outlineLevel="3" x14ac:dyDescent="0.25">
      <c r="A1778" s="4" t="s">
        <v>421</v>
      </c>
      <c r="B1778" t="s">
        <v>422</v>
      </c>
      <c r="C1778" t="s">
        <v>2558</v>
      </c>
      <c r="D1778" t="s">
        <v>165</v>
      </c>
      <c r="E1778" t="s">
        <v>91</v>
      </c>
      <c r="F1778" t="s">
        <v>37</v>
      </c>
    </row>
    <row r="1779" spans="1:6" outlineLevel="3" x14ac:dyDescent="0.25">
      <c r="A1779" s="4" t="s">
        <v>421</v>
      </c>
      <c r="B1779" t="s">
        <v>422</v>
      </c>
      <c r="C1779" t="s">
        <v>2559</v>
      </c>
      <c r="D1779" t="s">
        <v>165</v>
      </c>
      <c r="E1779" t="s">
        <v>91</v>
      </c>
      <c r="F1779" t="s">
        <v>37</v>
      </c>
    </row>
    <row r="1780" spans="1:6" outlineLevel="3" x14ac:dyDescent="0.25">
      <c r="A1780" s="4" t="s">
        <v>421</v>
      </c>
      <c r="B1780" t="s">
        <v>422</v>
      </c>
      <c r="C1780" t="s">
        <v>2560</v>
      </c>
      <c r="D1780" t="s">
        <v>6</v>
      </c>
      <c r="E1780" t="s">
        <v>91</v>
      </c>
      <c r="F1780" t="s">
        <v>37</v>
      </c>
    </row>
    <row r="1781" spans="1:6" outlineLevel="3" x14ac:dyDescent="0.25">
      <c r="A1781" s="4" t="s">
        <v>421</v>
      </c>
      <c r="B1781" t="s">
        <v>422</v>
      </c>
      <c r="C1781" t="s">
        <v>2561</v>
      </c>
      <c r="D1781" t="s">
        <v>76</v>
      </c>
      <c r="E1781" t="s">
        <v>91</v>
      </c>
      <c r="F1781" t="s">
        <v>37</v>
      </c>
    </row>
    <row r="1782" spans="1:6" outlineLevel="3" x14ac:dyDescent="0.25">
      <c r="A1782" s="4" t="s">
        <v>421</v>
      </c>
      <c r="B1782" t="s">
        <v>422</v>
      </c>
      <c r="C1782" t="s">
        <v>2562</v>
      </c>
      <c r="D1782" t="s">
        <v>65</v>
      </c>
      <c r="E1782" t="s">
        <v>91</v>
      </c>
      <c r="F1782" t="s">
        <v>37</v>
      </c>
    </row>
    <row r="1783" spans="1:6" outlineLevel="3" x14ac:dyDescent="0.25">
      <c r="A1783" s="4" t="s">
        <v>421</v>
      </c>
      <c r="B1783" t="s">
        <v>422</v>
      </c>
      <c r="C1783" t="s">
        <v>2563</v>
      </c>
      <c r="D1783" t="s">
        <v>119</v>
      </c>
      <c r="E1783" t="s">
        <v>91</v>
      </c>
      <c r="F1783" t="s">
        <v>37</v>
      </c>
    </row>
    <row r="1784" spans="1:6" outlineLevel="3" x14ac:dyDescent="0.25">
      <c r="A1784" s="4" t="s">
        <v>421</v>
      </c>
      <c r="B1784" t="s">
        <v>422</v>
      </c>
      <c r="C1784" t="s">
        <v>2564</v>
      </c>
      <c r="D1784" t="s">
        <v>89</v>
      </c>
      <c r="E1784" t="s">
        <v>91</v>
      </c>
      <c r="F1784" t="s">
        <v>37</v>
      </c>
    </row>
    <row r="1785" spans="1:6" outlineLevel="3" x14ac:dyDescent="0.25">
      <c r="A1785" s="4" t="s">
        <v>421</v>
      </c>
      <c r="B1785" t="s">
        <v>422</v>
      </c>
      <c r="C1785" t="s">
        <v>2565</v>
      </c>
      <c r="D1785" t="s">
        <v>437</v>
      </c>
      <c r="E1785" t="s">
        <v>91</v>
      </c>
      <c r="F1785" t="s">
        <v>37</v>
      </c>
    </row>
    <row r="1786" spans="1:6" outlineLevel="3" x14ac:dyDescent="0.25">
      <c r="A1786" s="4" t="s">
        <v>421</v>
      </c>
      <c r="B1786" t="s">
        <v>422</v>
      </c>
      <c r="C1786" t="s">
        <v>2566</v>
      </c>
      <c r="D1786" t="s">
        <v>165</v>
      </c>
      <c r="E1786" t="s">
        <v>91</v>
      </c>
      <c r="F1786" t="s">
        <v>37</v>
      </c>
    </row>
    <row r="1787" spans="1:6" outlineLevel="3" x14ac:dyDescent="0.25">
      <c r="A1787" s="4" t="s">
        <v>421</v>
      </c>
      <c r="B1787" t="s">
        <v>422</v>
      </c>
      <c r="C1787" t="s">
        <v>2567</v>
      </c>
      <c r="D1787" t="s">
        <v>165</v>
      </c>
      <c r="E1787" t="s">
        <v>91</v>
      </c>
      <c r="F1787" t="s">
        <v>37</v>
      </c>
    </row>
    <row r="1788" spans="1:6" outlineLevel="3" x14ac:dyDescent="0.25">
      <c r="A1788" s="4" t="s">
        <v>421</v>
      </c>
      <c r="B1788" t="s">
        <v>422</v>
      </c>
      <c r="C1788" t="s">
        <v>2568</v>
      </c>
      <c r="D1788" t="s">
        <v>202</v>
      </c>
      <c r="E1788" t="s">
        <v>91</v>
      </c>
      <c r="F1788" t="s">
        <v>37</v>
      </c>
    </row>
    <row r="1789" spans="1:6" outlineLevel="3" x14ac:dyDescent="0.25">
      <c r="A1789" s="4" t="s">
        <v>421</v>
      </c>
      <c r="B1789" t="s">
        <v>422</v>
      </c>
      <c r="C1789" t="s">
        <v>2569</v>
      </c>
      <c r="D1789" t="s">
        <v>190</v>
      </c>
      <c r="E1789" t="s">
        <v>91</v>
      </c>
      <c r="F1789" t="s">
        <v>37</v>
      </c>
    </row>
    <row r="1790" spans="1:6" outlineLevel="3" x14ac:dyDescent="0.25">
      <c r="A1790" s="4" t="s">
        <v>421</v>
      </c>
      <c r="B1790" t="s">
        <v>422</v>
      </c>
      <c r="C1790" t="s">
        <v>2570</v>
      </c>
      <c r="D1790" t="s">
        <v>202</v>
      </c>
      <c r="E1790" t="s">
        <v>91</v>
      </c>
      <c r="F1790" t="s">
        <v>37</v>
      </c>
    </row>
    <row r="1791" spans="1:6" outlineLevel="3" x14ac:dyDescent="0.25">
      <c r="A1791" s="4" t="s">
        <v>421</v>
      </c>
      <c r="B1791" t="s">
        <v>422</v>
      </c>
      <c r="C1791" t="s">
        <v>2571</v>
      </c>
      <c r="D1791" t="s">
        <v>437</v>
      </c>
      <c r="E1791" t="s">
        <v>91</v>
      </c>
      <c r="F1791" t="s">
        <v>37</v>
      </c>
    </row>
    <row r="1792" spans="1:6" outlineLevel="3" x14ac:dyDescent="0.25">
      <c r="A1792" s="4" t="s">
        <v>421</v>
      </c>
      <c r="B1792" t="s">
        <v>422</v>
      </c>
      <c r="C1792" t="s">
        <v>2572</v>
      </c>
      <c r="D1792" t="s">
        <v>437</v>
      </c>
      <c r="E1792" t="s">
        <v>91</v>
      </c>
      <c r="F1792" t="s">
        <v>37</v>
      </c>
    </row>
    <row r="1793" spans="1:6" outlineLevel="3" x14ac:dyDescent="0.25">
      <c r="A1793" s="4" t="s">
        <v>421</v>
      </c>
      <c r="B1793" t="s">
        <v>422</v>
      </c>
      <c r="C1793" t="s">
        <v>2573</v>
      </c>
      <c r="D1793" t="s">
        <v>139</v>
      </c>
      <c r="E1793" t="s">
        <v>91</v>
      </c>
      <c r="F1793" t="s">
        <v>37</v>
      </c>
    </row>
    <row r="1794" spans="1:6" outlineLevel="3" x14ac:dyDescent="0.25">
      <c r="A1794" s="4" t="s">
        <v>421</v>
      </c>
      <c r="B1794" t="s">
        <v>422</v>
      </c>
      <c r="C1794" t="s">
        <v>2574</v>
      </c>
      <c r="D1794" t="s">
        <v>165</v>
      </c>
      <c r="E1794" t="s">
        <v>91</v>
      </c>
      <c r="F1794" t="s">
        <v>37</v>
      </c>
    </row>
    <row r="1795" spans="1:6" outlineLevel="3" x14ac:dyDescent="0.25">
      <c r="A1795" s="4" t="s">
        <v>421</v>
      </c>
      <c r="B1795" t="s">
        <v>422</v>
      </c>
      <c r="C1795" t="s">
        <v>2575</v>
      </c>
      <c r="D1795" t="s">
        <v>165</v>
      </c>
      <c r="E1795" t="s">
        <v>91</v>
      </c>
      <c r="F1795" t="s">
        <v>37</v>
      </c>
    </row>
    <row r="1796" spans="1:6" outlineLevel="3" x14ac:dyDescent="0.25">
      <c r="A1796" s="4" t="s">
        <v>421</v>
      </c>
      <c r="B1796" t="s">
        <v>422</v>
      </c>
      <c r="C1796" t="s">
        <v>2576</v>
      </c>
      <c r="D1796" t="s">
        <v>165</v>
      </c>
      <c r="E1796" t="s">
        <v>91</v>
      </c>
      <c r="F1796" t="s">
        <v>37</v>
      </c>
    </row>
    <row r="1797" spans="1:6" outlineLevel="3" x14ac:dyDescent="0.25">
      <c r="A1797" s="4" t="s">
        <v>421</v>
      </c>
      <c r="B1797" t="s">
        <v>422</v>
      </c>
      <c r="C1797" t="s">
        <v>2577</v>
      </c>
      <c r="D1797" t="s">
        <v>202</v>
      </c>
      <c r="E1797" t="s">
        <v>91</v>
      </c>
      <c r="F1797" t="s">
        <v>37</v>
      </c>
    </row>
    <row r="1798" spans="1:6" outlineLevel="3" x14ac:dyDescent="0.25">
      <c r="A1798" s="4" t="s">
        <v>421</v>
      </c>
      <c r="B1798" t="s">
        <v>422</v>
      </c>
      <c r="C1798" t="s">
        <v>2578</v>
      </c>
      <c r="D1798" t="s">
        <v>165</v>
      </c>
      <c r="E1798" t="s">
        <v>91</v>
      </c>
      <c r="F1798" t="s">
        <v>37</v>
      </c>
    </row>
    <row r="1799" spans="1:6" outlineLevel="3" x14ac:dyDescent="0.25">
      <c r="A1799" s="4" t="s">
        <v>421</v>
      </c>
      <c r="B1799" t="s">
        <v>422</v>
      </c>
      <c r="C1799" t="s">
        <v>2579</v>
      </c>
      <c r="D1799" t="s">
        <v>165</v>
      </c>
      <c r="E1799" t="s">
        <v>91</v>
      </c>
      <c r="F1799" t="s">
        <v>37</v>
      </c>
    </row>
    <row r="1800" spans="1:6" outlineLevel="3" x14ac:dyDescent="0.25">
      <c r="A1800" s="4" t="s">
        <v>421</v>
      </c>
      <c r="B1800" t="s">
        <v>422</v>
      </c>
      <c r="C1800" t="s">
        <v>2580</v>
      </c>
      <c r="D1800" t="s">
        <v>202</v>
      </c>
      <c r="E1800" t="s">
        <v>91</v>
      </c>
      <c r="F1800" t="s">
        <v>37</v>
      </c>
    </row>
    <row r="1801" spans="1:6" outlineLevel="3" x14ac:dyDescent="0.25">
      <c r="A1801" s="4" t="s">
        <v>421</v>
      </c>
      <c r="B1801" t="s">
        <v>422</v>
      </c>
      <c r="C1801" t="s">
        <v>2581</v>
      </c>
      <c r="D1801" t="s">
        <v>165</v>
      </c>
      <c r="E1801" t="s">
        <v>91</v>
      </c>
      <c r="F1801" t="s">
        <v>37</v>
      </c>
    </row>
    <row r="1802" spans="1:6" outlineLevel="3" x14ac:dyDescent="0.25">
      <c r="A1802" s="4" t="s">
        <v>421</v>
      </c>
      <c r="B1802" t="s">
        <v>422</v>
      </c>
      <c r="C1802" t="s">
        <v>2582</v>
      </c>
      <c r="D1802" t="s">
        <v>6</v>
      </c>
      <c r="E1802" t="s">
        <v>91</v>
      </c>
      <c r="F1802" t="s">
        <v>37</v>
      </c>
    </row>
    <row r="1803" spans="1:6" outlineLevel="3" x14ac:dyDescent="0.25">
      <c r="A1803" s="4" t="s">
        <v>421</v>
      </c>
      <c r="B1803" t="s">
        <v>422</v>
      </c>
      <c r="C1803" t="s">
        <v>2583</v>
      </c>
      <c r="D1803" t="s">
        <v>202</v>
      </c>
      <c r="E1803" t="s">
        <v>91</v>
      </c>
      <c r="F1803" t="s">
        <v>37</v>
      </c>
    </row>
    <row r="1804" spans="1:6" outlineLevel="3" x14ac:dyDescent="0.25">
      <c r="A1804" s="4" t="s">
        <v>421</v>
      </c>
      <c r="B1804" t="s">
        <v>422</v>
      </c>
      <c r="C1804" t="s">
        <v>2584</v>
      </c>
      <c r="D1804" t="s">
        <v>165</v>
      </c>
      <c r="E1804" t="s">
        <v>91</v>
      </c>
      <c r="F1804" t="s">
        <v>37</v>
      </c>
    </row>
    <row r="1805" spans="1:6" outlineLevel="3" x14ac:dyDescent="0.25">
      <c r="A1805" s="4" t="s">
        <v>421</v>
      </c>
      <c r="B1805" t="s">
        <v>422</v>
      </c>
      <c r="C1805" t="s">
        <v>2585</v>
      </c>
      <c r="D1805" t="s">
        <v>165</v>
      </c>
      <c r="E1805" t="s">
        <v>91</v>
      </c>
      <c r="F1805" t="s">
        <v>37</v>
      </c>
    </row>
    <row r="1806" spans="1:6" outlineLevel="3" x14ac:dyDescent="0.25">
      <c r="A1806" s="4" t="s">
        <v>421</v>
      </c>
      <c r="B1806" t="s">
        <v>422</v>
      </c>
      <c r="C1806" t="s">
        <v>2586</v>
      </c>
      <c r="D1806" t="s">
        <v>6</v>
      </c>
      <c r="E1806" t="s">
        <v>91</v>
      </c>
      <c r="F1806" t="s">
        <v>37</v>
      </c>
    </row>
    <row r="1807" spans="1:6" outlineLevel="3" x14ac:dyDescent="0.25">
      <c r="A1807" s="4" t="s">
        <v>421</v>
      </c>
      <c r="B1807" t="s">
        <v>422</v>
      </c>
      <c r="C1807" t="s">
        <v>2587</v>
      </c>
      <c r="D1807" t="s">
        <v>6</v>
      </c>
      <c r="E1807" t="s">
        <v>91</v>
      </c>
      <c r="F1807" t="s">
        <v>37</v>
      </c>
    </row>
    <row r="1808" spans="1:6" outlineLevel="3" x14ac:dyDescent="0.25">
      <c r="A1808" s="4" t="s">
        <v>421</v>
      </c>
      <c r="B1808" t="s">
        <v>422</v>
      </c>
      <c r="C1808" t="s">
        <v>2588</v>
      </c>
      <c r="D1808" t="s">
        <v>119</v>
      </c>
      <c r="E1808" t="s">
        <v>91</v>
      </c>
      <c r="F1808" t="s">
        <v>37</v>
      </c>
    </row>
    <row r="1809" spans="1:6" outlineLevel="3" x14ac:dyDescent="0.25">
      <c r="A1809" s="4" t="s">
        <v>421</v>
      </c>
      <c r="B1809" t="s">
        <v>422</v>
      </c>
      <c r="C1809" t="s">
        <v>2589</v>
      </c>
      <c r="D1809" t="s">
        <v>119</v>
      </c>
      <c r="E1809" t="s">
        <v>91</v>
      </c>
      <c r="F1809" t="s">
        <v>37</v>
      </c>
    </row>
    <row r="1810" spans="1:6" outlineLevel="3" x14ac:dyDescent="0.25">
      <c r="A1810" s="4" t="s">
        <v>421</v>
      </c>
      <c r="B1810" t="s">
        <v>422</v>
      </c>
      <c r="C1810" t="s">
        <v>2590</v>
      </c>
      <c r="D1810" t="s">
        <v>119</v>
      </c>
      <c r="E1810" t="s">
        <v>91</v>
      </c>
      <c r="F1810" t="s">
        <v>37</v>
      </c>
    </row>
    <row r="1811" spans="1:6" outlineLevel="3" x14ac:dyDescent="0.25">
      <c r="A1811" s="4" t="s">
        <v>421</v>
      </c>
      <c r="B1811" t="s">
        <v>422</v>
      </c>
      <c r="C1811" t="s">
        <v>2591</v>
      </c>
      <c r="D1811" t="s">
        <v>119</v>
      </c>
      <c r="E1811" t="s">
        <v>91</v>
      </c>
      <c r="F1811" t="s">
        <v>37</v>
      </c>
    </row>
    <row r="1812" spans="1:6" outlineLevel="3" x14ac:dyDescent="0.25">
      <c r="A1812" s="4" t="s">
        <v>421</v>
      </c>
      <c r="B1812" t="s">
        <v>422</v>
      </c>
      <c r="C1812" t="s">
        <v>2592</v>
      </c>
      <c r="D1812" t="s">
        <v>165</v>
      </c>
      <c r="E1812" t="s">
        <v>91</v>
      </c>
      <c r="F1812" t="s">
        <v>37</v>
      </c>
    </row>
    <row r="1813" spans="1:6" outlineLevel="3" x14ac:dyDescent="0.25">
      <c r="A1813" s="4" t="s">
        <v>421</v>
      </c>
      <c r="B1813" t="s">
        <v>422</v>
      </c>
      <c r="C1813" t="s">
        <v>2593</v>
      </c>
      <c r="D1813" t="s">
        <v>165</v>
      </c>
      <c r="E1813" t="s">
        <v>91</v>
      </c>
      <c r="F1813" t="s">
        <v>37</v>
      </c>
    </row>
    <row r="1814" spans="1:6" outlineLevel="3" x14ac:dyDescent="0.25">
      <c r="A1814" s="4" t="s">
        <v>421</v>
      </c>
      <c r="B1814" t="s">
        <v>422</v>
      </c>
      <c r="C1814" t="s">
        <v>2594</v>
      </c>
      <c r="D1814" t="s">
        <v>165</v>
      </c>
      <c r="E1814" t="s">
        <v>91</v>
      </c>
      <c r="F1814" t="s">
        <v>37</v>
      </c>
    </row>
    <row r="1815" spans="1:6" outlineLevel="3" x14ac:dyDescent="0.25">
      <c r="A1815" s="4" t="s">
        <v>421</v>
      </c>
      <c r="B1815" t="s">
        <v>422</v>
      </c>
      <c r="C1815" t="s">
        <v>2595</v>
      </c>
      <c r="D1815" t="s">
        <v>202</v>
      </c>
      <c r="E1815" t="s">
        <v>91</v>
      </c>
      <c r="F1815" t="s">
        <v>37</v>
      </c>
    </row>
    <row r="1816" spans="1:6" outlineLevel="3" x14ac:dyDescent="0.25">
      <c r="A1816" s="4" t="s">
        <v>421</v>
      </c>
      <c r="B1816" t="s">
        <v>422</v>
      </c>
      <c r="C1816" t="s">
        <v>2596</v>
      </c>
      <c r="D1816" t="s">
        <v>6</v>
      </c>
      <c r="E1816" t="s">
        <v>91</v>
      </c>
      <c r="F1816" t="s">
        <v>37</v>
      </c>
    </row>
    <row r="1817" spans="1:6" outlineLevel="3" x14ac:dyDescent="0.25">
      <c r="A1817" s="4" t="s">
        <v>421</v>
      </c>
      <c r="B1817" t="s">
        <v>422</v>
      </c>
      <c r="C1817" t="s">
        <v>2597</v>
      </c>
      <c r="D1817" t="s">
        <v>165</v>
      </c>
      <c r="E1817" t="s">
        <v>91</v>
      </c>
      <c r="F1817" t="s">
        <v>37</v>
      </c>
    </row>
    <row r="1818" spans="1:6" outlineLevel="3" x14ac:dyDescent="0.25">
      <c r="A1818" s="4" t="s">
        <v>421</v>
      </c>
      <c r="B1818" t="s">
        <v>422</v>
      </c>
      <c r="C1818" t="s">
        <v>2598</v>
      </c>
      <c r="D1818" t="s">
        <v>165</v>
      </c>
      <c r="E1818" t="s">
        <v>91</v>
      </c>
      <c r="F1818" t="s">
        <v>37</v>
      </c>
    </row>
    <row r="1819" spans="1:6" outlineLevel="3" x14ac:dyDescent="0.25">
      <c r="A1819" s="4" t="s">
        <v>421</v>
      </c>
      <c r="B1819" t="s">
        <v>422</v>
      </c>
      <c r="C1819" t="s">
        <v>2599</v>
      </c>
      <c r="D1819" t="s">
        <v>119</v>
      </c>
      <c r="E1819" t="s">
        <v>91</v>
      </c>
      <c r="F1819" t="s">
        <v>37</v>
      </c>
    </row>
    <row r="1820" spans="1:6" outlineLevel="3" x14ac:dyDescent="0.25">
      <c r="A1820" s="4" t="s">
        <v>421</v>
      </c>
      <c r="B1820" t="s">
        <v>422</v>
      </c>
      <c r="C1820" t="s">
        <v>2600</v>
      </c>
      <c r="D1820" t="s">
        <v>6</v>
      </c>
      <c r="E1820" t="s">
        <v>91</v>
      </c>
      <c r="F1820" t="s">
        <v>37</v>
      </c>
    </row>
    <row r="1821" spans="1:6" outlineLevel="3" x14ac:dyDescent="0.25">
      <c r="A1821" s="4" t="s">
        <v>421</v>
      </c>
      <c r="B1821" t="s">
        <v>422</v>
      </c>
      <c r="C1821" t="s">
        <v>2601</v>
      </c>
      <c r="D1821" t="s">
        <v>6</v>
      </c>
      <c r="E1821" t="s">
        <v>91</v>
      </c>
      <c r="F1821" t="s">
        <v>37</v>
      </c>
    </row>
    <row r="1822" spans="1:6" outlineLevel="3" x14ac:dyDescent="0.25">
      <c r="A1822" s="4" t="s">
        <v>421</v>
      </c>
      <c r="B1822" t="s">
        <v>422</v>
      </c>
      <c r="C1822" t="s">
        <v>2602</v>
      </c>
      <c r="D1822" t="s">
        <v>437</v>
      </c>
      <c r="E1822" t="s">
        <v>91</v>
      </c>
      <c r="F1822" t="s">
        <v>37</v>
      </c>
    </row>
    <row r="1823" spans="1:6" outlineLevel="3" x14ac:dyDescent="0.25">
      <c r="A1823" s="4" t="s">
        <v>421</v>
      </c>
      <c r="B1823" t="s">
        <v>422</v>
      </c>
      <c r="C1823" t="s">
        <v>2603</v>
      </c>
      <c r="D1823" t="s">
        <v>165</v>
      </c>
      <c r="E1823" t="s">
        <v>91</v>
      </c>
      <c r="F1823" t="s">
        <v>37</v>
      </c>
    </row>
    <row r="1824" spans="1:6" outlineLevel="3" x14ac:dyDescent="0.25">
      <c r="A1824" s="4" t="s">
        <v>421</v>
      </c>
      <c r="B1824" t="s">
        <v>422</v>
      </c>
      <c r="C1824" t="s">
        <v>2604</v>
      </c>
      <c r="D1824" t="s">
        <v>165</v>
      </c>
      <c r="E1824" t="s">
        <v>91</v>
      </c>
      <c r="F1824" t="s">
        <v>37</v>
      </c>
    </row>
    <row r="1825" spans="1:6" outlineLevel="3" x14ac:dyDescent="0.25">
      <c r="A1825" s="4" t="s">
        <v>421</v>
      </c>
      <c r="B1825" t="s">
        <v>422</v>
      </c>
      <c r="C1825" t="s">
        <v>2605</v>
      </c>
      <c r="D1825" t="s">
        <v>119</v>
      </c>
      <c r="E1825" t="s">
        <v>91</v>
      </c>
      <c r="F1825" t="s">
        <v>37</v>
      </c>
    </row>
    <row r="1826" spans="1:6" outlineLevel="3" x14ac:dyDescent="0.25">
      <c r="A1826" s="4" t="s">
        <v>421</v>
      </c>
      <c r="B1826" t="s">
        <v>422</v>
      </c>
      <c r="C1826" t="s">
        <v>2606</v>
      </c>
      <c r="D1826" t="s">
        <v>6</v>
      </c>
      <c r="E1826" t="s">
        <v>91</v>
      </c>
      <c r="F1826" t="s">
        <v>37</v>
      </c>
    </row>
    <row r="1827" spans="1:6" outlineLevel="3" x14ac:dyDescent="0.25">
      <c r="A1827" s="4" t="s">
        <v>421</v>
      </c>
      <c r="B1827" t="s">
        <v>422</v>
      </c>
      <c r="C1827" t="s">
        <v>2607</v>
      </c>
      <c r="D1827" t="s">
        <v>6</v>
      </c>
      <c r="E1827" t="s">
        <v>91</v>
      </c>
      <c r="F1827" t="s">
        <v>37</v>
      </c>
    </row>
    <row r="1828" spans="1:6" outlineLevel="3" x14ac:dyDescent="0.25">
      <c r="A1828" s="4" t="s">
        <v>421</v>
      </c>
      <c r="B1828" t="s">
        <v>422</v>
      </c>
      <c r="C1828" t="s">
        <v>2608</v>
      </c>
      <c r="D1828" t="s">
        <v>437</v>
      </c>
      <c r="E1828" t="s">
        <v>91</v>
      </c>
      <c r="F1828" t="s">
        <v>37</v>
      </c>
    </row>
    <row r="1829" spans="1:6" outlineLevel="3" x14ac:dyDescent="0.25">
      <c r="A1829" s="4" t="s">
        <v>421</v>
      </c>
      <c r="B1829" t="s">
        <v>422</v>
      </c>
      <c r="C1829" t="s">
        <v>2609</v>
      </c>
      <c r="D1829" t="s">
        <v>202</v>
      </c>
      <c r="E1829" t="s">
        <v>91</v>
      </c>
      <c r="F1829" t="s">
        <v>37</v>
      </c>
    </row>
    <row r="1830" spans="1:6" outlineLevel="3" x14ac:dyDescent="0.25">
      <c r="A1830" s="4" t="s">
        <v>421</v>
      </c>
      <c r="B1830" t="s">
        <v>422</v>
      </c>
      <c r="C1830" t="s">
        <v>2610</v>
      </c>
      <c r="D1830" t="s">
        <v>437</v>
      </c>
      <c r="E1830" t="s">
        <v>91</v>
      </c>
      <c r="F1830" t="s">
        <v>37</v>
      </c>
    </row>
    <row r="1831" spans="1:6" outlineLevel="3" x14ac:dyDescent="0.25">
      <c r="A1831" s="4" t="s">
        <v>421</v>
      </c>
      <c r="B1831" t="s">
        <v>422</v>
      </c>
      <c r="C1831" t="s">
        <v>2611</v>
      </c>
      <c r="D1831" t="s">
        <v>67</v>
      </c>
      <c r="E1831" t="s">
        <v>91</v>
      </c>
      <c r="F1831" t="s">
        <v>37</v>
      </c>
    </row>
    <row r="1832" spans="1:6" outlineLevel="3" x14ac:dyDescent="0.25">
      <c r="A1832" s="4" t="s">
        <v>421</v>
      </c>
      <c r="B1832" t="s">
        <v>422</v>
      </c>
      <c r="C1832" t="s">
        <v>2612</v>
      </c>
      <c r="D1832" t="s">
        <v>67</v>
      </c>
      <c r="E1832" t="s">
        <v>91</v>
      </c>
      <c r="F1832" t="s">
        <v>37</v>
      </c>
    </row>
    <row r="1833" spans="1:6" outlineLevel="3" x14ac:dyDescent="0.25">
      <c r="A1833" s="4" t="s">
        <v>421</v>
      </c>
      <c r="B1833" t="s">
        <v>422</v>
      </c>
      <c r="C1833" t="s">
        <v>2613</v>
      </c>
      <c r="D1833" t="s">
        <v>67</v>
      </c>
      <c r="E1833" t="s">
        <v>91</v>
      </c>
      <c r="F1833" t="s">
        <v>37</v>
      </c>
    </row>
    <row r="1834" spans="1:6" outlineLevel="3" x14ac:dyDescent="0.25">
      <c r="A1834" s="4" t="s">
        <v>421</v>
      </c>
      <c r="B1834" t="s">
        <v>422</v>
      </c>
      <c r="C1834" t="s">
        <v>2614</v>
      </c>
      <c r="D1834" t="s">
        <v>165</v>
      </c>
      <c r="E1834" t="s">
        <v>91</v>
      </c>
      <c r="F1834" t="s">
        <v>37</v>
      </c>
    </row>
    <row r="1835" spans="1:6" outlineLevel="3" x14ac:dyDescent="0.25">
      <c r="A1835" s="4" t="s">
        <v>421</v>
      </c>
      <c r="B1835" t="s">
        <v>422</v>
      </c>
      <c r="C1835" t="s">
        <v>2615</v>
      </c>
      <c r="D1835" t="s">
        <v>202</v>
      </c>
      <c r="E1835" t="s">
        <v>91</v>
      </c>
      <c r="F1835" t="s">
        <v>37</v>
      </c>
    </row>
    <row r="1836" spans="1:6" outlineLevel="3" x14ac:dyDescent="0.25">
      <c r="A1836" s="4" t="s">
        <v>421</v>
      </c>
      <c r="B1836" t="s">
        <v>422</v>
      </c>
      <c r="C1836" t="s">
        <v>2616</v>
      </c>
      <c r="D1836" t="s">
        <v>202</v>
      </c>
      <c r="E1836" t="s">
        <v>91</v>
      </c>
      <c r="F1836" t="s">
        <v>37</v>
      </c>
    </row>
    <row r="1837" spans="1:6" outlineLevel="3" x14ac:dyDescent="0.25">
      <c r="A1837" s="4" t="s">
        <v>421</v>
      </c>
      <c r="B1837" t="s">
        <v>422</v>
      </c>
      <c r="C1837" t="s">
        <v>2617</v>
      </c>
      <c r="D1837" t="s">
        <v>250</v>
      </c>
      <c r="E1837" t="s">
        <v>91</v>
      </c>
      <c r="F1837" t="s">
        <v>37</v>
      </c>
    </row>
    <row r="1838" spans="1:6" outlineLevel="3" x14ac:dyDescent="0.25">
      <c r="A1838" s="4" t="s">
        <v>421</v>
      </c>
      <c r="B1838" t="s">
        <v>422</v>
      </c>
      <c r="C1838" t="s">
        <v>2618</v>
      </c>
      <c r="D1838" t="s">
        <v>126</v>
      </c>
      <c r="E1838" t="s">
        <v>91</v>
      </c>
      <c r="F1838" t="s">
        <v>37</v>
      </c>
    </row>
    <row r="1839" spans="1:6" outlineLevel="3" x14ac:dyDescent="0.25">
      <c r="A1839" s="4" t="s">
        <v>421</v>
      </c>
      <c r="B1839" t="s">
        <v>422</v>
      </c>
      <c r="C1839" t="s">
        <v>2619</v>
      </c>
      <c r="D1839" t="s">
        <v>126</v>
      </c>
      <c r="E1839" t="s">
        <v>91</v>
      </c>
      <c r="F1839" t="s">
        <v>37</v>
      </c>
    </row>
    <row r="1840" spans="1:6" outlineLevel="3" x14ac:dyDescent="0.25">
      <c r="A1840" s="4" t="s">
        <v>421</v>
      </c>
      <c r="B1840" t="s">
        <v>422</v>
      </c>
      <c r="C1840" t="s">
        <v>2620</v>
      </c>
      <c r="D1840" t="s">
        <v>6</v>
      </c>
      <c r="E1840" t="s">
        <v>91</v>
      </c>
      <c r="F1840" t="s">
        <v>37</v>
      </c>
    </row>
    <row r="1841" spans="1:6" outlineLevel="3" x14ac:dyDescent="0.25">
      <c r="A1841" s="4" t="s">
        <v>421</v>
      </c>
      <c r="B1841" t="s">
        <v>422</v>
      </c>
      <c r="C1841" t="s">
        <v>2621</v>
      </c>
      <c r="D1841" t="s">
        <v>202</v>
      </c>
      <c r="E1841" t="s">
        <v>91</v>
      </c>
      <c r="F1841" t="s">
        <v>37</v>
      </c>
    </row>
    <row r="1842" spans="1:6" outlineLevel="3" x14ac:dyDescent="0.25">
      <c r="A1842" s="4" t="s">
        <v>421</v>
      </c>
      <c r="B1842" t="s">
        <v>422</v>
      </c>
      <c r="C1842" t="s">
        <v>2622</v>
      </c>
      <c r="D1842" t="s">
        <v>165</v>
      </c>
      <c r="E1842" t="s">
        <v>91</v>
      </c>
      <c r="F1842" t="s">
        <v>37</v>
      </c>
    </row>
    <row r="1843" spans="1:6" outlineLevel="3" x14ac:dyDescent="0.25">
      <c r="A1843" s="4" t="s">
        <v>421</v>
      </c>
      <c r="B1843" t="s">
        <v>422</v>
      </c>
      <c r="C1843" t="s">
        <v>2623</v>
      </c>
      <c r="D1843" t="s">
        <v>202</v>
      </c>
      <c r="E1843" t="s">
        <v>91</v>
      </c>
      <c r="F1843" t="s">
        <v>37</v>
      </c>
    </row>
    <row r="1844" spans="1:6" outlineLevel="3" x14ac:dyDescent="0.25">
      <c r="A1844" s="4" t="s">
        <v>421</v>
      </c>
      <c r="B1844" t="s">
        <v>422</v>
      </c>
      <c r="C1844" t="s">
        <v>2624</v>
      </c>
      <c r="D1844" t="s">
        <v>13</v>
      </c>
      <c r="E1844" t="s">
        <v>91</v>
      </c>
      <c r="F1844" t="s">
        <v>37</v>
      </c>
    </row>
    <row r="1845" spans="1:6" outlineLevel="3" x14ac:dyDescent="0.25">
      <c r="A1845" s="4" t="s">
        <v>421</v>
      </c>
      <c r="B1845" t="s">
        <v>422</v>
      </c>
      <c r="C1845" t="s">
        <v>2625</v>
      </c>
      <c r="D1845" t="s">
        <v>437</v>
      </c>
      <c r="E1845" t="s">
        <v>91</v>
      </c>
      <c r="F1845" t="s">
        <v>37</v>
      </c>
    </row>
    <row r="1846" spans="1:6" outlineLevel="3" x14ac:dyDescent="0.25">
      <c r="A1846" s="4" t="s">
        <v>421</v>
      </c>
      <c r="B1846" t="s">
        <v>422</v>
      </c>
      <c r="C1846" t="s">
        <v>2626</v>
      </c>
      <c r="D1846" t="s">
        <v>126</v>
      </c>
      <c r="E1846" t="s">
        <v>91</v>
      </c>
      <c r="F1846" t="s">
        <v>37</v>
      </c>
    </row>
    <row r="1847" spans="1:6" outlineLevel="3" x14ac:dyDescent="0.25">
      <c r="A1847" s="4" t="s">
        <v>421</v>
      </c>
      <c r="B1847" t="s">
        <v>422</v>
      </c>
      <c r="C1847" t="s">
        <v>2627</v>
      </c>
      <c r="D1847" t="s">
        <v>253</v>
      </c>
      <c r="E1847" t="s">
        <v>91</v>
      </c>
      <c r="F1847" t="s">
        <v>37</v>
      </c>
    </row>
    <row r="1848" spans="1:6" outlineLevel="3" x14ac:dyDescent="0.25">
      <c r="A1848" s="4" t="s">
        <v>421</v>
      </c>
      <c r="B1848" t="s">
        <v>422</v>
      </c>
      <c r="C1848" t="s">
        <v>2628</v>
      </c>
      <c r="D1848" t="s">
        <v>65</v>
      </c>
      <c r="E1848" t="s">
        <v>91</v>
      </c>
      <c r="F1848" t="s">
        <v>37</v>
      </c>
    </row>
    <row r="1849" spans="1:6" outlineLevel="3" x14ac:dyDescent="0.25">
      <c r="A1849" s="4" t="s">
        <v>421</v>
      </c>
      <c r="B1849" t="s">
        <v>422</v>
      </c>
      <c r="C1849" t="s">
        <v>2629</v>
      </c>
      <c r="D1849" t="s">
        <v>1096</v>
      </c>
      <c r="E1849" t="s">
        <v>91</v>
      </c>
      <c r="F1849" t="s">
        <v>37</v>
      </c>
    </row>
    <row r="1850" spans="1:6" outlineLevel="3" x14ac:dyDescent="0.25">
      <c r="A1850" s="4" t="s">
        <v>421</v>
      </c>
      <c r="B1850" t="s">
        <v>422</v>
      </c>
      <c r="C1850" t="s">
        <v>2630</v>
      </c>
      <c r="D1850" t="s">
        <v>78</v>
      </c>
      <c r="E1850" t="s">
        <v>91</v>
      </c>
      <c r="F1850" t="s">
        <v>37</v>
      </c>
    </row>
    <row r="1851" spans="1:6" outlineLevel="3" x14ac:dyDescent="0.25">
      <c r="A1851" s="4" t="s">
        <v>421</v>
      </c>
      <c r="B1851" t="s">
        <v>422</v>
      </c>
      <c r="C1851" t="s">
        <v>1750</v>
      </c>
      <c r="D1851" t="s">
        <v>126</v>
      </c>
      <c r="E1851" t="s">
        <v>91</v>
      </c>
      <c r="F1851" t="s">
        <v>37</v>
      </c>
    </row>
    <row r="1852" spans="1:6" outlineLevel="3" x14ac:dyDescent="0.25">
      <c r="A1852" s="4" t="s">
        <v>421</v>
      </c>
      <c r="B1852" t="s">
        <v>422</v>
      </c>
      <c r="C1852" t="s">
        <v>2631</v>
      </c>
      <c r="D1852" t="s">
        <v>6</v>
      </c>
      <c r="E1852" t="s">
        <v>160</v>
      </c>
      <c r="F1852" t="s">
        <v>37</v>
      </c>
    </row>
    <row r="1853" spans="1:6" outlineLevel="3" x14ac:dyDescent="0.25">
      <c r="A1853" s="4" t="s">
        <v>421</v>
      </c>
      <c r="B1853" t="s">
        <v>422</v>
      </c>
      <c r="C1853" t="s">
        <v>2632</v>
      </c>
      <c r="D1853" t="s">
        <v>126</v>
      </c>
      <c r="E1853" t="s">
        <v>160</v>
      </c>
      <c r="F1853" t="s">
        <v>37</v>
      </c>
    </row>
    <row r="1854" spans="1:6" outlineLevel="3" x14ac:dyDescent="0.25">
      <c r="A1854" s="4" t="s">
        <v>421</v>
      </c>
      <c r="B1854" t="s">
        <v>422</v>
      </c>
      <c r="C1854" t="s">
        <v>2633</v>
      </c>
      <c r="D1854" t="s">
        <v>126</v>
      </c>
      <c r="E1854" t="s">
        <v>160</v>
      </c>
      <c r="F1854" t="s">
        <v>37</v>
      </c>
    </row>
    <row r="1855" spans="1:6" outlineLevel="3" x14ac:dyDescent="0.25">
      <c r="A1855" s="4" t="s">
        <v>421</v>
      </c>
      <c r="B1855" t="s">
        <v>422</v>
      </c>
      <c r="C1855" t="s">
        <v>2634</v>
      </c>
      <c r="D1855" t="s">
        <v>13</v>
      </c>
      <c r="E1855" t="s">
        <v>160</v>
      </c>
      <c r="F1855" t="s">
        <v>37</v>
      </c>
    </row>
    <row r="1856" spans="1:6" outlineLevel="3" x14ac:dyDescent="0.25">
      <c r="A1856" s="4" t="s">
        <v>421</v>
      </c>
      <c r="B1856" t="s">
        <v>422</v>
      </c>
      <c r="C1856" t="s">
        <v>2635</v>
      </c>
      <c r="D1856" t="s">
        <v>126</v>
      </c>
      <c r="E1856" t="s">
        <v>160</v>
      </c>
      <c r="F1856" t="s">
        <v>37</v>
      </c>
    </row>
    <row r="1857" spans="1:6" outlineLevel="3" x14ac:dyDescent="0.25">
      <c r="A1857" s="4" t="s">
        <v>421</v>
      </c>
      <c r="B1857" t="s">
        <v>422</v>
      </c>
      <c r="C1857" t="s">
        <v>2636</v>
      </c>
      <c r="D1857" t="s">
        <v>13</v>
      </c>
      <c r="E1857" t="s">
        <v>160</v>
      </c>
      <c r="F1857" t="s">
        <v>37</v>
      </c>
    </row>
    <row r="1858" spans="1:6" outlineLevel="3" x14ac:dyDescent="0.25">
      <c r="A1858" s="4" t="s">
        <v>421</v>
      </c>
      <c r="B1858" t="s">
        <v>422</v>
      </c>
      <c r="C1858" t="s">
        <v>2637</v>
      </c>
      <c r="D1858" t="s">
        <v>202</v>
      </c>
      <c r="E1858" t="s">
        <v>160</v>
      </c>
      <c r="F1858" t="s">
        <v>37</v>
      </c>
    </row>
    <row r="1859" spans="1:6" outlineLevel="3" x14ac:dyDescent="0.25">
      <c r="A1859" s="4" t="s">
        <v>421</v>
      </c>
      <c r="B1859" t="s">
        <v>422</v>
      </c>
      <c r="C1859" t="s">
        <v>2638</v>
      </c>
      <c r="D1859" t="s">
        <v>76</v>
      </c>
      <c r="E1859" t="s">
        <v>160</v>
      </c>
      <c r="F1859" t="s">
        <v>37</v>
      </c>
    </row>
    <row r="1860" spans="1:6" outlineLevel="3" x14ac:dyDescent="0.25">
      <c r="A1860" s="4" t="s">
        <v>421</v>
      </c>
      <c r="B1860" t="s">
        <v>422</v>
      </c>
      <c r="C1860" t="s">
        <v>2639</v>
      </c>
      <c r="D1860" t="s">
        <v>202</v>
      </c>
      <c r="E1860" t="s">
        <v>160</v>
      </c>
      <c r="F1860" t="s">
        <v>37</v>
      </c>
    </row>
    <row r="1861" spans="1:6" outlineLevel="3" x14ac:dyDescent="0.25">
      <c r="A1861" s="4" t="s">
        <v>421</v>
      </c>
      <c r="B1861" t="s">
        <v>422</v>
      </c>
      <c r="C1861" t="s">
        <v>2640</v>
      </c>
      <c r="D1861" t="s">
        <v>6</v>
      </c>
      <c r="E1861" t="s">
        <v>160</v>
      </c>
      <c r="F1861" t="s">
        <v>37</v>
      </c>
    </row>
    <row r="1862" spans="1:6" outlineLevel="3" x14ac:dyDescent="0.25">
      <c r="A1862" s="4" t="s">
        <v>421</v>
      </c>
      <c r="B1862" t="s">
        <v>422</v>
      </c>
      <c r="C1862" t="s">
        <v>2641</v>
      </c>
      <c r="D1862" t="s">
        <v>6</v>
      </c>
      <c r="E1862" t="s">
        <v>160</v>
      </c>
      <c r="F1862" t="s">
        <v>37</v>
      </c>
    </row>
    <row r="1863" spans="1:6" outlineLevel="3" x14ac:dyDescent="0.25">
      <c r="A1863" s="4" t="s">
        <v>421</v>
      </c>
      <c r="B1863" t="s">
        <v>422</v>
      </c>
      <c r="C1863" t="s">
        <v>2642</v>
      </c>
      <c r="D1863" t="s">
        <v>165</v>
      </c>
      <c r="E1863" t="s">
        <v>160</v>
      </c>
      <c r="F1863" t="s">
        <v>37</v>
      </c>
    </row>
    <row r="1864" spans="1:6" outlineLevel="3" x14ac:dyDescent="0.25">
      <c r="A1864" s="4" t="s">
        <v>421</v>
      </c>
      <c r="B1864" t="s">
        <v>422</v>
      </c>
      <c r="C1864" t="s">
        <v>2643</v>
      </c>
      <c r="D1864" t="s">
        <v>437</v>
      </c>
      <c r="E1864" t="s">
        <v>157</v>
      </c>
      <c r="F1864" t="s">
        <v>37</v>
      </c>
    </row>
    <row r="1865" spans="1:6" outlineLevel="3" x14ac:dyDescent="0.25">
      <c r="A1865" s="4" t="s">
        <v>421</v>
      </c>
      <c r="B1865" t="s">
        <v>422</v>
      </c>
      <c r="C1865" t="s">
        <v>2644</v>
      </c>
      <c r="D1865" t="s">
        <v>76</v>
      </c>
      <c r="E1865" t="s">
        <v>157</v>
      </c>
      <c r="F1865" t="s">
        <v>37</v>
      </c>
    </row>
    <row r="1866" spans="1:6" outlineLevel="3" x14ac:dyDescent="0.25">
      <c r="A1866" s="4" t="s">
        <v>421</v>
      </c>
      <c r="B1866" t="s">
        <v>422</v>
      </c>
      <c r="C1866" t="s">
        <v>2645</v>
      </c>
      <c r="D1866" t="s">
        <v>76</v>
      </c>
      <c r="E1866" t="s">
        <v>157</v>
      </c>
      <c r="F1866" t="s">
        <v>37</v>
      </c>
    </row>
    <row r="1867" spans="1:6" outlineLevel="3" x14ac:dyDescent="0.25">
      <c r="A1867" s="4" t="s">
        <v>421</v>
      </c>
      <c r="B1867" t="s">
        <v>422</v>
      </c>
      <c r="C1867" t="s">
        <v>2646</v>
      </c>
      <c r="D1867" t="s">
        <v>202</v>
      </c>
      <c r="E1867" t="s">
        <v>157</v>
      </c>
      <c r="F1867" t="s">
        <v>37</v>
      </c>
    </row>
    <row r="1868" spans="1:6" outlineLevel="3" x14ac:dyDescent="0.25">
      <c r="A1868" s="4" t="s">
        <v>421</v>
      </c>
      <c r="B1868" t="s">
        <v>422</v>
      </c>
      <c r="C1868" t="s">
        <v>2647</v>
      </c>
      <c r="D1868" t="s">
        <v>275</v>
      </c>
      <c r="E1868" t="s">
        <v>157</v>
      </c>
      <c r="F1868" t="s">
        <v>37</v>
      </c>
    </row>
    <row r="1869" spans="1:6" outlineLevel="3" x14ac:dyDescent="0.25">
      <c r="A1869" s="4" t="s">
        <v>421</v>
      </c>
      <c r="B1869" t="s">
        <v>422</v>
      </c>
      <c r="C1869" t="s">
        <v>2648</v>
      </c>
      <c r="D1869" t="s">
        <v>65</v>
      </c>
      <c r="E1869" t="s">
        <v>157</v>
      </c>
      <c r="F1869" t="s">
        <v>37</v>
      </c>
    </row>
    <row r="1870" spans="1:6" outlineLevel="3" x14ac:dyDescent="0.25">
      <c r="A1870" s="4" t="s">
        <v>421</v>
      </c>
      <c r="B1870" t="s">
        <v>422</v>
      </c>
      <c r="C1870" t="s">
        <v>2649</v>
      </c>
      <c r="D1870" t="s">
        <v>67</v>
      </c>
      <c r="E1870" t="s">
        <v>157</v>
      </c>
      <c r="F1870" t="s">
        <v>37</v>
      </c>
    </row>
    <row r="1871" spans="1:6" outlineLevel="3" x14ac:dyDescent="0.25">
      <c r="A1871" s="4" t="s">
        <v>421</v>
      </c>
      <c r="B1871" t="s">
        <v>422</v>
      </c>
      <c r="C1871" t="s">
        <v>2650</v>
      </c>
      <c r="D1871" t="s">
        <v>237</v>
      </c>
      <c r="E1871" t="s">
        <v>157</v>
      </c>
      <c r="F1871" t="s">
        <v>37</v>
      </c>
    </row>
    <row r="1872" spans="1:6" outlineLevel="3" x14ac:dyDescent="0.25">
      <c r="A1872" s="4" t="s">
        <v>421</v>
      </c>
      <c r="B1872" t="s">
        <v>422</v>
      </c>
      <c r="C1872" t="s">
        <v>2651</v>
      </c>
      <c r="D1872" t="s">
        <v>119</v>
      </c>
      <c r="E1872" t="s">
        <v>157</v>
      </c>
      <c r="F1872" t="s">
        <v>37</v>
      </c>
    </row>
    <row r="1873" spans="1:6" outlineLevel="3" x14ac:dyDescent="0.25">
      <c r="A1873" s="4" t="s">
        <v>421</v>
      </c>
      <c r="B1873" t="s">
        <v>422</v>
      </c>
      <c r="C1873" t="s">
        <v>2652</v>
      </c>
      <c r="D1873" t="s">
        <v>67</v>
      </c>
      <c r="E1873" t="s">
        <v>157</v>
      </c>
      <c r="F1873" t="s">
        <v>37</v>
      </c>
    </row>
    <row r="1874" spans="1:6" outlineLevel="3" x14ac:dyDescent="0.25">
      <c r="A1874" s="4" t="s">
        <v>421</v>
      </c>
      <c r="B1874" t="s">
        <v>422</v>
      </c>
      <c r="C1874" t="s">
        <v>2653</v>
      </c>
      <c r="D1874" t="s">
        <v>67</v>
      </c>
      <c r="E1874" t="s">
        <v>157</v>
      </c>
      <c r="F1874" t="s">
        <v>37</v>
      </c>
    </row>
    <row r="1875" spans="1:6" outlineLevel="3" x14ac:dyDescent="0.25">
      <c r="A1875" s="4" t="s">
        <v>421</v>
      </c>
      <c r="B1875" t="s">
        <v>422</v>
      </c>
      <c r="C1875" t="s">
        <v>2654</v>
      </c>
      <c r="D1875" t="s">
        <v>119</v>
      </c>
      <c r="E1875" t="s">
        <v>157</v>
      </c>
      <c r="F1875" t="s">
        <v>37</v>
      </c>
    </row>
    <row r="1876" spans="1:6" outlineLevel="3" x14ac:dyDescent="0.25">
      <c r="A1876" s="4" t="s">
        <v>421</v>
      </c>
      <c r="B1876" t="s">
        <v>422</v>
      </c>
      <c r="C1876" t="s">
        <v>2655</v>
      </c>
      <c r="D1876" t="s">
        <v>76</v>
      </c>
      <c r="E1876" t="s">
        <v>157</v>
      </c>
      <c r="F1876" t="s">
        <v>37</v>
      </c>
    </row>
    <row r="1877" spans="1:6" outlineLevel="3" x14ac:dyDescent="0.25">
      <c r="A1877" s="4" t="s">
        <v>421</v>
      </c>
      <c r="B1877" t="s">
        <v>422</v>
      </c>
      <c r="C1877" t="s">
        <v>2656</v>
      </c>
      <c r="D1877" t="s">
        <v>165</v>
      </c>
      <c r="E1877" t="s">
        <v>158</v>
      </c>
      <c r="F1877" t="s">
        <v>37</v>
      </c>
    </row>
    <row r="1878" spans="1:6" outlineLevel="3" x14ac:dyDescent="0.25">
      <c r="A1878" s="4" t="s">
        <v>421</v>
      </c>
      <c r="B1878" t="s">
        <v>422</v>
      </c>
      <c r="C1878" t="s">
        <v>2657</v>
      </c>
      <c r="D1878" t="s">
        <v>13</v>
      </c>
      <c r="E1878" t="s">
        <v>158</v>
      </c>
      <c r="F1878" t="s">
        <v>37</v>
      </c>
    </row>
    <row r="1879" spans="1:6" outlineLevel="3" x14ac:dyDescent="0.25">
      <c r="A1879" s="4" t="s">
        <v>421</v>
      </c>
      <c r="B1879" t="s">
        <v>422</v>
      </c>
      <c r="C1879" t="s">
        <v>2658</v>
      </c>
      <c r="D1879" t="s">
        <v>202</v>
      </c>
      <c r="E1879" t="s">
        <v>158</v>
      </c>
      <c r="F1879" t="s">
        <v>37</v>
      </c>
    </row>
    <row r="1880" spans="1:6" outlineLevel="3" x14ac:dyDescent="0.25">
      <c r="A1880" s="4" t="s">
        <v>421</v>
      </c>
      <c r="B1880" t="s">
        <v>422</v>
      </c>
      <c r="C1880" t="s">
        <v>2659</v>
      </c>
      <c r="D1880" t="s">
        <v>76</v>
      </c>
      <c r="E1880" t="s">
        <v>158</v>
      </c>
      <c r="F1880" t="s">
        <v>37</v>
      </c>
    </row>
    <row r="1881" spans="1:6" outlineLevel="3" x14ac:dyDescent="0.25">
      <c r="A1881" s="4" t="s">
        <v>421</v>
      </c>
      <c r="B1881" t="s">
        <v>422</v>
      </c>
      <c r="C1881" t="s">
        <v>2660</v>
      </c>
      <c r="D1881" t="s">
        <v>124</v>
      </c>
      <c r="E1881" t="s">
        <v>158</v>
      </c>
      <c r="F1881" t="s">
        <v>37</v>
      </c>
    </row>
    <row r="1882" spans="1:6" outlineLevel="3" x14ac:dyDescent="0.25">
      <c r="A1882" s="4" t="s">
        <v>421</v>
      </c>
      <c r="B1882" t="s">
        <v>422</v>
      </c>
      <c r="C1882" t="s">
        <v>2661</v>
      </c>
      <c r="D1882" t="s">
        <v>437</v>
      </c>
      <c r="E1882" t="s">
        <v>158</v>
      </c>
      <c r="F1882" t="s">
        <v>37</v>
      </c>
    </row>
    <row r="1883" spans="1:6" outlineLevel="3" x14ac:dyDescent="0.25">
      <c r="A1883" s="4" t="s">
        <v>421</v>
      </c>
      <c r="B1883" t="s">
        <v>422</v>
      </c>
      <c r="C1883" t="s">
        <v>2662</v>
      </c>
      <c r="D1883" t="s">
        <v>237</v>
      </c>
      <c r="E1883" t="s">
        <v>158</v>
      </c>
      <c r="F1883" t="s">
        <v>37</v>
      </c>
    </row>
    <row r="1884" spans="1:6" outlineLevel="3" x14ac:dyDescent="0.25">
      <c r="A1884" s="4" t="s">
        <v>421</v>
      </c>
      <c r="B1884" t="s">
        <v>422</v>
      </c>
      <c r="C1884" t="s">
        <v>2663</v>
      </c>
      <c r="D1884" t="s">
        <v>119</v>
      </c>
      <c r="E1884" t="s">
        <v>158</v>
      </c>
      <c r="F1884" t="s">
        <v>37</v>
      </c>
    </row>
    <row r="1885" spans="1:6" outlineLevel="3" x14ac:dyDescent="0.25">
      <c r="A1885" s="4" t="s">
        <v>421</v>
      </c>
      <c r="B1885" t="s">
        <v>422</v>
      </c>
      <c r="C1885" t="s">
        <v>2664</v>
      </c>
      <c r="D1885" t="s">
        <v>65</v>
      </c>
      <c r="E1885" t="s">
        <v>158</v>
      </c>
      <c r="F1885" t="s">
        <v>37</v>
      </c>
    </row>
    <row r="1886" spans="1:6" outlineLevel="3" x14ac:dyDescent="0.25">
      <c r="A1886" s="4" t="s">
        <v>421</v>
      </c>
      <c r="B1886" t="s">
        <v>422</v>
      </c>
      <c r="C1886" t="s">
        <v>2665</v>
      </c>
      <c r="D1886" t="s">
        <v>76</v>
      </c>
      <c r="E1886" t="s">
        <v>158</v>
      </c>
      <c r="F1886" t="s">
        <v>37</v>
      </c>
    </row>
    <row r="1887" spans="1:6" outlineLevel="3" x14ac:dyDescent="0.25">
      <c r="A1887" s="4" t="s">
        <v>421</v>
      </c>
      <c r="B1887" t="s">
        <v>422</v>
      </c>
      <c r="C1887" t="s">
        <v>2666</v>
      </c>
      <c r="D1887" t="s">
        <v>435</v>
      </c>
      <c r="E1887" t="s">
        <v>158</v>
      </c>
      <c r="F1887" t="s">
        <v>37</v>
      </c>
    </row>
    <row r="1888" spans="1:6" outlineLevel="3" x14ac:dyDescent="0.25">
      <c r="A1888" s="4" t="s">
        <v>421</v>
      </c>
      <c r="B1888" t="s">
        <v>422</v>
      </c>
      <c r="C1888" t="s">
        <v>2667</v>
      </c>
      <c r="D1888" t="s">
        <v>44</v>
      </c>
      <c r="E1888" t="s">
        <v>158</v>
      </c>
      <c r="F1888" t="s">
        <v>37</v>
      </c>
    </row>
    <row r="1889" spans="1:6" outlineLevel="3" x14ac:dyDescent="0.25">
      <c r="A1889" s="4" t="s">
        <v>421</v>
      </c>
      <c r="B1889" t="s">
        <v>422</v>
      </c>
      <c r="C1889" t="s">
        <v>2751</v>
      </c>
      <c r="D1889" t="s">
        <v>143</v>
      </c>
      <c r="E1889" t="s">
        <v>115</v>
      </c>
      <c r="F1889" t="s">
        <v>37</v>
      </c>
    </row>
    <row r="1890" spans="1:6" outlineLevel="3" x14ac:dyDescent="0.25">
      <c r="A1890" s="4" t="s">
        <v>421</v>
      </c>
      <c r="B1890" t="s">
        <v>422</v>
      </c>
      <c r="C1890" t="s">
        <v>2752</v>
      </c>
      <c r="D1890" t="s">
        <v>65</v>
      </c>
      <c r="E1890" t="s">
        <v>115</v>
      </c>
      <c r="F1890" t="s">
        <v>37</v>
      </c>
    </row>
    <row r="1891" spans="1:6" outlineLevel="3" x14ac:dyDescent="0.25">
      <c r="A1891" s="4" t="s">
        <v>421</v>
      </c>
      <c r="B1891" t="s">
        <v>422</v>
      </c>
      <c r="C1891" t="s">
        <v>2753</v>
      </c>
      <c r="D1891" t="s">
        <v>141</v>
      </c>
      <c r="E1891" t="s">
        <v>115</v>
      </c>
      <c r="F1891" t="s">
        <v>37</v>
      </c>
    </row>
    <row r="1892" spans="1:6" outlineLevel="3" x14ac:dyDescent="0.25">
      <c r="A1892" s="4" t="s">
        <v>421</v>
      </c>
      <c r="B1892" t="s">
        <v>422</v>
      </c>
      <c r="C1892" t="s">
        <v>2754</v>
      </c>
      <c r="D1892" t="s">
        <v>13</v>
      </c>
      <c r="E1892" t="s">
        <v>115</v>
      </c>
      <c r="F1892" t="s">
        <v>37</v>
      </c>
    </row>
    <row r="1893" spans="1:6" outlineLevel="3" x14ac:dyDescent="0.25">
      <c r="A1893" s="4" t="s">
        <v>421</v>
      </c>
      <c r="B1893" t="s">
        <v>422</v>
      </c>
      <c r="C1893" t="s">
        <v>2755</v>
      </c>
      <c r="D1893" t="s">
        <v>143</v>
      </c>
      <c r="E1893" t="s">
        <v>115</v>
      </c>
      <c r="F1893" t="s">
        <v>37</v>
      </c>
    </row>
    <row r="1894" spans="1:6" outlineLevel="3" x14ac:dyDescent="0.25">
      <c r="A1894" s="4" t="s">
        <v>421</v>
      </c>
      <c r="B1894" t="s">
        <v>422</v>
      </c>
      <c r="C1894" t="s">
        <v>2756</v>
      </c>
      <c r="D1894" t="s">
        <v>65</v>
      </c>
      <c r="E1894" t="s">
        <v>115</v>
      </c>
      <c r="F1894" t="s">
        <v>37</v>
      </c>
    </row>
    <row r="1895" spans="1:6" outlineLevel="3" x14ac:dyDescent="0.25">
      <c r="A1895" s="4" t="s">
        <v>421</v>
      </c>
      <c r="B1895" t="s">
        <v>422</v>
      </c>
      <c r="C1895" t="s">
        <v>2757</v>
      </c>
      <c r="D1895" t="s">
        <v>211</v>
      </c>
      <c r="E1895" t="s">
        <v>115</v>
      </c>
      <c r="F1895" t="s">
        <v>37</v>
      </c>
    </row>
    <row r="1896" spans="1:6" outlineLevel="3" x14ac:dyDescent="0.25">
      <c r="A1896" s="4" t="s">
        <v>421</v>
      </c>
      <c r="B1896" t="s">
        <v>422</v>
      </c>
      <c r="C1896" t="s">
        <v>2758</v>
      </c>
      <c r="D1896" t="s">
        <v>141</v>
      </c>
      <c r="E1896" t="s">
        <v>115</v>
      </c>
      <c r="F1896" t="s">
        <v>37</v>
      </c>
    </row>
    <row r="1897" spans="1:6" outlineLevel="3" x14ac:dyDescent="0.25">
      <c r="A1897" s="4" t="s">
        <v>421</v>
      </c>
      <c r="B1897" t="s">
        <v>422</v>
      </c>
      <c r="C1897" t="s">
        <v>3583</v>
      </c>
      <c r="D1897" t="s">
        <v>13</v>
      </c>
      <c r="E1897" t="s">
        <v>248</v>
      </c>
      <c r="F1897" t="s">
        <v>37</v>
      </c>
    </row>
    <row r="1898" spans="1:6" outlineLevel="3" x14ac:dyDescent="0.25">
      <c r="A1898" s="4" t="s">
        <v>421</v>
      </c>
      <c r="B1898" t="s">
        <v>422</v>
      </c>
      <c r="C1898" t="s">
        <v>3584</v>
      </c>
      <c r="D1898" t="s">
        <v>67</v>
      </c>
      <c r="E1898" t="s">
        <v>248</v>
      </c>
      <c r="F1898" t="s">
        <v>37</v>
      </c>
    </row>
    <row r="1899" spans="1:6" outlineLevel="3" x14ac:dyDescent="0.25">
      <c r="A1899" s="4" t="s">
        <v>421</v>
      </c>
      <c r="B1899" t="s">
        <v>422</v>
      </c>
      <c r="C1899" t="s">
        <v>3585</v>
      </c>
      <c r="D1899" t="s">
        <v>119</v>
      </c>
      <c r="E1899" t="s">
        <v>248</v>
      </c>
      <c r="F1899" t="s">
        <v>37</v>
      </c>
    </row>
    <row r="1900" spans="1:6" outlineLevel="3" x14ac:dyDescent="0.25">
      <c r="A1900" s="4" t="s">
        <v>421</v>
      </c>
      <c r="B1900" t="s">
        <v>422</v>
      </c>
      <c r="C1900" t="s">
        <v>3586</v>
      </c>
      <c r="D1900" t="s">
        <v>119</v>
      </c>
      <c r="E1900" t="s">
        <v>248</v>
      </c>
      <c r="F1900" t="s">
        <v>37</v>
      </c>
    </row>
    <row r="1901" spans="1:6" outlineLevel="3" x14ac:dyDescent="0.25">
      <c r="A1901" s="4" t="s">
        <v>421</v>
      </c>
      <c r="B1901" t="s">
        <v>422</v>
      </c>
      <c r="C1901" t="s">
        <v>3587</v>
      </c>
      <c r="D1901" t="s">
        <v>44</v>
      </c>
      <c r="E1901" t="s">
        <v>248</v>
      </c>
      <c r="F1901" t="s">
        <v>37</v>
      </c>
    </row>
    <row r="1902" spans="1:6" outlineLevel="3" x14ac:dyDescent="0.25">
      <c r="A1902" s="4" t="s">
        <v>421</v>
      </c>
      <c r="B1902" t="s">
        <v>422</v>
      </c>
      <c r="C1902" t="s">
        <v>3588</v>
      </c>
      <c r="D1902" t="s">
        <v>76</v>
      </c>
      <c r="E1902" t="s">
        <v>248</v>
      </c>
      <c r="F1902" t="s">
        <v>37</v>
      </c>
    </row>
    <row r="1903" spans="1:6" outlineLevel="3" x14ac:dyDescent="0.25">
      <c r="A1903" s="4" t="s">
        <v>421</v>
      </c>
      <c r="B1903" t="s">
        <v>422</v>
      </c>
      <c r="C1903" t="s">
        <v>3589</v>
      </c>
      <c r="D1903" t="s">
        <v>6</v>
      </c>
      <c r="E1903" t="s">
        <v>248</v>
      </c>
      <c r="F1903" t="s">
        <v>37</v>
      </c>
    </row>
    <row r="1904" spans="1:6" outlineLevel="3" x14ac:dyDescent="0.25">
      <c r="A1904" s="4" t="s">
        <v>421</v>
      </c>
      <c r="B1904" t="s">
        <v>422</v>
      </c>
      <c r="C1904" t="s">
        <v>3590</v>
      </c>
      <c r="D1904" t="s">
        <v>126</v>
      </c>
      <c r="E1904" t="s">
        <v>244</v>
      </c>
      <c r="F1904" t="s">
        <v>37</v>
      </c>
    </row>
    <row r="1905" spans="1:6" outlineLevel="3" x14ac:dyDescent="0.25">
      <c r="A1905" s="4" t="s">
        <v>421</v>
      </c>
      <c r="B1905" t="s">
        <v>422</v>
      </c>
      <c r="C1905" t="s">
        <v>3591</v>
      </c>
      <c r="D1905" t="s">
        <v>6</v>
      </c>
      <c r="E1905" t="s">
        <v>244</v>
      </c>
      <c r="F1905" t="s">
        <v>37</v>
      </c>
    </row>
    <row r="1906" spans="1:6" outlineLevel="3" x14ac:dyDescent="0.25">
      <c r="A1906" s="4" t="s">
        <v>421</v>
      </c>
      <c r="B1906" t="s">
        <v>422</v>
      </c>
      <c r="C1906" t="s">
        <v>3592</v>
      </c>
      <c r="D1906" t="s">
        <v>202</v>
      </c>
      <c r="E1906" t="s">
        <v>244</v>
      </c>
      <c r="F1906" t="s">
        <v>37</v>
      </c>
    </row>
    <row r="1907" spans="1:6" outlineLevel="3" x14ac:dyDescent="0.25">
      <c r="A1907" s="4" t="s">
        <v>421</v>
      </c>
      <c r="B1907" t="s">
        <v>422</v>
      </c>
      <c r="C1907" t="s">
        <v>3593</v>
      </c>
      <c r="D1907" t="s">
        <v>437</v>
      </c>
      <c r="E1907" t="s">
        <v>244</v>
      </c>
      <c r="F1907" t="s">
        <v>37</v>
      </c>
    </row>
    <row r="1908" spans="1:6" outlineLevel="3" x14ac:dyDescent="0.25">
      <c r="A1908" s="4" t="s">
        <v>421</v>
      </c>
      <c r="B1908" t="s">
        <v>422</v>
      </c>
      <c r="C1908" t="s">
        <v>3594</v>
      </c>
      <c r="D1908" t="s">
        <v>275</v>
      </c>
      <c r="E1908" t="s">
        <v>244</v>
      </c>
      <c r="F1908" t="s">
        <v>37</v>
      </c>
    </row>
    <row r="1909" spans="1:6" outlineLevel="3" x14ac:dyDescent="0.25">
      <c r="A1909" s="4" t="s">
        <v>421</v>
      </c>
      <c r="B1909" t="s">
        <v>422</v>
      </c>
      <c r="C1909" t="s">
        <v>3595</v>
      </c>
      <c r="D1909" t="s">
        <v>6</v>
      </c>
      <c r="E1909" t="s">
        <v>244</v>
      </c>
      <c r="F1909" t="s">
        <v>37</v>
      </c>
    </row>
    <row r="1910" spans="1:6" outlineLevel="3" x14ac:dyDescent="0.25">
      <c r="A1910" s="4" t="s">
        <v>421</v>
      </c>
      <c r="B1910" t="s">
        <v>422</v>
      </c>
      <c r="C1910" t="s">
        <v>3596</v>
      </c>
      <c r="D1910" t="s">
        <v>89</v>
      </c>
      <c r="E1910" t="s">
        <v>244</v>
      </c>
      <c r="F1910" t="s">
        <v>37</v>
      </c>
    </row>
    <row r="1911" spans="1:6" outlineLevel="3" x14ac:dyDescent="0.25">
      <c r="A1911" s="4" t="s">
        <v>421</v>
      </c>
      <c r="B1911" t="s">
        <v>422</v>
      </c>
      <c r="C1911" t="s">
        <v>3597</v>
      </c>
      <c r="D1911" t="s">
        <v>165</v>
      </c>
      <c r="E1911" t="s">
        <v>244</v>
      </c>
      <c r="F1911" t="s">
        <v>37</v>
      </c>
    </row>
    <row r="1912" spans="1:6" outlineLevel="3" x14ac:dyDescent="0.25">
      <c r="A1912" s="4" t="s">
        <v>421</v>
      </c>
      <c r="B1912" t="s">
        <v>422</v>
      </c>
      <c r="C1912" t="s">
        <v>3598</v>
      </c>
      <c r="D1912" t="s">
        <v>143</v>
      </c>
      <c r="E1912" t="s">
        <v>244</v>
      </c>
      <c r="F1912" t="s">
        <v>37</v>
      </c>
    </row>
    <row r="1913" spans="1:6" outlineLevel="3" x14ac:dyDescent="0.25">
      <c r="A1913" s="4" t="s">
        <v>421</v>
      </c>
      <c r="B1913" t="s">
        <v>422</v>
      </c>
      <c r="C1913" t="s">
        <v>3599</v>
      </c>
      <c r="D1913" t="s">
        <v>6</v>
      </c>
      <c r="E1913" t="s">
        <v>244</v>
      </c>
      <c r="F1913" t="s">
        <v>37</v>
      </c>
    </row>
    <row r="1914" spans="1:6" outlineLevel="3" x14ac:dyDescent="0.25">
      <c r="A1914" s="4" t="s">
        <v>421</v>
      </c>
      <c r="B1914" t="s">
        <v>422</v>
      </c>
      <c r="C1914" t="s">
        <v>3600</v>
      </c>
      <c r="D1914" t="s">
        <v>63</v>
      </c>
      <c r="E1914" t="s">
        <v>244</v>
      </c>
      <c r="F1914" t="s">
        <v>37</v>
      </c>
    </row>
    <row r="1915" spans="1:6" outlineLevel="3" x14ac:dyDescent="0.25">
      <c r="A1915" s="4" t="s">
        <v>421</v>
      </c>
      <c r="B1915" t="s">
        <v>422</v>
      </c>
      <c r="C1915" t="s">
        <v>3601</v>
      </c>
      <c r="D1915" t="s">
        <v>437</v>
      </c>
      <c r="E1915" t="s">
        <v>244</v>
      </c>
      <c r="F1915" t="s">
        <v>37</v>
      </c>
    </row>
    <row r="1916" spans="1:6" outlineLevel="3" x14ac:dyDescent="0.25">
      <c r="A1916" s="4" t="s">
        <v>421</v>
      </c>
      <c r="B1916" t="s">
        <v>422</v>
      </c>
      <c r="C1916" t="s">
        <v>3602</v>
      </c>
      <c r="D1916" t="s">
        <v>63</v>
      </c>
      <c r="E1916" t="s">
        <v>244</v>
      </c>
      <c r="F1916" t="s">
        <v>37</v>
      </c>
    </row>
    <row r="1917" spans="1:6" outlineLevel="3" x14ac:dyDescent="0.25">
      <c r="A1917" s="4" t="s">
        <v>421</v>
      </c>
      <c r="B1917" t="s">
        <v>422</v>
      </c>
      <c r="C1917" t="s">
        <v>3603</v>
      </c>
      <c r="D1917" t="s">
        <v>119</v>
      </c>
      <c r="E1917" t="s">
        <v>244</v>
      </c>
      <c r="F1917" t="s">
        <v>37</v>
      </c>
    </row>
    <row r="1918" spans="1:6" outlineLevel="3" x14ac:dyDescent="0.25">
      <c r="A1918" s="4" t="s">
        <v>421</v>
      </c>
      <c r="B1918" t="s">
        <v>422</v>
      </c>
      <c r="C1918" t="s">
        <v>3604</v>
      </c>
      <c r="D1918" t="s">
        <v>139</v>
      </c>
      <c r="E1918" t="s">
        <v>244</v>
      </c>
      <c r="F1918" t="s">
        <v>37</v>
      </c>
    </row>
    <row r="1919" spans="1:6" outlineLevel="3" x14ac:dyDescent="0.25">
      <c r="A1919" s="4" t="s">
        <v>421</v>
      </c>
      <c r="B1919" t="s">
        <v>422</v>
      </c>
      <c r="C1919" t="s">
        <v>3605</v>
      </c>
      <c r="D1919" t="s">
        <v>6</v>
      </c>
      <c r="E1919" t="s">
        <v>244</v>
      </c>
      <c r="F1919" t="s">
        <v>37</v>
      </c>
    </row>
    <row r="1920" spans="1:6" outlineLevel="3" x14ac:dyDescent="0.25">
      <c r="A1920" s="4" t="s">
        <v>421</v>
      </c>
      <c r="B1920" t="s">
        <v>422</v>
      </c>
      <c r="C1920" t="s">
        <v>3606</v>
      </c>
      <c r="D1920" t="s">
        <v>437</v>
      </c>
      <c r="E1920" t="s">
        <v>244</v>
      </c>
      <c r="F1920" t="s">
        <v>37</v>
      </c>
    </row>
    <row r="1921" spans="1:6" outlineLevel="3" x14ac:dyDescent="0.25">
      <c r="A1921" s="4" t="s">
        <v>421</v>
      </c>
      <c r="B1921" t="s">
        <v>422</v>
      </c>
      <c r="C1921" t="s">
        <v>1933</v>
      </c>
      <c r="D1921" t="s">
        <v>6</v>
      </c>
      <c r="E1921" t="s">
        <v>244</v>
      </c>
      <c r="F1921" t="s">
        <v>37</v>
      </c>
    </row>
    <row r="1922" spans="1:6" outlineLevel="3" x14ac:dyDescent="0.25">
      <c r="A1922" s="4" t="s">
        <v>421</v>
      </c>
      <c r="B1922" t="s">
        <v>422</v>
      </c>
      <c r="C1922" t="s">
        <v>3607</v>
      </c>
      <c r="D1922" t="s">
        <v>6</v>
      </c>
      <c r="E1922" t="s">
        <v>244</v>
      </c>
      <c r="F1922" t="s">
        <v>37</v>
      </c>
    </row>
    <row r="1923" spans="1:6" outlineLevel="3" x14ac:dyDescent="0.25">
      <c r="A1923" s="4" t="s">
        <v>421</v>
      </c>
      <c r="B1923" t="s">
        <v>422</v>
      </c>
      <c r="C1923" t="s">
        <v>3608</v>
      </c>
      <c r="D1923" t="s">
        <v>437</v>
      </c>
      <c r="E1923" t="s">
        <v>244</v>
      </c>
      <c r="F1923" t="s">
        <v>37</v>
      </c>
    </row>
    <row r="1924" spans="1:6" outlineLevel="3" x14ac:dyDescent="0.25">
      <c r="A1924" s="4" t="s">
        <v>421</v>
      </c>
      <c r="B1924" t="s">
        <v>422</v>
      </c>
      <c r="C1924" t="s">
        <v>1778</v>
      </c>
      <c r="D1924" t="s">
        <v>165</v>
      </c>
      <c r="E1924" t="s">
        <v>244</v>
      </c>
      <c r="F1924" t="s">
        <v>37</v>
      </c>
    </row>
    <row r="1925" spans="1:6" outlineLevel="3" x14ac:dyDescent="0.25">
      <c r="A1925" s="4" t="s">
        <v>421</v>
      </c>
      <c r="B1925" t="s">
        <v>422</v>
      </c>
      <c r="C1925" t="s">
        <v>3609</v>
      </c>
      <c r="D1925" t="s">
        <v>165</v>
      </c>
      <c r="E1925" t="s">
        <v>244</v>
      </c>
      <c r="F1925" t="s">
        <v>37</v>
      </c>
    </row>
    <row r="1926" spans="1:6" outlineLevel="3" x14ac:dyDescent="0.25">
      <c r="A1926" s="4" t="s">
        <v>421</v>
      </c>
      <c r="B1926" t="s">
        <v>422</v>
      </c>
      <c r="C1926" t="s">
        <v>3610</v>
      </c>
      <c r="D1926" t="s">
        <v>202</v>
      </c>
      <c r="E1926" t="s">
        <v>244</v>
      </c>
      <c r="F1926" t="s">
        <v>37</v>
      </c>
    </row>
    <row r="1927" spans="1:6" outlineLevel="3" x14ac:dyDescent="0.25">
      <c r="A1927" s="4" t="s">
        <v>421</v>
      </c>
      <c r="B1927" t="s">
        <v>422</v>
      </c>
      <c r="C1927" t="s">
        <v>3611</v>
      </c>
      <c r="D1927" t="s">
        <v>202</v>
      </c>
      <c r="E1927" t="s">
        <v>244</v>
      </c>
      <c r="F1927" t="s">
        <v>37</v>
      </c>
    </row>
    <row r="1928" spans="1:6" outlineLevel="3" x14ac:dyDescent="0.25">
      <c r="A1928" s="4" t="s">
        <v>421</v>
      </c>
      <c r="B1928" t="s">
        <v>422</v>
      </c>
      <c r="C1928" t="s">
        <v>3612</v>
      </c>
      <c r="D1928" t="s">
        <v>76</v>
      </c>
      <c r="E1928" t="s">
        <v>244</v>
      </c>
      <c r="F1928" t="s">
        <v>37</v>
      </c>
    </row>
    <row r="1929" spans="1:6" outlineLevel="3" x14ac:dyDescent="0.25">
      <c r="A1929" s="4" t="s">
        <v>421</v>
      </c>
      <c r="B1929" t="s">
        <v>422</v>
      </c>
      <c r="C1929" t="s">
        <v>1934</v>
      </c>
      <c r="D1929" t="s">
        <v>190</v>
      </c>
      <c r="E1929" t="s">
        <v>244</v>
      </c>
      <c r="F1929" t="s">
        <v>37</v>
      </c>
    </row>
    <row r="1930" spans="1:6" outlineLevel="3" x14ac:dyDescent="0.25">
      <c r="A1930" s="4" t="s">
        <v>421</v>
      </c>
      <c r="B1930" t="s">
        <v>422</v>
      </c>
      <c r="C1930" t="s">
        <v>3613</v>
      </c>
      <c r="D1930" t="s">
        <v>13</v>
      </c>
      <c r="E1930" t="s">
        <v>244</v>
      </c>
      <c r="F1930" t="s">
        <v>37</v>
      </c>
    </row>
    <row r="1931" spans="1:6" outlineLevel="3" x14ac:dyDescent="0.25">
      <c r="A1931" s="4" t="s">
        <v>421</v>
      </c>
      <c r="B1931" t="s">
        <v>422</v>
      </c>
      <c r="C1931" t="s">
        <v>3614</v>
      </c>
      <c r="D1931" t="s">
        <v>6</v>
      </c>
      <c r="E1931" t="s">
        <v>244</v>
      </c>
      <c r="F1931" t="s">
        <v>37</v>
      </c>
    </row>
    <row r="1932" spans="1:6" outlineLevel="3" x14ac:dyDescent="0.25">
      <c r="A1932" s="4" t="s">
        <v>421</v>
      </c>
      <c r="B1932" t="s">
        <v>422</v>
      </c>
      <c r="C1932" t="s">
        <v>3615</v>
      </c>
      <c r="D1932" t="s">
        <v>437</v>
      </c>
      <c r="E1932" t="s">
        <v>244</v>
      </c>
      <c r="F1932" t="s">
        <v>37</v>
      </c>
    </row>
    <row r="1933" spans="1:6" outlineLevel="3" x14ac:dyDescent="0.25">
      <c r="A1933" s="4" t="s">
        <v>421</v>
      </c>
      <c r="B1933" t="s">
        <v>422</v>
      </c>
      <c r="C1933" t="s">
        <v>3616</v>
      </c>
      <c r="D1933" t="s">
        <v>165</v>
      </c>
      <c r="E1933" t="s">
        <v>244</v>
      </c>
      <c r="F1933" t="s">
        <v>37</v>
      </c>
    </row>
    <row r="1934" spans="1:6" outlineLevel="3" x14ac:dyDescent="0.25">
      <c r="A1934" s="4" t="s">
        <v>421</v>
      </c>
      <c r="B1934" t="s">
        <v>422</v>
      </c>
      <c r="C1934" t="s">
        <v>3617</v>
      </c>
      <c r="D1934" t="s">
        <v>202</v>
      </c>
      <c r="E1934" t="s">
        <v>244</v>
      </c>
      <c r="F1934" t="s">
        <v>37</v>
      </c>
    </row>
    <row r="1935" spans="1:6" outlineLevel="3" x14ac:dyDescent="0.25">
      <c r="A1935" s="4" t="s">
        <v>421</v>
      </c>
      <c r="B1935" t="s">
        <v>422</v>
      </c>
      <c r="C1935" t="s">
        <v>3618</v>
      </c>
      <c r="D1935" t="s">
        <v>119</v>
      </c>
      <c r="E1935" t="s">
        <v>244</v>
      </c>
      <c r="F1935" t="s">
        <v>37</v>
      </c>
    </row>
    <row r="1936" spans="1:6" outlineLevel="3" x14ac:dyDescent="0.25">
      <c r="A1936" s="4" t="s">
        <v>421</v>
      </c>
      <c r="B1936" t="s">
        <v>422</v>
      </c>
      <c r="C1936" t="s">
        <v>1935</v>
      </c>
      <c r="D1936" t="s">
        <v>202</v>
      </c>
      <c r="E1936" t="s">
        <v>244</v>
      </c>
      <c r="F1936" t="s">
        <v>37</v>
      </c>
    </row>
    <row r="1937" spans="1:6" outlineLevel="3" x14ac:dyDescent="0.25">
      <c r="A1937" s="4" t="s">
        <v>421</v>
      </c>
      <c r="B1937" t="s">
        <v>422</v>
      </c>
      <c r="C1937" t="s">
        <v>3619</v>
      </c>
      <c r="D1937" t="s">
        <v>65</v>
      </c>
      <c r="E1937" t="s">
        <v>244</v>
      </c>
      <c r="F1937" t="s">
        <v>37</v>
      </c>
    </row>
    <row r="1938" spans="1:6" outlineLevel="3" x14ac:dyDescent="0.25">
      <c r="A1938" s="4" t="s">
        <v>421</v>
      </c>
      <c r="B1938" t="s">
        <v>422</v>
      </c>
      <c r="C1938" t="s">
        <v>3620</v>
      </c>
      <c r="D1938" t="s">
        <v>437</v>
      </c>
      <c r="E1938" t="s">
        <v>244</v>
      </c>
      <c r="F1938" t="s">
        <v>37</v>
      </c>
    </row>
    <row r="1939" spans="1:6" outlineLevel="3" x14ac:dyDescent="0.25">
      <c r="A1939" s="4" t="s">
        <v>421</v>
      </c>
      <c r="B1939" t="s">
        <v>422</v>
      </c>
      <c r="C1939" t="s">
        <v>3621</v>
      </c>
      <c r="D1939" t="s">
        <v>44</v>
      </c>
      <c r="E1939" t="s">
        <v>244</v>
      </c>
      <c r="F1939" t="s">
        <v>37</v>
      </c>
    </row>
    <row r="1940" spans="1:6" outlineLevel="3" x14ac:dyDescent="0.25">
      <c r="A1940" s="4" t="s">
        <v>421</v>
      </c>
      <c r="B1940" t="s">
        <v>422</v>
      </c>
      <c r="C1940" t="s">
        <v>3622</v>
      </c>
      <c r="D1940" t="s">
        <v>437</v>
      </c>
      <c r="E1940" t="s">
        <v>244</v>
      </c>
      <c r="F1940" t="s">
        <v>37</v>
      </c>
    </row>
    <row r="1941" spans="1:6" outlineLevel="3" x14ac:dyDescent="0.25">
      <c r="A1941" s="4" t="s">
        <v>421</v>
      </c>
      <c r="B1941" t="s">
        <v>422</v>
      </c>
      <c r="C1941" t="s">
        <v>3623</v>
      </c>
      <c r="D1941" t="s">
        <v>44</v>
      </c>
      <c r="E1941" t="s">
        <v>244</v>
      </c>
      <c r="F1941" t="s">
        <v>37</v>
      </c>
    </row>
    <row r="1942" spans="1:6" outlineLevel="3" x14ac:dyDescent="0.25">
      <c r="A1942" s="4" t="s">
        <v>421</v>
      </c>
      <c r="B1942" t="s">
        <v>422</v>
      </c>
      <c r="C1942" t="s">
        <v>3624</v>
      </c>
      <c r="D1942" t="s">
        <v>119</v>
      </c>
      <c r="E1942" t="s">
        <v>244</v>
      </c>
      <c r="F1942" t="s">
        <v>37</v>
      </c>
    </row>
    <row r="1943" spans="1:6" outlineLevel="3" x14ac:dyDescent="0.25">
      <c r="A1943" s="4" t="s">
        <v>421</v>
      </c>
      <c r="B1943" t="s">
        <v>422</v>
      </c>
      <c r="C1943" t="s">
        <v>3625</v>
      </c>
      <c r="D1943" t="s">
        <v>65</v>
      </c>
      <c r="E1943" t="s">
        <v>244</v>
      </c>
      <c r="F1943" t="s">
        <v>37</v>
      </c>
    </row>
    <row r="1944" spans="1:6" outlineLevel="3" x14ac:dyDescent="0.25">
      <c r="A1944" s="4" t="s">
        <v>421</v>
      </c>
      <c r="B1944" t="s">
        <v>422</v>
      </c>
      <c r="C1944" t="s">
        <v>3626</v>
      </c>
      <c r="D1944" t="s">
        <v>165</v>
      </c>
      <c r="E1944" t="s">
        <v>244</v>
      </c>
      <c r="F1944" t="s">
        <v>37</v>
      </c>
    </row>
    <row r="1945" spans="1:6" outlineLevel="3" x14ac:dyDescent="0.25">
      <c r="A1945" s="4" t="s">
        <v>421</v>
      </c>
      <c r="B1945" t="s">
        <v>422</v>
      </c>
      <c r="C1945" t="s">
        <v>3627</v>
      </c>
      <c r="D1945" t="s">
        <v>67</v>
      </c>
      <c r="E1945" t="s">
        <v>244</v>
      </c>
      <c r="F1945" t="s">
        <v>37</v>
      </c>
    </row>
    <row r="1946" spans="1:6" outlineLevel="3" x14ac:dyDescent="0.25">
      <c r="A1946" s="4" t="s">
        <v>421</v>
      </c>
      <c r="B1946" t="s">
        <v>422</v>
      </c>
      <c r="C1946" t="s">
        <v>3628</v>
      </c>
      <c r="D1946" t="s">
        <v>202</v>
      </c>
      <c r="E1946" t="s">
        <v>244</v>
      </c>
      <c r="F1946" t="s">
        <v>37</v>
      </c>
    </row>
    <row r="1947" spans="1:6" outlineLevel="3" x14ac:dyDescent="0.25">
      <c r="A1947" s="4" t="s">
        <v>421</v>
      </c>
      <c r="B1947" t="s">
        <v>422</v>
      </c>
      <c r="C1947" t="s">
        <v>3629</v>
      </c>
      <c r="D1947" t="s">
        <v>437</v>
      </c>
      <c r="E1947" t="s">
        <v>244</v>
      </c>
      <c r="F1947" t="s">
        <v>37</v>
      </c>
    </row>
    <row r="1948" spans="1:6" outlineLevel="3" x14ac:dyDescent="0.25">
      <c r="A1948" s="4" t="s">
        <v>421</v>
      </c>
      <c r="B1948" t="s">
        <v>422</v>
      </c>
      <c r="C1948" t="s">
        <v>3630</v>
      </c>
      <c r="D1948" t="s">
        <v>165</v>
      </c>
      <c r="E1948" t="s">
        <v>244</v>
      </c>
      <c r="F1948" t="s">
        <v>37</v>
      </c>
    </row>
    <row r="1949" spans="1:6" outlineLevel="3" x14ac:dyDescent="0.25">
      <c r="A1949" s="4" t="s">
        <v>421</v>
      </c>
      <c r="B1949" t="s">
        <v>422</v>
      </c>
      <c r="C1949" t="s">
        <v>1936</v>
      </c>
      <c r="D1949" t="s">
        <v>44</v>
      </c>
      <c r="E1949" t="s">
        <v>244</v>
      </c>
      <c r="F1949" t="s">
        <v>37</v>
      </c>
    </row>
    <row r="1950" spans="1:6" outlineLevel="3" x14ac:dyDescent="0.25">
      <c r="A1950" s="4" t="s">
        <v>421</v>
      </c>
      <c r="B1950" t="s">
        <v>422</v>
      </c>
      <c r="C1950" t="s">
        <v>3631</v>
      </c>
      <c r="D1950" t="s">
        <v>13</v>
      </c>
      <c r="E1950" t="s">
        <v>244</v>
      </c>
      <c r="F1950" t="s">
        <v>37</v>
      </c>
    </row>
    <row r="1951" spans="1:6" outlineLevel="3" x14ac:dyDescent="0.25">
      <c r="A1951" s="4" t="s">
        <v>421</v>
      </c>
      <c r="B1951" t="s">
        <v>422</v>
      </c>
      <c r="C1951" t="s">
        <v>3632</v>
      </c>
      <c r="D1951" t="s">
        <v>437</v>
      </c>
      <c r="E1951" t="s">
        <v>244</v>
      </c>
      <c r="F1951" t="s">
        <v>37</v>
      </c>
    </row>
    <row r="1952" spans="1:6" outlineLevel="3" x14ac:dyDescent="0.25">
      <c r="A1952" s="4" t="s">
        <v>421</v>
      </c>
      <c r="B1952" t="s">
        <v>422</v>
      </c>
      <c r="C1952" t="s">
        <v>1937</v>
      </c>
      <c r="D1952" t="s">
        <v>13</v>
      </c>
      <c r="E1952" t="s">
        <v>244</v>
      </c>
      <c r="F1952" t="s">
        <v>37</v>
      </c>
    </row>
    <row r="1953" spans="1:6" outlineLevel="3" x14ac:dyDescent="0.25">
      <c r="A1953" s="4" t="s">
        <v>421</v>
      </c>
      <c r="B1953" t="s">
        <v>422</v>
      </c>
      <c r="C1953" t="s">
        <v>3633</v>
      </c>
      <c r="D1953" t="s">
        <v>437</v>
      </c>
      <c r="E1953" t="s">
        <v>244</v>
      </c>
      <c r="F1953" t="s">
        <v>37</v>
      </c>
    </row>
    <row r="1954" spans="1:6" outlineLevel="3" x14ac:dyDescent="0.25">
      <c r="A1954" s="4" t="s">
        <v>421</v>
      </c>
      <c r="B1954" t="s">
        <v>422</v>
      </c>
      <c r="C1954" t="s">
        <v>3634</v>
      </c>
      <c r="D1954" t="s">
        <v>165</v>
      </c>
      <c r="E1954" t="s">
        <v>244</v>
      </c>
      <c r="F1954" t="s">
        <v>37</v>
      </c>
    </row>
    <row r="1955" spans="1:6" outlineLevel="3" x14ac:dyDescent="0.25">
      <c r="A1955" s="4" t="s">
        <v>421</v>
      </c>
      <c r="B1955" t="s">
        <v>422</v>
      </c>
      <c r="C1955" t="s">
        <v>3635</v>
      </c>
      <c r="D1955" t="s">
        <v>6</v>
      </c>
      <c r="E1955" t="s">
        <v>244</v>
      </c>
      <c r="F1955" t="s">
        <v>37</v>
      </c>
    </row>
    <row r="1956" spans="1:6" outlineLevel="3" x14ac:dyDescent="0.25">
      <c r="A1956" s="4" t="s">
        <v>421</v>
      </c>
      <c r="B1956" t="s">
        <v>422</v>
      </c>
      <c r="C1956" t="s">
        <v>3636</v>
      </c>
      <c r="D1956" t="s">
        <v>165</v>
      </c>
      <c r="E1956" t="s">
        <v>244</v>
      </c>
      <c r="F1956" t="s">
        <v>37</v>
      </c>
    </row>
    <row r="1957" spans="1:6" outlineLevel="3" x14ac:dyDescent="0.25">
      <c r="A1957" s="4" t="s">
        <v>421</v>
      </c>
      <c r="B1957" t="s">
        <v>422</v>
      </c>
      <c r="C1957" t="s">
        <v>3637</v>
      </c>
      <c r="D1957" t="s">
        <v>6</v>
      </c>
      <c r="E1957" t="s">
        <v>244</v>
      </c>
      <c r="F1957" t="s">
        <v>37</v>
      </c>
    </row>
    <row r="1958" spans="1:6" outlineLevel="3" x14ac:dyDescent="0.25">
      <c r="A1958" s="4" t="s">
        <v>421</v>
      </c>
      <c r="B1958" t="s">
        <v>422</v>
      </c>
      <c r="C1958" t="s">
        <v>1938</v>
      </c>
      <c r="D1958" t="s">
        <v>165</v>
      </c>
      <c r="E1958" t="s">
        <v>244</v>
      </c>
      <c r="F1958" t="s">
        <v>37</v>
      </c>
    </row>
    <row r="1959" spans="1:6" outlineLevel="3" x14ac:dyDescent="0.25">
      <c r="A1959" s="4" t="s">
        <v>421</v>
      </c>
      <c r="B1959" t="s">
        <v>422</v>
      </c>
      <c r="C1959" t="s">
        <v>1939</v>
      </c>
      <c r="D1959" t="s">
        <v>76</v>
      </c>
      <c r="E1959" t="s">
        <v>244</v>
      </c>
      <c r="F1959" t="s">
        <v>37</v>
      </c>
    </row>
    <row r="1960" spans="1:6" outlineLevel="3" x14ac:dyDescent="0.25">
      <c r="A1960" s="4" t="s">
        <v>421</v>
      </c>
      <c r="B1960" t="s">
        <v>422</v>
      </c>
      <c r="C1960" t="s">
        <v>3638</v>
      </c>
      <c r="D1960" t="s">
        <v>165</v>
      </c>
      <c r="E1960" t="s">
        <v>244</v>
      </c>
      <c r="F1960" t="s">
        <v>37</v>
      </c>
    </row>
    <row r="1961" spans="1:6" outlineLevel="3" x14ac:dyDescent="0.25">
      <c r="A1961" s="4" t="s">
        <v>421</v>
      </c>
      <c r="B1961" t="s">
        <v>422</v>
      </c>
      <c r="C1961" t="s">
        <v>3639</v>
      </c>
      <c r="D1961" t="s">
        <v>65</v>
      </c>
      <c r="E1961" t="s">
        <v>244</v>
      </c>
      <c r="F1961" t="s">
        <v>37</v>
      </c>
    </row>
    <row r="1962" spans="1:6" outlineLevel="3" x14ac:dyDescent="0.25">
      <c r="A1962" s="4" t="s">
        <v>421</v>
      </c>
      <c r="B1962" t="s">
        <v>422</v>
      </c>
      <c r="C1962" t="s">
        <v>3640</v>
      </c>
      <c r="D1962" t="s">
        <v>6</v>
      </c>
      <c r="E1962" t="s">
        <v>244</v>
      </c>
      <c r="F1962" t="s">
        <v>37</v>
      </c>
    </row>
    <row r="1963" spans="1:6" outlineLevel="3" x14ac:dyDescent="0.25">
      <c r="A1963" s="4" t="s">
        <v>421</v>
      </c>
      <c r="B1963" t="s">
        <v>422</v>
      </c>
      <c r="C1963" t="s">
        <v>3641</v>
      </c>
      <c r="D1963" t="s">
        <v>237</v>
      </c>
      <c r="E1963" t="s">
        <v>244</v>
      </c>
      <c r="F1963" t="s">
        <v>37</v>
      </c>
    </row>
    <row r="1964" spans="1:6" outlineLevel="3" x14ac:dyDescent="0.25">
      <c r="A1964" s="4" t="s">
        <v>421</v>
      </c>
      <c r="B1964" t="s">
        <v>422</v>
      </c>
      <c r="C1964" t="s">
        <v>3642</v>
      </c>
      <c r="D1964" t="s">
        <v>6</v>
      </c>
      <c r="E1964" t="s">
        <v>244</v>
      </c>
      <c r="F1964" t="s">
        <v>37</v>
      </c>
    </row>
    <row r="1965" spans="1:6" outlineLevel="3" x14ac:dyDescent="0.25">
      <c r="A1965" s="4" t="s">
        <v>421</v>
      </c>
      <c r="B1965" t="s">
        <v>422</v>
      </c>
      <c r="C1965" t="s">
        <v>3643</v>
      </c>
      <c r="D1965" t="s">
        <v>67</v>
      </c>
      <c r="E1965" t="s">
        <v>244</v>
      </c>
      <c r="F1965" t="s">
        <v>37</v>
      </c>
    </row>
    <row r="1966" spans="1:6" outlineLevel="3" x14ac:dyDescent="0.25">
      <c r="A1966" s="4" t="s">
        <v>421</v>
      </c>
      <c r="B1966" t="s">
        <v>422</v>
      </c>
      <c r="C1966" t="s">
        <v>3644</v>
      </c>
      <c r="D1966" t="s">
        <v>437</v>
      </c>
      <c r="E1966" t="s">
        <v>244</v>
      </c>
      <c r="F1966" t="s">
        <v>37</v>
      </c>
    </row>
    <row r="1967" spans="1:6" outlineLevel="3" x14ac:dyDescent="0.25">
      <c r="A1967" s="4" t="s">
        <v>421</v>
      </c>
      <c r="B1967" t="s">
        <v>422</v>
      </c>
      <c r="C1967" t="s">
        <v>3645</v>
      </c>
      <c r="D1967" t="s">
        <v>44</v>
      </c>
      <c r="E1967" t="s">
        <v>244</v>
      </c>
      <c r="F1967" t="s">
        <v>37</v>
      </c>
    </row>
    <row r="1968" spans="1:6" outlineLevel="3" x14ac:dyDescent="0.25">
      <c r="A1968" s="4" t="s">
        <v>421</v>
      </c>
      <c r="B1968" t="s">
        <v>422</v>
      </c>
      <c r="C1968" t="s">
        <v>3646</v>
      </c>
      <c r="D1968" t="s">
        <v>6</v>
      </c>
      <c r="E1968" t="s">
        <v>244</v>
      </c>
      <c r="F1968" t="s">
        <v>37</v>
      </c>
    </row>
    <row r="1969" spans="1:6" outlineLevel="3" x14ac:dyDescent="0.25">
      <c r="A1969" s="4" t="s">
        <v>421</v>
      </c>
      <c r="B1969" t="s">
        <v>422</v>
      </c>
      <c r="C1969" t="s">
        <v>3647</v>
      </c>
      <c r="D1969" t="s">
        <v>67</v>
      </c>
      <c r="E1969" t="s">
        <v>244</v>
      </c>
      <c r="F1969" t="s">
        <v>37</v>
      </c>
    </row>
    <row r="1970" spans="1:6" outlineLevel="3" x14ac:dyDescent="0.25">
      <c r="A1970" s="4" t="s">
        <v>421</v>
      </c>
      <c r="B1970" t="s">
        <v>422</v>
      </c>
      <c r="C1970" t="s">
        <v>3648</v>
      </c>
      <c r="D1970" t="s">
        <v>437</v>
      </c>
      <c r="E1970" t="s">
        <v>244</v>
      </c>
      <c r="F1970" t="s">
        <v>37</v>
      </c>
    </row>
    <row r="1971" spans="1:6" outlineLevel="3" x14ac:dyDescent="0.25">
      <c r="A1971" s="4" t="s">
        <v>421</v>
      </c>
      <c r="B1971" t="s">
        <v>422</v>
      </c>
      <c r="C1971" t="s">
        <v>3649</v>
      </c>
      <c r="D1971" t="s">
        <v>67</v>
      </c>
      <c r="E1971" t="s">
        <v>244</v>
      </c>
      <c r="F1971" t="s">
        <v>37</v>
      </c>
    </row>
    <row r="1972" spans="1:6" outlineLevel="3" x14ac:dyDescent="0.25">
      <c r="A1972" s="4" t="s">
        <v>421</v>
      </c>
      <c r="B1972" t="s">
        <v>422</v>
      </c>
      <c r="C1972" t="s">
        <v>3650</v>
      </c>
      <c r="D1972" t="s">
        <v>165</v>
      </c>
      <c r="E1972" t="s">
        <v>244</v>
      </c>
      <c r="F1972" t="s">
        <v>37</v>
      </c>
    </row>
    <row r="1973" spans="1:6" outlineLevel="3" x14ac:dyDescent="0.25">
      <c r="A1973" s="4" t="s">
        <v>421</v>
      </c>
      <c r="B1973" t="s">
        <v>422</v>
      </c>
      <c r="C1973" t="s">
        <v>3651</v>
      </c>
      <c r="D1973" t="s">
        <v>65</v>
      </c>
      <c r="E1973" t="s">
        <v>244</v>
      </c>
      <c r="F1973" t="s">
        <v>37</v>
      </c>
    </row>
    <row r="1974" spans="1:6" outlineLevel="3" x14ac:dyDescent="0.25">
      <c r="A1974" s="4" t="s">
        <v>421</v>
      </c>
      <c r="B1974" t="s">
        <v>422</v>
      </c>
      <c r="C1974" t="s">
        <v>3652</v>
      </c>
      <c r="D1974" t="s">
        <v>165</v>
      </c>
      <c r="E1974" t="s">
        <v>244</v>
      </c>
      <c r="F1974" t="s">
        <v>37</v>
      </c>
    </row>
    <row r="1975" spans="1:6" outlineLevel="3" x14ac:dyDescent="0.25">
      <c r="A1975" s="4" t="s">
        <v>421</v>
      </c>
      <c r="B1975" t="s">
        <v>422</v>
      </c>
      <c r="C1975" t="s">
        <v>3653</v>
      </c>
      <c r="D1975" t="s">
        <v>65</v>
      </c>
      <c r="E1975" t="s">
        <v>244</v>
      </c>
      <c r="F1975" t="s">
        <v>37</v>
      </c>
    </row>
    <row r="1976" spans="1:6" outlineLevel="3" x14ac:dyDescent="0.25">
      <c r="A1976" s="4" t="s">
        <v>421</v>
      </c>
      <c r="B1976" t="s">
        <v>422</v>
      </c>
      <c r="C1976" t="s">
        <v>3654</v>
      </c>
      <c r="D1976" t="s">
        <v>119</v>
      </c>
      <c r="E1976" t="s">
        <v>244</v>
      </c>
      <c r="F1976" t="s">
        <v>37</v>
      </c>
    </row>
    <row r="1977" spans="1:6" outlineLevel="3" x14ac:dyDescent="0.25">
      <c r="A1977" s="4" t="s">
        <v>421</v>
      </c>
      <c r="B1977" t="s">
        <v>422</v>
      </c>
      <c r="C1977" t="s">
        <v>3655</v>
      </c>
      <c r="D1977" t="s">
        <v>67</v>
      </c>
      <c r="E1977" t="s">
        <v>244</v>
      </c>
      <c r="F1977" t="s">
        <v>37</v>
      </c>
    </row>
    <row r="1978" spans="1:6" outlineLevel="3" x14ac:dyDescent="0.25">
      <c r="A1978" s="4" t="s">
        <v>421</v>
      </c>
      <c r="B1978" t="s">
        <v>422</v>
      </c>
      <c r="C1978" t="s">
        <v>3656</v>
      </c>
      <c r="D1978" t="s">
        <v>165</v>
      </c>
      <c r="E1978" t="s">
        <v>244</v>
      </c>
      <c r="F1978" t="s">
        <v>37</v>
      </c>
    </row>
    <row r="1979" spans="1:6" outlineLevel="3" x14ac:dyDescent="0.25">
      <c r="A1979" s="4" t="s">
        <v>421</v>
      </c>
      <c r="B1979" t="s">
        <v>422</v>
      </c>
      <c r="C1979" t="s">
        <v>3657</v>
      </c>
      <c r="D1979" t="s">
        <v>65</v>
      </c>
      <c r="E1979" t="s">
        <v>244</v>
      </c>
      <c r="F1979" t="s">
        <v>37</v>
      </c>
    </row>
    <row r="1980" spans="1:6" outlineLevel="3" x14ac:dyDescent="0.25">
      <c r="A1980" s="4" t="s">
        <v>421</v>
      </c>
      <c r="B1980" t="s">
        <v>422</v>
      </c>
      <c r="C1980" t="s">
        <v>3658</v>
      </c>
      <c r="D1980" t="s">
        <v>437</v>
      </c>
      <c r="E1980" t="s">
        <v>244</v>
      </c>
      <c r="F1980" t="s">
        <v>37</v>
      </c>
    </row>
    <row r="1981" spans="1:6" outlineLevel="3" x14ac:dyDescent="0.25">
      <c r="A1981" s="4" t="s">
        <v>421</v>
      </c>
      <c r="B1981" t="s">
        <v>422</v>
      </c>
      <c r="C1981" t="s">
        <v>3659</v>
      </c>
      <c r="D1981" t="s">
        <v>67</v>
      </c>
      <c r="E1981" t="s">
        <v>244</v>
      </c>
      <c r="F1981" t="s">
        <v>37</v>
      </c>
    </row>
    <row r="1982" spans="1:6" outlineLevel="3" x14ac:dyDescent="0.25">
      <c r="A1982" s="4" t="s">
        <v>421</v>
      </c>
      <c r="B1982" t="s">
        <v>422</v>
      </c>
      <c r="C1982" t="s">
        <v>3660</v>
      </c>
      <c r="D1982" t="s">
        <v>6</v>
      </c>
      <c r="E1982" t="s">
        <v>244</v>
      </c>
      <c r="F1982" t="s">
        <v>37</v>
      </c>
    </row>
    <row r="1983" spans="1:6" outlineLevel="3" x14ac:dyDescent="0.25">
      <c r="A1983" s="4" t="s">
        <v>421</v>
      </c>
      <c r="B1983" t="s">
        <v>422</v>
      </c>
      <c r="C1983" t="s">
        <v>3661</v>
      </c>
      <c r="D1983" t="s">
        <v>67</v>
      </c>
      <c r="E1983" t="s">
        <v>244</v>
      </c>
      <c r="F1983" t="s">
        <v>37</v>
      </c>
    </row>
    <row r="1984" spans="1:6" outlineLevel="3" x14ac:dyDescent="0.25">
      <c r="A1984" s="4" t="s">
        <v>421</v>
      </c>
      <c r="B1984" t="s">
        <v>422</v>
      </c>
      <c r="C1984" t="s">
        <v>3662</v>
      </c>
      <c r="D1984" t="s">
        <v>6</v>
      </c>
      <c r="E1984" t="s">
        <v>244</v>
      </c>
      <c r="F1984" t="s">
        <v>37</v>
      </c>
    </row>
    <row r="1985" spans="1:6" outlineLevel="3" x14ac:dyDescent="0.25">
      <c r="A1985" s="4" t="s">
        <v>421</v>
      </c>
      <c r="B1985" t="s">
        <v>422</v>
      </c>
      <c r="C1985" t="s">
        <v>3663</v>
      </c>
      <c r="D1985" t="s">
        <v>67</v>
      </c>
      <c r="E1985" t="s">
        <v>244</v>
      </c>
      <c r="F1985" t="s">
        <v>37</v>
      </c>
    </row>
    <row r="1986" spans="1:6" outlineLevel="3" x14ac:dyDescent="0.25">
      <c r="A1986" s="4" t="s">
        <v>421</v>
      </c>
      <c r="B1986" t="s">
        <v>422</v>
      </c>
      <c r="C1986" t="s">
        <v>3664</v>
      </c>
      <c r="D1986" t="s">
        <v>437</v>
      </c>
      <c r="E1986" t="s">
        <v>244</v>
      </c>
      <c r="F1986" t="s">
        <v>37</v>
      </c>
    </row>
    <row r="1987" spans="1:6" outlineLevel="3" x14ac:dyDescent="0.25">
      <c r="A1987" s="4" t="s">
        <v>421</v>
      </c>
      <c r="B1987" t="s">
        <v>422</v>
      </c>
      <c r="C1987" t="s">
        <v>1940</v>
      </c>
      <c r="D1987" t="s">
        <v>44</v>
      </c>
      <c r="E1987" t="s">
        <v>244</v>
      </c>
      <c r="F1987" t="s">
        <v>37</v>
      </c>
    </row>
    <row r="1988" spans="1:6" outlineLevel="3" x14ac:dyDescent="0.25">
      <c r="A1988" s="4" t="s">
        <v>421</v>
      </c>
      <c r="B1988" t="s">
        <v>422</v>
      </c>
      <c r="C1988" t="s">
        <v>1779</v>
      </c>
      <c r="D1988" t="s">
        <v>13</v>
      </c>
      <c r="E1988" t="s">
        <v>244</v>
      </c>
      <c r="F1988" t="s">
        <v>37</v>
      </c>
    </row>
    <row r="1989" spans="1:6" outlineLevel="3" x14ac:dyDescent="0.25">
      <c r="A1989" s="4" t="s">
        <v>421</v>
      </c>
      <c r="B1989" t="s">
        <v>422</v>
      </c>
      <c r="C1989" t="s">
        <v>3665</v>
      </c>
      <c r="D1989" t="s">
        <v>6</v>
      </c>
      <c r="E1989" t="s">
        <v>244</v>
      </c>
      <c r="F1989" t="s">
        <v>37</v>
      </c>
    </row>
    <row r="1990" spans="1:6" outlineLevel="3" x14ac:dyDescent="0.25">
      <c r="A1990" s="4" t="s">
        <v>421</v>
      </c>
      <c r="B1990" t="s">
        <v>422</v>
      </c>
      <c r="C1990" t="s">
        <v>3666</v>
      </c>
      <c r="D1990" t="s">
        <v>202</v>
      </c>
      <c r="E1990" t="s">
        <v>244</v>
      </c>
      <c r="F1990" t="s">
        <v>37</v>
      </c>
    </row>
    <row r="1991" spans="1:6" outlineLevel="3" x14ac:dyDescent="0.25">
      <c r="A1991" s="4" t="s">
        <v>421</v>
      </c>
      <c r="B1991" t="s">
        <v>422</v>
      </c>
      <c r="C1991" t="s">
        <v>3667</v>
      </c>
      <c r="D1991" t="s">
        <v>119</v>
      </c>
      <c r="E1991" t="s">
        <v>244</v>
      </c>
      <c r="F1991" t="s">
        <v>37</v>
      </c>
    </row>
    <row r="1992" spans="1:6" outlineLevel="3" x14ac:dyDescent="0.25">
      <c r="A1992" s="4" t="s">
        <v>421</v>
      </c>
      <c r="B1992" t="s">
        <v>422</v>
      </c>
      <c r="C1992" t="s">
        <v>3668</v>
      </c>
      <c r="D1992" t="s">
        <v>165</v>
      </c>
      <c r="E1992" t="s">
        <v>244</v>
      </c>
      <c r="F1992" t="s">
        <v>37</v>
      </c>
    </row>
    <row r="1993" spans="1:6" outlineLevel="3" x14ac:dyDescent="0.25">
      <c r="A1993" s="4" t="s">
        <v>421</v>
      </c>
      <c r="B1993" t="s">
        <v>422</v>
      </c>
      <c r="C1993" t="s">
        <v>1941</v>
      </c>
      <c r="D1993" t="s">
        <v>119</v>
      </c>
      <c r="E1993" t="s">
        <v>244</v>
      </c>
      <c r="F1993" t="s">
        <v>37</v>
      </c>
    </row>
    <row r="1994" spans="1:6" outlineLevel="3" x14ac:dyDescent="0.25">
      <c r="A1994" s="4" t="s">
        <v>421</v>
      </c>
      <c r="B1994" t="s">
        <v>422</v>
      </c>
      <c r="C1994" t="s">
        <v>3669</v>
      </c>
      <c r="D1994" t="s">
        <v>437</v>
      </c>
      <c r="E1994" t="s">
        <v>244</v>
      </c>
      <c r="F1994" t="s">
        <v>37</v>
      </c>
    </row>
    <row r="1995" spans="1:6" outlineLevel="3" x14ac:dyDescent="0.25">
      <c r="A1995" s="4" t="s">
        <v>421</v>
      </c>
      <c r="B1995" t="s">
        <v>422</v>
      </c>
      <c r="C1995" t="s">
        <v>3670</v>
      </c>
      <c r="D1995" t="s">
        <v>65</v>
      </c>
      <c r="E1995" t="s">
        <v>244</v>
      </c>
      <c r="F1995" t="s">
        <v>37</v>
      </c>
    </row>
    <row r="1996" spans="1:6" outlineLevel="3" x14ac:dyDescent="0.25">
      <c r="A1996" s="4" t="s">
        <v>421</v>
      </c>
      <c r="B1996" t="s">
        <v>422</v>
      </c>
      <c r="C1996" t="s">
        <v>3671</v>
      </c>
      <c r="D1996" t="s">
        <v>437</v>
      </c>
      <c r="E1996" t="s">
        <v>244</v>
      </c>
      <c r="F1996" t="s">
        <v>37</v>
      </c>
    </row>
    <row r="1997" spans="1:6" outlineLevel="3" x14ac:dyDescent="0.25">
      <c r="A1997" s="4" t="s">
        <v>421</v>
      </c>
      <c r="B1997" t="s">
        <v>422</v>
      </c>
      <c r="C1997" t="s">
        <v>1942</v>
      </c>
      <c r="D1997" t="s">
        <v>65</v>
      </c>
      <c r="E1997" t="s">
        <v>244</v>
      </c>
      <c r="F1997" t="s">
        <v>37</v>
      </c>
    </row>
    <row r="1998" spans="1:6" outlineLevel="3" x14ac:dyDescent="0.25">
      <c r="A1998" s="4" t="s">
        <v>421</v>
      </c>
      <c r="B1998" t="s">
        <v>422</v>
      </c>
      <c r="C1998" t="s">
        <v>3672</v>
      </c>
      <c r="D1998" t="s">
        <v>202</v>
      </c>
      <c r="E1998" t="s">
        <v>244</v>
      </c>
      <c r="F1998" t="s">
        <v>37</v>
      </c>
    </row>
    <row r="1999" spans="1:6" outlineLevel="3" x14ac:dyDescent="0.25">
      <c r="A1999" s="4" t="s">
        <v>421</v>
      </c>
      <c r="B1999" t="s">
        <v>422</v>
      </c>
      <c r="C1999" t="s">
        <v>3673</v>
      </c>
      <c r="D1999" t="s">
        <v>67</v>
      </c>
      <c r="E1999" t="s">
        <v>244</v>
      </c>
      <c r="F1999" t="s">
        <v>37</v>
      </c>
    </row>
    <row r="2000" spans="1:6" outlineLevel="3" x14ac:dyDescent="0.25">
      <c r="A2000" s="4" t="s">
        <v>421</v>
      </c>
      <c r="B2000" t="s">
        <v>422</v>
      </c>
      <c r="C2000" t="s">
        <v>1943</v>
      </c>
      <c r="D2000" t="s">
        <v>202</v>
      </c>
      <c r="E2000" t="s">
        <v>244</v>
      </c>
      <c r="F2000" t="s">
        <v>37</v>
      </c>
    </row>
    <row r="2001" spans="1:6" outlineLevel="3" x14ac:dyDescent="0.25">
      <c r="A2001" s="4" t="s">
        <v>421</v>
      </c>
      <c r="B2001" t="s">
        <v>422</v>
      </c>
      <c r="C2001" t="s">
        <v>3674</v>
      </c>
      <c r="D2001" t="s">
        <v>437</v>
      </c>
      <c r="E2001" t="s">
        <v>244</v>
      </c>
      <c r="F2001" t="s">
        <v>37</v>
      </c>
    </row>
    <row r="2002" spans="1:6" outlineLevel="3" x14ac:dyDescent="0.25">
      <c r="A2002" s="4" t="s">
        <v>421</v>
      </c>
      <c r="B2002" t="s">
        <v>422</v>
      </c>
      <c r="C2002" t="s">
        <v>3675</v>
      </c>
      <c r="D2002" t="s">
        <v>202</v>
      </c>
      <c r="E2002" t="s">
        <v>244</v>
      </c>
      <c r="F2002" t="s">
        <v>37</v>
      </c>
    </row>
    <row r="2003" spans="1:6" outlineLevel="3" x14ac:dyDescent="0.25">
      <c r="A2003" s="4" t="s">
        <v>421</v>
      </c>
      <c r="B2003" t="s">
        <v>422</v>
      </c>
      <c r="C2003" t="s">
        <v>1944</v>
      </c>
      <c r="D2003" t="s">
        <v>119</v>
      </c>
      <c r="E2003" t="s">
        <v>244</v>
      </c>
      <c r="F2003" t="s">
        <v>37</v>
      </c>
    </row>
    <row r="2004" spans="1:6" outlineLevel="3" x14ac:dyDescent="0.25">
      <c r="A2004" s="4" t="s">
        <v>421</v>
      </c>
      <c r="B2004" t="s">
        <v>422</v>
      </c>
      <c r="C2004" t="s">
        <v>1945</v>
      </c>
      <c r="D2004" t="s">
        <v>437</v>
      </c>
      <c r="E2004" t="s">
        <v>244</v>
      </c>
      <c r="F2004" t="s">
        <v>37</v>
      </c>
    </row>
    <row r="2005" spans="1:6" outlineLevel="3" x14ac:dyDescent="0.25">
      <c r="A2005" s="4" t="s">
        <v>421</v>
      </c>
      <c r="B2005" t="s">
        <v>422</v>
      </c>
      <c r="C2005" t="s">
        <v>3676</v>
      </c>
      <c r="D2005" t="s">
        <v>119</v>
      </c>
      <c r="E2005" t="s">
        <v>244</v>
      </c>
      <c r="F2005" t="s">
        <v>37</v>
      </c>
    </row>
    <row r="2006" spans="1:6" outlineLevel="3" x14ac:dyDescent="0.25">
      <c r="A2006" s="4" t="s">
        <v>421</v>
      </c>
      <c r="B2006" t="s">
        <v>422</v>
      </c>
      <c r="C2006" t="s">
        <v>3677</v>
      </c>
      <c r="D2006" t="s">
        <v>437</v>
      </c>
      <c r="E2006" t="s">
        <v>244</v>
      </c>
      <c r="F2006" t="s">
        <v>37</v>
      </c>
    </row>
    <row r="2007" spans="1:6" outlineLevel="3" x14ac:dyDescent="0.25">
      <c r="A2007" s="4" t="s">
        <v>421</v>
      </c>
      <c r="B2007" t="s">
        <v>422</v>
      </c>
      <c r="C2007" t="s">
        <v>3678</v>
      </c>
      <c r="D2007" t="s">
        <v>89</v>
      </c>
      <c r="E2007" t="s">
        <v>244</v>
      </c>
      <c r="F2007" t="s">
        <v>37</v>
      </c>
    </row>
    <row r="2008" spans="1:6" outlineLevel="3" x14ac:dyDescent="0.25">
      <c r="A2008" s="4" t="s">
        <v>421</v>
      </c>
      <c r="B2008" t="s">
        <v>422</v>
      </c>
      <c r="C2008" t="s">
        <v>3679</v>
      </c>
      <c r="D2008" t="s">
        <v>437</v>
      </c>
      <c r="E2008" t="s">
        <v>244</v>
      </c>
      <c r="F2008" t="s">
        <v>37</v>
      </c>
    </row>
    <row r="2009" spans="1:6" outlineLevel="3" x14ac:dyDescent="0.25">
      <c r="A2009" s="4" t="s">
        <v>421</v>
      </c>
      <c r="B2009" t="s">
        <v>422</v>
      </c>
      <c r="C2009" t="s">
        <v>3680</v>
      </c>
      <c r="D2009" t="s">
        <v>275</v>
      </c>
      <c r="E2009" t="s">
        <v>244</v>
      </c>
      <c r="F2009" t="s">
        <v>37</v>
      </c>
    </row>
    <row r="2010" spans="1:6" outlineLevel="3" x14ac:dyDescent="0.25">
      <c r="A2010" s="4" t="s">
        <v>421</v>
      </c>
      <c r="B2010" t="s">
        <v>422</v>
      </c>
      <c r="C2010" t="s">
        <v>3681</v>
      </c>
      <c r="D2010" t="s">
        <v>437</v>
      </c>
      <c r="E2010" t="s">
        <v>244</v>
      </c>
      <c r="F2010" t="s">
        <v>37</v>
      </c>
    </row>
    <row r="2011" spans="1:6" outlineLevel="3" x14ac:dyDescent="0.25">
      <c r="A2011" s="4" t="s">
        <v>421</v>
      </c>
      <c r="B2011" t="s">
        <v>422</v>
      </c>
      <c r="C2011" t="s">
        <v>3682</v>
      </c>
      <c r="D2011" t="s">
        <v>89</v>
      </c>
      <c r="E2011" t="s">
        <v>244</v>
      </c>
      <c r="F2011" t="s">
        <v>37</v>
      </c>
    </row>
    <row r="2012" spans="1:6" outlineLevel="3" x14ac:dyDescent="0.25">
      <c r="A2012" s="4" t="s">
        <v>421</v>
      </c>
      <c r="B2012" t="s">
        <v>422</v>
      </c>
      <c r="C2012" t="s">
        <v>3683</v>
      </c>
      <c r="D2012" t="s">
        <v>126</v>
      </c>
      <c r="E2012" t="s">
        <v>244</v>
      </c>
      <c r="F2012" t="s">
        <v>37</v>
      </c>
    </row>
    <row r="2013" spans="1:6" outlineLevel="3" x14ac:dyDescent="0.25">
      <c r="A2013" s="4" t="s">
        <v>421</v>
      </c>
      <c r="B2013" t="s">
        <v>422</v>
      </c>
      <c r="C2013" t="s">
        <v>3684</v>
      </c>
      <c r="D2013" t="s">
        <v>65</v>
      </c>
      <c r="E2013" t="s">
        <v>244</v>
      </c>
      <c r="F2013" t="s">
        <v>37</v>
      </c>
    </row>
    <row r="2014" spans="1:6" outlineLevel="3" x14ac:dyDescent="0.25">
      <c r="A2014" s="4" t="s">
        <v>421</v>
      </c>
      <c r="B2014" t="s">
        <v>422</v>
      </c>
      <c r="C2014" t="s">
        <v>3685</v>
      </c>
      <c r="D2014" t="s">
        <v>165</v>
      </c>
      <c r="E2014" t="s">
        <v>244</v>
      </c>
      <c r="F2014" t="s">
        <v>37</v>
      </c>
    </row>
    <row r="2015" spans="1:6" outlineLevel="3" x14ac:dyDescent="0.25">
      <c r="A2015" s="4" t="s">
        <v>421</v>
      </c>
      <c r="B2015" t="s">
        <v>422</v>
      </c>
      <c r="C2015" t="s">
        <v>3686</v>
      </c>
      <c r="D2015" t="s">
        <v>119</v>
      </c>
      <c r="E2015" t="s">
        <v>244</v>
      </c>
      <c r="F2015" t="s">
        <v>37</v>
      </c>
    </row>
    <row r="2016" spans="1:6" outlineLevel="3" x14ac:dyDescent="0.25">
      <c r="A2016" s="4" t="s">
        <v>421</v>
      </c>
      <c r="B2016" t="s">
        <v>422</v>
      </c>
      <c r="C2016" t="s">
        <v>3687</v>
      </c>
      <c r="D2016" t="s">
        <v>165</v>
      </c>
      <c r="E2016" t="s">
        <v>244</v>
      </c>
      <c r="F2016" t="s">
        <v>37</v>
      </c>
    </row>
    <row r="2017" spans="1:6" outlineLevel="3" x14ac:dyDescent="0.25">
      <c r="A2017" s="4" t="s">
        <v>421</v>
      </c>
      <c r="B2017" t="s">
        <v>422</v>
      </c>
      <c r="C2017" t="s">
        <v>3688</v>
      </c>
      <c r="D2017" t="s">
        <v>6</v>
      </c>
      <c r="E2017" t="s">
        <v>244</v>
      </c>
      <c r="F2017" t="s">
        <v>37</v>
      </c>
    </row>
    <row r="2018" spans="1:6" outlineLevel="3" x14ac:dyDescent="0.25">
      <c r="A2018" s="4" t="s">
        <v>421</v>
      </c>
      <c r="B2018" t="s">
        <v>422</v>
      </c>
      <c r="C2018" t="s">
        <v>3689</v>
      </c>
      <c r="D2018" t="s">
        <v>202</v>
      </c>
      <c r="E2018" t="s">
        <v>244</v>
      </c>
      <c r="F2018" t="s">
        <v>37</v>
      </c>
    </row>
    <row r="2019" spans="1:6" outlineLevel="3" x14ac:dyDescent="0.25">
      <c r="A2019" s="4" t="s">
        <v>421</v>
      </c>
      <c r="B2019" t="s">
        <v>422</v>
      </c>
      <c r="C2019" t="s">
        <v>3690</v>
      </c>
      <c r="D2019" t="s">
        <v>6</v>
      </c>
      <c r="E2019" t="s">
        <v>244</v>
      </c>
      <c r="F2019" t="s">
        <v>37</v>
      </c>
    </row>
    <row r="2020" spans="1:6" outlineLevel="3" x14ac:dyDescent="0.25">
      <c r="A2020" s="4" t="s">
        <v>421</v>
      </c>
      <c r="B2020" t="s">
        <v>422</v>
      </c>
      <c r="C2020" t="s">
        <v>3691</v>
      </c>
      <c r="D2020" t="s">
        <v>202</v>
      </c>
      <c r="E2020" t="s">
        <v>244</v>
      </c>
      <c r="F2020" t="s">
        <v>37</v>
      </c>
    </row>
    <row r="2021" spans="1:6" outlineLevel="3" x14ac:dyDescent="0.25">
      <c r="A2021" s="4" t="s">
        <v>421</v>
      </c>
      <c r="B2021" t="s">
        <v>422</v>
      </c>
      <c r="C2021" t="s">
        <v>3692</v>
      </c>
      <c r="D2021" t="s">
        <v>437</v>
      </c>
      <c r="E2021" t="s">
        <v>244</v>
      </c>
      <c r="F2021" t="s">
        <v>37</v>
      </c>
    </row>
    <row r="2022" spans="1:6" outlineLevel="3" x14ac:dyDescent="0.25">
      <c r="A2022" s="4" t="s">
        <v>421</v>
      </c>
      <c r="B2022" t="s">
        <v>422</v>
      </c>
      <c r="C2022" t="s">
        <v>3693</v>
      </c>
      <c r="D2022" t="s">
        <v>437</v>
      </c>
      <c r="E2022" t="s">
        <v>244</v>
      </c>
      <c r="F2022" t="s">
        <v>37</v>
      </c>
    </row>
    <row r="2023" spans="1:6" outlineLevel="3" x14ac:dyDescent="0.25">
      <c r="A2023" s="4" t="s">
        <v>421</v>
      </c>
      <c r="B2023" t="s">
        <v>422</v>
      </c>
      <c r="C2023" t="s">
        <v>3694</v>
      </c>
      <c r="D2023" t="s">
        <v>65</v>
      </c>
      <c r="E2023" t="s">
        <v>244</v>
      </c>
      <c r="F2023" t="s">
        <v>37</v>
      </c>
    </row>
    <row r="2024" spans="1:6" outlineLevel="3" x14ac:dyDescent="0.25">
      <c r="A2024" s="4" t="s">
        <v>421</v>
      </c>
      <c r="B2024" t="s">
        <v>422</v>
      </c>
      <c r="C2024" t="s">
        <v>3695</v>
      </c>
      <c r="D2024" t="s">
        <v>6</v>
      </c>
      <c r="E2024" t="s">
        <v>244</v>
      </c>
      <c r="F2024" t="s">
        <v>37</v>
      </c>
    </row>
    <row r="2025" spans="1:6" outlineLevel="3" x14ac:dyDescent="0.25">
      <c r="A2025" s="4" t="s">
        <v>421</v>
      </c>
      <c r="B2025" t="s">
        <v>422</v>
      </c>
      <c r="C2025" t="s">
        <v>3696</v>
      </c>
      <c r="D2025" t="s">
        <v>435</v>
      </c>
      <c r="E2025" t="s">
        <v>244</v>
      </c>
      <c r="F2025" t="s">
        <v>37</v>
      </c>
    </row>
    <row r="2026" spans="1:6" outlineLevel="3" x14ac:dyDescent="0.25">
      <c r="A2026" s="4" t="s">
        <v>421</v>
      </c>
      <c r="B2026" t="s">
        <v>422</v>
      </c>
      <c r="C2026" t="s">
        <v>1946</v>
      </c>
      <c r="D2026" t="s">
        <v>165</v>
      </c>
      <c r="E2026" t="s">
        <v>244</v>
      </c>
      <c r="F2026" t="s">
        <v>37</v>
      </c>
    </row>
    <row r="2027" spans="1:6" outlineLevel="3" x14ac:dyDescent="0.25">
      <c r="A2027" s="4" t="s">
        <v>421</v>
      </c>
      <c r="B2027" t="s">
        <v>422</v>
      </c>
      <c r="C2027" t="s">
        <v>3697</v>
      </c>
      <c r="D2027" t="s">
        <v>119</v>
      </c>
      <c r="E2027" t="s">
        <v>244</v>
      </c>
      <c r="F2027" t="s">
        <v>37</v>
      </c>
    </row>
    <row r="2028" spans="1:6" outlineLevel="3" x14ac:dyDescent="0.25">
      <c r="A2028" s="4" t="s">
        <v>421</v>
      </c>
      <c r="B2028" t="s">
        <v>422</v>
      </c>
      <c r="C2028" t="s">
        <v>3698</v>
      </c>
      <c r="D2028" t="s">
        <v>165</v>
      </c>
      <c r="E2028" t="s">
        <v>244</v>
      </c>
      <c r="F2028" t="s">
        <v>37</v>
      </c>
    </row>
    <row r="2029" spans="1:6" outlineLevel="3" x14ac:dyDescent="0.25">
      <c r="A2029" s="4" t="s">
        <v>421</v>
      </c>
      <c r="B2029" t="s">
        <v>422</v>
      </c>
      <c r="C2029" t="s">
        <v>3699</v>
      </c>
      <c r="D2029" t="s">
        <v>6</v>
      </c>
      <c r="E2029" t="s">
        <v>244</v>
      </c>
      <c r="F2029" t="s">
        <v>37</v>
      </c>
    </row>
    <row r="2030" spans="1:6" outlineLevel="3" x14ac:dyDescent="0.25">
      <c r="A2030" s="4" t="s">
        <v>421</v>
      </c>
      <c r="B2030" t="s">
        <v>422</v>
      </c>
      <c r="C2030" t="s">
        <v>3700</v>
      </c>
      <c r="D2030" t="s">
        <v>165</v>
      </c>
      <c r="E2030" t="s">
        <v>244</v>
      </c>
      <c r="F2030" t="s">
        <v>37</v>
      </c>
    </row>
    <row r="2031" spans="1:6" outlineLevel="3" x14ac:dyDescent="0.25">
      <c r="A2031" s="4" t="s">
        <v>421</v>
      </c>
      <c r="B2031" t="s">
        <v>422</v>
      </c>
      <c r="C2031" t="s">
        <v>3701</v>
      </c>
      <c r="D2031" t="s">
        <v>190</v>
      </c>
      <c r="E2031" t="s">
        <v>244</v>
      </c>
      <c r="F2031" t="s">
        <v>37</v>
      </c>
    </row>
    <row r="2032" spans="1:6" outlineLevel="3" x14ac:dyDescent="0.25">
      <c r="A2032" s="4" t="s">
        <v>421</v>
      </c>
      <c r="B2032" t="s">
        <v>422</v>
      </c>
      <c r="C2032" t="s">
        <v>3702</v>
      </c>
      <c r="D2032" t="s">
        <v>6</v>
      </c>
      <c r="E2032" t="s">
        <v>244</v>
      </c>
      <c r="F2032" t="s">
        <v>37</v>
      </c>
    </row>
    <row r="2033" spans="1:6" outlineLevel="3" x14ac:dyDescent="0.25">
      <c r="A2033" s="4" t="s">
        <v>421</v>
      </c>
      <c r="B2033" t="s">
        <v>422</v>
      </c>
      <c r="C2033" t="s">
        <v>3703</v>
      </c>
      <c r="D2033" t="s">
        <v>237</v>
      </c>
      <c r="E2033" t="s">
        <v>244</v>
      </c>
      <c r="F2033" t="s">
        <v>37</v>
      </c>
    </row>
    <row r="2034" spans="1:6" outlineLevel="3" x14ac:dyDescent="0.25">
      <c r="A2034" s="4" t="s">
        <v>421</v>
      </c>
      <c r="B2034" t="s">
        <v>422</v>
      </c>
      <c r="C2034" t="s">
        <v>3704</v>
      </c>
      <c r="D2034" t="s">
        <v>6</v>
      </c>
      <c r="E2034" t="s">
        <v>244</v>
      </c>
      <c r="F2034" t="s">
        <v>37</v>
      </c>
    </row>
    <row r="2035" spans="1:6" outlineLevel="3" x14ac:dyDescent="0.25">
      <c r="A2035" s="4" t="s">
        <v>421</v>
      </c>
      <c r="B2035" t="s">
        <v>422</v>
      </c>
      <c r="C2035" t="s">
        <v>3705</v>
      </c>
      <c r="D2035" t="s">
        <v>6</v>
      </c>
      <c r="E2035" t="s">
        <v>244</v>
      </c>
      <c r="F2035" t="s">
        <v>37</v>
      </c>
    </row>
    <row r="2036" spans="1:6" outlineLevel="3" x14ac:dyDescent="0.25">
      <c r="A2036" s="4" t="s">
        <v>421</v>
      </c>
      <c r="B2036" t="s">
        <v>422</v>
      </c>
      <c r="C2036" t="s">
        <v>3706</v>
      </c>
      <c r="D2036" t="s">
        <v>67</v>
      </c>
      <c r="E2036" t="s">
        <v>244</v>
      </c>
      <c r="F2036" t="s">
        <v>37</v>
      </c>
    </row>
    <row r="2037" spans="1:6" outlineLevel="3" x14ac:dyDescent="0.25">
      <c r="A2037" s="4" t="s">
        <v>421</v>
      </c>
      <c r="B2037" t="s">
        <v>422</v>
      </c>
      <c r="C2037" t="s">
        <v>3707</v>
      </c>
      <c r="D2037" t="s">
        <v>6</v>
      </c>
      <c r="E2037" t="s">
        <v>244</v>
      </c>
      <c r="F2037" t="s">
        <v>37</v>
      </c>
    </row>
    <row r="2038" spans="1:6" outlineLevel="3" x14ac:dyDescent="0.25">
      <c r="A2038" s="4" t="s">
        <v>421</v>
      </c>
      <c r="B2038" t="s">
        <v>422</v>
      </c>
      <c r="C2038" t="s">
        <v>3708</v>
      </c>
      <c r="D2038" t="s">
        <v>67</v>
      </c>
      <c r="E2038" t="s">
        <v>244</v>
      </c>
      <c r="F2038" t="s">
        <v>37</v>
      </c>
    </row>
    <row r="2039" spans="1:6" outlineLevel="3" x14ac:dyDescent="0.25">
      <c r="A2039" s="4" t="s">
        <v>421</v>
      </c>
      <c r="B2039" t="s">
        <v>422</v>
      </c>
      <c r="C2039" t="s">
        <v>3709</v>
      </c>
      <c r="D2039" t="s">
        <v>6</v>
      </c>
      <c r="E2039" t="s">
        <v>244</v>
      </c>
      <c r="F2039" t="s">
        <v>37</v>
      </c>
    </row>
    <row r="2040" spans="1:6" outlineLevel="3" x14ac:dyDescent="0.25">
      <c r="A2040" s="4" t="s">
        <v>421</v>
      </c>
      <c r="B2040" t="s">
        <v>422</v>
      </c>
      <c r="C2040" t="s">
        <v>3710</v>
      </c>
      <c r="D2040" t="s">
        <v>237</v>
      </c>
      <c r="E2040" t="s">
        <v>244</v>
      </c>
      <c r="F2040" t="s">
        <v>37</v>
      </c>
    </row>
    <row r="2041" spans="1:6" outlineLevel="3" x14ac:dyDescent="0.25">
      <c r="A2041" s="4" t="s">
        <v>421</v>
      </c>
      <c r="B2041" t="s">
        <v>422</v>
      </c>
      <c r="C2041" t="s">
        <v>3711</v>
      </c>
      <c r="D2041" t="s">
        <v>437</v>
      </c>
      <c r="E2041" t="s">
        <v>244</v>
      </c>
      <c r="F2041" t="s">
        <v>37</v>
      </c>
    </row>
    <row r="2042" spans="1:6" outlineLevel="3" x14ac:dyDescent="0.25">
      <c r="A2042" s="4" t="s">
        <v>421</v>
      </c>
      <c r="B2042" t="s">
        <v>422</v>
      </c>
      <c r="C2042" t="s">
        <v>3712</v>
      </c>
      <c r="D2042" t="s">
        <v>78</v>
      </c>
      <c r="E2042" t="s">
        <v>244</v>
      </c>
      <c r="F2042" t="s">
        <v>37</v>
      </c>
    </row>
    <row r="2043" spans="1:6" outlineLevel="3" x14ac:dyDescent="0.25">
      <c r="A2043" s="4" t="s">
        <v>421</v>
      </c>
      <c r="B2043" t="s">
        <v>422</v>
      </c>
      <c r="C2043" t="s">
        <v>3713</v>
      </c>
      <c r="D2043" t="s">
        <v>437</v>
      </c>
      <c r="E2043" t="s">
        <v>244</v>
      </c>
      <c r="F2043" t="s">
        <v>37</v>
      </c>
    </row>
    <row r="2044" spans="1:6" outlineLevel="3" x14ac:dyDescent="0.25">
      <c r="A2044" s="4" t="s">
        <v>421</v>
      </c>
      <c r="B2044" t="s">
        <v>422</v>
      </c>
      <c r="C2044" t="s">
        <v>3714</v>
      </c>
      <c r="D2044" t="s">
        <v>65</v>
      </c>
      <c r="E2044" t="s">
        <v>244</v>
      </c>
      <c r="F2044" t="s">
        <v>37</v>
      </c>
    </row>
    <row r="2045" spans="1:6" outlineLevel="3" x14ac:dyDescent="0.25">
      <c r="A2045" s="4" t="s">
        <v>421</v>
      </c>
      <c r="B2045" t="s">
        <v>422</v>
      </c>
      <c r="C2045" t="s">
        <v>3715</v>
      </c>
      <c r="D2045" t="s">
        <v>437</v>
      </c>
      <c r="E2045" t="s">
        <v>244</v>
      </c>
      <c r="F2045" t="s">
        <v>37</v>
      </c>
    </row>
    <row r="2046" spans="1:6" outlineLevel="3" x14ac:dyDescent="0.25">
      <c r="A2046" s="4" t="s">
        <v>421</v>
      </c>
      <c r="B2046" t="s">
        <v>422</v>
      </c>
      <c r="C2046" t="s">
        <v>3716</v>
      </c>
      <c r="D2046" t="s">
        <v>76</v>
      </c>
      <c r="E2046" t="s">
        <v>244</v>
      </c>
      <c r="F2046" t="s">
        <v>37</v>
      </c>
    </row>
    <row r="2047" spans="1:6" outlineLevel="3" x14ac:dyDescent="0.25">
      <c r="A2047" s="4" t="s">
        <v>421</v>
      </c>
      <c r="B2047" t="s">
        <v>422</v>
      </c>
      <c r="C2047" t="s">
        <v>3717</v>
      </c>
      <c r="D2047" t="s">
        <v>202</v>
      </c>
      <c r="E2047" t="s">
        <v>244</v>
      </c>
      <c r="F2047" t="s">
        <v>37</v>
      </c>
    </row>
    <row r="2048" spans="1:6" outlineLevel="3" x14ac:dyDescent="0.25">
      <c r="A2048" s="4" t="s">
        <v>421</v>
      </c>
      <c r="B2048" t="s">
        <v>422</v>
      </c>
      <c r="C2048" t="s">
        <v>3718</v>
      </c>
      <c r="D2048" t="s">
        <v>437</v>
      </c>
      <c r="E2048" t="s">
        <v>244</v>
      </c>
      <c r="F2048" t="s">
        <v>37</v>
      </c>
    </row>
    <row r="2049" spans="1:6" outlineLevel="3" x14ac:dyDescent="0.25">
      <c r="A2049" s="4" t="s">
        <v>421</v>
      </c>
      <c r="B2049" t="s">
        <v>422</v>
      </c>
      <c r="C2049" t="s">
        <v>3719</v>
      </c>
      <c r="D2049" t="s">
        <v>119</v>
      </c>
      <c r="E2049" t="s">
        <v>244</v>
      </c>
      <c r="F2049" t="s">
        <v>37</v>
      </c>
    </row>
    <row r="2050" spans="1:6" outlineLevel="3" x14ac:dyDescent="0.25">
      <c r="A2050" s="4" t="s">
        <v>421</v>
      </c>
      <c r="B2050" t="s">
        <v>422</v>
      </c>
      <c r="C2050" t="s">
        <v>3720</v>
      </c>
      <c r="D2050" t="s">
        <v>44</v>
      </c>
      <c r="E2050" t="s">
        <v>244</v>
      </c>
      <c r="F2050" t="s">
        <v>37</v>
      </c>
    </row>
    <row r="2051" spans="1:6" outlineLevel="3" x14ac:dyDescent="0.25">
      <c r="A2051" s="4" t="s">
        <v>421</v>
      </c>
      <c r="B2051" t="s">
        <v>422</v>
      </c>
      <c r="C2051" t="s">
        <v>1947</v>
      </c>
      <c r="D2051" t="s">
        <v>202</v>
      </c>
      <c r="E2051" t="s">
        <v>244</v>
      </c>
      <c r="F2051" t="s">
        <v>37</v>
      </c>
    </row>
    <row r="2052" spans="1:6" outlineLevel="3" x14ac:dyDescent="0.25">
      <c r="A2052" s="4" t="s">
        <v>421</v>
      </c>
      <c r="B2052" t="s">
        <v>422</v>
      </c>
      <c r="C2052" t="s">
        <v>3721</v>
      </c>
      <c r="D2052" t="s">
        <v>211</v>
      </c>
      <c r="E2052" t="s">
        <v>244</v>
      </c>
      <c r="F2052" t="s">
        <v>37</v>
      </c>
    </row>
    <row r="2053" spans="1:6" outlineLevel="3" x14ac:dyDescent="0.25">
      <c r="A2053" s="4" t="s">
        <v>421</v>
      </c>
      <c r="B2053" t="s">
        <v>422</v>
      </c>
      <c r="C2053" t="s">
        <v>3722</v>
      </c>
      <c r="D2053" t="s">
        <v>202</v>
      </c>
      <c r="E2053" t="s">
        <v>244</v>
      </c>
      <c r="F2053" t="s">
        <v>37</v>
      </c>
    </row>
    <row r="2054" spans="1:6" outlineLevel="3" x14ac:dyDescent="0.25">
      <c r="A2054" s="4" t="s">
        <v>421</v>
      </c>
      <c r="B2054" t="s">
        <v>422</v>
      </c>
      <c r="C2054" t="s">
        <v>3723</v>
      </c>
      <c r="D2054" t="s">
        <v>237</v>
      </c>
      <c r="E2054" t="s">
        <v>244</v>
      </c>
      <c r="F2054" t="s">
        <v>37</v>
      </c>
    </row>
    <row r="2055" spans="1:6" outlineLevel="3" x14ac:dyDescent="0.25">
      <c r="A2055" s="4" t="s">
        <v>421</v>
      </c>
      <c r="B2055" t="s">
        <v>422</v>
      </c>
      <c r="C2055" t="s">
        <v>3724</v>
      </c>
      <c r="D2055" t="s">
        <v>202</v>
      </c>
      <c r="E2055" t="s">
        <v>244</v>
      </c>
      <c r="F2055" t="s">
        <v>37</v>
      </c>
    </row>
    <row r="2056" spans="1:6" outlineLevel="3" x14ac:dyDescent="0.25">
      <c r="A2056" s="4" t="s">
        <v>421</v>
      </c>
      <c r="B2056" t="s">
        <v>422</v>
      </c>
      <c r="C2056" t="s">
        <v>3725</v>
      </c>
      <c r="D2056" t="s">
        <v>44</v>
      </c>
      <c r="E2056" t="s">
        <v>244</v>
      </c>
      <c r="F2056" t="s">
        <v>37</v>
      </c>
    </row>
    <row r="2057" spans="1:6" outlineLevel="3" x14ac:dyDescent="0.25">
      <c r="A2057" s="4" t="s">
        <v>421</v>
      </c>
      <c r="B2057" t="s">
        <v>422</v>
      </c>
      <c r="C2057" t="s">
        <v>1780</v>
      </c>
      <c r="D2057" t="s">
        <v>202</v>
      </c>
      <c r="E2057" t="s">
        <v>244</v>
      </c>
      <c r="F2057" t="s">
        <v>37</v>
      </c>
    </row>
    <row r="2058" spans="1:6" outlineLevel="3" x14ac:dyDescent="0.25">
      <c r="A2058" s="4" t="s">
        <v>421</v>
      </c>
      <c r="B2058" t="s">
        <v>422</v>
      </c>
      <c r="C2058" t="s">
        <v>1781</v>
      </c>
      <c r="D2058" t="s">
        <v>237</v>
      </c>
      <c r="E2058" t="s">
        <v>244</v>
      </c>
      <c r="F2058" t="s">
        <v>37</v>
      </c>
    </row>
    <row r="2059" spans="1:6" outlineLevel="3" x14ac:dyDescent="0.25">
      <c r="A2059" s="4" t="s">
        <v>421</v>
      </c>
      <c r="B2059" t="s">
        <v>422</v>
      </c>
      <c r="C2059" t="s">
        <v>1948</v>
      </c>
      <c r="D2059" t="s">
        <v>165</v>
      </c>
      <c r="E2059" t="s">
        <v>244</v>
      </c>
      <c r="F2059" t="s">
        <v>37</v>
      </c>
    </row>
    <row r="2060" spans="1:6" outlineLevel="3" x14ac:dyDescent="0.25">
      <c r="A2060" s="4" t="s">
        <v>421</v>
      </c>
      <c r="B2060" t="s">
        <v>422</v>
      </c>
      <c r="C2060" t="s">
        <v>3726</v>
      </c>
      <c r="D2060" t="s">
        <v>76</v>
      </c>
      <c r="E2060" t="s">
        <v>244</v>
      </c>
      <c r="F2060" t="s">
        <v>37</v>
      </c>
    </row>
    <row r="2061" spans="1:6" outlineLevel="3" x14ac:dyDescent="0.25">
      <c r="A2061" s="4" t="s">
        <v>421</v>
      </c>
      <c r="B2061" t="s">
        <v>422</v>
      </c>
      <c r="C2061" t="s">
        <v>1949</v>
      </c>
      <c r="D2061" t="s">
        <v>437</v>
      </c>
      <c r="E2061" t="s">
        <v>244</v>
      </c>
      <c r="F2061" t="s">
        <v>37</v>
      </c>
    </row>
    <row r="2062" spans="1:6" outlineLevel="3" x14ac:dyDescent="0.25">
      <c r="A2062" s="4" t="s">
        <v>421</v>
      </c>
      <c r="B2062" t="s">
        <v>422</v>
      </c>
      <c r="C2062" t="s">
        <v>3727</v>
      </c>
      <c r="D2062" t="s">
        <v>76</v>
      </c>
      <c r="E2062" t="s">
        <v>244</v>
      </c>
      <c r="F2062" t="s">
        <v>37</v>
      </c>
    </row>
    <row r="2063" spans="1:6" outlineLevel="3" x14ac:dyDescent="0.25">
      <c r="A2063" s="4" t="s">
        <v>421</v>
      </c>
      <c r="B2063" t="s">
        <v>422</v>
      </c>
      <c r="C2063" t="s">
        <v>3728</v>
      </c>
      <c r="D2063" t="s">
        <v>202</v>
      </c>
      <c r="E2063" t="s">
        <v>244</v>
      </c>
      <c r="F2063" t="s">
        <v>37</v>
      </c>
    </row>
    <row r="2064" spans="1:6" outlineLevel="3" x14ac:dyDescent="0.25">
      <c r="A2064" s="4" t="s">
        <v>421</v>
      </c>
      <c r="B2064" t="s">
        <v>422</v>
      </c>
      <c r="C2064" t="s">
        <v>3729</v>
      </c>
      <c r="D2064" t="s">
        <v>124</v>
      </c>
      <c r="E2064" t="s">
        <v>244</v>
      </c>
      <c r="F2064" t="s">
        <v>37</v>
      </c>
    </row>
    <row r="2065" spans="1:6" outlineLevel="3" x14ac:dyDescent="0.25">
      <c r="A2065" s="4" t="s">
        <v>421</v>
      </c>
      <c r="B2065" t="s">
        <v>422</v>
      </c>
      <c r="C2065" t="s">
        <v>1950</v>
      </c>
      <c r="D2065" t="s">
        <v>202</v>
      </c>
      <c r="E2065" t="s">
        <v>244</v>
      </c>
      <c r="F2065" t="s">
        <v>37</v>
      </c>
    </row>
    <row r="2066" spans="1:6" outlineLevel="3" x14ac:dyDescent="0.25">
      <c r="A2066" s="4" t="s">
        <v>421</v>
      </c>
      <c r="B2066" t="s">
        <v>422</v>
      </c>
      <c r="C2066" t="s">
        <v>3730</v>
      </c>
      <c r="D2066" t="s">
        <v>6</v>
      </c>
      <c r="E2066" t="s">
        <v>244</v>
      </c>
      <c r="F2066" t="s">
        <v>37</v>
      </c>
    </row>
    <row r="2067" spans="1:6" outlineLevel="3" x14ac:dyDescent="0.25">
      <c r="A2067" s="4" t="s">
        <v>421</v>
      </c>
      <c r="B2067" t="s">
        <v>422</v>
      </c>
      <c r="C2067" t="s">
        <v>3731</v>
      </c>
      <c r="D2067" t="s">
        <v>202</v>
      </c>
      <c r="E2067" t="s">
        <v>244</v>
      </c>
      <c r="F2067" t="s">
        <v>37</v>
      </c>
    </row>
    <row r="2068" spans="1:6" outlineLevel="3" x14ac:dyDescent="0.25">
      <c r="A2068" s="4" t="s">
        <v>421</v>
      </c>
      <c r="B2068" t="s">
        <v>422</v>
      </c>
      <c r="C2068" t="s">
        <v>3732</v>
      </c>
      <c r="D2068" t="s">
        <v>119</v>
      </c>
      <c r="E2068" t="s">
        <v>244</v>
      </c>
      <c r="F2068" t="s">
        <v>37</v>
      </c>
    </row>
    <row r="2069" spans="1:6" outlineLevel="3" x14ac:dyDescent="0.25">
      <c r="A2069" s="4" t="s">
        <v>421</v>
      </c>
      <c r="B2069" t="s">
        <v>422</v>
      </c>
      <c r="C2069" t="s">
        <v>3733</v>
      </c>
      <c r="D2069" t="s">
        <v>202</v>
      </c>
      <c r="E2069" t="s">
        <v>244</v>
      </c>
      <c r="F2069" t="s">
        <v>37</v>
      </c>
    </row>
    <row r="2070" spans="1:6" outlineLevel="3" x14ac:dyDescent="0.25">
      <c r="A2070" s="4" t="s">
        <v>421</v>
      </c>
      <c r="B2070" t="s">
        <v>422</v>
      </c>
      <c r="C2070" t="s">
        <v>3734</v>
      </c>
      <c r="D2070" t="s">
        <v>76</v>
      </c>
      <c r="E2070" t="s">
        <v>244</v>
      </c>
      <c r="F2070" t="s">
        <v>37</v>
      </c>
    </row>
    <row r="2071" spans="1:6" outlineLevel="3" x14ac:dyDescent="0.25">
      <c r="A2071" s="4" t="s">
        <v>421</v>
      </c>
      <c r="B2071" t="s">
        <v>422</v>
      </c>
      <c r="C2071" t="s">
        <v>3735</v>
      </c>
      <c r="D2071" t="s">
        <v>202</v>
      </c>
      <c r="E2071" t="s">
        <v>244</v>
      </c>
      <c r="F2071" t="s">
        <v>37</v>
      </c>
    </row>
    <row r="2072" spans="1:6" outlineLevel="3" x14ac:dyDescent="0.25">
      <c r="A2072" s="4" t="s">
        <v>421</v>
      </c>
      <c r="B2072" t="s">
        <v>422</v>
      </c>
      <c r="C2072" t="s">
        <v>3736</v>
      </c>
      <c r="D2072" t="s">
        <v>76</v>
      </c>
      <c r="E2072" t="s">
        <v>244</v>
      </c>
      <c r="F2072" t="s">
        <v>37</v>
      </c>
    </row>
    <row r="2073" spans="1:6" outlineLevel="3" x14ac:dyDescent="0.25">
      <c r="A2073" s="4" t="s">
        <v>421</v>
      </c>
      <c r="B2073" t="s">
        <v>422</v>
      </c>
      <c r="C2073" t="s">
        <v>3737</v>
      </c>
      <c r="D2073" t="s">
        <v>165</v>
      </c>
      <c r="E2073" t="s">
        <v>244</v>
      </c>
      <c r="F2073" t="s">
        <v>37</v>
      </c>
    </row>
    <row r="2074" spans="1:6" outlineLevel="3" x14ac:dyDescent="0.25">
      <c r="A2074" s="4" t="s">
        <v>421</v>
      </c>
      <c r="B2074" t="s">
        <v>422</v>
      </c>
      <c r="C2074" t="s">
        <v>3738</v>
      </c>
      <c r="D2074" t="s">
        <v>76</v>
      </c>
      <c r="E2074" t="s">
        <v>244</v>
      </c>
      <c r="F2074" t="s">
        <v>37</v>
      </c>
    </row>
    <row r="2075" spans="1:6" outlineLevel="3" x14ac:dyDescent="0.25">
      <c r="A2075" s="4" t="s">
        <v>421</v>
      </c>
      <c r="B2075" t="s">
        <v>422</v>
      </c>
      <c r="C2075" t="s">
        <v>3739</v>
      </c>
      <c r="D2075" t="s">
        <v>13</v>
      </c>
      <c r="E2075" t="s">
        <v>244</v>
      </c>
      <c r="F2075" t="s">
        <v>37</v>
      </c>
    </row>
    <row r="2076" spans="1:6" outlineLevel="3" x14ac:dyDescent="0.25">
      <c r="A2076" s="4" t="s">
        <v>421</v>
      </c>
      <c r="B2076" t="s">
        <v>422</v>
      </c>
      <c r="C2076" t="s">
        <v>3740</v>
      </c>
      <c r="D2076" t="s">
        <v>76</v>
      </c>
      <c r="E2076" t="s">
        <v>244</v>
      </c>
      <c r="F2076" t="s">
        <v>37</v>
      </c>
    </row>
    <row r="2077" spans="1:6" outlineLevel="3" x14ac:dyDescent="0.25">
      <c r="A2077" s="4" t="s">
        <v>421</v>
      </c>
      <c r="B2077" t="s">
        <v>422</v>
      </c>
      <c r="C2077" t="s">
        <v>3741</v>
      </c>
      <c r="D2077" t="s">
        <v>437</v>
      </c>
      <c r="E2077" t="s">
        <v>244</v>
      </c>
      <c r="F2077" t="s">
        <v>37</v>
      </c>
    </row>
    <row r="2078" spans="1:6" outlineLevel="3" x14ac:dyDescent="0.25">
      <c r="A2078" s="4" t="s">
        <v>421</v>
      </c>
      <c r="B2078" t="s">
        <v>422</v>
      </c>
      <c r="C2078" t="s">
        <v>3742</v>
      </c>
      <c r="D2078" t="s">
        <v>76</v>
      </c>
      <c r="E2078" t="s">
        <v>244</v>
      </c>
      <c r="F2078" t="s">
        <v>37</v>
      </c>
    </row>
    <row r="2079" spans="1:6" outlineLevel="3" x14ac:dyDescent="0.25">
      <c r="A2079" s="4" t="s">
        <v>421</v>
      </c>
      <c r="B2079" t="s">
        <v>422</v>
      </c>
      <c r="C2079" t="s">
        <v>3743</v>
      </c>
      <c r="D2079" t="s">
        <v>6</v>
      </c>
      <c r="E2079" t="s">
        <v>244</v>
      </c>
      <c r="F2079" t="s">
        <v>37</v>
      </c>
    </row>
    <row r="2080" spans="1:6" outlineLevel="3" x14ac:dyDescent="0.25">
      <c r="A2080" s="4" t="s">
        <v>421</v>
      </c>
      <c r="B2080" t="s">
        <v>422</v>
      </c>
      <c r="C2080" t="s">
        <v>3744</v>
      </c>
      <c r="D2080" t="s">
        <v>65</v>
      </c>
      <c r="E2080" t="s">
        <v>244</v>
      </c>
      <c r="F2080" t="s">
        <v>37</v>
      </c>
    </row>
    <row r="2081" spans="1:6" outlineLevel="3" x14ac:dyDescent="0.25">
      <c r="A2081" s="4" t="s">
        <v>421</v>
      </c>
      <c r="B2081" t="s">
        <v>422</v>
      </c>
      <c r="C2081" t="s">
        <v>3745</v>
      </c>
      <c r="D2081" t="s">
        <v>6</v>
      </c>
      <c r="E2081" t="s">
        <v>244</v>
      </c>
      <c r="F2081" t="s">
        <v>37</v>
      </c>
    </row>
    <row r="2082" spans="1:6" outlineLevel="3" x14ac:dyDescent="0.25">
      <c r="A2082" s="4" t="s">
        <v>421</v>
      </c>
      <c r="B2082" t="s">
        <v>422</v>
      </c>
      <c r="C2082" t="s">
        <v>3746</v>
      </c>
      <c r="D2082" t="s">
        <v>89</v>
      </c>
      <c r="E2082" t="s">
        <v>244</v>
      </c>
      <c r="F2082" t="s">
        <v>37</v>
      </c>
    </row>
    <row r="2083" spans="1:6" outlineLevel="3" x14ac:dyDescent="0.25">
      <c r="A2083" s="4" t="s">
        <v>421</v>
      </c>
      <c r="B2083" t="s">
        <v>422</v>
      </c>
      <c r="C2083" t="s">
        <v>3747</v>
      </c>
      <c r="D2083" t="s">
        <v>6</v>
      </c>
      <c r="E2083" t="s">
        <v>244</v>
      </c>
      <c r="F2083" t="s">
        <v>37</v>
      </c>
    </row>
    <row r="2084" spans="1:6" outlineLevel="3" x14ac:dyDescent="0.25">
      <c r="A2084" s="4" t="s">
        <v>421</v>
      </c>
      <c r="B2084" t="s">
        <v>422</v>
      </c>
      <c r="C2084" t="s">
        <v>3748</v>
      </c>
      <c r="D2084" t="s">
        <v>124</v>
      </c>
      <c r="E2084" t="s">
        <v>244</v>
      </c>
      <c r="F2084" t="s">
        <v>37</v>
      </c>
    </row>
    <row r="2085" spans="1:6" outlineLevel="3" x14ac:dyDescent="0.25">
      <c r="A2085" s="4" t="s">
        <v>421</v>
      </c>
      <c r="B2085" t="s">
        <v>422</v>
      </c>
      <c r="C2085" t="s">
        <v>3749</v>
      </c>
      <c r="D2085" t="s">
        <v>202</v>
      </c>
      <c r="E2085" t="s">
        <v>244</v>
      </c>
      <c r="F2085" t="s">
        <v>37</v>
      </c>
    </row>
    <row r="2086" spans="1:6" outlineLevel="3" x14ac:dyDescent="0.25">
      <c r="A2086" s="4" t="s">
        <v>421</v>
      </c>
      <c r="B2086" t="s">
        <v>422</v>
      </c>
      <c r="C2086" t="s">
        <v>3750</v>
      </c>
      <c r="D2086" t="s">
        <v>76</v>
      </c>
      <c r="E2086" t="s">
        <v>244</v>
      </c>
      <c r="F2086" t="s">
        <v>37</v>
      </c>
    </row>
    <row r="2087" spans="1:6" outlineLevel="3" x14ac:dyDescent="0.25">
      <c r="A2087" s="4" t="s">
        <v>421</v>
      </c>
      <c r="B2087" t="s">
        <v>422</v>
      </c>
      <c r="C2087" t="s">
        <v>3751</v>
      </c>
      <c r="D2087" t="s">
        <v>165</v>
      </c>
      <c r="E2087" t="s">
        <v>244</v>
      </c>
      <c r="F2087" t="s">
        <v>37</v>
      </c>
    </row>
    <row r="2088" spans="1:6" outlineLevel="3" x14ac:dyDescent="0.25">
      <c r="A2088" s="4" t="s">
        <v>421</v>
      </c>
      <c r="B2088" t="s">
        <v>422</v>
      </c>
      <c r="C2088" t="s">
        <v>3752</v>
      </c>
      <c r="D2088" t="s">
        <v>65</v>
      </c>
      <c r="E2088" t="s">
        <v>244</v>
      </c>
      <c r="F2088" t="s">
        <v>37</v>
      </c>
    </row>
    <row r="2089" spans="1:6" outlineLevel="3" x14ac:dyDescent="0.25">
      <c r="A2089" s="4" t="s">
        <v>421</v>
      </c>
      <c r="B2089" t="s">
        <v>422</v>
      </c>
      <c r="C2089" t="s">
        <v>3753</v>
      </c>
      <c r="D2089" t="s">
        <v>6</v>
      </c>
      <c r="E2089" t="s">
        <v>244</v>
      </c>
      <c r="F2089" t="s">
        <v>37</v>
      </c>
    </row>
    <row r="2090" spans="1:6" outlineLevel="3" x14ac:dyDescent="0.25">
      <c r="A2090" s="4" t="s">
        <v>421</v>
      </c>
      <c r="B2090" t="s">
        <v>422</v>
      </c>
      <c r="C2090" t="s">
        <v>3754</v>
      </c>
      <c r="D2090" t="s">
        <v>103</v>
      </c>
      <c r="E2090" t="s">
        <v>244</v>
      </c>
      <c r="F2090" t="s">
        <v>37</v>
      </c>
    </row>
    <row r="2091" spans="1:6" outlineLevel="3" x14ac:dyDescent="0.25">
      <c r="A2091" s="4" t="s">
        <v>421</v>
      </c>
      <c r="B2091" t="s">
        <v>422</v>
      </c>
      <c r="C2091" t="s">
        <v>1951</v>
      </c>
      <c r="D2091" t="s">
        <v>165</v>
      </c>
      <c r="E2091" t="s">
        <v>244</v>
      </c>
      <c r="F2091" t="s">
        <v>37</v>
      </c>
    </row>
    <row r="2092" spans="1:6" outlineLevel="3" x14ac:dyDescent="0.25">
      <c r="A2092" s="4" t="s">
        <v>421</v>
      </c>
      <c r="B2092" t="s">
        <v>422</v>
      </c>
      <c r="C2092" t="s">
        <v>1952</v>
      </c>
      <c r="D2092" t="s">
        <v>63</v>
      </c>
      <c r="E2092" t="s">
        <v>244</v>
      </c>
      <c r="F2092" t="s">
        <v>37</v>
      </c>
    </row>
    <row r="2093" spans="1:6" outlineLevel="3" x14ac:dyDescent="0.25">
      <c r="A2093" s="4" t="s">
        <v>421</v>
      </c>
      <c r="B2093" t="s">
        <v>422</v>
      </c>
      <c r="C2093" t="s">
        <v>3755</v>
      </c>
      <c r="D2093" t="s">
        <v>437</v>
      </c>
      <c r="E2093" t="s">
        <v>244</v>
      </c>
      <c r="F2093" t="s">
        <v>37</v>
      </c>
    </row>
    <row r="2094" spans="1:6" outlineLevel="3" x14ac:dyDescent="0.25">
      <c r="A2094" s="4" t="s">
        <v>421</v>
      </c>
      <c r="B2094" t="s">
        <v>422</v>
      </c>
      <c r="C2094" t="s">
        <v>3756</v>
      </c>
      <c r="D2094" t="s">
        <v>435</v>
      </c>
      <c r="E2094" t="s">
        <v>244</v>
      </c>
      <c r="F2094" t="s">
        <v>37</v>
      </c>
    </row>
    <row r="2095" spans="1:6" outlineLevel="3" x14ac:dyDescent="0.25">
      <c r="A2095" s="4" t="s">
        <v>421</v>
      </c>
      <c r="B2095" t="s">
        <v>422</v>
      </c>
      <c r="C2095" t="s">
        <v>1953</v>
      </c>
      <c r="D2095" t="s">
        <v>6</v>
      </c>
      <c r="E2095" t="s">
        <v>244</v>
      </c>
      <c r="F2095" t="s">
        <v>37</v>
      </c>
    </row>
    <row r="2096" spans="1:6" outlineLevel="3" x14ac:dyDescent="0.25">
      <c r="A2096" s="4" t="s">
        <v>421</v>
      </c>
      <c r="B2096" t="s">
        <v>422</v>
      </c>
      <c r="C2096" t="s">
        <v>3757</v>
      </c>
      <c r="D2096" t="s">
        <v>65</v>
      </c>
      <c r="E2096" t="s">
        <v>244</v>
      </c>
      <c r="F2096" t="s">
        <v>37</v>
      </c>
    </row>
    <row r="2097" spans="1:6" outlineLevel="3" x14ac:dyDescent="0.25">
      <c r="A2097" s="4" t="s">
        <v>421</v>
      </c>
      <c r="B2097" t="s">
        <v>422</v>
      </c>
      <c r="C2097" t="s">
        <v>3758</v>
      </c>
      <c r="D2097" t="s">
        <v>6</v>
      </c>
      <c r="E2097" t="s">
        <v>244</v>
      </c>
      <c r="F2097" t="s">
        <v>37</v>
      </c>
    </row>
    <row r="2098" spans="1:6" outlineLevel="3" x14ac:dyDescent="0.25">
      <c r="A2098" s="4" t="s">
        <v>421</v>
      </c>
      <c r="B2098" t="s">
        <v>422</v>
      </c>
      <c r="C2098" t="s">
        <v>3759</v>
      </c>
      <c r="D2098" t="s">
        <v>147</v>
      </c>
      <c r="E2098" t="s">
        <v>244</v>
      </c>
      <c r="F2098" t="s">
        <v>37</v>
      </c>
    </row>
    <row r="2099" spans="1:6" outlineLevel="3" x14ac:dyDescent="0.25">
      <c r="A2099" s="4" t="s">
        <v>421</v>
      </c>
      <c r="B2099" t="s">
        <v>422</v>
      </c>
      <c r="C2099" t="s">
        <v>3760</v>
      </c>
      <c r="D2099" t="s">
        <v>165</v>
      </c>
      <c r="E2099" t="s">
        <v>244</v>
      </c>
      <c r="F2099" t="s">
        <v>37</v>
      </c>
    </row>
    <row r="2100" spans="1:6" outlineLevel="3" x14ac:dyDescent="0.25">
      <c r="A2100" s="4" t="s">
        <v>421</v>
      </c>
      <c r="B2100" t="s">
        <v>422</v>
      </c>
      <c r="C2100" t="s">
        <v>3761</v>
      </c>
      <c r="D2100" t="s">
        <v>147</v>
      </c>
      <c r="E2100" t="s">
        <v>244</v>
      </c>
      <c r="F2100" t="s">
        <v>37</v>
      </c>
    </row>
    <row r="2101" spans="1:6" outlineLevel="3" x14ac:dyDescent="0.25">
      <c r="A2101" s="4" t="s">
        <v>421</v>
      </c>
      <c r="B2101" t="s">
        <v>422</v>
      </c>
      <c r="C2101" t="s">
        <v>3762</v>
      </c>
      <c r="D2101" t="s">
        <v>202</v>
      </c>
      <c r="E2101" t="s">
        <v>244</v>
      </c>
      <c r="F2101" t="s">
        <v>37</v>
      </c>
    </row>
    <row r="2102" spans="1:6" outlineLevel="3" x14ac:dyDescent="0.25">
      <c r="A2102" s="4" t="s">
        <v>421</v>
      </c>
      <c r="B2102" t="s">
        <v>422</v>
      </c>
      <c r="C2102" t="s">
        <v>3763</v>
      </c>
      <c r="D2102" t="s">
        <v>76</v>
      </c>
      <c r="E2102" t="s">
        <v>244</v>
      </c>
      <c r="F2102" t="s">
        <v>37</v>
      </c>
    </row>
    <row r="2103" spans="1:6" outlineLevel="3" x14ac:dyDescent="0.25">
      <c r="A2103" s="4" t="s">
        <v>421</v>
      </c>
      <c r="B2103" t="s">
        <v>422</v>
      </c>
      <c r="C2103" t="s">
        <v>3764</v>
      </c>
      <c r="D2103" t="s">
        <v>126</v>
      </c>
      <c r="E2103" t="s">
        <v>244</v>
      </c>
      <c r="F2103" t="s">
        <v>37</v>
      </c>
    </row>
    <row r="2104" spans="1:6" outlineLevel="3" x14ac:dyDescent="0.25">
      <c r="A2104" s="4" t="s">
        <v>421</v>
      </c>
      <c r="B2104" t="s">
        <v>422</v>
      </c>
      <c r="C2104" t="s">
        <v>3765</v>
      </c>
      <c r="D2104" t="s">
        <v>437</v>
      </c>
      <c r="E2104" t="s">
        <v>244</v>
      </c>
      <c r="F2104" t="s">
        <v>37</v>
      </c>
    </row>
    <row r="2105" spans="1:6" outlineLevel="3" x14ac:dyDescent="0.25">
      <c r="A2105" s="4" t="s">
        <v>421</v>
      </c>
      <c r="B2105" t="s">
        <v>422</v>
      </c>
      <c r="C2105" t="s">
        <v>3766</v>
      </c>
      <c r="D2105" t="s">
        <v>202</v>
      </c>
      <c r="E2105" t="s">
        <v>244</v>
      </c>
      <c r="F2105" t="s">
        <v>37</v>
      </c>
    </row>
    <row r="2106" spans="1:6" outlineLevel="3" x14ac:dyDescent="0.25">
      <c r="A2106" s="4" t="s">
        <v>421</v>
      </c>
      <c r="B2106" t="s">
        <v>422</v>
      </c>
      <c r="C2106" t="s">
        <v>1954</v>
      </c>
      <c r="D2106" t="s">
        <v>237</v>
      </c>
      <c r="E2106" t="s">
        <v>244</v>
      </c>
      <c r="F2106" t="s">
        <v>37</v>
      </c>
    </row>
    <row r="2107" spans="1:6" outlineLevel="3" x14ac:dyDescent="0.25">
      <c r="A2107" s="4" t="s">
        <v>421</v>
      </c>
      <c r="B2107" t="s">
        <v>422</v>
      </c>
      <c r="C2107" t="s">
        <v>3767</v>
      </c>
      <c r="D2107" t="s">
        <v>437</v>
      </c>
      <c r="E2107" t="s">
        <v>244</v>
      </c>
      <c r="F2107" t="s">
        <v>37</v>
      </c>
    </row>
    <row r="2108" spans="1:6" outlineLevel="3" x14ac:dyDescent="0.25">
      <c r="A2108" s="4" t="s">
        <v>421</v>
      </c>
      <c r="B2108" t="s">
        <v>422</v>
      </c>
      <c r="C2108" t="s">
        <v>3768</v>
      </c>
      <c r="D2108" t="s">
        <v>67</v>
      </c>
      <c r="E2108" t="s">
        <v>244</v>
      </c>
      <c r="F2108" t="s">
        <v>37</v>
      </c>
    </row>
    <row r="2109" spans="1:6" outlineLevel="3" x14ac:dyDescent="0.25">
      <c r="A2109" s="4" t="s">
        <v>421</v>
      </c>
      <c r="B2109" t="s">
        <v>422</v>
      </c>
      <c r="C2109" t="s">
        <v>3769</v>
      </c>
      <c r="D2109" t="s">
        <v>165</v>
      </c>
      <c r="E2109" t="s">
        <v>244</v>
      </c>
      <c r="F2109" t="s">
        <v>37</v>
      </c>
    </row>
    <row r="2110" spans="1:6" outlineLevel="3" x14ac:dyDescent="0.25">
      <c r="A2110" s="4" t="s">
        <v>421</v>
      </c>
      <c r="B2110" t="s">
        <v>422</v>
      </c>
      <c r="C2110" t="s">
        <v>3770</v>
      </c>
      <c r="D2110" t="s">
        <v>76</v>
      </c>
      <c r="E2110" t="s">
        <v>244</v>
      </c>
      <c r="F2110" t="s">
        <v>37</v>
      </c>
    </row>
    <row r="2111" spans="1:6" outlineLevel="3" x14ac:dyDescent="0.25">
      <c r="A2111" s="4" t="s">
        <v>421</v>
      </c>
      <c r="B2111" t="s">
        <v>422</v>
      </c>
      <c r="C2111" t="s">
        <v>3771</v>
      </c>
      <c r="D2111" t="s">
        <v>126</v>
      </c>
      <c r="E2111" t="s">
        <v>244</v>
      </c>
      <c r="F2111" t="s">
        <v>37</v>
      </c>
    </row>
    <row r="2112" spans="1:6" outlineLevel="3" x14ac:dyDescent="0.25">
      <c r="A2112" s="4" t="s">
        <v>421</v>
      </c>
      <c r="B2112" t="s">
        <v>422</v>
      </c>
      <c r="C2112" t="s">
        <v>3772</v>
      </c>
      <c r="D2112" t="s">
        <v>202</v>
      </c>
      <c r="E2112" t="s">
        <v>244</v>
      </c>
      <c r="F2112" t="s">
        <v>37</v>
      </c>
    </row>
    <row r="2113" spans="1:6" outlineLevel="3" x14ac:dyDescent="0.25">
      <c r="A2113" s="4" t="s">
        <v>421</v>
      </c>
      <c r="B2113" t="s">
        <v>422</v>
      </c>
      <c r="C2113" t="s">
        <v>3773</v>
      </c>
      <c r="D2113" t="s">
        <v>165</v>
      </c>
      <c r="E2113" t="s">
        <v>244</v>
      </c>
      <c r="F2113" t="s">
        <v>37</v>
      </c>
    </row>
    <row r="2114" spans="1:6" outlineLevel="3" x14ac:dyDescent="0.25">
      <c r="A2114" s="4" t="s">
        <v>421</v>
      </c>
      <c r="B2114" t="s">
        <v>422</v>
      </c>
      <c r="C2114" t="s">
        <v>3774</v>
      </c>
      <c r="D2114" t="s">
        <v>147</v>
      </c>
      <c r="E2114" t="s">
        <v>244</v>
      </c>
      <c r="F2114" t="s">
        <v>37</v>
      </c>
    </row>
    <row r="2115" spans="1:6" outlineLevel="3" x14ac:dyDescent="0.25">
      <c r="A2115" s="4" t="s">
        <v>421</v>
      </c>
      <c r="B2115" t="s">
        <v>422</v>
      </c>
      <c r="C2115" t="s">
        <v>3775</v>
      </c>
      <c r="D2115" t="s">
        <v>13</v>
      </c>
      <c r="E2115" t="s">
        <v>244</v>
      </c>
      <c r="F2115" t="s">
        <v>37</v>
      </c>
    </row>
    <row r="2116" spans="1:6" outlineLevel="3" x14ac:dyDescent="0.25">
      <c r="A2116" s="4" t="s">
        <v>421</v>
      </c>
      <c r="B2116" t="s">
        <v>422</v>
      </c>
      <c r="C2116" t="s">
        <v>3776</v>
      </c>
      <c r="D2116" t="s">
        <v>437</v>
      </c>
      <c r="E2116" t="s">
        <v>244</v>
      </c>
      <c r="F2116" t="s">
        <v>37</v>
      </c>
    </row>
    <row r="2117" spans="1:6" outlineLevel="3" x14ac:dyDescent="0.25">
      <c r="A2117" s="4" t="s">
        <v>421</v>
      </c>
      <c r="B2117" t="s">
        <v>422</v>
      </c>
      <c r="C2117" t="s">
        <v>3777</v>
      </c>
      <c r="D2117" t="s">
        <v>13</v>
      </c>
      <c r="E2117" t="s">
        <v>244</v>
      </c>
      <c r="F2117" t="s">
        <v>37</v>
      </c>
    </row>
    <row r="2118" spans="1:6" outlineLevel="3" x14ac:dyDescent="0.25">
      <c r="A2118" s="4" t="s">
        <v>421</v>
      </c>
      <c r="B2118" t="s">
        <v>422</v>
      </c>
      <c r="C2118" t="s">
        <v>3778</v>
      </c>
      <c r="D2118" t="s">
        <v>202</v>
      </c>
      <c r="E2118" t="s">
        <v>244</v>
      </c>
      <c r="F2118" t="s">
        <v>37</v>
      </c>
    </row>
    <row r="2119" spans="1:6" outlineLevel="3" x14ac:dyDescent="0.25">
      <c r="A2119" s="4" t="s">
        <v>421</v>
      </c>
      <c r="B2119" t="s">
        <v>422</v>
      </c>
      <c r="C2119" t="s">
        <v>3779</v>
      </c>
      <c r="D2119" t="s">
        <v>165</v>
      </c>
      <c r="E2119" t="s">
        <v>244</v>
      </c>
      <c r="F2119" t="s">
        <v>37</v>
      </c>
    </row>
    <row r="2120" spans="1:6" outlineLevel="3" x14ac:dyDescent="0.25">
      <c r="A2120" s="4" t="s">
        <v>421</v>
      </c>
      <c r="B2120" t="s">
        <v>422</v>
      </c>
      <c r="C2120" t="s">
        <v>3780</v>
      </c>
      <c r="D2120" t="s">
        <v>119</v>
      </c>
      <c r="E2120" t="s">
        <v>244</v>
      </c>
      <c r="F2120" t="s">
        <v>37</v>
      </c>
    </row>
    <row r="2121" spans="1:6" outlineLevel="3" x14ac:dyDescent="0.25">
      <c r="A2121" s="4" t="s">
        <v>421</v>
      </c>
      <c r="B2121" t="s">
        <v>422</v>
      </c>
      <c r="C2121" t="s">
        <v>3781</v>
      </c>
      <c r="D2121" t="s">
        <v>165</v>
      </c>
      <c r="E2121" t="s">
        <v>244</v>
      </c>
      <c r="F2121" t="s">
        <v>37</v>
      </c>
    </row>
    <row r="2122" spans="1:6" outlineLevel="3" x14ac:dyDescent="0.25">
      <c r="A2122" s="4" t="s">
        <v>421</v>
      </c>
      <c r="B2122" t="s">
        <v>422</v>
      </c>
      <c r="C2122" t="s">
        <v>1955</v>
      </c>
      <c r="D2122" t="s">
        <v>6</v>
      </c>
      <c r="E2122" t="s">
        <v>244</v>
      </c>
      <c r="F2122" t="s">
        <v>37</v>
      </c>
    </row>
    <row r="2123" spans="1:6" outlineLevel="3" x14ac:dyDescent="0.25">
      <c r="A2123" s="4" t="s">
        <v>421</v>
      </c>
      <c r="B2123" t="s">
        <v>422</v>
      </c>
      <c r="C2123" t="s">
        <v>1956</v>
      </c>
      <c r="D2123" t="s">
        <v>202</v>
      </c>
      <c r="E2123" t="s">
        <v>244</v>
      </c>
      <c r="F2123" t="s">
        <v>37</v>
      </c>
    </row>
    <row r="2124" spans="1:6" outlineLevel="3" x14ac:dyDescent="0.25">
      <c r="A2124" s="4" t="s">
        <v>421</v>
      </c>
      <c r="B2124" t="s">
        <v>422</v>
      </c>
      <c r="C2124" t="s">
        <v>3782</v>
      </c>
      <c r="D2124" t="s">
        <v>6</v>
      </c>
      <c r="E2124" t="s">
        <v>244</v>
      </c>
      <c r="F2124" t="s">
        <v>37</v>
      </c>
    </row>
    <row r="2125" spans="1:6" outlineLevel="3" x14ac:dyDescent="0.25">
      <c r="A2125" s="4" t="s">
        <v>421</v>
      </c>
      <c r="B2125" t="s">
        <v>422</v>
      </c>
      <c r="C2125" t="s">
        <v>3783</v>
      </c>
      <c r="D2125" t="s">
        <v>202</v>
      </c>
      <c r="E2125" t="s">
        <v>244</v>
      </c>
      <c r="F2125" t="s">
        <v>37</v>
      </c>
    </row>
    <row r="2126" spans="1:6" outlineLevel="3" x14ac:dyDescent="0.25">
      <c r="A2126" s="4" t="s">
        <v>421</v>
      </c>
      <c r="B2126" t="s">
        <v>422</v>
      </c>
      <c r="C2126" t="s">
        <v>3784</v>
      </c>
      <c r="D2126" t="s">
        <v>65</v>
      </c>
      <c r="E2126" t="s">
        <v>244</v>
      </c>
      <c r="F2126" t="s">
        <v>37</v>
      </c>
    </row>
    <row r="2127" spans="1:6" outlineLevel="3" x14ac:dyDescent="0.25">
      <c r="A2127" s="4" t="s">
        <v>421</v>
      </c>
      <c r="B2127" t="s">
        <v>422</v>
      </c>
      <c r="C2127" t="s">
        <v>3785</v>
      </c>
      <c r="D2127" t="s">
        <v>202</v>
      </c>
      <c r="E2127" t="s">
        <v>244</v>
      </c>
      <c r="F2127" t="s">
        <v>37</v>
      </c>
    </row>
    <row r="2128" spans="1:6" outlineLevel="3" x14ac:dyDescent="0.25">
      <c r="A2128" s="4" t="s">
        <v>421</v>
      </c>
      <c r="B2128" t="s">
        <v>422</v>
      </c>
      <c r="C2128" t="s">
        <v>3786</v>
      </c>
      <c r="D2128" t="s">
        <v>119</v>
      </c>
      <c r="E2128" t="s">
        <v>244</v>
      </c>
      <c r="F2128" t="s">
        <v>37</v>
      </c>
    </row>
    <row r="2129" spans="1:6" outlineLevel="3" x14ac:dyDescent="0.25">
      <c r="A2129" s="4" t="s">
        <v>421</v>
      </c>
      <c r="B2129" t="s">
        <v>422</v>
      </c>
      <c r="C2129" t="s">
        <v>3787</v>
      </c>
      <c r="D2129" t="s">
        <v>13</v>
      </c>
      <c r="E2129" t="s">
        <v>244</v>
      </c>
      <c r="F2129" t="s">
        <v>37</v>
      </c>
    </row>
    <row r="2130" spans="1:6" outlineLevel="3" x14ac:dyDescent="0.25">
      <c r="A2130" s="4" t="s">
        <v>421</v>
      </c>
      <c r="B2130" t="s">
        <v>422</v>
      </c>
      <c r="C2130" t="s">
        <v>3788</v>
      </c>
      <c r="D2130" t="s">
        <v>190</v>
      </c>
      <c r="E2130" t="s">
        <v>244</v>
      </c>
      <c r="F2130" t="s">
        <v>37</v>
      </c>
    </row>
    <row r="2131" spans="1:6" outlineLevel="3" x14ac:dyDescent="0.25">
      <c r="A2131" s="4" t="s">
        <v>421</v>
      </c>
      <c r="B2131" t="s">
        <v>422</v>
      </c>
      <c r="C2131" t="s">
        <v>3789</v>
      </c>
      <c r="D2131" t="s">
        <v>165</v>
      </c>
      <c r="E2131" t="s">
        <v>244</v>
      </c>
      <c r="F2131" t="s">
        <v>37</v>
      </c>
    </row>
    <row r="2132" spans="1:6" outlineLevel="3" x14ac:dyDescent="0.25">
      <c r="A2132" s="4" t="s">
        <v>421</v>
      </c>
      <c r="B2132" t="s">
        <v>422</v>
      </c>
      <c r="C2132" t="s">
        <v>1957</v>
      </c>
      <c r="D2132" t="s">
        <v>44</v>
      </c>
      <c r="E2132" t="s">
        <v>244</v>
      </c>
      <c r="F2132" t="s">
        <v>37</v>
      </c>
    </row>
    <row r="2133" spans="1:6" outlineLevel="3" x14ac:dyDescent="0.25">
      <c r="A2133" s="4" t="s">
        <v>421</v>
      </c>
      <c r="B2133" t="s">
        <v>422</v>
      </c>
      <c r="C2133" t="s">
        <v>3790</v>
      </c>
      <c r="D2133" t="s">
        <v>165</v>
      </c>
      <c r="E2133" t="s">
        <v>244</v>
      </c>
      <c r="F2133" t="s">
        <v>37</v>
      </c>
    </row>
    <row r="2134" spans="1:6" outlineLevel="3" x14ac:dyDescent="0.25">
      <c r="A2134" s="4" t="s">
        <v>421</v>
      </c>
      <c r="B2134" t="s">
        <v>422</v>
      </c>
      <c r="C2134" t="s">
        <v>3791</v>
      </c>
      <c r="D2134" t="s">
        <v>437</v>
      </c>
      <c r="E2134" t="s">
        <v>244</v>
      </c>
      <c r="F2134" t="s">
        <v>37</v>
      </c>
    </row>
    <row r="2135" spans="1:6" outlineLevel="3" x14ac:dyDescent="0.25">
      <c r="A2135" s="4" t="s">
        <v>421</v>
      </c>
      <c r="B2135" t="s">
        <v>422</v>
      </c>
      <c r="C2135" t="s">
        <v>3792</v>
      </c>
      <c r="D2135" t="s">
        <v>202</v>
      </c>
      <c r="E2135" t="s">
        <v>244</v>
      </c>
      <c r="F2135" t="s">
        <v>37</v>
      </c>
    </row>
    <row r="2136" spans="1:6" outlineLevel="3" x14ac:dyDescent="0.25">
      <c r="A2136" s="4" t="s">
        <v>421</v>
      </c>
      <c r="B2136" t="s">
        <v>422</v>
      </c>
      <c r="C2136" t="s">
        <v>3793</v>
      </c>
      <c r="D2136" t="s">
        <v>119</v>
      </c>
      <c r="E2136" t="s">
        <v>244</v>
      </c>
      <c r="F2136" t="s">
        <v>37</v>
      </c>
    </row>
    <row r="2137" spans="1:6" outlineLevel="3" x14ac:dyDescent="0.25">
      <c r="A2137" s="4" t="s">
        <v>421</v>
      </c>
      <c r="B2137" t="s">
        <v>422</v>
      </c>
      <c r="C2137" t="s">
        <v>3794</v>
      </c>
      <c r="D2137" t="s">
        <v>13</v>
      </c>
      <c r="E2137" t="s">
        <v>244</v>
      </c>
      <c r="F2137" t="s">
        <v>37</v>
      </c>
    </row>
    <row r="2138" spans="1:6" outlineLevel="3" x14ac:dyDescent="0.25">
      <c r="A2138" s="4" t="s">
        <v>421</v>
      </c>
      <c r="B2138" t="s">
        <v>422</v>
      </c>
      <c r="C2138" t="s">
        <v>3795</v>
      </c>
      <c r="D2138" t="s">
        <v>6</v>
      </c>
      <c r="E2138" t="s">
        <v>244</v>
      </c>
      <c r="F2138" t="s">
        <v>37</v>
      </c>
    </row>
    <row r="2139" spans="1:6" outlineLevel="3" x14ac:dyDescent="0.25">
      <c r="A2139" s="4" t="s">
        <v>421</v>
      </c>
      <c r="B2139" t="s">
        <v>422</v>
      </c>
      <c r="C2139" t="s">
        <v>3796</v>
      </c>
      <c r="D2139" t="s">
        <v>13</v>
      </c>
      <c r="E2139" t="s">
        <v>244</v>
      </c>
      <c r="F2139" t="s">
        <v>37</v>
      </c>
    </row>
    <row r="2140" spans="1:6" outlineLevel="3" x14ac:dyDescent="0.25">
      <c r="A2140" s="4" t="s">
        <v>421</v>
      </c>
      <c r="B2140" t="s">
        <v>422</v>
      </c>
      <c r="C2140" t="s">
        <v>3797</v>
      </c>
      <c r="D2140" t="s">
        <v>437</v>
      </c>
      <c r="E2140" t="s">
        <v>244</v>
      </c>
      <c r="F2140" t="s">
        <v>37</v>
      </c>
    </row>
    <row r="2141" spans="1:6" outlineLevel="3" x14ac:dyDescent="0.25">
      <c r="A2141" s="4" t="s">
        <v>421</v>
      </c>
      <c r="B2141" t="s">
        <v>422</v>
      </c>
      <c r="C2141" t="s">
        <v>1958</v>
      </c>
      <c r="D2141" t="s">
        <v>165</v>
      </c>
      <c r="E2141" t="s">
        <v>244</v>
      </c>
      <c r="F2141" t="s">
        <v>37</v>
      </c>
    </row>
    <row r="2142" spans="1:6" outlineLevel="3" x14ac:dyDescent="0.25">
      <c r="A2142" s="4" t="s">
        <v>421</v>
      </c>
      <c r="B2142" t="s">
        <v>422</v>
      </c>
      <c r="C2142" t="s">
        <v>3798</v>
      </c>
      <c r="D2142" t="s">
        <v>76</v>
      </c>
      <c r="E2142" t="s">
        <v>244</v>
      </c>
      <c r="F2142" t="s">
        <v>37</v>
      </c>
    </row>
    <row r="2143" spans="1:6" outlineLevel="3" x14ac:dyDescent="0.25">
      <c r="A2143" s="4" t="s">
        <v>421</v>
      </c>
      <c r="B2143" t="s">
        <v>422</v>
      </c>
      <c r="C2143" t="s">
        <v>3799</v>
      </c>
      <c r="D2143" t="s">
        <v>202</v>
      </c>
      <c r="E2143" t="s">
        <v>244</v>
      </c>
      <c r="F2143" t="s">
        <v>37</v>
      </c>
    </row>
    <row r="2144" spans="1:6" outlineLevel="3" x14ac:dyDescent="0.25">
      <c r="A2144" s="4" t="s">
        <v>421</v>
      </c>
      <c r="B2144" t="s">
        <v>422</v>
      </c>
      <c r="C2144" t="s">
        <v>3800</v>
      </c>
      <c r="D2144" t="s">
        <v>44</v>
      </c>
      <c r="E2144" t="s">
        <v>244</v>
      </c>
      <c r="F2144" t="s">
        <v>37</v>
      </c>
    </row>
    <row r="2145" spans="1:6" outlineLevel="3" x14ac:dyDescent="0.25">
      <c r="A2145" s="4" t="s">
        <v>421</v>
      </c>
      <c r="B2145" t="s">
        <v>422</v>
      </c>
      <c r="C2145" t="s">
        <v>3801</v>
      </c>
      <c r="D2145" t="s">
        <v>202</v>
      </c>
      <c r="E2145" t="s">
        <v>244</v>
      </c>
      <c r="F2145" t="s">
        <v>37</v>
      </c>
    </row>
    <row r="2146" spans="1:6" outlineLevel="3" x14ac:dyDescent="0.25">
      <c r="A2146" s="4" t="s">
        <v>421</v>
      </c>
      <c r="B2146" t="s">
        <v>422</v>
      </c>
      <c r="C2146" t="s">
        <v>3802</v>
      </c>
      <c r="D2146" t="s">
        <v>437</v>
      </c>
      <c r="E2146" t="s">
        <v>244</v>
      </c>
      <c r="F2146" t="s">
        <v>37</v>
      </c>
    </row>
    <row r="2147" spans="1:6" outlineLevel="3" x14ac:dyDescent="0.25">
      <c r="A2147" s="4" t="s">
        <v>421</v>
      </c>
      <c r="B2147" t="s">
        <v>422</v>
      </c>
      <c r="C2147" t="s">
        <v>3803</v>
      </c>
      <c r="D2147" t="s">
        <v>165</v>
      </c>
      <c r="E2147" t="s">
        <v>244</v>
      </c>
      <c r="F2147" t="s">
        <v>37</v>
      </c>
    </row>
    <row r="2148" spans="1:6" outlineLevel="3" x14ac:dyDescent="0.25">
      <c r="A2148" s="4" t="s">
        <v>421</v>
      </c>
      <c r="B2148" t="s">
        <v>422</v>
      </c>
      <c r="C2148" t="s">
        <v>3804</v>
      </c>
      <c r="D2148" t="s">
        <v>437</v>
      </c>
      <c r="E2148" t="s">
        <v>244</v>
      </c>
      <c r="F2148" t="s">
        <v>37</v>
      </c>
    </row>
    <row r="2149" spans="1:6" outlineLevel="3" x14ac:dyDescent="0.25">
      <c r="A2149" s="4" t="s">
        <v>421</v>
      </c>
      <c r="B2149" t="s">
        <v>422</v>
      </c>
      <c r="C2149" t="s">
        <v>3805</v>
      </c>
      <c r="D2149" t="s">
        <v>437</v>
      </c>
      <c r="E2149" t="s">
        <v>244</v>
      </c>
      <c r="F2149" t="s">
        <v>37</v>
      </c>
    </row>
    <row r="2150" spans="1:6" outlineLevel="3" x14ac:dyDescent="0.25">
      <c r="A2150" s="4" t="s">
        <v>421</v>
      </c>
      <c r="B2150" t="s">
        <v>422</v>
      </c>
      <c r="C2150" t="s">
        <v>3806</v>
      </c>
      <c r="D2150" t="s">
        <v>139</v>
      </c>
      <c r="E2150" t="s">
        <v>244</v>
      </c>
      <c r="F2150" t="s">
        <v>37</v>
      </c>
    </row>
    <row r="2151" spans="1:6" outlineLevel="3" x14ac:dyDescent="0.25">
      <c r="A2151" s="4" t="s">
        <v>421</v>
      </c>
      <c r="B2151" t="s">
        <v>422</v>
      </c>
      <c r="C2151" t="s">
        <v>1959</v>
      </c>
      <c r="D2151" t="s">
        <v>13</v>
      </c>
      <c r="E2151" t="s">
        <v>244</v>
      </c>
      <c r="F2151" t="s">
        <v>37</v>
      </c>
    </row>
    <row r="2152" spans="1:6" outlineLevel="3" x14ac:dyDescent="0.25">
      <c r="A2152" s="4" t="s">
        <v>421</v>
      </c>
      <c r="B2152" t="s">
        <v>422</v>
      </c>
      <c r="C2152" t="s">
        <v>3807</v>
      </c>
      <c r="D2152" t="s">
        <v>435</v>
      </c>
      <c r="E2152" t="s">
        <v>244</v>
      </c>
      <c r="F2152" t="s">
        <v>37</v>
      </c>
    </row>
    <row r="2153" spans="1:6" outlineLevel="3" x14ac:dyDescent="0.25">
      <c r="A2153" s="4" t="s">
        <v>421</v>
      </c>
      <c r="B2153" t="s">
        <v>422</v>
      </c>
      <c r="C2153" t="s">
        <v>3808</v>
      </c>
      <c r="D2153" t="s">
        <v>126</v>
      </c>
      <c r="E2153" t="s">
        <v>244</v>
      </c>
      <c r="F2153" t="s">
        <v>37</v>
      </c>
    </row>
    <row r="2154" spans="1:6" outlineLevel="3" x14ac:dyDescent="0.25">
      <c r="A2154" s="4" t="s">
        <v>421</v>
      </c>
      <c r="B2154" t="s">
        <v>422</v>
      </c>
      <c r="C2154" t="s">
        <v>3809</v>
      </c>
      <c r="D2154" t="s">
        <v>13</v>
      </c>
      <c r="E2154" t="s">
        <v>244</v>
      </c>
      <c r="F2154" t="s">
        <v>37</v>
      </c>
    </row>
    <row r="2155" spans="1:6" outlineLevel="3" x14ac:dyDescent="0.25">
      <c r="A2155" s="4" t="s">
        <v>421</v>
      </c>
      <c r="B2155" t="s">
        <v>422</v>
      </c>
      <c r="C2155" t="s">
        <v>3810</v>
      </c>
      <c r="D2155" t="s">
        <v>13</v>
      </c>
      <c r="E2155" t="s">
        <v>244</v>
      </c>
      <c r="F2155" t="s">
        <v>37</v>
      </c>
    </row>
    <row r="2156" spans="1:6" outlineLevel="3" x14ac:dyDescent="0.25">
      <c r="A2156" s="4" t="s">
        <v>421</v>
      </c>
      <c r="B2156" t="s">
        <v>422</v>
      </c>
      <c r="C2156" t="s">
        <v>3811</v>
      </c>
      <c r="D2156" t="s">
        <v>124</v>
      </c>
      <c r="E2156" t="s">
        <v>244</v>
      </c>
      <c r="F2156" t="s">
        <v>37</v>
      </c>
    </row>
    <row r="2157" spans="1:6" outlineLevel="3" x14ac:dyDescent="0.25">
      <c r="A2157" s="4" t="s">
        <v>421</v>
      </c>
      <c r="B2157" t="s">
        <v>422</v>
      </c>
      <c r="C2157" t="s">
        <v>1960</v>
      </c>
      <c r="D2157" t="s">
        <v>13</v>
      </c>
      <c r="E2157" t="s">
        <v>244</v>
      </c>
      <c r="F2157" t="s">
        <v>37</v>
      </c>
    </row>
    <row r="2158" spans="1:6" outlineLevel="3" x14ac:dyDescent="0.25">
      <c r="A2158" s="4" t="s">
        <v>421</v>
      </c>
      <c r="B2158" t="s">
        <v>422</v>
      </c>
      <c r="C2158" t="s">
        <v>1961</v>
      </c>
      <c r="D2158" t="s">
        <v>6</v>
      </c>
      <c r="E2158" t="s">
        <v>244</v>
      </c>
      <c r="F2158" t="s">
        <v>37</v>
      </c>
    </row>
    <row r="2159" spans="1:6" outlineLevel="3" x14ac:dyDescent="0.25">
      <c r="A2159" s="4" t="s">
        <v>421</v>
      </c>
      <c r="B2159" t="s">
        <v>422</v>
      </c>
      <c r="C2159" t="s">
        <v>3812</v>
      </c>
      <c r="D2159" t="s">
        <v>165</v>
      </c>
      <c r="E2159" t="s">
        <v>244</v>
      </c>
      <c r="F2159" t="s">
        <v>37</v>
      </c>
    </row>
    <row r="2160" spans="1:6" outlineLevel="3" x14ac:dyDescent="0.25">
      <c r="A2160" s="4" t="s">
        <v>421</v>
      </c>
      <c r="B2160" t="s">
        <v>422</v>
      </c>
      <c r="C2160" t="s">
        <v>1962</v>
      </c>
      <c r="D2160" t="s">
        <v>124</v>
      </c>
      <c r="E2160" t="s">
        <v>244</v>
      </c>
      <c r="F2160" t="s">
        <v>37</v>
      </c>
    </row>
    <row r="2161" spans="1:6" outlineLevel="3" x14ac:dyDescent="0.25">
      <c r="A2161" s="4" t="s">
        <v>421</v>
      </c>
      <c r="B2161" t="s">
        <v>422</v>
      </c>
      <c r="C2161" t="s">
        <v>3813</v>
      </c>
      <c r="D2161" t="s">
        <v>165</v>
      </c>
      <c r="E2161" t="s">
        <v>244</v>
      </c>
      <c r="F2161" t="s">
        <v>37</v>
      </c>
    </row>
    <row r="2162" spans="1:6" outlineLevel="3" x14ac:dyDescent="0.25">
      <c r="A2162" s="4" t="s">
        <v>421</v>
      </c>
      <c r="B2162" t="s">
        <v>422</v>
      </c>
      <c r="C2162" t="s">
        <v>1963</v>
      </c>
      <c r="D2162" t="s">
        <v>6</v>
      </c>
      <c r="E2162" t="s">
        <v>244</v>
      </c>
      <c r="F2162" t="s">
        <v>37</v>
      </c>
    </row>
    <row r="2163" spans="1:6" outlineLevel="3" x14ac:dyDescent="0.25">
      <c r="A2163" s="4" t="s">
        <v>421</v>
      </c>
      <c r="B2163" t="s">
        <v>422</v>
      </c>
      <c r="C2163" t="s">
        <v>3814</v>
      </c>
      <c r="D2163" t="s">
        <v>119</v>
      </c>
      <c r="E2163" t="s">
        <v>244</v>
      </c>
      <c r="F2163" t="s">
        <v>37</v>
      </c>
    </row>
    <row r="2164" spans="1:6" outlineLevel="3" x14ac:dyDescent="0.25">
      <c r="A2164" s="4" t="s">
        <v>421</v>
      </c>
      <c r="B2164" t="s">
        <v>422</v>
      </c>
      <c r="C2164" t="s">
        <v>3815</v>
      </c>
      <c r="D2164" t="s">
        <v>119</v>
      </c>
      <c r="E2164" t="s">
        <v>244</v>
      </c>
      <c r="F2164" t="s">
        <v>37</v>
      </c>
    </row>
    <row r="2165" spans="1:6" outlineLevel="3" x14ac:dyDescent="0.25">
      <c r="A2165" s="4" t="s">
        <v>421</v>
      </c>
      <c r="B2165" t="s">
        <v>422</v>
      </c>
      <c r="C2165" t="s">
        <v>3816</v>
      </c>
      <c r="D2165" t="s">
        <v>437</v>
      </c>
      <c r="E2165" t="s">
        <v>244</v>
      </c>
      <c r="F2165" t="s">
        <v>37</v>
      </c>
    </row>
    <row r="2166" spans="1:6" outlineLevel="3" x14ac:dyDescent="0.25">
      <c r="A2166" s="4" t="s">
        <v>421</v>
      </c>
      <c r="B2166" t="s">
        <v>422</v>
      </c>
      <c r="C2166" t="s">
        <v>3817</v>
      </c>
      <c r="D2166" t="s">
        <v>103</v>
      </c>
      <c r="E2166" t="s">
        <v>244</v>
      </c>
      <c r="F2166" t="s">
        <v>37</v>
      </c>
    </row>
    <row r="2167" spans="1:6" outlineLevel="3" x14ac:dyDescent="0.25">
      <c r="A2167" s="4" t="s">
        <v>421</v>
      </c>
      <c r="B2167" t="s">
        <v>422</v>
      </c>
      <c r="C2167" t="s">
        <v>3818</v>
      </c>
      <c r="D2167" t="s">
        <v>13</v>
      </c>
      <c r="E2167" t="s">
        <v>244</v>
      </c>
      <c r="F2167" t="s">
        <v>37</v>
      </c>
    </row>
    <row r="2168" spans="1:6" outlineLevel="3" x14ac:dyDescent="0.25">
      <c r="A2168" s="4" t="s">
        <v>421</v>
      </c>
      <c r="B2168" t="s">
        <v>422</v>
      </c>
      <c r="C2168" t="s">
        <v>1964</v>
      </c>
      <c r="D2168" t="s">
        <v>65</v>
      </c>
      <c r="E2168" t="s">
        <v>244</v>
      </c>
      <c r="F2168" t="s">
        <v>37</v>
      </c>
    </row>
    <row r="2169" spans="1:6" outlineLevel="3" x14ac:dyDescent="0.25">
      <c r="A2169" s="4" t="s">
        <v>421</v>
      </c>
      <c r="B2169" t="s">
        <v>422</v>
      </c>
      <c r="C2169" t="s">
        <v>1728</v>
      </c>
      <c r="D2169" t="s">
        <v>13</v>
      </c>
      <c r="E2169" t="s">
        <v>244</v>
      </c>
      <c r="F2169" t="s">
        <v>37</v>
      </c>
    </row>
    <row r="2170" spans="1:6" outlineLevel="3" x14ac:dyDescent="0.25">
      <c r="A2170" s="4" t="s">
        <v>421</v>
      </c>
      <c r="B2170" t="s">
        <v>422</v>
      </c>
      <c r="C2170" t="s">
        <v>3819</v>
      </c>
      <c r="D2170" t="s">
        <v>165</v>
      </c>
      <c r="E2170" t="s">
        <v>244</v>
      </c>
      <c r="F2170" t="s">
        <v>37</v>
      </c>
    </row>
    <row r="2171" spans="1:6" outlineLevel="3" x14ac:dyDescent="0.25">
      <c r="A2171" s="4" t="s">
        <v>421</v>
      </c>
      <c r="B2171" t="s">
        <v>422</v>
      </c>
      <c r="C2171" t="s">
        <v>3820</v>
      </c>
      <c r="D2171" t="s">
        <v>13</v>
      </c>
      <c r="E2171" t="s">
        <v>244</v>
      </c>
      <c r="F2171" t="s">
        <v>37</v>
      </c>
    </row>
    <row r="2172" spans="1:6" outlineLevel="3" x14ac:dyDescent="0.25">
      <c r="A2172" s="4" t="s">
        <v>421</v>
      </c>
      <c r="B2172" t="s">
        <v>422</v>
      </c>
      <c r="C2172" t="s">
        <v>3821</v>
      </c>
      <c r="D2172" t="s">
        <v>437</v>
      </c>
      <c r="E2172" t="s">
        <v>244</v>
      </c>
      <c r="F2172" t="s">
        <v>37</v>
      </c>
    </row>
    <row r="2173" spans="1:6" outlineLevel="3" x14ac:dyDescent="0.25">
      <c r="A2173" s="4" t="s">
        <v>421</v>
      </c>
      <c r="B2173" t="s">
        <v>422</v>
      </c>
      <c r="C2173" t="s">
        <v>1965</v>
      </c>
      <c r="D2173" t="s">
        <v>13</v>
      </c>
      <c r="E2173" t="s">
        <v>244</v>
      </c>
      <c r="F2173" t="s">
        <v>37</v>
      </c>
    </row>
    <row r="2174" spans="1:6" outlineLevel="3" x14ac:dyDescent="0.25">
      <c r="A2174" s="4" t="s">
        <v>421</v>
      </c>
      <c r="B2174" t="s">
        <v>422</v>
      </c>
      <c r="C2174" t="s">
        <v>3822</v>
      </c>
      <c r="D2174" t="s">
        <v>13</v>
      </c>
      <c r="E2174" t="s">
        <v>244</v>
      </c>
      <c r="F2174" t="s">
        <v>37</v>
      </c>
    </row>
    <row r="2175" spans="1:6" outlineLevel="3" x14ac:dyDescent="0.25">
      <c r="A2175" s="4" t="s">
        <v>421</v>
      </c>
      <c r="B2175" t="s">
        <v>422</v>
      </c>
      <c r="C2175" t="s">
        <v>3823</v>
      </c>
      <c r="D2175" t="s">
        <v>13</v>
      </c>
      <c r="E2175" t="s">
        <v>244</v>
      </c>
      <c r="F2175" t="s">
        <v>37</v>
      </c>
    </row>
    <row r="2176" spans="1:6" outlineLevel="3" x14ac:dyDescent="0.25">
      <c r="A2176" s="4" t="s">
        <v>421</v>
      </c>
      <c r="B2176" t="s">
        <v>422</v>
      </c>
      <c r="C2176" t="s">
        <v>3824</v>
      </c>
      <c r="D2176" t="s">
        <v>202</v>
      </c>
      <c r="E2176" t="s">
        <v>244</v>
      </c>
      <c r="F2176" t="s">
        <v>37</v>
      </c>
    </row>
    <row r="2177" spans="1:6" outlineLevel="3" x14ac:dyDescent="0.25">
      <c r="A2177" s="4" t="s">
        <v>421</v>
      </c>
      <c r="B2177" t="s">
        <v>422</v>
      </c>
      <c r="C2177" t="s">
        <v>3825</v>
      </c>
      <c r="D2177" t="s">
        <v>13</v>
      </c>
      <c r="E2177" t="s">
        <v>244</v>
      </c>
      <c r="F2177" t="s">
        <v>37</v>
      </c>
    </row>
    <row r="2178" spans="1:6" outlineLevel="3" x14ac:dyDescent="0.25">
      <c r="A2178" s="4" t="s">
        <v>421</v>
      </c>
      <c r="B2178" t="s">
        <v>422</v>
      </c>
      <c r="C2178" t="s">
        <v>3826</v>
      </c>
      <c r="D2178" t="s">
        <v>67</v>
      </c>
      <c r="E2178" t="s">
        <v>244</v>
      </c>
      <c r="F2178" t="s">
        <v>37</v>
      </c>
    </row>
    <row r="2179" spans="1:6" outlineLevel="3" x14ac:dyDescent="0.25">
      <c r="A2179" s="4" t="s">
        <v>421</v>
      </c>
      <c r="B2179" t="s">
        <v>422</v>
      </c>
      <c r="C2179" t="s">
        <v>3827</v>
      </c>
      <c r="D2179" t="s">
        <v>13</v>
      </c>
      <c r="E2179" t="s">
        <v>244</v>
      </c>
      <c r="F2179" t="s">
        <v>37</v>
      </c>
    </row>
    <row r="2180" spans="1:6" outlineLevel="3" x14ac:dyDescent="0.25">
      <c r="A2180" s="4" t="s">
        <v>421</v>
      </c>
      <c r="B2180" t="s">
        <v>422</v>
      </c>
      <c r="C2180" t="s">
        <v>3828</v>
      </c>
      <c r="D2180" t="s">
        <v>44</v>
      </c>
      <c r="E2180" t="s">
        <v>244</v>
      </c>
      <c r="F2180" t="s">
        <v>37</v>
      </c>
    </row>
    <row r="2181" spans="1:6" outlineLevel="3" x14ac:dyDescent="0.25">
      <c r="A2181" s="4" t="s">
        <v>421</v>
      </c>
      <c r="B2181" t="s">
        <v>422</v>
      </c>
      <c r="C2181" t="s">
        <v>3829</v>
      </c>
      <c r="D2181" t="s">
        <v>126</v>
      </c>
      <c r="E2181" t="s">
        <v>244</v>
      </c>
      <c r="F2181" t="s">
        <v>37</v>
      </c>
    </row>
    <row r="2182" spans="1:6" outlineLevel="3" x14ac:dyDescent="0.25">
      <c r="A2182" s="4" t="s">
        <v>421</v>
      </c>
      <c r="B2182" t="s">
        <v>422</v>
      </c>
      <c r="C2182" t="s">
        <v>3830</v>
      </c>
      <c r="D2182" t="s">
        <v>437</v>
      </c>
      <c r="E2182" t="s">
        <v>244</v>
      </c>
      <c r="F2182" t="s">
        <v>37</v>
      </c>
    </row>
    <row r="2183" spans="1:6" outlineLevel="3" x14ac:dyDescent="0.25">
      <c r="A2183" s="4" t="s">
        <v>421</v>
      </c>
      <c r="B2183" t="s">
        <v>422</v>
      </c>
      <c r="C2183" t="s">
        <v>3831</v>
      </c>
      <c r="D2183" t="s">
        <v>202</v>
      </c>
      <c r="E2183" t="s">
        <v>244</v>
      </c>
      <c r="F2183" t="s">
        <v>37</v>
      </c>
    </row>
    <row r="2184" spans="1:6" outlineLevel="3" x14ac:dyDescent="0.25">
      <c r="A2184" s="4" t="s">
        <v>421</v>
      </c>
      <c r="B2184" t="s">
        <v>422</v>
      </c>
      <c r="C2184" t="s">
        <v>1966</v>
      </c>
      <c r="D2184" t="s">
        <v>6</v>
      </c>
      <c r="E2184" t="s">
        <v>244</v>
      </c>
      <c r="F2184" t="s">
        <v>37</v>
      </c>
    </row>
    <row r="2185" spans="1:6" outlineLevel="3" x14ac:dyDescent="0.25">
      <c r="A2185" s="4" t="s">
        <v>421</v>
      </c>
      <c r="B2185" t="s">
        <v>422</v>
      </c>
      <c r="C2185" t="s">
        <v>1967</v>
      </c>
      <c r="D2185" t="s">
        <v>165</v>
      </c>
      <c r="E2185" t="s">
        <v>244</v>
      </c>
      <c r="F2185" t="s">
        <v>37</v>
      </c>
    </row>
    <row r="2186" spans="1:6" outlineLevel="3" x14ac:dyDescent="0.25">
      <c r="A2186" s="4" t="s">
        <v>421</v>
      </c>
      <c r="B2186" t="s">
        <v>422</v>
      </c>
      <c r="C2186" t="s">
        <v>3832</v>
      </c>
      <c r="D2186" t="s">
        <v>119</v>
      </c>
      <c r="E2186" t="s">
        <v>244</v>
      </c>
      <c r="F2186" t="s">
        <v>37</v>
      </c>
    </row>
    <row r="2187" spans="1:6" outlineLevel="3" x14ac:dyDescent="0.25">
      <c r="A2187" s="4" t="s">
        <v>421</v>
      </c>
      <c r="B2187" t="s">
        <v>422</v>
      </c>
      <c r="C2187" t="s">
        <v>3833</v>
      </c>
      <c r="D2187" t="s">
        <v>126</v>
      </c>
      <c r="E2187" t="s">
        <v>244</v>
      </c>
      <c r="F2187" t="s">
        <v>37</v>
      </c>
    </row>
    <row r="2188" spans="1:6" outlineLevel="3" x14ac:dyDescent="0.25">
      <c r="A2188" s="4" t="s">
        <v>421</v>
      </c>
      <c r="B2188" t="s">
        <v>422</v>
      </c>
      <c r="C2188" t="s">
        <v>3834</v>
      </c>
      <c r="D2188" t="s">
        <v>65</v>
      </c>
      <c r="E2188" t="s">
        <v>244</v>
      </c>
      <c r="F2188" t="s">
        <v>37</v>
      </c>
    </row>
    <row r="2189" spans="1:6" outlineLevel="3" x14ac:dyDescent="0.25">
      <c r="A2189" s="4" t="s">
        <v>421</v>
      </c>
      <c r="B2189" t="s">
        <v>422</v>
      </c>
      <c r="C2189" t="s">
        <v>3835</v>
      </c>
      <c r="D2189" t="s">
        <v>202</v>
      </c>
      <c r="E2189" t="s">
        <v>244</v>
      </c>
      <c r="F2189" t="s">
        <v>37</v>
      </c>
    </row>
    <row r="2190" spans="1:6" outlineLevel="3" x14ac:dyDescent="0.25">
      <c r="A2190" s="4" t="s">
        <v>421</v>
      </c>
      <c r="B2190" t="s">
        <v>422</v>
      </c>
      <c r="C2190" t="s">
        <v>3836</v>
      </c>
      <c r="D2190" t="s">
        <v>76</v>
      </c>
      <c r="E2190" t="s">
        <v>244</v>
      </c>
      <c r="F2190" t="s">
        <v>37</v>
      </c>
    </row>
    <row r="2191" spans="1:6" outlineLevel="3" x14ac:dyDescent="0.25">
      <c r="A2191" s="4" t="s">
        <v>421</v>
      </c>
      <c r="B2191" t="s">
        <v>422</v>
      </c>
      <c r="C2191" t="s">
        <v>3837</v>
      </c>
      <c r="D2191" t="s">
        <v>202</v>
      </c>
      <c r="E2191" t="s">
        <v>244</v>
      </c>
      <c r="F2191" t="s">
        <v>37</v>
      </c>
    </row>
    <row r="2192" spans="1:6" outlineLevel="3" x14ac:dyDescent="0.25">
      <c r="A2192" s="4" t="s">
        <v>421</v>
      </c>
      <c r="B2192" t="s">
        <v>422</v>
      </c>
      <c r="C2192" t="s">
        <v>1968</v>
      </c>
      <c r="D2192" t="s">
        <v>6</v>
      </c>
      <c r="E2192" t="s">
        <v>244</v>
      </c>
      <c r="F2192" t="s">
        <v>37</v>
      </c>
    </row>
    <row r="2193" spans="1:6" outlineLevel="3" x14ac:dyDescent="0.25">
      <c r="A2193" s="4" t="s">
        <v>421</v>
      </c>
      <c r="B2193" t="s">
        <v>422</v>
      </c>
      <c r="C2193" t="s">
        <v>3838</v>
      </c>
      <c r="D2193" t="s">
        <v>202</v>
      </c>
      <c r="E2193" t="s">
        <v>244</v>
      </c>
      <c r="F2193" t="s">
        <v>37</v>
      </c>
    </row>
    <row r="2194" spans="1:6" outlineLevel="3" x14ac:dyDescent="0.25">
      <c r="A2194" s="4" t="s">
        <v>421</v>
      </c>
      <c r="B2194" t="s">
        <v>422</v>
      </c>
      <c r="C2194" t="s">
        <v>3839</v>
      </c>
      <c r="D2194" t="s">
        <v>119</v>
      </c>
      <c r="E2194" t="s">
        <v>244</v>
      </c>
      <c r="F2194" t="s">
        <v>37</v>
      </c>
    </row>
    <row r="2195" spans="1:6" outlineLevel="3" x14ac:dyDescent="0.25">
      <c r="A2195" s="4" t="s">
        <v>421</v>
      </c>
      <c r="B2195" t="s">
        <v>422</v>
      </c>
      <c r="C2195" t="s">
        <v>3840</v>
      </c>
      <c r="D2195" t="s">
        <v>165</v>
      </c>
      <c r="E2195" t="s">
        <v>244</v>
      </c>
      <c r="F2195" t="s">
        <v>37</v>
      </c>
    </row>
    <row r="2196" spans="1:6" outlineLevel="3" x14ac:dyDescent="0.25">
      <c r="A2196" s="4" t="s">
        <v>421</v>
      </c>
      <c r="B2196" t="s">
        <v>422</v>
      </c>
      <c r="C2196" t="s">
        <v>3841</v>
      </c>
      <c r="D2196" t="s">
        <v>44</v>
      </c>
      <c r="E2196" t="s">
        <v>244</v>
      </c>
      <c r="F2196" t="s">
        <v>37</v>
      </c>
    </row>
    <row r="2197" spans="1:6" outlineLevel="3" x14ac:dyDescent="0.25">
      <c r="A2197" s="4" t="s">
        <v>421</v>
      </c>
      <c r="B2197" t="s">
        <v>422</v>
      </c>
      <c r="C2197" t="s">
        <v>3842</v>
      </c>
      <c r="D2197" t="s">
        <v>202</v>
      </c>
      <c r="E2197" t="s">
        <v>244</v>
      </c>
      <c r="F2197" t="s">
        <v>37</v>
      </c>
    </row>
    <row r="2198" spans="1:6" outlineLevel="3" x14ac:dyDescent="0.25">
      <c r="A2198" s="4" t="s">
        <v>421</v>
      </c>
      <c r="B2198" t="s">
        <v>422</v>
      </c>
      <c r="C2198" t="s">
        <v>3843</v>
      </c>
      <c r="D2198" t="s">
        <v>76</v>
      </c>
      <c r="E2198" t="s">
        <v>244</v>
      </c>
      <c r="F2198" t="s">
        <v>37</v>
      </c>
    </row>
    <row r="2199" spans="1:6" outlineLevel="3" x14ac:dyDescent="0.25">
      <c r="A2199" s="4" t="s">
        <v>421</v>
      </c>
      <c r="B2199" t="s">
        <v>422</v>
      </c>
      <c r="C2199" t="s">
        <v>3844</v>
      </c>
      <c r="D2199" t="s">
        <v>437</v>
      </c>
      <c r="E2199" t="s">
        <v>244</v>
      </c>
      <c r="F2199" t="s">
        <v>37</v>
      </c>
    </row>
    <row r="2200" spans="1:6" outlineLevel="3" x14ac:dyDescent="0.25">
      <c r="A2200" s="4" t="s">
        <v>421</v>
      </c>
      <c r="B2200" t="s">
        <v>422</v>
      </c>
      <c r="C2200" t="s">
        <v>3845</v>
      </c>
      <c r="D2200" t="s">
        <v>6</v>
      </c>
      <c r="E2200" t="s">
        <v>244</v>
      </c>
      <c r="F2200" t="s">
        <v>37</v>
      </c>
    </row>
    <row r="2201" spans="1:6" outlineLevel="3" x14ac:dyDescent="0.25">
      <c r="A2201" s="4" t="s">
        <v>421</v>
      </c>
      <c r="B2201" t="s">
        <v>422</v>
      </c>
      <c r="C2201" t="s">
        <v>3846</v>
      </c>
      <c r="D2201" t="s">
        <v>44</v>
      </c>
      <c r="E2201" t="s">
        <v>244</v>
      </c>
      <c r="F2201" t="s">
        <v>37</v>
      </c>
    </row>
    <row r="2202" spans="1:6" outlineLevel="3" x14ac:dyDescent="0.25">
      <c r="A2202" s="4" t="s">
        <v>421</v>
      </c>
      <c r="B2202" t="s">
        <v>422</v>
      </c>
      <c r="C2202" t="s">
        <v>3847</v>
      </c>
      <c r="D2202" t="s">
        <v>437</v>
      </c>
      <c r="E2202" t="s">
        <v>244</v>
      </c>
      <c r="F2202" t="s">
        <v>37</v>
      </c>
    </row>
    <row r="2203" spans="1:6" outlineLevel="3" x14ac:dyDescent="0.25">
      <c r="A2203" s="4" t="s">
        <v>421</v>
      </c>
      <c r="B2203" t="s">
        <v>422</v>
      </c>
      <c r="C2203" t="s">
        <v>3848</v>
      </c>
      <c r="D2203" t="s">
        <v>76</v>
      </c>
      <c r="E2203" t="s">
        <v>244</v>
      </c>
      <c r="F2203" t="s">
        <v>37</v>
      </c>
    </row>
    <row r="2204" spans="1:6" outlineLevel="3" x14ac:dyDescent="0.25">
      <c r="A2204" s="4" t="s">
        <v>421</v>
      </c>
      <c r="B2204" t="s">
        <v>422</v>
      </c>
      <c r="C2204" t="s">
        <v>3849</v>
      </c>
      <c r="D2204" t="s">
        <v>437</v>
      </c>
      <c r="E2204" t="s">
        <v>244</v>
      </c>
      <c r="F2204" t="s">
        <v>37</v>
      </c>
    </row>
    <row r="2205" spans="1:6" outlineLevel="3" x14ac:dyDescent="0.25">
      <c r="A2205" s="4" t="s">
        <v>421</v>
      </c>
      <c r="B2205" t="s">
        <v>422</v>
      </c>
      <c r="C2205" t="s">
        <v>3850</v>
      </c>
      <c r="D2205" t="s">
        <v>65</v>
      </c>
      <c r="E2205" t="s">
        <v>244</v>
      </c>
      <c r="F2205" t="s">
        <v>37</v>
      </c>
    </row>
    <row r="2206" spans="1:6" outlineLevel="3" x14ac:dyDescent="0.25">
      <c r="A2206" s="4" t="s">
        <v>421</v>
      </c>
      <c r="B2206" t="s">
        <v>422</v>
      </c>
      <c r="C2206" t="s">
        <v>3851</v>
      </c>
      <c r="D2206" t="s">
        <v>437</v>
      </c>
      <c r="E2206" t="s">
        <v>244</v>
      </c>
      <c r="F2206" t="s">
        <v>37</v>
      </c>
    </row>
    <row r="2207" spans="1:6" outlineLevel="3" x14ac:dyDescent="0.25">
      <c r="A2207" s="4" t="s">
        <v>421</v>
      </c>
      <c r="B2207" t="s">
        <v>422</v>
      </c>
      <c r="C2207" t="s">
        <v>3852</v>
      </c>
      <c r="D2207" t="s">
        <v>44</v>
      </c>
      <c r="E2207" t="s">
        <v>244</v>
      </c>
      <c r="F2207" t="s">
        <v>37</v>
      </c>
    </row>
    <row r="2208" spans="1:6" outlineLevel="3" x14ac:dyDescent="0.25">
      <c r="A2208" s="4" t="s">
        <v>421</v>
      </c>
      <c r="B2208" t="s">
        <v>422</v>
      </c>
      <c r="C2208" t="s">
        <v>3853</v>
      </c>
      <c r="D2208" t="s">
        <v>437</v>
      </c>
      <c r="E2208" t="s">
        <v>244</v>
      </c>
      <c r="F2208" t="s">
        <v>37</v>
      </c>
    </row>
    <row r="2209" spans="1:6" outlineLevel="3" x14ac:dyDescent="0.25">
      <c r="A2209" s="4" t="s">
        <v>421</v>
      </c>
      <c r="B2209" t="s">
        <v>422</v>
      </c>
      <c r="C2209" t="s">
        <v>3854</v>
      </c>
      <c r="D2209" t="s">
        <v>44</v>
      </c>
      <c r="E2209" t="s">
        <v>244</v>
      </c>
      <c r="F2209" t="s">
        <v>37</v>
      </c>
    </row>
    <row r="2210" spans="1:6" outlineLevel="3" x14ac:dyDescent="0.25">
      <c r="A2210" s="4" t="s">
        <v>421</v>
      </c>
      <c r="B2210" t="s">
        <v>422</v>
      </c>
      <c r="C2210" t="s">
        <v>3855</v>
      </c>
      <c r="D2210" t="s">
        <v>202</v>
      </c>
      <c r="E2210" t="s">
        <v>244</v>
      </c>
      <c r="F2210" t="s">
        <v>37</v>
      </c>
    </row>
    <row r="2211" spans="1:6" outlineLevel="3" x14ac:dyDescent="0.25">
      <c r="A2211" s="4" t="s">
        <v>421</v>
      </c>
      <c r="B2211" t="s">
        <v>422</v>
      </c>
      <c r="C2211" t="s">
        <v>3856</v>
      </c>
      <c r="D2211" t="s">
        <v>6</v>
      </c>
      <c r="E2211" t="s">
        <v>244</v>
      </c>
      <c r="F2211" t="s">
        <v>37</v>
      </c>
    </row>
    <row r="2212" spans="1:6" outlineLevel="3" x14ac:dyDescent="0.25">
      <c r="A2212" s="4" t="s">
        <v>421</v>
      </c>
      <c r="B2212" t="s">
        <v>422</v>
      </c>
      <c r="C2212" t="s">
        <v>3857</v>
      </c>
      <c r="D2212" t="s">
        <v>437</v>
      </c>
      <c r="E2212" t="s">
        <v>244</v>
      </c>
      <c r="F2212" t="s">
        <v>37</v>
      </c>
    </row>
    <row r="2213" spans="1:6" outlineLevel="3" x14ac:dyDescent="0.25">
      <c r="A2213" s="4" t="s">
        <v>421</v>
      </c>
      <c r="B2213" t="s">
        <v>422</v>
      </c>
      <c r="C2213" t="s">
        <v>3858</v>
      </c>
      <c r="D2213" t="s">
        <v>6</v>
      </c>
      <c r="E2213" t="s">
        <v>244</v>
      </c>
      <c r="F2213" t="s">
        <v>37</v>
      </c>
    </row>
    <row r="2214" spans="1:6" outlineLevel="3" x14ac:dyDescent="0.25">
      <c r="A2214" s="4" t="s">
        <v>421</v>
      </c>
      <c r="B2214" t="s">
        <v>422</v>
      </c>
      <c r="C2214" t="s">
        <v>3859</v>
      </c>
      <c r="D2214" t="s">
        <v>165</v>
      </c>
      <c r="E2214" t="s">
        <v>244</v>
      </c>
      <c r="F2214" t="s">
        <v>37</v>
      </c>
    </row>
    <row r="2215" spans="1:6" outlineLevel="3" x14ac:dyDescent="0.25">
      <c r="A2215" s="4" t="s">
        <v>421</v>
      </c>
      <c r="B2215" t="s">
        <v>422</v>
      </c>
      <c r="C2215" t="s">
        <v>1969</v>
      </c>
      <c r="D2215" t="s">
        <v>44</v>
      </c>
      <c r="E2215" t="s">
        <v>244</v>
      </c>
      <c r="F2215" t="s">
        <v>37</v>
      </c>
    </row>
    <row r="2216" spans="1:6" outlineLevel="3" x14ac:dyDescent="0.25">
      <c r="A2216" s="4" t="s">
        <v>421</v>
      </c>
      <c r="B2216" t="s">
        <v>422</v>
      </c>
      <c r="C2216" t="s">
        <v>3860</v>
      </c>
      <c r="D2216" t="s">
        <v>165</v>
      </c>
      <c r="E2216" t="s">
        <v>244</v>
      </c>
      <c r="F2216" t="s">
        <v>37</v>
      </c>
    </row>
    <row r="2217" spans="1:6" outlineLevel="3" x14ac:dyDescent="0.25">
      <c r="A2217" s="4" t="s">
        <v>421</v>
      </c>
      <c r="B2217" t="s">
        <v>422</v>
      </c>
      <c r="C2217" t="s">
        <v>3861</v>
      </c>
      <c r="D2217" t="s">
        <v>44</v>
      </c>
      <c r="E2217" t="s">
        <v>244</v>
      </c>
      <c r="F2217" t="s">
        <v>37</v>
      </c>
    </row>
    <row r="2218" spans="1:6" outlineLevel="3" x14ac:dyDescent="0.25">
      <c r="A2218" s="4" t="s">
        <v>421</v>
      </c>
      <c r="B2218" t="s">
        <v>422</v>
      </c>
      <c r="C2218" t="s">
        <v>3862</v>
      </c>
      <c r="D2218" t="s">
        <v>202</v>
      </c>
      <c r="E2218" t="s">
        <v>244</v>
      </c>
      <c r="F2218" t="s">
        <v>37</v>
      </c>
    </row>
    <row r="2219" spans="1:6" outlineLevel="3" x14ac:dyDescent="0.25">
      <c r="A2219" s="4" t="s">
        <v>421</v>
      </c>
      <c r="B2219" t="s">
        <v>422</v>
      </c>
      <c r="C2219" t="s">
        <v>3863</v>
      </c>
      <c r="D2219" t="s">
        <v>165</v>
      </c>
      <c r="E2219" t="s">
        <v>244</v>
      </c>
      <c r="F2219" t="s">
        <v>37</v>
      </c>
    </row>
    <row r="2220" spans="1:6" outlineLevel="3" x14ac:dyDescent="0.25">
      <c r="A2220" s="4" t="s">
        <v>421</v>
      </c>
      <c r="B2220" t="s">
        <v>422</v>
      </c>
      <c r="C2220" t="s">
        <v>3864</v>
      </c>
      <c r="D2220" t="s">
        <v>165</v>
      </c>
      <c r="E2220" t="s">
        <v>244</v>
      </c>
      <c r="F2220" t="s">
        <v>37</v>
      </c>
    </row>
    <row r="2221" spans="1:6" outlineLevel="3" x14ac:dyDescent="0.25">
      <c r="A2221" s="4" t="s">
        <v>421</v>
      </c>
      <c r="B2221" t="s">
        <v>422</v>
      </c>
      <c r="C2221" t="s">
        <v>3865</v>
      </c>
      <c r="D2221" t="s">
        <v>6</v>
      </c>
      <c r="E2221" t="s">
        <v>244</v>
      </c>
      <c r="F2221" t="s">
        <v>37</v>
      </c>
    </row>
    <row r="2222" spans="1:6" outlineLevel="3" x14ac:dyDescent="0.25">
      <c r="A2222" s="4" t="s">
        <v>421</v>
      </c>
      <c r="B2222" t="s">
        <v>422</v>
      </c>
      <c r="C2222" t="s">
        <v>1970</v>
      </c>
      <c r="D2222" t="s">
        <v>437</v>
      </c>
      <c r="E2222" t="s">
        <v>244</v>
      </c>
      <c r="F2222" t="s">
        <v>37</v>
      </c>
    </row>
    <row r="2223" spans="1:6" outlineLevel="3" x14ac:dyDescent="0.25">
      <c r="A2223" s="4" t="s">
        <v>421</v>
      </c>
      <c r="B2223" t="s">
        <v>422</v>
      </c>
      <c r="C2223" t="s">
        <v>3866</v>
      </c>
      <c r="D2223" t="s">
        <v>119</v>
      </c>
      <c r="E2223" t="s">
        <v>244</v>
      </c>
      <c r="F2223" t="s">
        <v>37</v>
      </c>
    </row>
    <row r="2224" spans="1:6" outlineLevel="3" x14ac:dyDescent="0.25">
      <c r="A2224" s="4" t="s">
        <v>421</v>
      </c>
      <c r="B2224" t="s">
        <v>422</v>
      </c>
      <c r="C2224" t="s">
        <v>3867</v>
      </c>
      <c r="D2224" t="s">
        <v>437</v>
      </c>
      <c r="E2224" t="s">
        <v>244</v>
      </c>
      <c r="F2224" t="s">
        <v>37</v>
      </c>
    </row>
    <row r="2225" spans="1:6" outlineLevel="3" x14ac:dyDescent="0.25">
      <c r="A2225" s="4" t="s">
        <v>421</v>
      </c>
      <c r="B2225" t="s">
        <v>422</v>
      </c>
      <c r="C2225" t="s">
        <v>3868</v>
      </c>
      <c r="D2225" t="s">
        <v>44</v>
      </c>
      <c r="E2225" t="s">
        <v>244</v>
      </c>
      <c r="F2225" t="s">
        <v>37</v>
      </c>
    </row>
    <row r="2226" spans="1:6" outlineLevel="3" x14ac:dyDescent="0.25">
      <c r="A2226" s="4" t="s">
        <v>421</v>
      </c>
      <c r="B2226" t="s">
        <v>422</v>
      </c>
      <c r="C2226" t="s">
        <v>3869</v>
      </c>
      <c r="D2226" t="s">
        <v>6</v>
      </c>
      <c r="E2226" t="s">
        <v>244</v>
      </c>
      <c r="F2226" t="s">
        <v>37</v>
      </c>
    </row>
    <row r="2227" spans="1:6" outlineLevel="3" x14ac:dyDescent="0.25">
      <c r="A2227" s="4" t="s">
        <v>421</v>
      </c>
      <c r="B2227" t="s">
        <v>422</v>
      </c>
      <c r="C2227" t="s">
        <v>3870</v>
      </c>
      <c r="D2227" t="s">
        <v>65</v>
      </c>
      <c r="E2227" t="s">
        <v>244</v>
      </c>
      <c r="F2227" t="s">
        <v>37</v>
      </c>
    </row>
    <row r="2228" spans="1:6" outlineLevel="3" x14ac:dyDescent="0.25">
      <c r="A2228" s="4" t="s">
        <v>421</v>
      </c>
      <c r="B2228" t="s">
        <v>422</v>
      </c>
      <c r="C2228" t="s">
        <v>3871</v>
      </c>
      <c r="D2228" t="s">
        <v>6</v>
      </c>
      <c r="E2228" t="s">
        <v>244</v>
      </c>
      <c r="F2228" t="s">
        <v>37</v>
      </c>
    </row>
    <row r="2229" spans="1:6" outlineLevel="3" x14ac:dyDescent="0.25">
      <c r="A2229" s="4" t="s">
        <v>421</v>
      </c>
      <c r="B2229" t="s">
        <v>422</v>
      </c>
      <c r="C2229" t="s">
        <v>3872</v>
      </c>
      <c r="D2229" t="s">
        <v>67</v>
      </c>
      <c r="E2229" t="s">
        <v>244</v>
      </c>
      <c r="F2229" t="s">
        <v>37</v>
      </c>
    </row>
    <row r="2230" spans="1:6" outlineLevel="3" x14ac:dyDescent="0.25">
      <c r="A2230" s="4" t="s">
        <v>421</v>
      </c>
      <c r="B2230" t="s">
        <v>422</v>
      </c>
      <c r="C2230" t="s">
        <v>3873</v>
      </c>
      <c r="D2230" t="s">
        <v>165</v>
      </c>
      <c r="E2230" t="s">
        <v>244</v>
      </c>
      <c r="F2230" t="s">
        <v>37</v>
      </c>
    </row>
    <row r="2231" spans="1:6" outlineLevel="3" x14ac:dyDescent="0.25">
      <c r="A2231" s="4" t="s">
        <v>421</v>
      </c>
      <c r="B2231" t="s">
        <v>422</v>
      </c>
      <c r="C2231" t="s">
        <v>1782</v>
      </c>
      <c r="D2231" t="s">
        <v>44</v>
      </c>
      <c r="E2231" t="s">
        <v>244</v>
      </c>
      <c r="F2231" t="s">
        <v>37</v>
      </c>
    </row>
    <row r="2232" spans="1:6" outlineLevel="3" x14ac:dyDescent="0.25">
      <c r="A2232" s="4" t="s">
        <v>421</v>
      </c>
      <c r="B2232" t="s">
        <v>422</v>
      </c>
      <c r="C2232" t="s">
        <v>3874</v>
      </c>
      <c r="D2232" t="s">
        <v>437</v>
      </c>
      <c r="E2232" t="s">
        <v>244</v>
      </c>
      <c r="F2232" t="s">
        <v>37</v>
      </c>
    </row>
    <row r="2233" spans="1:6" outlineLevel="3" x14ac:dyDescent="0.25">
      <c r="A2233" s="4" t="s">
        <v>421</v>
      </c>
      <c r="B2233" t="s">
        <v>422</v>
      </c>
      <c r="C2233" t="s">
        <v>1971</v>
      </c>
      <c r="D2233" t="s">
        <v>119</v>
      </c>
      <c r="E2233" t="s">
        <v>244</v>
      </c>
      <c r="F2233" t="s">
        <v>37</v>
      </c>
    </row>
    <row r="2234" spans="1:6" outlineLevel="3" x14ac:dyDescent="0.25">
      <c r="A2234" s="4" t="s">
        <v>421</v>
      </c>
      <c r="B2234" t="s">
        <v>422</v>
      </c>
      <c r="C2234" t="s">
        <v>3875</v>
      </c>
      <c r="D2234" t="s">
        <v>437</v>
      </c>
      <c r="E2234" t="s">
        <v>244</v>
      </c>
      <c r="F2234" t="s">
        <v>37</v>
      </c>
    </row>
    <row r="2235" spans="1:6" outlineLevel="3" x14ac:dyDescent="0.25">
      <c r="A2235" s="4" t="s">
        <v>421</v>
      </c>
      <c r="B2235" t="s">
        <v>422</v>
      </c>
      <c r="C2235" t="s">
        <v>1972</v>
      </c>
      <c r="D2235" t="s">
        <v>67</v>
      </c>
      <c r="E2235" t="s">
        <v>244</v>
      </c>
      <c r="F2235" t="s">
        <v>37</v>
      </c>
    </row>
    <row r="2236" spans="1:6" outlineLevel="3" x14ac:dyDescent="0.25">
      <c r="A2236" s="4" t="s">
        <v>421</v>
      </c>
      <c r="B2236" t="s">
        <v>422</v>
      </c>
      <c r="C2236" t="s">
        <v>3876</v>
      </c>
      <c r="D2236" t="s">
        <v>202</v>
      </c>
      <c r="E2236" t="s">
        <v>244</v>
      </c>
      <c r="F2236" t="s">
        <v>37</v>
      </c>
    </row>
    <row r="2237" spans="1:6" outlineLevel="3" x14ac:dyDescent="0.25">
      <c r="A2237" s="4" t="s">
        <v>421</v>
      </c>
      <c r="B2237" t="s">
        <v>422</v>
      </c>
      <c r="C2237" t="s">
        <v>1783</v>
      </c>
      <c r="D2237" t="s">
        <v>437</v>
      </c>
      <c r="E2237" t="s">
        <v>244</v>
      </c>
      <c r="F2237" t="s">
        <v>37</v>
      </c>
    </row>
    <row r="2238" spans="1:6" outlineLevel="3" x14ac:dyDescent="0.25">
      <c r="A2238" s="4" t="s">
        <v>421</v>
      </c>
      <c r="B2238" t="s">
        <v>422</v>
      </c>
      <c r="C2238" t="s">
        <v>3877</v>
      </c>
      <c r="D2238" t="s">
        <v>165</v>
      </c>
      <c r="E2238" t="s">
        <v>244</v>
      </c>
      <c r="F2238" t="s">
        <v>37</v>
      </c>
    </row>
    <row r="2239" spans="1:6" outlineLevel="3" x14ac:dyDescent="0.25">
      <c r="A2239" s="4" t="s">
        <v>421</v>
      </c>
      <c r="B2239" t="s">
        <v>422</v>
      </c>
      <c r="C2239" t="s">
        <v>3878</v>
      </c>
      <c r="D2239" t="s">
        <v>65</v>
      </c>
      <c r="E2239" t="s">
        <v>244</v>
      </c>
      <c r="F2239" t="s">
        <v>37</v>
      </c>
    </row>
    <row r="2240" spans="1:6" outlineLevel="3" x14ac:dyDescent="0.25">
      <c r="A2240" s="4" t="s">
        <v>421</v>
      </c>
      <c r="B2240" t="s">
        <v>422</v>
      </c>
      <c r="C2240" t="s">
        <v>3879</v>
      </c>
      <c r="D2240" t="s">
        <v>437</v>
      </c>
      <c r="E2240" t="s">
        <v>244</v>
      </c>
      <c r="F2240" t="s">
        <v>37</v>
      </c>
    </row>
    <row r="2241" spans="1:6" outlineLevel="3" x14ac:dyDescent="0.25">
      <c r="A2241" s="4" t="s">
        <v>421</v>
      </c>
      <c r="B2241" t="s">
        <v>422</v>
      </c>
      <c r="C2241" t="s">
        <v>3880</v>
      </c>
      <c r="D2241" t="s">
        <v>267</v>
      </c>
      <c r="E2241" t="s">
        <v>244</v>
      </c>
      <c r="F2241" t="s">
        <v>37</v>
      </c>
    </row>
    <row r="2242" spans="1:6" outlineLevel="3" x14ac:dyDescent="0.25">
      <c r="A2242" s="4" t="s">
        <v>421</v>
      </c>
      <c r="B2242" t="s">
        <v>422</v>
      </c>
      <c r="C2242" t="s">
        <v>3881</v>
      </c>
      <c r="D2242" t="s">
        <v>202</v>
      </c>
      <c r="E2242" t="s">
        <v>244</v>
      </c>
      <c r="F2242" t="s">
        <v>37</v>
      </c>
    </row>
    <row r="2243" spans="1:6" outlineLevel="3" x14ac:dyDescent="0.25">
      <c r="A2243" s="4" t="s">
        <v>421</v>
      </c>
      <c r="B2243" t="s">
        <v>422</v>
      </c>
      <c r="C2243" t="s">
        <v>3882</v>
      </c>
      <c r="D2243" t="s">
        <v>76</v>
      </c>
      <c r="E2243" t="s">
        <v>244</v>
      </c>
      <c r="F2243" t="s">
        <v>37</v>
      </c>
    </row>
    <row r="2244" spans="1:6" outlineLevel="3" x14ac:dyDescent="0.25">
      <c r="A2244" s="4" t="s">
        <v>421</v>
      </c>
      <c r="B2244" t="s">
        <v>422</v>
      </c>
      <c r="C2244" t="s">
        <v>3883</v>
      </c>
      <c r="D2244" t="s">
        <v>202</v>
      </c>
      <c r="E2244" t="s">
        <v>244</v>
      </c>
      <c r="F2244" t="s">
        <v>37</v>
      </c>
    </row>
    <row r="2245" spans="1:6" outlineLevel="3" x14ac:dyDescent="0.25">
      <c r="A2245" s="4" t="s">
        <v>421</v>
      </c>
      <c r="B2245" t="s">
        <v>422</v>
      </c>
      <c r="C2245" t="s">
        <v>3884</v>
      </c>
      <c r="D2245" t="s">
        <v>76</v>
      </c>
      <c r="E2245" t="s">
        <v>244</v>
      </c>
      <c r="F2245" t="s">
        <v>37</v>
      </c>
    </row>
    <row r="2246" spans="1:6" outlineLevel="3" x14ac:dyDescent="0.25">
      <c r="A2246" s="4" t="s">
        <v>421</v>
      </c>
      <c r="B2246" t="s">
        <v>422</v>
      </c>
      <c r="C2246" t="s">
        <v>3885</v>
      </c>
      <c r="D2246" t="s">
        <v>165</v>
      </c>
      <c r="E2246" t="s">
        <v>244</v>
      </c>
      <c r="F2246" t="s">
        <v>37</v>
      </c>
    </row>
    <row r="2247" spans="1:6" outlineLevel="3" x14ac:dyDescent="0.25">
      <c r="A2247" s="4" t="s">
        <v>421</v>
      </c>
      <c r="B2247" t="s">
        <v>422</v>
      </c>
      <c r="C2247" t="s">
        <v>3886</v>
      </c>
      <c r="D2247" t="s">
        <v>119</v>
      </c>
      <c r="E2247" t="s">
        <v>244</v>
      </c>
      <c r="F2247" t="s">
        <v>37</v>
      </c>
    </row>
    <row r="2248" spans="1:6" outlineLevel="3" x14ac:dyDescent="0.25">
      <c r="A2248" s="4" t="s">
        <v>421</v>
      </c>
      <c r="B2248" t="s">
        <v>422</v>
      </c>
      <c r="C2248" t="s">
        <v>3887</v>
      </c>
      <c r="D2248" t="s">
        <v>13</v>
      </c>
      <c r="E2248" t="s">
        <v>244</v>
      </c>
      <c r="F2248" t="s">
        <v>37</v>
      </c>
    </row>
    <row r="2249" spans="1:6" outlineLevel="3" x14ac:dyDescent="0.25">
      <c r="A2249" s="4" t="s">
        <v>421</v>
      </c>
      <c r="B2249" t="s">
        <v>422</v>
      </c>
      <c r="C2249" t="s">
        <v>1973</v>
      </c>
      <c r="D2249" t="s">
        <v>165</v>
      </c>
      <c r="E2249" t="s">
        <v>244</v>
      </c>
      <c r="F2249" t="s">
        <v>37</v>
      </c>
    </row>
    <row r="2250" spans="1:6" outlineLevel="3" x14ac:dyDescent="0.25">
      <c r="A2250" s="4" t="s">
        <v>421</v>
      </c>
      <c r="B2250" t="s">
        <v>422</v>
      </c>
      <c r="C2250" t="s">
        <v>3888</v>
      </c>
      <c r="D2250" t="s">
        <v>13</v>
      </c>
      <c r="E2250" t="s">
        <v>244</v>
      </c>
      <c r="F2250" t="s">
        <v>37</v>
      </c>
    </row>
    <row r="2251" spans="1:6" outlineLevel="3" x14ac:dyDescent="0.25">
      <c r="A2251" s="4" t="s">
        <v>421</v>
      </c>
      <c r="B2251" t="s">
        <v>422</v>
      </c>
      <c r="C2251" t="s">
        <v>3889</v>
      </c>
      <c r="D2251" t="s">
        <v>165</v>
      </c>
      <c r="E2251" t="s">
        <v>244</v>
      </c>
      <c r="F2251" t="s">
        <v>37</v>
      </c>
    </row>
    <row r="2252" spans="1:6" outlineLevel="3" x14ac:dyDescent="0.25">
      <c r="A2252" s="4" t="s">
        <v>421</v>
      </c>
      <c r="B2252" t="s">
        <v>422</v>
      </c>
      <c r="C2252" t="s">
        <v>3890</v>
      </c>
      <c r="D2252" t="s">
        <v>165</v>
      </c>
      <c r="E2252" t="s">
        <v>244</v>
      </c>
      <c r="F2252" t="s">
        <v>37</v>
      </c>
    </row>
    <row r="2253" spans="1:6" outlineLevel="3" x14ac:dyDescent="0.25">
      <c r="A2253" s="4" t="s">
        <v>421</v>
      </c>
      <c r="B2253" t="s">
        <v>422</v>
      </c>
      <c r="C2253" t="s">
        <v>3891</v>
      </c>
      <c r="D2253" t="s">
        <v>6</v>
      </c>
      <c r="E2253" t="s">
        <v>244</v>
      </c>
      <c r="F2253" t="s">
        <v>37</v>
      </c>
    </row>
    <row r="2254" spans="1:6" outlineLevel="3" x14ac:dyDescent="0.25">
      <c r="A2254" s="4" t="s">
        <v>421</v>
      </c>
      <c r="B2254" t="s">
        <v>422</v>
      </c>
      <c r="C2254" t="s">
        <v>3892</v>
      </c>
      <c r="D2254" t="s">
        <v>165</v>
      </c>
      <c r="E2254" t="s">
        <v>244</v>
      </c>
      <c r="F2254" t="s">
        <v>37</v>
      </c>
    </row>
    <row r="2255" spans="1:6" outlineLevel="3" x14ac:dyDescent="0.25">
      <c r="A2255" s="4" t="s">
        <v>421</v>
      </c>
      <c r="B2255" t="s">
        <v>422</v>
      </c>
      <c r="C2255" t="s">
        <v>1974</v>
      </c>
      <c r="D2255" t="s">
        <v>165</v>
      </c>
      <c r="E2255" t="s">
        <v>244</v>
      </c>
      <c r="F2255" t="s">
        <v>37</v>
      </c>
    </row>
    <row r="2256" spans="1:6" outlineLevel="3" x14ac:dyDescent="0.25">
      <c r="A2256" s="4" t="s">
        <v>421</v>
      </c>
      <c r="B2256" t="s">
        <v>422</v>
      </c>
      <c r="C2256" t="s">
        <v>3893</v>
      </c>
      <c r="D2256" t="s">
        <v>202</v>
      </c>
      <c r="E2256" t="s">
        <v>244</v>
      </c>
      <c r="F2256" t="s">
        <v>37</v>
      </c>
    </row>
    <row r="2257" spans="1:6" outlineLevel="3" x14ac:dyDescent="0.25">
      <c r="A2257" s="4" t="s">
        <v>421</v>
      </c>
      <c r="B2257" t="s">
        <v>422</v>
      </c>
      <c r="C2257" t="s">
        <v>3894</v>
      </c>
      <c r="D2257" t="s">
        <v>435</v>
      </c>
      <c r="E2257" t="s">
        <v>244</v>
      </c>
      <c r="F2257" t="s">
        <v>37</v>
      </c>
    </row>
    <row r="2258" spans="1:6" outlineLevel="3" x14ac:dyDescent="0.25">
      <c r="A2258" s="4" t="s">
        <v>421</v>
      </c>
      <c r="B2258" t="s">
        <v>422</v>
      </c>
      <c r="C2258" t="s">
        <v>1784</v>
      </c>
      <c r="D2258" t="s">
        <v>437</v>
      </c>
      <c r="E2258" t="s">
        <v>244</v>
      </c>
      <c r="F2258" t="s">
        <v>37</v>
      </c>
    </row>
    <row r="2259" spans="1:6" outlineLevel="3" x14ac:dyDescent="0.25">
      <c r="A2259" s="4" t="s">
        <v>421</v>
      </c>
      <c r="B2259" t="s">
        <v>422</v>
      </c>
      <c r="C2259" t="s">
        <v>1975</v>
      </c>
      <c r="D2259" t="s">
        <v>76</v>
      </c>
      <c r="E2259" t="s">
        <v>244</v>
      </c>
      <c r="F2259" t="s">
        <v>37</v>
      </c>
    </row>
    <row r="2260" spans="1:6" outlineLevel="3" x14ac:dyDescent="0.25">
      <c r="A2260" s="4" t="s">
        <v>421</v>
      </c>
      <c r="B2260" t="s">
        <v>422</v>
      </c>
      <c r="C2260" t="s">
        <v>3895</v>
      </c>
      <c r="D2260" t="s">
        <v>65</v>
      </c>
      <c r="E2260" t="s">
        <v>244</v>
      </c>
      <c r="F2260" t="s">
        <v>37</v>
      </c>
    </row>
    <row r="2261" spans="1:6" outlineLevel="3" x14ac:dyDescent="0.25">
      <c r="A2261" s="4" t="s">
        <v>421</v>
      </c>
      <c r="B2261" t="s">
        <v>422</v>
      </c>
      <c r="C2261" t="s">
        <v>1976</v>
      </c>
      <c r="D2261" t="s">
        <v>437</v>
      </c>
      <c r="E2261" t="s">
        <v>244</v>
      </c>
      <c r="F2261" t="s">
        <v>37</v>
      </c>
    </row>
    <row r="2262" spans="1:6" outlineLevel="3" x14ac:dyDescent="0.25">
      <c r="A2262" s="4" t="s">
        <v>421</v>
      </c>
      <c r="B2262" t="s">
        <v>422</v>
      </c>
      <c r="C2262" t="s">
        <v>1977</v>
      </c>
      <c r="D2262" t="s">
        <v>202</v>
      </c>
      <c r="E2262" t="s">
        <v>244</v>
      </c>
      <c r="F2262" t="s">
        <v>37</v>
      </c>
    </row>
    <row r="2263" spans="1:6" outlineLevel="3" x14ac:dyDescent="0.25">
      <c r="A2263" s="4" t="s">
        <v>421</v>
      </c>
      <c r="B2263" t="s">
        <v>422</v>
      </c>
      <c r="C2263" t="s">
        <v>3896</v>
      </c>
      <c r="D2263" t="s">
        <v>437</v>
      </c>
      <c r="E2263" t="s">
        <v>244</v>
      </c>
      <c r="F2263" t="s">
        <v>37</v>
      </c>
    </row>
    <row r="2264" spans="1:6" outlineLevel="3" x14ac:dyDescent="0.25">
      <c r="A2264" s="4" t="s">
        <v>421</v>
      </c>
      <c r="B2264" t="s">
        <v>422</v>
      </c>
      <c r="C2264" t="s">
        <v>3897</v>
      </c>
      <c r="D2264" t="s">
        <v>119</v>
      </c>
      <c r="E2264" t="s">
        <v>244</v>
      </c>
      <c r="F2264" t="s">
        <v>37</v>
      </c>
    </row>
    <row r="2265" spans="1:6" outlineLevel="3" x14ac:dyDescent="0.25">
      <c r="A2265" s="4" t="s">
        <v>421</v>
      </c>
      <c r="B2265" t="s">
        <v>422</v>
      </c>
      <c r="C2265" t="s">
        <v>3898</v>
      </c>
      <c r="D2265" t="s">
        <v>76</v>
      </c>
      <c r="E2265" t="s">
        <v>244</v>
      </c>
      <c r="F2265" t="s">
        <v>37</v>
      </c>
    </row>
    <row r="2266" spans="1:6" outlineLevel="3" x14ac:dyDescent="0.25">
      <c r="A2266" s="4" t="s">
        <v>421</v>
      </c>
      <c r="B2266" t="s">
        <v>422</v>
      </c>
      <c r="C2266" t="s">
        <v>3899</v>
      </c>
      <c r="D2266" t="s">
        <v>13</v>
      </c>
      <c r="E2266" t="s">
        <v>244</v>
      </c>
      <c r="F2266" t="s">
        <v>37</v>
      </c>
    </row>
    <row r="2267" spans="1:6" outlineLevel="3" x14ac:dyDescent="0.25">
      <c r="A2267" s="4" t="s">
        <v>421</v>
      </c>
      <c r="B2267" t="s">
        <v>422</v>
      </c>
      <c r="C2267" t="s">
        <v>3900</v>
      </c>
      <c r="D2267" t="s">
        <v>103</v>
      </c>
      <c r="E2267" t="s">
        <v>244</v>
      </c>
      <c r="F2267" t="s">
        <v>37</v>
      </c>
    </row>
    <row r="2268" spans="1:6" outlineLevel="3" x14ac:dyDescent="0.25">
      <c r="A2268" s="4" t="s">
        <v>421</v>
      </c>
      <c r="B2268" t="s">
        <v>422</v>
      </c>
      <c r="C2268" t="s">
        <v>1729</v>
      </c>
      <c r="D2268" t="s">
        <v>126</v>
      </c>
      <c r="E2268" t="s">
        <v>244</v>
      </c>
      <c r="F2268" t="s">
        <v>37</v>
      </c>
    </row>
    <row r="2269" spans="1:6" outlineLevel="3" x14ac:dyDescent="0.25">
      <c r="A2269" s="4" t="s">
        <v>421</v>
      </c>
      <c r="B2269" t="s">
        <v>422</v>
      </c>
      <c r="C2269" t="s">
        <v>3901</v>
      </c>
      <c r="D2269" t="s">
        <v>6</v>
      </c>
      <c r="E2269" t="s">
        <v>244</v>
      </c>
      <c r="F2269" t="s">
        <v>37</v>
      </c>
    </row>
    <row r="2270" spans="1:6" outlineLevel="3" x14ac:dyDescent="0.25">
      <c r="A2270" s="4" t="s">
        <v>421</v>
      </c>
      <c r="B2270" t="s">
        <v>422</v>
      </c>
      <c r="C2270" t="s">
        <v>3902</v>
      </c>
      <c r="D2270" t="s">
        <v>76</v>
      </c>
      <c r="E2270" t="s">
        <v>244</v>
      </c>
      <c r="F2270" t="s">
        <v>37</v>
      </c>
    </row>
    <row r="2271" spans="1:6" outlineLevel="3" x14ac:dyDescent="0.25">
      <c r="A2271" s="4" t="s">
        <v>421</v>
      </c>
      <c r="B2271" t="s">
        <v>422</v>
      </c>
      <c r="C2271" t="s">
        <v>3903</v>
      </c>
      <c r="D2271" t="s">
        <v>119</v>
      </c>
      <c r="E2271" t="s">
        <v>244</v>
      </c>
      <c r="F2271" t="s">
        <v>37</v>
      </c>
    </row>
    <row r="2272" spans="1:6" outlineLevel="3" x14ac:dyDescent="0.25">
      <c r="A2272" s="4" t="s">
        <v>421</v>
      </c>
      <c r="B2272" t="s">
        <v>422</v>
      </c>
      <c r="C2272" t="s">
        <v>1978</v>
      </c>
      <c r="D2272" t="s">
        <v>437</v>
      </c>
      <c r="E2272" t="s">
        <v>244</v>
      </c>
      <c r="F2272" t="s">
        <v>37</v>
      </c>
    </row>
    <row r="2273" spans="1:6" outlineLevel="3" x14ac:dyDescent="0.25">
      <c r="A2273" s="4" t="s">
        <v>421</v>
      </c>
      <c r="B2273" t="s">
        <v>422</v>
      </c>
      <c r="C2273" t="s">
        <v>3904</v>
      </c>
      <c r="D2273" t="s">
        <v>202</v>
      </c>
      <c r="E2273" t="s">
        <v>244</v>
      </c>
      <c r="F2273" t="s">
        <v>37</v>
      </c>
    </row>
    <row r="2274" spans="1:6" outlineLevel="3" x14ac:dyDescent="0.25">
      <c r="A2274" s="4" t="s">
        <v>421</v>
      </c>
      <c r="B2274" t="s">
        <v>422</v>
      </c>
      <c r="C2274" t="s">
        <v>3905</v>
      </c>
      <c r="D2274" t="s">
        <v>13</v>
      </c>
      <c r="E2274" t="s">
        <v>244</v>
      </c>
      <c r="F2274" t="s">
        <v>37</v>
      </c>
    </row>
    <row r="2275" spans="1:6" outlineLevel="3" x14ac:dyDescent="0.25">
      <c r="A2275" s="4" t="s">
        <v>421</v>
      </c>
      <c r="B2275" t="s">
        <v>422</v>
      </c>
      <c r="C2275" t="s">
        <v>3906</v>
      </c>
      <c r="D2275" t="s">
        <v>6</v>
      </c>
      <c r="E2275" t="s">
        <v>244</v>
      </c>
      <c r="F2275" t="s">
        <v>37</v>
      </c>
    </row>
    <row r="2276" spans="1:6" outlineLevel="3" x14ac:dyDescent="0.25">
      <c r="A2276" s="4" t="s">
        <v>421</v>
      </c>
      <c r="B2276" t="s">
        <v>422</v>
      </c>
      <c r="C2276" t="s">
        <v>1979</v>
      </c>
      <c r="D2276" t="s">
        <v>165</v>
      </c>
      <c r="E2276" t="s">
        <v>244</v>
      </c>
      <c r="F2276" t="s">
        <v>37</v>
      </c>
    </row>
    <row r="2277" spans="1:6" outlineLevel="3" x14ac:dyDescent="0.25">
      <c r="A2277" s="4" t="s">
        <v>421</v>
      </c>
      <c r="B2277" t="s">
        <v>422</v>
      </c>
      <c r="C2277" t="s">
        <v>1980</v>
      </c>
      <c r="D2277" t="s">
        <v>126</v>
      </c>
      <c r="E2277" t="s">
        <v>244</v>
      </c>
      <c r="F2277" t="s">
        <v>37</v>
      </c>
    </row>
    <row r="2278" spans="1:6" outlineLevel="3" x14ac:dyDescent="0.25">
      <c r="A2278" s="4" t="s">
        <v>421</v>
      </c>
      <c r="B2278" t="s">
        <v>422</v>
      </c>
      <c r="C2278" t="s">
        <v>3907</v>
      </c>
      <c r="D2278" t="s">
        <v>126</v>
      </c>
      <c r="E2278" t="s">
        <v>244</v>
      </c>
      <c r="F2278" t="s">
        <v>37</v>
      </c>
    </row>
    <row r="2279" spans="1:6" outlineLevel="3" x14ac:dyDescent="0.25">
      <c r="A2279" s="4" t="s">
        <v>421</v>
      </c>
      <c r="B2279" t="s">
        <v>422</v>
      </c>
      <c r="C2279" t="s">
        <v>3908</v>
      </c>
      <c r="D2279" t="s">
        <v>126</v>
      </c>
      <c r="E2279" t="s">
        <v>244</v>
      </c>
      <c r="F2279" t="s">
        <v>37</v>
      </c>
    </row>
    <row r="2280" spans="1:6" outlineLevel="3" x14ac:dyDescent="0.25">
      <c r="A2280" s="4" t="s">
        <v>421</v>
      </c>
      <c r="B2280" t="s">
        <v>422</v>
      </c>
      <c r="C2280" t="s">
        <v>1981</v>
      </c>
      <c r="D2280" t="s">
        <v>190</v>
      </c>
      <c r="E2280" t="s">
        <v>244</v>
      </c>
      <c r="F2280" t="s">
        <v>37</v>
      </c>
    </row>
    <row r="2281" spans="1:6" outlineLevel="3" x14ac:dyDescent="0.25">
      <c r="A2281" s="4" t="s">
        <v>421</v>
      </c>
      <c r="B2281" t="s">
        <v>422</v>
      </c>
      <c r="C2281" t="s">
        <v>1982</v>
      </c>
      <c r="D2281" t="s">
        <v>435</v>
      </c>
      <c r="E2281" t="s">
        <v>244</v>
      </c>
      <c r="F2281" t="s">
        <v>37</v>
      </c>
    </row>
    <row r="2282" spans="1:6" outlineLevel="3" x14ac:dyDescent="0.25">
      <c r="A2282" s="4" t="s">
        <v>421</v>
      </c>
      <c r="B2282" t="s">
        <v>422</v>
      </c>
      <c r="C2282" t="s">
        <v>3909</v>
      </c>
      <c r="D2282" t="s">
        <v>6</v>
      </c>
      <c r="E2282" t="s">
        <v>244</v>
      </c>
      <c r="F2282" t="s">
        <v>37</v>
      </c>
    </row>
    <row r="2283" spans="1:6" outlineLevel="3" x14ac:dyDescent="0.25">
      <c r="A2283" s="4" t="s">
        <v>421</v>
      </c>
      <c r="B2283" t="s">
        <v>422</v>
      </c>
      <c r="C2283" t="s">
        <v>3910</v>
      </c>
      <c r="D2283" t="s">
        <v>165</v>
      </c>
      <c r="E2283" t="s">
        <v>244</v>
      </c>
      <c r="F2283" t="s">
        <v>37</v>
      </c>
    </row>
    <row r="2284" spans="1:6" outlineLevel="3" x14ac:dyDescent="0.25">
      <c r="A2284" s="4" t="s">
        <v>421</v>
      </c>
      <c r="B2284" t="s">
        <v>422</v>
      </c>
      <c r="C2284" t="s">
        <v>3911</v>
      </c>
      <c r="D2284" t="s">
        <v>13</v>
      </c>
      <c r="E2284" t="s">
        <v>244</v>
      </c>
      <c r="F2284" t="s">
        <v>37</v>
      </c>
    </row>
    <row r="2285" spans="1:6" outlineLevel="3" x14ac:dyDescent="0.25">
      <c r="A2285" s="4" t="s">
        <v>421</v>
      </c>
      <c r="B2285" t="s">
        <v>422</v>
      </c>
      <c r="C2285" t="s">
        <v>3912</v>
      </c>
      <c r="D2285" t="s">
        <v>126</v>
      </c>
      <c r="E2285" t="s">
        <v>244</v>
      </c>
      <c r="F2285" t="s">
        <v>37</v>
      </c>
    </row>
    <row r="2286" spans="1:6" outlineLevel="3" x14ac:dyDescent="0.25">
      <c r="A2286" s="4" t="s">
        <v>421</v>
      </c>
      <c r="B2286" t="s">
        <v>422</v>
      </c>
      <c r="C2286" t="s">
        <v>3913</v>
      </c>
      <c r="D2286" t="s">
        <v>165</v>
      </c>
      <c r="E2286" t="s">
        <v>244</v>
      </c>
      <c r="F2286" t="s">
        <v>37</v>
      </c>
    </row>
    <row r="2287" spans="1:6" outlineLevel="3" x14ac:dyDescent="0.25">
      <c r="A2287" s="4" t="s">
        <v>421</v>
      </c>
      <c r="B2287" t="s">
        <v>422</v>
      </c>
      <c r="C2287" t="s">
        <v>3914</v>
      </c>
      <c r="D2287" t="s">
        <v>119</v>
      </c>
      <c r="E2287" t="s">
        <v>244</v>
      </c>
      <c r="F2287" t="s">
        <v>37</v>
      </c>
    </row>
    <row r="2288" spans="1:6" outlineLevel="3" x14ac:dyDescent="0.25">
      <c r="A2288" s="4" t="s">
        <v>421</v>
      </c>
      <c r="B2288" t="s">
        <v>422</v>
      </c>
      <c r="C2288" t="s">
        <v>3915</v>
      </c>
      <c r="D2288" t="s">
        <v>13</v>
      </c>
      <c r="E2288" t="s">
        <v>244</v>
      </c>
      <c r="F2288" t="s">
        <v>37</v>
      </c>
    </row>
    <row r="2289" spans="1:6" outlineLevel="3" x14ac:dyDescent="0.25">
      <c r="A2289" s="4" t="s">
        <v>421</v>
      </c>
      <c r="B2289" t="s">
        <v>422</v>
      </c>
      <c r="C2289" t="s">
        <v>3916</v>
      </c>
      <c r="D2289" t="s">
        <v>65</v>
      </c>
      <c r="E2289" t="s">
        <v>244</v>
      </c>
      <c r="F2289" t="s">
        <v>37</v>
      </c>
    </row>
    <row r="2290" spans="1:6" outlineLevel="3" x14ac:dyDescent="0.25">
      <c r="A2290" s="4" t="s">
        <v>421</v>
      </c>
      <c r="B2290" t="s">
        <v>422</v>
      </c>
      <c r="C2290" t="s">
        <v>3917</v>
      </c>
      <c r="D2290" t="s">
        <v>126</v>
      </c>
      <c r="E2290" t="s">
        <v>244</v>
      </c>
      <c r="F2290" t="s">
        <v>37</v>
      </c>
    </row>
    <row r="2291" spans="1:6" outlineLevel="3" x14ac:dyDescent="0.25">
      <c r="A2291" s="4" t="s">
        <v>421</v>
      </c>
      <c r="B2291" t="s">
        <v>422</v>
      </c>
      <c r="C2291" t="s">
        <v>3918</v>
      </c>
      <c r="D2291" t="s">
        <v>13</v>
      </c>
      <c r="E2291" t="s">
        <v>244</v>
      </c>
      <c r="F2291" t="s">
        <v>37</v>
      </c>
    </row>
    <row r="2292" spans="1:6" outlineLevel="3" x14ac:dyDescent="0.25">
      <c r="A2292" s="4" t="s">
        <v>421</v>
      </c>
      <c r="B2292" t="s">
        <v>422</v>
      </c>
      <c r="C2292" t="s">
        <v>3919</v>
      </c>
      <c r="D2292" t="s">
        <v>126</v>
      </c>
      <c r="E2292" t="s">
        <v>244</v>
      </c>
      <c r="F2292" t="s">
        <v>37</v>
      </c>
    </row>
    <row r="2293" spans="1:6" outlineLevel="3" x14ac:dyDescent="0.25">
      <c r="A2293" s="4" t="s">
        <v>421</v>
      </c>
      <c r="B2293" t="s">
        <v>422</v>
      </c>
      <c r="C2293" t="s">
        <v>3920</v>
      </c>
      <c r="D2293" t="s">
        <v>76</v>
      </c>
      <c r="E2293" t="s">
        <v>244</v>
      </c>
      <c r="F2293" t="s">
        <v>37</v>
      </c>
    </row>
    <row r="2294" spans="1:6" outlineLevel="3" x14ac:dyDescent="0.25">
      <c r="A2294" s="4" t="s">
        <v>421</v>
      </c>
      <c r="B2294" t="s">
        <v>422</v>
      </c>
      <c r="C2294" t="s">
        <v>3921</v>
      </c>
      <c r="D2294" t="s">
        <v>126</v>
      </c>
      <c r="E2294" t="s">
        <v>244</v>
      </c>
      <c r="F2294" t="s">
        <v>37</v>
      </c>
    </row>
    <row r="2295" spans="1:6" outlineLevel="3" x14ac:dyDescent="0.25">
      <c r="A2295" s="4" t="s">
        <v>421</v>
      </c>
      <c r="B2295" t="s">
        <v>422</v>
      </c>
      <c r="C2295" t="s">
        <v>3922</v>
      </c>
      <c r="D2295" t="s">
        <v>126</v>
      </c>
      <c r="E2295" t="s">
        <v>244</v>
      </c>
      <c r="F2295" t="s">
        <v>37</v>
      </c>
    </row>
    <row r="2296" spans="1:6" outlineLevel="3" x14ac:dyDescent="0.25">
      <c r="A2296" s="4" t="s">
        <v>421</v>
      </c>
      <c r="B2296" t="s">
        <v>422</v>
      </c>
      <c r="C2296" t="s">
        <v>3923</v>
      </c>
      <c r="D2296" t="s">
        <v>165</v>
      </c>
      <c r="E2296" t="s">
        <v>244</v>
      </c>
      <c r="F2296" t="s">
        <v>37</v>
      </c>
    </row>
    <row r="2297" spans="1:6" outlineLevel="3" x14ac:dyDescent="0.25">
      <c r="A2297" s="4" t="s">
        <v>421</v>
      </c>
      <c r="B2297" t="s">
        <v>422</v>
      </c>
      <c r="C2297" t="s">
        <v>3924</v>
      </c>
      <c r="D2297" t="s">
        <v>437</v>
      </c>
      <c r="E2297" t="s">
        <v>244</v>
      </c>
      <c r="F2297" t="s">
        <v>37</v>
      </c>
    </row>
    <row r="2298" spans="1:6" outlineLevel="3" x14ac:dyDescent="0.25">
      <c r="A2298" s="4" t="s">
        <v>421</v>
      </c>
      <c r="B2298" t="s">
        <v>422</v>
      </c>
      <c r="C2298" t="s">
        <v>3925</v>
      </c>
      <c r="D2298" t="s">
        <v>119</v>
      </c>
      <c r="E2298" t="s">
        <v>244</v>
      </c>
      <c r="F2298" t="s">
        <v>37</v>
      </c>
    </row>
    <row r="2299" spans="1:6" outlineLevel="3" x14ac:dyDescent="0.25">
      <c r="A2299" s="4" t="s">
        <v>421</v>
      </c>
      <c r="B2299" t="s">
        <v>422</v>
      </c>
      <c r="C2299" t="s">
        <v>3926</v>
      </c>
      <c r="D2299" t="s">
        <v>126</v>
      </c>
      <c r="E2299" t="s">
        <v>244</v>
      </c>
      <c r="F2299" t="s">
        <v>37</v>
      </c>
    </row>
    <row r="2300" spans="1:6" outlineLevel="3" x14ac:dyDescent="0.25">
      <c r="A2300" s="4" t="s">
        <v>421</v>
      </c>
      <c r="B2300" t="s">
        <v>422</v>
      </c>
      <c r="C2300" t="s">
        <v>3927</v>
      </c>
      <c r="D2300" t="s">
        <v>126</v>
      </c>
      <c r="E2300" t="s">
        <v>244</v>
      </c>
      <c r="F2300" t="s">
        <v>37</v>
      </c>
    </row>
    <row r="2301" spans="1:6" outlineLevel="3" x14ac:dyDescent="0.25">
      <c r="A2301" s="4" t="s">
        <v>421</v>
      </c>
      <c r="B2301" t="s">
        <v>422</v>
      </c>
      <c r="C2301" t="s">
        <v>3928</v>
      </c>
      <c r="D2301" t="s">
        <v>126</v>
      </c>
      <c r="E2301" t="s">
        <v>244</v>
      </c>
      <c r="F2301" t="s">
        <v>37</v>
      </c>
    </row>
    <row r="2302" spans="1:6" outlineLevel="3" x14ac:dyDescent="0.25">
      <c r="A2302" s="4" t="s">
        <v>421</v>
      </c>
      <c r="B2302" t="s">
        <v>422</v>
      </c>
      <c r="C2302" t="s">
        <v>1983</v>
      </c>
      <c r="D2302" t="s">
        <v>165</v>
      </c>
      <c r="E2302" t="s">
        <v>244</v>
      </c>
      <c r="F2302" t="s">
        <v>37</v>
      </c>
    </row>
    <row r="2303" spans="1:6" outlineLevel="3" x14ac:dyDescent="0.25">
      <c r="A2303" s="4" t="s">
        <v>421</v>
      </c>
      <c r="B2303" t="s">
        <v>422</v>
      </c>
      <c r="C2303" t="s">
        <v>3929</v>
      </c>
      <c r="D2303" t="s">
        <v>126</v>
      </c>
      <c r="E2303" t="s">
        <v>244</v>
      </c>
      <c r="F2303" t="s">
        <v>37</v>
      </c>
    </row>
    <row r="2304" spans="1:6" outlineLevel="3" x14ac:dyDescent="0.25">
      <c r="A2304" s="4" t="s">
        <v>421</v>
      </c>
      <c r="B2304" t="s">
        <v>422</v>
      </c>
      <c r="C2304" t="s">
        <v>3930</v>
      </c>
      <c r="D2304" t="s">
        <v>126</v>
      </c>
      <c r="E2304" t="s">
        <v>244</v>
      </c>
      <c r="F2304" t="s">
        <v>37</v>
      </c>
    </row>
    <row r="2305" spans="1:6" outlineLevel="3" x14ac:dyDescent="0.25">
      <c r="A2305" s="4" t="s">
        <v>421</v>
      </c>
      <c r="B2305" t="s">
        <v>422</v>
      </c>
      <c r="C2305" t="s">
        <v>3931</v>
      </c>
      <c r="D2305" t="s">
        <v>126</v>
      </c>
      <c r="E2305" t="s">
        <v>244</v>
      </c>
      <c r="F2305" t="s">
        <v>37</v>
      </c>
    </row>
    <row r="2306" spans="1:6" outlineLevel="3" x14ac:dyDescent="0.25">
      <c r="A2306" s="4" t="s">
        <v>421</v>
      </c>
      <c r="B2306" t="s">
        <v>422</v>
      </c>
      <c r="C2306" t="s">
        <v>3932</v>
      </c>
      <c r="D2306" t="s">
        <v>119</v>
      </c>
      <c r="E2306" t="s">
        <v>244</v>
      </c>
      <c r="F2306" t="s">
        <v>37</v>
      </c>
    </row>
    <row r="2307" spans="1:6" outlineLevel="3" x14ac:dyDescent="0.25">
      <c r="A2307" s="4" t="s">
        <v>421</v>
      </c>
      <c r="B2307" t="s">
        <v>422</v>
      </c>
      <c r="C2307" t="s">
        <v>3933</v>
      </c>
      <c r="D2307" t="s">
        <v>126</v>
      </c>
      <c r="E2307" t="s">
        <v>244</v>
      </c>
      <c r="F2307" t="s">
        <v>37</v>
      </c>
    </row>
    <row r="2308" spans="1:6" outlineLevel="3" x14ac:dyDescent="0.25">
      <c r="A2308" s="4" t="s">
        <v>421</v>
      </c>
      <c r="B2308" t="s">
        <v>422</v>
      </c>
      <c r="C2308" t="s">
        <v>3934</v>
      </c>
      <c r="D2308" t="s">
        <v>165</v>
      </c>
      <c r="E2308" t="s">
        <v>244</v>
      </c>
      <c r="F2308" t="s">
        <v>37</v>
      </c>
    </row>
    <row r="2309" spans="1:6" outlineLevel="3" x14ac:dyDescent="0.25">
      <c r="A2309" s="4" t="s">
        <v>421</v>
      </c>
      <c r="B2309" t="s">
        <v>422</v>
      </c>
      <c r="C2309" t="s">
        <v>3935</v>
      </c>
      <c r="D2309" t="s">
        <v>141</v>
      </c>
      <c r="E2309" t="s">
        <v>244</v>
      </c>
      <c r="F2309" t="s">
        <v>37</v>
      </c>
    </row>
    <row r="2310" spans="1:6" outlineLevel="3" x14ac:dyDescent="0.25">
      <c r="A2310" s="4" t="s">
        <v>421</v>
      </c>
      <c r="B2310" t="s">
        <v>422</v>
      </c>
      <c r="C2310" t="s">
        <v>3936</v>
      </c>
      <c r="D2310" t="s">
        <v>126</v>
      </c>
      <c r="E2310" t="s">
        <v>244</v>
      </c>
      <c r="F2310" t="s">
        <v>37</v>
      </c>
    </row>
    <row r="2311" spans="1:6" outlineLevel="3" x14ac:dyDescent="0.25">
      <c r="A2311" s="4" t="s">
        <v>421</v>
      </c>
      <c r="B2311" t="s">
        <v>422</v>
      </c>
      <c r="C2311" t="s">
        <v>3937</v>
      </c>
      <c r="D2311" t="s">
        <v>126</v>
      </c>
      <c r="E2311" t="s">
        <v>244</v>
      </c>
      <c r="F2311" t="s">
        <v>37</v>
      </c>
    </row>
    <row r="2312" spans="1:6" outlineLevel="3" x14ac:dyDescent="0.25">
      <c r="A2312" s="4" t="s">
        <v>421</v>
      </c>
      <c r="B2312" t="s">
        <v>422</v>
      </c>
      <c r="C2312" t="s">
        <v>3938</v>
      </c>
      <c r="D2312" t="s">
        <v>165</v>
      </c>
      <c r="E2312" t="s">
        <v>244</v>
      </c>
      <c r="F2312" t="s">
        <v>37</v>
      </c>
    </row>
    <row r="2313" spans="1:6" outlineLevel="3" x14ac:dyDescent="0.25">
      <c r="A2313" s="4" t="s">
        <v>421</v>
      </c>
      <c r="B2313" t="s">
        <v>422</v>
      </c>
      <c r="C2313" t="s">
        <v>3939</v>
      </c>
      <c r="D2313" t="s">
        <v>13</v>
      </c>
      <c r="E2313" t="s">
        <v>244</v>
      </c>
      <c r="F2313" t="s">
        <v>37</v>
      </c>
    </row>
    <row r="2314" spans="1:6" outlineLevel="3" x14ac:dyDescent="0.25">
      <c r="A2314" s="4" t="s">
        <v>421</v>
      </c>
      <c r="B2314" t="s">
        <v>422</v>
      </c>
      <c r="C2314" t="s">
        <v>3940</v>
      </c>
      <c r="D2314" t="s">
        <v>103</v>
      </c>
      <c r="E2314" t="s">
        <v>244</v>
      </c>
      <c r="F2314" t="s">
        <v>37</v>
      </c>
    </row>
    <row r="2315" spans="1:6" outlineLevel="3" x14ac:dyDescent="0.25">
      <c r="A2315" s="4" t="s">
        <v>421</v>
      </c>
      <c r="B2315" t="s">
        <v>422</v>
      </c>
      <c r="C2315" t="s">
        <v>3941</v>
      </c>
      <c r="D2315" t="s">
        <v>202</v>
      </c>
      <c r="E2315" t="s">
        <v>244</v>
      </c>
      <c r="F2315" t="s">
        <v>37</v>
      </c>
    </row>
    <row r="2316" spans="1:6" outlineLevel="3" x14ac:dyDescent="0.25">
      <c r="A2316" s="4" t="s">
        <v>421</v>
      </c>
      <c r="B2316" t="s">
        <v>422</v>
      </c>
      <c r="C2316" t="s">
        <v>3942</v>
      </c>
      <c r="D2316" t="s">
        <v>89</v>
      </c>
      <c r="E2316" t="s">
        <v>244</v>
      </c>
      <c r="F2316" t="s">
        <v>37</v>
      </c>
    </row>
    <row r="2317" spans="1:6" outlineLevel="3" x14ac:dyDescent="0.25">
      <c r="A2317" s="4" t="s">
        <v>421</v>
      </c>
      <c r="B2317" t="s">
        <v>422</v>
      </c>
      <c r="C2317" t="s">
        <v>3943</v>
      </c>
      <c r="D2317" t="s">
        <v>237</v>
      </c>
      <c r="E2317" t="s">
        <v>244</v>
      </c>
      <c r="F2317" t="s">
        <v>37</v>
      </c>
    </row>
    <row r="2318" spans="1:6" outlineLevel="3" x14ac:dyDescent="0.25">
      <c r="A2318" s="4" t="s">
        <v>421</v>
      </c>
      <c r="B2318" t="s">
        <v>422</v>
      </c>
      <c r="C2318" t="s">
        <v>3944</v>
      </c>
      <c r="D2318" t="s">
        <v>65</v>
      </c>
      <c r="E2318" t="s">
        <v>244</v>
      </c>
      <c r="F2318" t="s">
        <v>37</v>
      </c>
    </row>
    <row r="2319" spans="1:6" outlineLevel="3" x14ac:dyDescent="0.25">
      <c r="A2319" s="4" t="s">
        <v>421</v>
      </c>
      <c r="B2319" t="s">
        <v>422</v>
      </c>
      <c r="C2319" t="s">
        <v>3945</v>
      </c>
      <c r="D2319" t="s">
        <v>124</v>
      </c>
      <c r="E2319" t="s">
        <v>244</v>
      </c>
      <c r="F2319" t="s">
        <v>37</v>
      </c>
    </row>
    <row r="2320" spans="1:6" outlineLevel="3" x14ac:dyDescent="0.25">
      <c r="A2320" s="4" t="s">
        <v>421</v>
      </c>
      <c r="B2320" t="s">
        <v>422</v>
      </c>
      <c r="C2320" t="s">
        <v>3946</v>
      </c>
      <c r="D2320" t="s">
        <v>119</v>
      </c>
      <c r="E2320" t="s">
        <v>244</v>
      </c>
      <c r="F2320" t="s">
        <v>37</v>
      </c>
    </row>
    <row r="2321" spans="1:6" outlineLevel="3" x14ac:dyDescent="0.25">
      <c r="A2321" s="4" t="s">
        <v>421</v>
      </c>
      <c r="B2321" t="s">
        <v>422</v>
      </c>
      <c r="C2321" t="s">
        <v>3947</v>
      </c>
      <c r="D2321" t="s">
        <v>13</v>
      </c>
      <c r="E2321" t="s">
        <v>244</v>
      </c>
      <c r="F2321" t="s">
        <v>37</v>
      </c>
    </row>
    <row r="2322" spans="1:6" outlineLevel="3" x14ac:dyDescent="0.25">
      <c r="A2322" s="4" t="s">
        <v>421</v>
      </c>
      <c r="B2322" t="s">
        <v>422</v>
      </c>
      <c r="C2322" t="s">
        <v>3948</v>
      </c>
      <c r="D2322" t="s">
        <v>126</v>
      </c>
      <c r="E2322" t="s">
        <v>244</v>
      </c>
      <c r="F2322" t="s">
        <v>37</v>
      </c>
    </row>
    <row r="2323" spans="1:6" outlineLevel="3" x14ac:dyDescent="0.25">
      <c r="A2323" s="4" t="s">
        <v>421</v>
      </c>
      <c r="B2323" t="s">
        <v>422</v>
      </c>
      <c r="C2323" t="s">
        <v>3949</v>
      </c>
      <c r="D2323" t="s">
        <v>126</v>
      </c>
      <c r="E2323" t="s">
        <v>244</v>
      </c>
      <c r="F2323" t="s">
        <v>37</v>
      </c>
    </row>
    <row r="2324" spans="1:6" outlineLevel="3" x14ac:dyDescent="0.25">
      <c r="A2324" s="4" t="s">
        <v>421</v>
      </c>
      <c r="B2324" t="s">
        <v>422</v>
      </c>
      <c r="C2324" t="s">
        <v>3950</v>
      </c>
      <c r="D2324" t="s">
        <v>13</v>
      </c>
      <c r="E2324" t="s">
        <v>244</v>
      </c>
      <c r="F2324" t="s">
        <v>37</v>
      </c>
    </row>
    <row r="2325" spans="1:6" outlineLevel="3" x14ac:dyDescent="0.25">
      <c r="A2325" s="4" t="s">
        <v>421</v>
      </c>
      <c r="B2325" t="s">
        <v>422</v>
      </c>
      <c r="C2325" t="s">
        <v>3951</v>
      </c>
      <c r="D2325" t="s">
        <v>165</v>
      </c>
      <c r="E2325" t="s">
        <v>244</v>
      </c>
      <c r="F2325" t="s">
        <v>37</v>
      </c>
    </row>
    <row r="2326" spans="1:6" outlineLevel="3" x14ac:dyDescent="0.25">
      <c r="A2326" s="4" t="s">
        <v>421</v>
      </c>
      <c r="B2326" t="s">
        <v>422</v>
      </c>
      <c r="C2326" t="s">
        <v>3952</v>
      </c>
      <c r="D2326" t="s">
        <v>3953</v>
      </c>
      <c r="E2326" t="s">
        <v>244</v>
      </c>
      <c r="F2326" t="s">
        <v>37</v>
      </c>
    </row>
    <row r="2327" spans="1:6" outlineLevel="3" x14ac:dyDescent="0.25">
      <c r="A2327" s="4" t="s">
        <v>421</v>
      </c>
      <c r="B2327" t="s">
        <v>422</v>
      </c>
      <c r="C2327" t="s">
        <v>3954</v>
      </c>
      <c r="D2327" t="s">
        <v>1147</v>
      </c>
      <c r="E2327" t="s">
        <v>244</v>
      </c>
      <c r="F2327" t="s">
        <v>37</v>
      </c>
    </row>
    <row r="2328" spans="1:6" outlineLevel="3" x14ac:dyDescent="0.25">
      <c r="A2328" s="4" t="s">
        <v>421</v>
      </c>
      <c r="B2328" t="s">
        <v>422</v>
      </c>
      <c r="C2328" t="s">
        <v>3955</v>
      </c>
      <c r="D2328" t="s">
        <v>437</v>
      </c>
      <c r="E2328" t="s">
        <v>244</v>
      </c>
      <c r="F2328" t="s">
        <v>37</v>
      </c>
    </row>
    <row r="2329" spans="1:6" outlineLevel="3" x14ac:dyDescent="0.25">
      <c r="A2329" s="4" t="s">
        <v>421</v>
      </c>
      <c r="B2329" t="s">
        <v>422</v>
      </c>
      <c r="C2329" t="s">
        <v>3956</v>
      </c>
      <c r="D2329" t="s">
        <v>147</v>
      </c>
      <c r="E2329" t="s">
        <v>244</v>
      </c>
      <c r="F2329" t="s">
        <v>37</v>
      </c>
    </row>
    <row r="2330" spans="1:6" outlineLevel="3" x14ac:dyDescent="0.25">
      <c r="A2330" s="4" t="s">
        <v>421</v>
      </c>
      <c r="B2330" t="s">
        <v>422</v>
      </c>
      <c r="C2330" t="s">
        <v>3957</v>
      </c>
      <c r="D2330" t="s">
        <v>76</v>
      </c>
      <c r="E2330" t="s">
        <v>244</v>
      </c>
      <c r="F2330" t="s">
        <v>37</v>
      </c>
    </row>
    <row r="2331" spans="1:6" outlineLevel="3" x14ac:dyDescent="0.25">
      <c r="A2331" s="4" t="s">
        <v>421</v>
      </c>
      <c r="B2331" t="s">
        <v>422</v>
      </c>
      <c r="C2331" t="s">
        <v>3958</v>
      </c>
      <c r="D2331" t="s">
        <v>165</v>
      </c>
      <c r="E2331" t="s">
        <v>244</v>
      </c>
      <c r="F2331" t="s">
        <v>37</v>
      </c>
    </row>
    <row r="2332" spans="1:6" outlineLevel="3" x14ac:dyDescent="0.25">
      <c r="A2332" s="4" t="s">
        <v>421</v>
      </c>
      <c r="B2332" t="s">
        <v>422</v>
      </c>
      <c r="C2332" t="s">
        <v>1730</v>
      </c>
      <c r="D2332" t="s">
        <v>46</v>
      </c>
      <c r="E2332" t="s">
        <v>244</v>
      </c>
      <c r="F2332" t="s">
        <v>37</v>
      </c>
    </row>
    <row r="2333" spans="1:6" outlineLevel="3" x14ac:dyDescent="0.25">
      <c r="A2333" s="4" t="s">
        <v>421</v>
      </c>
      <c r="B2333" t="s">
        <v>422</v>
      </c>
      <c r="C2333" t="s">
        <v>3959</v>
      </c>
      <c r="D2333" t="s">
        <v>46</v>
      </c>
      <c r="E2333" t="s">
        <v>244</v>
      </c>
      <c r="F2333" t="s">
        <v>37</v>
      </c>
    </row>
    <row r="2334" spans="1:6" outlineLevel="3" x14ac:dyDescent="0.25">
      <c r="A2334" s="4" t="s">
        <v>421</v>
      </c>
      <c r="B2334" t="s">
        <v>422</v>
      </c>
      <c r="C2334" t="s">
        <v>1984</v>
      </c>
      <c r="D2334" t="s">
        <v>46</v>
      </c>
      <c r="E2334" t="s">
        <v>244</v>
      </c>
      <c r="F2334" t="s">
        <v>37</v>
      </c>
    </row>
    <row r="2335" spans="1:6" outlineLevel="3" x14ac:dyDescent="0.25">
      <c r="A2335" s="4" t="s">
        <v>421</v>
      </c>
      <c r="B2335" t="s">
        <v>422</v>
      </c>
      <c r="C2335" t="s">
        <v>3960</v>
      </c>
      <c r="D2335" t="s">
        <v>13</v>
      </c>
      <c r="E2335" t="s">
        <v>919</v>
      </c>
      <c r="F2335" t="s">
        <v>37</v>
      </c>
    </row>
    <row r="2336" spans="1:6" outlineLevel="3" x14ac:dyDescent="0.25">
      <c r="A2336" s="4" t="s">
        <v>421</v>
      </c>
      <c r="B2336" t="s">
        <v>422</v>
      </c>
      <c r="C2336" t="s">
        <v>3961</v>
      </c>
      <c r="D2336" t="s">
        <v>202</v>
      </c>
      <c r="E2336" t="s">
        <v>86</v>
      </c>
      <c r="F2336" t="s">
        <v>37</v>
      </c>
    </row>
    <row r="2337" spans="1:6" outlineLevel="3" x14ac:dyDescent="0.25">
      <c r="A2337" s="4" t="s">
        <v>421</v>
      </c>
      <c r="B2337" t="s">
        <v>422</v>
      </c>
      <c r="C2337" t="s">
        <v>3962</v>
      </c>
      <c r="D2337" t="s">
        <v>119</v>
      </c>
      <c r="E2337" t="s">
        <v>86</v>
      </c>
      <c r="F2337" t="s">
        <v>37</v>
      </c>
    </row>
    <row r="2338" spans="1:6" outlineLevel="3" x14ac:dyDescent="0.25">
      <c r="A2338" s="4" t="s">
        <v>421</v>
      </c>
      <c r="B2338" t="s">
        <v>422</v>
      </c>
      <c r="C2338" t="s">
        <v>3963</v>
      </c>
      <c r="D2338" t="s">
        <v>6</v>
      </c>
      <c r="E2338" t="s">
        <v>86</v>
      </c>
      <c r="F2338" t="s">
        <v>37</v>
      </c>
    </row>
    <row r="2339" spans="1:6" outlineLevel="3" x14ac:dyDescent="0.25">
      <c r="A2339" s="4" t="s">
        <v>421</v>
      </c>
      <c r="B2339" t="s">
        <v>422</v>
      </c>
      <c r="C2339" t="s">
        <v>1785</v>
      </c>
      <c r="D2339" t="s">
        <v>67</v>
      </c>
      <c r="E2339" t="s">
        <v>86</v>
      </c>
      <c r="F2339" t="s">
        <v>37</v>
      </c>
    </row>
    <row r="2340" spans="1:6" outlineLevel="3" x14ac:dyDescent="0.25">
      <c r="A2340" s="4" t="s">
        <v>421</v>
      </c>
      <c r="B2340" t="s">
        <v>422</v>
      </c>
      <c r="C2340" t="s">
        <v>2367</v>
      </c>
      <c r="D2340" t="s">
        <v>13</v>
      </c>
      <c r="E2340" t="s">
        <v>1046</v>
      </c>
      <c r="F2340" t="s">
        <v>37</v>
      </c>
    </row>
    <row r="2341" spans="1:6" outlineLevel="3" x14ac:dyDescent="0.25">
      <c r="A2341" s="4" t="s">
        <v>421</v>
      </c>
      <c r="B2341" t="s">
        <v>422</v>
      </c>
      <c r="C2341" t="s">
        <v>2368</v>
      </c>
      <c r="D2341" t="s">
        <v>202</v>
      </c>
      <c r="E2341" t="s">
        <v>1046</v>
      </c>
      <c r="F2341" t="s">
        <v>37</v>
      </c>
    </row>
    <row r="2342" spans="1:6" outlineLevel="3" x14ac:dyDescent="0.25">
      <c r="A2342" s="4" t="s">
        <v>421</v>
      </c>
      <c r="B2342" t="s">
        <v>422</v>
      </c>
      <c r="C2342" t="s">
        <v>2369</v>
      </c>
      <c r="D2342" t="s">
        <v>119</v>
      </c>
      <c r="E2342" t="s">
        <v>1046</v>
      </c>
      <c r="F2342" t="s">
        <v>37</v>
      </c>
    </row>
    <row r="2343" spans="1:6" outlineLevel="3" x14ac:dyDescent="0.25">
      <c r="A2343" s="4" t="s">
        <v>421</v>
      </c>
      <c r="B2343" t="s">
        <v>422</v>
      </c>
      <c r="C2343" t="s">
        <v>2370</v>
      </c>
      <c r="D2343" t="s">
        <v>190</v>
      </c>
      <c r="E2343" t="s">
        <v>1046</v>
      </c>
      <c r="F2343" t="s">
        <v>37</v>
      </c>
    </row>
    <row r="2344" spans="1:6" outlineLevel="3" x14ac:dyDescent="0.25">
      <c r="A2344" s="4" t="s">
        <v>421</v>
      </c>
      <c r="B2344" t="s">
        <v>422</v>
      </c>
      <c r="C2344" t="s">
        <v>2371</v>
      </c>
      <c r="D2344" t="s">
        <v>190</v>
      </c>
      <c r="E2344" t="s">
        <v>1046</v>
      </c>
      <c r="F2344" t="s">
        <v>37</v>
      </c>
    </row>
    <row r="2345" spans="1:6" outlineLevel="3" x14ac:dyDescent="0.25">
      <c r="A2345" s="4" t="s">
        <v>421</v>
      </c>
      <c r="B2345" t="s">
        <v>422</v>
      </c>
      <c r="C2345" t="s">
        <v>2372</v>
      </c>
      <c r="D2345" t="s">
        <v>190</v>
      </c>
      <c r="E2345" t="s">
        <v>1046</v>
      </c>
      <c r="F2345" t="s">
        <v>37</v>
      </c>
    </row>
    <row r="2346" spans="1:6" outlineLevel="3" x14ac:dyDescent="0.25">
      <c r="A2346" s="4" t="s">
        <v>421</v>
      </c>
      <c r="B2346" t="s">
        <v>422</v>
      </c>
      <c r="C2346" t="s">
        <v>2373</v>
      </c>
      <c r="D2346" t="s">
        <v>76</v>
      </c>
      <c r="E2346" t="s">
        <v>1046</v>
      </c>
      <c r="F2346" t="s">
        <v>37</v>
      </c>
    </row>
    <row r="2347" spans="1:6" outlineLevel="3" x14ac:dyDescent="0.25">
      <c r="A2347" s="4" t="s">
        <v>421</v>
      </c>
      <c r="B2347" t="s">
        <v>422</v>
      </c>
      <c r="C2347" t="s">
        <v>2374</v>
      </c>
      <c r="D2347" t="s">
        <v>202</v>
      </c>
      <c r="E2347" t="s">
        <v>1046</v>
      </c>
      <c r="F2347" t="s">
        <v>37</v>
      </c>
    </row>
    <row r="2348" spans="1:6" outlineLevel="3" x14ac:dyDescent="0.25">
      <c r="A2348" s="4" t="s">
        <v>421</v>
      </c>
      <c r="B2348" t="s">
        <v>422</v>
      </c>
      <c r="C2348" t="s">
        <v>2375</v>
      </c>
      <c r="D2348" t="s">
        <v>6</v>
      </c>
      <c r="E2348" t="s">
        <v>1046</v>
      </c>
      <c r="F2348" t="s">
        <v>37</v>
      </c>
    </row>
    <row r="2349" spans="1:6" outlineLevel="3" x14ac:dyDescent="0.25">
      <c r="A2349" s="4" t="s">
        <v>421</v>
      </c>
      <c r="B2349" t="s">
        <v>422</v>
      </c>
      <c r="C2349" t="s">
        <v>2376</v>
      </c>
      <c r="D2349" t="s">
        <v>6</v>
      </c>
      <c r="E2349" t="s">
        <v>1046</v>
      </c>
      <c r="F2349" t="s">
        <v>37</v>
      </c>
    </row>
    <row r="2350" spans="1:6" outlineLevel="3" x14ac:dyDescent="0.25">
      <c r="A2350" s="4" t="s">
        <v>421</v>
      </c>
      <c r="B2350" t="s">
        <v>422</v>
      </c>
      <c r="C2350" t="s">
        <v>2377</v>
      </c>
      <c r="D2350" t="s">
        <v>190</v>
      </c>
      <c r="E2350" t="s">
        <v>1046</v>
      </c>
      <c r="F2350" t="s">
        <v>37</v>
      </c>
    </row>
    <row r="2351" spans="1:6" outlineLevel="3" x14ac:dyDescent="0.25">
      <c r="A2351" s="4" t="s">
        <v>421</v>
      </c>
      <c r="B2351" t="s">
        <v>422</v>
      </c>
      <c r="C2351" t="s">
        <v>2378</v>
      </c>
      <c r="D2351" t="s">
        <v>67</v>
      </c>
      <c r="E2351" t="s">
        <v>1046</v>
      </c>
      <c r="F2351" t="s">
        <v>37</v>
      </c>
    </row>
    <row r="2352" spans="1:6" outlineLevel="3" x14ac:dyDescent="0.25">
      <c r="A2352" s="4" t="s">
        <v>421</v>
      </c>
      <c r="B2352" t="s">
        <v>422</v>
      </c>
      <c r="C2352" t="s">
        <v>2379</v>
      </c>
      <c r="D2352" t="s">
        <v>126</v>
      </c>
      <c r="E2352" t="s">
        <v>1046</v>
      </c>
      <c r="F2352" t="s">
        <v>37</v>
      </c>
    </row>
    <row r="2353" spans="1:6" outlineLevel="3" x14ac:dyDescent="0.25">
      <c r="A2353" s="4" t="s">
        <v>421</v>
      </c>
      <c r="B2353" t="s">
        <v>422</v>
      </c>
      <c r="C2353" t="s">
        <v>2380</v>
      </c>
      <c r="D2353" t="s">
        <v>165</v>
      </c>
      <c r="E2353" t="s">
        <v>1046</v>
      </c>
      <c r="F2353" t="s">
        <v>37</v>
      </c>
    </row>
    <row r="2354" spans="1:6" outlineLevel="3" x14ac:dyDescent="0.25">
      <c r="A2354" s="4" t="s">
        <v>421</v>
      </c>
      <c r="B2354" t="s">
        <v>422</v>
      </c>
      <c r="C2354" t="s">
        <v>2381</v>
      </c>
      <c r="D2354" t="s">
        <v>13</v>
      </c>
      <c r="E2354" t="s">
        <v>1046</v>
      </c>
      <c r="F2354" t="s">
        <v>37</v>
      </c>
    </row>
    <row r="2355" spans="1:6" outlineLevel="3" x14ac:dyDescent="0.25">
      <c r="A2355" s="4" t="s">
        <v>421</v>
      </c>
      <c r="B2355" t="s">
        <v>422</v>
      </c>
      <c r="C2355" t="s">
        <v>2382</v>
      </c>
      <c r="D2355" t="s">
        <v>13</v>
      </c>
      <c r="E2355" t="s">
        <v>1046</v>
      </c>
      <c r="F2355" t="s">
        <v>37</v>
      </c>
    </row>
    <row r="2356" spans="1:6" outlineLevel="3" x14ac:dyDescent="0.25">
      <c r="A2356" s="4" t="s">
        <v>421</v>
      </c>
      <c r="B2356" t="s">
        <v>422</v>
      </c>
      <c r="C2356" t="s">
        <v>2383</v>
      </c>
      <c r="D2356" t="s">
        <v>13</v>
      </c>
      <c r="E2356" t="s">
        <v>1046</v>
      </c>
      <c r="F2356" t="s">
        <v>37</v>
      </c>
    </row>
    <row r="2357" spans="1:6" outlineLevel="3" x14ac:dyDescent="0.25">
      <c r="A2357" s="4" t="s">
        <v>421</v>
      </c>
      <c r="B2357" t="s">
        <v>422</v>
      </c>
      <c r="C2357" t="s">
        <v>2384</v>
      </c>
      <c r="D2357" t="s">
        <v>76</v>
      </c>
      <c r="E2357" t="s">
        <v>1046</v>
      </c>
      <c r="F2357" t="s">
        <v>37</v>
      </c>
    </row>
    <row r="2358" spans="1:6" outlineLevel="3" x14ac:dyDescent="0.25">
      <c r="A2358" s="4" t="s">
        <v>421</v>
      </c>
      <c r="B2358" t="s">
        <v>422</v>
      </c>
      <c r="C2358" t="s">
        <v>2385</v>
      </c>
      <c r="D2358" t="s">
        <v>89</v>
      </c>
      <c r="E2358" t="s">
        <v>1046</v>
      </c>
      <c r="F2358" t="s">
        <v>37</v>
      </c>
    </row>
    <row r="2359" spans="1:6" outlineLevel="3" x14ac:dyDescent="0.25">
      <c r="A2359" s="4" t="s">
        <v>421</v>
      </c>
      <c r="B2359" t="s">
        <v>422</v>
      </c>
      <c r="C2359" t="s">
        <v>2386</v>
      </c>
      <c r="D2359" t="s">
        <v>119</v>
      </c>
      <c r="E2359" t="s">
        <v>1046</v>
      </c>
      <c r="F2359" t="s">
        <v>37</v>
      </c>
    </row>
    <row r="2360" spans="1:6" outlineLevel="3" x14ac:dyDescent="0.25">
      <c r="A2360" s="4" t="s">
        <v>421</v>
      </c>
      <c r="B2360" t="s">
        <v>422</v>
      </c>
      <c r="C2360" t="s">
        <v>2387</v>
      </c>
      <c r="D2360" t="s">
        <v>119</v>
      </c>
      <c r="E2360" t="s">
        <v>1046</v>
      </c>
      <c r="F2360" t="s">
        <v>37</v>
      </c>
    </row>
    <row r="2361" spans="1:6" outlineLevel="3" x14ac:dyDescent="0.25">
      <c r="A2361" s="4" t="s">
        <v>421</v>
      </c>
      <c r="B2361" t="s">
        <v>422</v>
      </c>
      <c r="C2361" t="s">
        <v>2388</v>
      </c>
      <c r="D2361" t="s">
        <v>119</v>
      </c>
      <c r="E2361" t="s">
        <v>1046</v>
      </c>
      <c r="F2361" t="s">
        <v>37</v>
      </c>
    </row>
    <row r="2362" spans="1:6" outlineLevel="3" x14ac:dyDescent="0.25">
      <c r="A2362" s="4" t="s">
        <v>421</v>
      </c>
      <c r="B2362" t="s">
        <v>422</v>
      </c>
      <c r="C2362" t="s">
        <v>2389</v>
      </c>
      <c r="D2362" t="s">
        <v>119</v>
      </c>
      <c r="E2362" t="s">
        <v>1046</v>
      </c>
      <c r="F2362" t="s">
        <v>37</v>
      </c>
    </row>
    <row r="2363" spans="1:6" outlineLevel="3" x14ac:dyDescent="0.25">
      <c r="A2363" s="4" t="s">
        <v>421</v>
      </c>
      <c r="B2363" t="s">
        <v>422</v>
      </c>
      <c r="C2363" t="s">
        <v>2390</v>
      </c>
      <c r="D2363" t="s">
        <v>119</v>
      </c>
      <c r="E2363" t="s">
        <v>1046</v>
      </c>
      <c r="F2363" t="s">
        <v>37</v>
      </c>
    </row>
    <row r="2364" spans="1:6" outlineLevel="3" x14ac:dyDescent="0.25">
      <c r="A2364" s="4" t="s">
        <v>421</v>
      </c>
      <c r="B2364" t="s">
        <v>422</v>
      </c>
      <c r="C2364" t="s">
        <v>2391</v>
      </c>
      <c r="D2364" t="s">
        <v>119</v>
      </c>
      <c r="E2364" t="s">
        <v>1046</v>
      </c>
      <c r="F2364" t="s">
        <v>37</v>
      </c>
    </row>
    <row r="2365" spans="1:6" outlineLevel="3" x14ac:dyDescent="0.25">
      <c r="A2365" s="4" t="s">
        <v>421</v>
      </c>
      <c r="B2365" t="s">
        <v>422</v>
      </c>
      <c r="C2365" t="s">
        <v>2392</v>
      </c>
      <c r="D2365" t="s">
        <v>119</v>
      </c>
      <c r="E2365" t="s">
        <v>1046</v>
      </c>
      <c r="F2365" t="s">
        <v>37</v>
      </c>
    </row>
    <row r="2366" spans="1:6" outlineLevel="3" x14ac:dyDescent="0.25">
      <c r="A2366" s="4" t="s">
        <v>421</v>
      </c>
      <c r="B2366" t="s">
        <v>422</v>
      </c>
      <c r="C2366" t="s">
        <v>2393</v>
      </c>
      <c r="D2366" t="s">
        <v>119</v>
      </c>
      <c r="E2366" t="s">
        <v>1046</v>
      </c>
      <c r="F2366" t="s">
        <v>37</v>
      </c>
    </row>
    <row r="2367" spans="1:6" outlineLevel="3" x14ac:dyDescent="0.25">
      <c r="A2367" s="4" t="s">
        <v>421</v>
      </c>
      <c r="B2367" t="s">
        <v>422</v>
      </c>
      <c r="C2367" t="s">
        <v>2394</v>
      </c>
      <c r="D2367" t="s">
        <v>119</v>
      </c>
      <c r="E2367" t="s">
        <v>1046</v>
      </c>
      <c r="F2367" t="s">
        <v>37</v>
      </c>
    </row>
    <row r="2368" spans="1:6" outlineLevel="3" x14ac:dyDescent="0.25">
      <c r="A2368" s="4" t="s">
        <v>421</v>
      </c>
      <c r="B2368" t="s">
        <v>422</v>
      </c>
      <c r="C2368" t="s">
        <v>2395</v>
      </c>
      <c r="D2368" t="s">
        <v>143</v>
      </c>
      <c r="E2368" t="s">
        <v>1046</v>
      </c>
      <c r="F2368" t="s">
        <v>37</v>
      </c>
    </row>
    <row r="2369" spans="1:6" outlineLevel="3" x14ac:dyDescent="0.25">
      <c r="A2369" s="4" t="s">
        <v>421</v>
      </c>
      <c r="B2369" t="s">
        <v>422</v>
      </c>
      <c r="C2369" t="s">
        <v>2396</v>
      </c>
      <c r="D2369" t="s">
        <v>119</v>
      </c>
      <c r="E2369" t="s">
        <v>1046</v>
      </c>
      <c r="F2369" t="s">
        <v>37</v>
      </c>
    </row>
    <row r="2370" spans="1:6" outlineLevel="3" x14ac:dyDescent="0.25">
      <c r="A2370" s="4" t="s">
        <v>421</v>
      </c>
      <c r="B2370" t="s">
        <v>422</v>
      </c>
      <c r="C2370" t="s">
        <v>2397</v>
      </c>
      <c r="D2370" t="s">
        <v>119</v>
      </c>
      <c r="E2370" t="s">
        <v>1046</v>
      </c>
      <c r="F2370" t="s">
        <v>37</v>
      </c>
    </row>
    <row r="2371" spans="1:6" outlineLevel="3" x14ac:dyDescent="0.25">
      <c r="A2371" s="4" t="s">
        <v>421</v>
      </c>
      <c r="B2371" t="s">
        <v>422</v>
      </c>
      <c r="C2371" t="s">
        <v>2398</v>
      </c>
      <c r="D2371" t="s">
        <v>124</v>
      </c>
      <c r="E2371" t="s">
        <v>1046</v>
      </c>
      <c r="F2371" t="s">
        <v>37</v>
      </c>
    </row>
    <row r="2372" spans="1:6" outlineLevel="3" x14ac:dyDescent="0.25">
      <c r="A2372" s="4" t="s">
        <v>421</v>
      </c>
      <c r="B2372" t="s">
        <v>422</v>
      </c>
      <c r="C2372" t="s">
        <v>2399</v>
      </c>
      <c r="D2372" t="s">
        <v>124</v>
      </c>
      <c r="E2372" t="s">
        <v>1046</v>
      </c>
      <c r="F2372" t="s">
        <v>37</v>
      </c>
    </row>
    <row r="2373" spans="1:6" outlineLevel="3" x14ac:dyDescent="0.25">
      <c r="A2373" s="4" t="s">
        <v>421</v>
      </c>
      <c r="B2373" t="s">
        <v>422</v>
      </c>
      <c r="C2373" t="s">
        <v>2400</v>
      </c>
      <c r="D2373" t="s">
        <v>126</v>
      </c>
      <c r="E2373" t="s">
        <v>1046</v>
      </c>
      <c r="F2373" t="s">
        <v>37</v>
      </c>
    </row>
    <row r="2374" spans="1:6" outlineLevel="3" x14ac:dyDescent="0.25">
      <c r="A2374" s="4" t="s">
        <v>421</v>
      </c>
      <c r="B2374" t="s">
        <v>422</v>
      </c>
      <c r="C2374" t="s">
        <v>2759</v>
      </c>
      <c r="D2374" t="s">
        <v>65</v>
      </c>
      <c r="E2374" t="s">
        <v>117</v>
      </c>
      <c r="F2374" t="s">
        <v>37</v>
      </c>
    </row>
    <row r="2375" spans="1:6" outlineLevel="3" x14ac:dyDescent="0.25">
      <c r="A2375" s="4" t="s">
        <v>421</v>
      </c>
      <c r="B2375" t="s">
        <v>422</v>
      </c>
      <c r="C2375" t="s">
        <v>2760</v>
      </c>
      <c r="D2375" t="s">
        <v>65</v>
      </c>
      <c r="E2375" t="s">
        <v>117</v>
      </c>
      <c r="F2375" t="s">
        <v>37</v>
      </c>
    </row>
    <row r="2376" spans="1:6" outlineLevel="3" x14ac:dyDescent="0.25">
      <c r="A2376" s="4" t="s">
        <v>421</v>
      </c>
      <c r="B2376" t="s">
        <v>422</v>
      </c>
      <c r="C2376" t="s">
        <v>2761</v>
      </c>
      <c r="D2376" t="s">
        <v>6</v>
      </c>
      <c r="E2376" t="s">
        <v>117</v>
      </c>
      <c r="F2376" t="s">
        <v>37</v>
      </c>
    </row>
    <row r="2377" spans="1:6" outlineLevel="3" x14ac:dyDescent="0.25">
      <c r="A2377" s="4" t="s">
        <v>421</v>
      </c>
      <c r="B2377" t="s">
        <v>422</v>
      </c>
      <c r="C2377" t="s">
        <v>2762</v>
      </c>
      <c r="D2377" t="s">
        <v>76</v>
      </c>
      <c r="E2377" t="s">
        <v>117</v>
      </c>
      <c r="F2377" t="s">
        <v>37</v>
      </c>
    </row>
    <row r="2378" spans="1:6" outlineLevel="3" x14ac:dyDescent="0.25">
      <c r="A2378" s="4" t="s">
        <v>421</v>
      </c>
      <c r="B2378" t="s">
        <v>422</v>
      </c>
      <c r="C2378" t="s">
        <v>2763</v>
      </c>
      <c r="D2378" t="s">
        <v>103</v>
      </c>
      <c r="E2378" t="s">
        <v>117</v>
      </c>
      <c r="F2378" t="s">
        <v>37</v>
      </c>
    </row>
    <row r="2379" spans="1:6" outlineLevel="3" x14ac:dyDescent="0.25">
      <c r="A2379" s="4" t="s">
        <v>421</v>
      </c>
      <c r="B2379" t="s">
        <v>422</v>
      </c>
      <c r="C2379" t="s">
        <v>2764</v>
      </c>
      <c r="D2379" t="s">
        <v>202</v>
      </c>
      <c r="E2379" t="s">
        <v>117</v>
      </c>
      <c r="F2379" t="s">
        <v>37</v>
      </c>
    </row>
    <row r="2380" spans="1:6" outlineLevel="3" x14ac:dyDescent="0.25">
      <c r="A2380" s="4" t="s">
        <v>421</v>
      </c>
      <c r="B2380" t="s">
        <v>422</v>
      </c>
      <c r="C2380" t="s">
        <v>1751</v>
      </c>
      <c r="D2380" t="s">
        <v>202</v>
      </c>
      <c r="E2380" t="s">
        <v>117</v>
      </c>
      <c r="F2380" t="s">
        <v>37</v>
      </c>
    </row>
    <row r="2381" spans="1:6" outlineLevel="3" x14ac:dyDescent="0.25">
      <c r="A2381" s="4" t="s">
        <v>421</v>
      </c>
      <c r="B2381" t="s">
        <v>422</v>
      </c>
      <c r="C2381" t="s">
        <v>2765</v>
      </c>
      <c r="D2381" t="s">
        <v>78</v>
      </c>
      <c r="E2381" t="s">
        <v>117</v>
      </c>
      <c r="F2381" t="s">
        <v>37</v>
      </c>
    </row>
    <row r="2382" spans="1:6" outlineLevel="3" x14ac:dyDescent="0.25">
      <c r="A2382" s="4" t="s">
        <v>421</v>
      </c>
      <c r="B2382" t="s">
        <v>422</v>
      </c>
      <c r="C2382" t="s">
        <v>4100</v>
      </c>
      <c r="D2382" t="s">
        <v>202</v>
      </c>
      <c r="E2382" t="s">
        <v>1136</v>
      </c>
      <c r="F2382" t="s">
        <v>37</v>
      </c>
    </row>
    <row r="2383" spans="1:6" outlineLevel="3" x14ac:dyDescent="0.25">
      <c r="A2383" s="4" t="s">
        <v>421</v>
      </c>
      <c r="B2383" t="s">
        <v>422</v>
      </c>
      <c r="C2383" t="s">
        <v>1985</v>
      </c>
      <c r="D2383" t="s">
        <v>398</v>
      </c>
      <c r="E2383" t="s">
        <v>177</v>
      </c>
      <c r="F2383" t="s">
        <v>37</v>
      </c>
    </row>
    <row r="2384" spans="1:6" outlineLevel="3" x14ac:dyDescent="0.25">
      <c r="A2384" s="4" t="s">
        <v>421</v>
      </c>
      <c r="B2384" t="s">
        <v>422</v>
      </c>
      <c r="C2384" t="s">
        <v>3964</v>
      </c>
      <c r="D2384" t="s">
        <v>275</v>
      </c>
      <c r="E2384" t="s">
        <v>177</v>
      </c>
      <c r="F2384" t="s">
        <v>37</v>
      </c>
    </row>
    <row r="2385" spans="1:6" outlineLevel="3" x14ac:dyDescent="0.25">
      <c r="A2385" s="4" t="s">
        <v>421</v>
      </c>
      <c r="B2385" t="s">
        <v>422</v>
      </c>
      <c r="C2385" t="s">
        <v>3965</v>
      </c>
      <c r="D2385" t="s">
        <v>78</v>
      </c>
      <c r="E2385" t="s">
        <v>177</v>
      </c>
      <c r="F2385" t="s">
        <v>37</v>
      </c>
    </row>
    <row r="2386" spans="1:6" outlineLevel="3" x14ac:dyDescent="0.25">
      <c r="A2386" s="4" t="s">
        <v>421</v>
      </c>
      <c r="B2386" t="s">
        <v>422</v>
      </c>
      <c r="C2386" t="s">
        <v>3966</v>
      </c>
      <c r="D2386" t="s">
        <v>126</v>
      </c>
      <c r="E2386" t="s">
        <v>177</v>
      </c>
      <c r="F2386" t="s">
        <v>37</v>
      </c>
    </row>
    <row r="2387" spans="1:6" outlineLevel="3" x14ac:dyDescent="0.25">
      <c r="A2387" s="4" t="s">
        <v>421</v>
      </c>
      <c r="B2387" t="s">
        <v>422</v>
      </c>
      <c r="C2387" t="s">
        <v>3967</v>
      </c>
      <c r="D2387" t="s">
        <v>13</v>
      </c>
      <c r="E2387" t="s">
        <v>177</v>
      </c>
      <c r="F2387" t="s">
        <v>37</v>
      </c>
    </row>
    <row r="2388" spans="1:6" outlineLevel="3" x14ac:dyDescent="0.25">
      <c r="A2388" s="4" t="s">
        <v>421</v>
      </c>
      <c r="B2388" t="s">
        <v>422</v>
      </c>
      <c r="C2388" t="s">
        <v>3968</v>
      </c>
      <c r="D2388" t="s">
        <v>13</v>
      </c>
      <c r="E2388" t="s">
        <v>177</v>
      </c>
      <c r="F2388" t="s">
        <v>37</v>
      </c>
    </row>
    <row r="2389" spans="1:6" outlineLevel="3" x14ac:dyDescent="0.25">
      <c r="A2389" s="4" t="s">
        <v>421</v>
      </c>
      <c r="B2389" t="s">
        <v>422</v>
      </c>
      <c r="C2389" t="s">
        <v>3969</v>
      </c>
      <c r="D2389" t="s">
        <v>202</v>
      </c>
      <c r="E2389" t="s">
        <v>177</v>
      </c>
      <c r="F2389" t="s">
        <v>37</v>
      </c>
    </row>
    <row r="2390" spans="1:6" outlineLevel="3" x14ac:dyDescent="0.25">
      <c r="A2390" s="4" t="s">
        <v>421</v>
      </c>
      <c r="B2390" t="s">
        <v>422</v>
      </c>
      <c r="C2390" t="s">
        <v>3970</v>
      </c>
      <c r="D2390" t="s">
        <v>202</v>
      </c>
      <c r="E2390" t="s">
        <v>177</v>
      </c>
      <c r="F2390" t="s">
        <v>37</v>
      </c>
    </row>
    <row r="2391" spans="1:6" outlineLevel="3" x14ac:dyDescent="0.25">
      <c r="A2391" s="4" t="s">
        <v>421</v>
      </c>
      <c r="B2391" t="s">
        <v>422</v>
      </c>
      <c r="C2391" t="s">
        <v>3971</v>
      </c>
      <c r="D2391" t="s">
        <v>78</v>
      </c>
      <c r="E2391" t="s">
        <v>177</v>
      </c>
      <c r="F2391" t="s">
        <v>37</v>
      </c>
    </row>
    <row r="2392" spans="1:6" outlineLevel="3" x14ac:dyDescent="0.25">
      <c r="A2392" s="4" t="s">
        <v>421</v>
      </c>
      <c r="B2392" t="s">
        <v>422</v>
      </c>
      <c r="C2392" t="s">
        <v>3972</v>
      </c>
      <c r="D2392" t="s">
        <v>126</v>
      </c>
      <c r="E2392" t="s">
        <v>177</v>
      </c>
      <c r="F2392" t="s">
        <v>37</v>
      </c>
    </row>
    <row r="2393" spans="1:6" outlineLevel="3" x14ac:dyDescent="0.25">
      <c r="A2393" s="4" t="s">
        <v>421</v>
      </c>
      <c r="B2393" t="s">
        <v>422</v>
      </c>
      <c r="C2393" t="s">
        <v>3973</v>
      </c>
      <c r="D2393" t="s">
        <v>202</v>
      </c>
      <c r="E2393" t="s">
        <v>177</v>
      </c>
      <c r="F2393" t="s">
        <v>37</v>
      </c>
    </row>
    <row r="2394" spans="1:6" outlineLevel="3" x14ac:dyDescent="0.25">
      <c r="A2394" s="4" t="s">
        <v>421</v>
      </c>
      <c r="B2394" t="s">
        <v>422</v>
      </c>
      <c r="C2394" t="s">
        <v>3974</v>
      </c>
      <c r="D2394" t="s">
        <v>126</v>
      </c>
      <c r="E2394" t="s">
        <v>177</v>
      </c>
      <c r="F2394" t="s">
        <v>37</v>
      </c>
    </row>
    <row r="2395" spans="1:6" outlineLevel="3" x14ac:dyDescent="0.25">
      <c r="A2395" s="4" t="s">
        <v>421</v>
      </c>
      <c r="B2395" t="s">
        <v>422</v>
      </c>
      <c r="C2395" t="s">
        <v>3975</v>
      </c>
      <c r="D2395" t="s">
        <v>78</v>
      </c>
      <c r="E2395" t="s">
        <v>177</v>
      </c>
      <c r="F2395" t="s">
        <v>37</v>
      </c>
    </row>
    <row r="2396" spans="1:6" outlineLevel="3" x14ac:dyDescent="0.25">
      <c r="A2396" s="4" t="s">
        <v>421</v>
      </c>
      <c r="B2396" t="s">
        <v>422</v>
      </c>
      <c r="C2396" t="s">
        <v>3976</v>
      </c>
      <c r="D2396" t="s">
        <v>13</v>
      </c>
      <c r="E2396" t="s">
        <v>177</v>
      </c>
      <c r="F2396" t="s">
        <v>37</v>
      </c>
    </row>
    <row r="2397" spans="1:6" outlineLevel="3" x14ac:dyDescent="0.25">
      <c r="A2397" s="4" t="s">
        <v>421</v>
      </c>
      <c r="B2397" t="s">
        <v>422</v>
      </c>
      <c r="C2397" t="s">
        <v>3977</v>
      </c>
      <c r="D2397" t="s">
        <v>202</v>
      </c>
      <c r="E2397" t="s">
        <v>177</v>
      </c>
      <c r="F2397" t="s">
        <v>37</v>
      </c>
    </row>
    <row r="2398" spans="1:6" outlineLevel="3" x14ac:dyDescent="0.25">
      <c r="A2398" s="4" t="s">
        <v>421</v>
      </c>
      <c r="B2398" t="s">
        <v>422</v>
      </c>
      <c r="C2398" t="s">
        <v>3978</v>
      </c>
      <c r="D2398" t="s">
        <v>202</v>
      </c>
      <c r="E2398" t="s">
        <v>177</v>
      </c>
      <c r="F2398" t="s">
        <v>37</v>
      </c>
    </row>
    <row r="2399" spans="1:6" outlineLevel="3" x14ac:dyDescent="0.25">
      <c r="A2399" s="4" t="s">
        <v>421</v>
      </c>
      <c r="B2399" t="s">
        <v>422</v>
      </c>
      <c r="C2399" t="s">
        <v>3979</v>
      </c>
      <c r="D2399" t="s">
        <v>202</v>
      </c>
      <c r="E2399" t="s">
        <v>177</v>
      </c>
      <c r="F2399" t="s">
        <v>37</v>
      </c>
    </row>
    <row r="2400" spans="1:6" outlineLevel="3" x14ac:dyDescent="0.25">
      <c r="A2400" s="4" t="s">
        <v>421</v>
      </c>
      <c r="B2400" t="s">
        <v>422</v>
      </c>
      <c r="C2400" t="s">
        <v>3980</v>
      </c>
      <c r="D2400" t="s">
        <v>202</v>
      </c>
      <c r="E2400" t="s">
        <v>177</v>
      </c>
      <c r="F2400" t="s">
        <v>37</v>
      </c>
    </row>
    <row r="2401" spans="1:6" outlineLevel="3" x14ac:dyDescent="0.25">
      <c r="A2401" s="4" t="s">
        <v>421</v>
      </c>
      <c r="B2401" t="s">
        <v>422</v>
      </c>
      <c r="C2401" t="s">
        <v>3981</v>
      </c>
      <c r="D2401" t="s">
        <v>202</v>
      </c>
      <c r="E2401" t="s">
        <v>177</v>
      </c>
      <c r="F2401" t="s">
        <v>37</v>
      </c>
    </row>
    <row r="2402" spans="1:6" outlineLevel="3" x14ac:dyDescent="0.25">
      <c r="A2402" s="4" t="s">
        <v>421</v>
      </c>
      <c r="B2402" t="s">
        <v>422</v>
      </c>
      <c r="C2402" t="s">
        <v>3982</v>
      </c>
      <c r="D2402" t="s">
        <v>202</v>
      </c>
      <c r="E2402" t="s">
        <v>177</v>
      </c>
      <c r="F2402" t="s">
        <v>37</v>
      </c>
    </row>
    <row r="2403" spans="1:6" outlineLevel="3" x14ac:dyDescent="0.25">
      <c r="A2403" s="4" t="s">
        <v>421</v>
      </c>
      <c r="B2403" t="s">
        <v>422</v>
      </c>
      <c r="C2403" t="s">
        <v>3983</v>
      </c>
      <c r="D2403" t="s">
        <v>202</v>
      </c>
      <c r="E2403" t="s">
        <v>177</v>
      </c>
      <c r="F2403" t="s">
        <v>37</v>
      </c>
    </row>
    <row r="2404" spans="1:6" outlineLevel="3" x14ac:dyDescent="0.25">
      <c r="A2404" s="4" t="s">
        <v>421</v>
      </c>
      <c r="B2404" t="s">
        <v>422</v>
      </c>
      <c r="C2404" t="s">
        <v>3984</v>
      </c>
      <c r="D2404" t="s">
        <v>202</v>
      </c>
      <c r="E2404" t="s">
        <v>177</v>
      </c>
      <c r="F2404" t="s">
        <v>37</v>
      </c>
    </row>
    <row r="2405" spans="1:6" outlineLevel="3" x14ac:dyDescent="0.25">
      <c r="A2405" s="4" t="s">
        <v>421</v>
      </c>
      <c r="B2405" t="s">
        <v>422</v>
      </c>
      <c r="C2405" t="s">
        <v>3985</v>
      </c>
      <c r="D2405" t="s">
        <v>202</v>
      </c>
      <c r="E2405" t="s">
        <v>177</v>
      </c>
      <c r="F2405" t="s">
        <v>37</v>
      </c>
    </row>
    <row r="2406" spans="1:6" outlineLevel="3" x14ac:dyDescent="0.25">
      <c r="A2406" s="4" t="s">
        <v>421</v>
      </c>
      <c r="B2406" t="s">
        <v>422</v>
      </c>
      <c r="C2406" t="s">
        <v>3986</v>
      </c>
      <c r="D2406" t="s">
        <v>202</v>
      </c>
      <c r="E2406" t="s">
        <v>177</v>
      </c>
      <c r="F2406" t="s">
        <v>37</v>
      </c>
    </row>
    <row r="2407" spans="1:6" outlineLevel="3" x14ac:dyDescent="0.25">
      <c r="A2407" s="4" t="s">
        <v>421</v>
      </c>
      <c r="B2407" t="s">
        <v>422</v>
      </c>
      <c r="C2407" t="s">
        <v>3987</v>
      </c>
      <c r="D2407" t="s">
        <v>202</v>
      </c>
      <c r="E2407" t="s">
        <v>177</v>
      </c>
      <c r="F2407" t="s">
        <v>37</v>
      </c>
    </row>
    <row r="2408" spans="1:6" outlineLevel="3" x14ac:dyDescent="0.25">
      <c r="A2408" s="4" t="s">
        <v>421</v>
      </c>
      <c r="B2408" t="s">
        <v>422</v>
      </c>
      <c r="C2408" t="s">
        <v>3988</v>
      </c>
      <c r="D2408" t="s">
        <v>13</v>
      </c>
      <c r="E2408" t="s">
        <v>177</v>
      </c>
      <c r="F2408" t="s">
        <v>37</v>
      </c>
    </row>
    <row r="2409" spans="1:6" outlineLevel="3" x14ac:dyDescent="0.25">
      <c r="A2409" s="4" t="s">
        <v>421</v>
      </c>
      <c r="B2409" t="s">
        <v>422</v>
      </c>
      <c r="C2409" t="s">
        <v>3989</v>
      </c>
      <c r="D2409" t="s">
        <v>13</v>
      </c>
      <c r="E2409" t="s">
        <v>177</v>
      </c>
      <c r="F2409" t="s">
        <v>37</v>
      </c>
    </row>
    <row r="2410" spans="1:6" outlineLevel="3" x14ac:dyDescent="0.25">
      <c r="A2410" s="4" t="s">
        <v>421</v>
      </c>
      <c r="B2410" t="s">
        <v>422</v>
      </c>
      <c r="C2410" t="s">
        <v>3990</v>
      </c>
      <c r="D2410" t="s">
        <v>126</v>
      </c>
      <c r="E2410" t="s">
        <v>177</v>
      </c>
      <c r="F2410" t="s">
        <v>37</v>
      </c>
    </row>
    <row r="2411" spans="1:6" outlineLevel="3" x14ac:dyDescent="0.25">
      <c r="A2411" s="4" t="s">
        <v>421</v>
      </c>
      <c r="B2411" t="s">
        <v>422</v>
      </c>
      <c r="C2411" t="s">
        <v>3991</v>
      </c>
      <c r="D2411" t="s">
        <v>13</v>
      </c>
      <c r="E2411" t="s">
        <v>177</v>
      </c>
      <c r="F2411" t="s">
        <v>37</v>
      </c>
    </row>
    <row r="2412" spans="1:6" outlineLevel="3" x14ac:dyDescent="0.25">
      <c r="A2412" s="4" t="s">
        <v>421</v>
      </c>
      <c r="B2412" t="s">
        <v>422</v>
      </c>
      <c r="C2412" t="s">
        <v>3992</v>
      </c>
      <c r="D2412" t="s">
        <v>202</v>
      </c>
      <c r="E2412" t="s">
        <v>177</v>
      </c>
      <c r="F2412" t="s">
        <v>37</v>
      </c>
    </row>
    <row r="2413" spans="1:6" outlineLevel="3" x14ac:dyDescent="0.25">
      <c r="A2413" s="4" t="s">
        <v>421</v>
      </c>
      <c r="B2413" t="s">
        <v>422</v>
      </c>
      <c r="C2413" t="s">
        <v>3993</v>
      </c>
      <c r="D2413" t="s">
        <v>165</v>
      </c>
      <c r="E2413" t="s">
        <v>177</v>
      </c>
      <c r="F2413" t="s">
        <v>37</v>
      </c>
    </row>
    <row r="2414" spans="1:6" outlineLevel="3" x14ac:dyDescent="0.25">
      <c r="A2414" s="4" t="s">
        <v>421</v>
      </c>
      <c r="B2414" t="s">
        <v>422</v>
      </c>
      <c r="C2414" t="s">
        <v>3994</v>
      </c>
      <c r="D2414" t="s">
        <v>13</v>
      </c>
      <c r="E2414" t="s">
        <v>177</v>
      </c>
      <c r="F2414" t="s">
        <v>37</v>
      </c>
    </row>
    <row r="2415" spans="1:6" outlineLevel="3" x14ac:dyDescent="0.25">
      <c r="A2415" s="4" t="s">
        <v>421</v>
      </c>
      <c r="B2415" t="s">
        <v>422</v>
      </c>
      <c r="C2415" t="s">
        <v>3995</v>
      </c>
      <c r="D2415" t="s">
        <v>437</v>
      </c>
      <c r="E2415" t="s">
        <v>177</v>
      </c>
      <c r="F2415" t="s">
        <v>37</v>
      </c>
    </row>
    <row r="2416" spans="1:6" outlineLevel="3" x14ac:dyDescent="0.25">
      <c r="A2416" s="4" t="s">
        <v>421</v>
      </c>
      <c r="B2416" t="s">
        <v>422</v>
      </c>
      <c r="C2416" t="s">
        <v>3996</v>
      </c>
      <c r="D2416" t="s">
        <v>202</v>
      </c>
      <c r="E2416" t="s">
        <v>177</v>
      </c>
      <c r="F2416" t="s">
        <v>37</v>
      </c>
    </row>
    <row r="2417" spans="1:6" outlineLevel="3" x14ac:dyDescent="0.25">
      <c r="A2417" s="4" t="s">
        <v>421</v>
      </c>
      <c r="B2417" t="s">
        <v>422</v>
      </c>
      <c r="C2417" t="s">
        <v>3997</v>
      </c>
      <c r="D2417" t="s">
        <v>202</v>
      </c>
      <c r="E2417" t="s">
        <v>177</v>
      </c>
      <c r="F2417" t="s">
        <v>37</v>
      </c>
    </row>
    <row r="2418" spans="1:6" outlineLevel="3" x14ac:dyDescent="0.25">
      <c r="A2418" s="4" t="s">
        <v>421</v>
      </c>
      <c r="B2418" t="s">
        <v>422</v>
      </c>
      <c r="C2418" t="s">
        <v>3998</v>
      </c>
      <c r="D2418" t="s">
        <v>13</v>
      </c>
      <c r="E2418" t="s">
        <v>177</v>
      </c>
      <c r="F2418" t="s">
        <v>37</v>
      </c>
    </row>
    <row r="2419" spans="1:6" outlineLevel="3" x14ac:dyDescent="0.25">
      <c r="A2419" s="4" t="s">
        <v>421</v>
      </c>
      <c r="B2419" t="s">
        <v>422</v>
      </c>
      <c r="C2419" t="s">
        <v>3999</v>
      </c>
      <c r="D2419" t="s">
        <v>1093</v>
      </c>
      <c r="E2419" t="s">
        <v>177</v>
      </c>
      <c r="F2419" t="s">
        <v>37</v>
      </c>
    </row>
    <row r="2420" spans="1:6" outlineLevel="3" x14ac:dyDescent="0.25">
      <c r="A2420" s="4" t="s">
        <v>421</v>
      </c>
      <c r="B2420" t="s">
        <v>422</v>
      </c>
      <c r="C2420" t="s">
        <v>4000</v>
      </c>
      <c r="D2420" t="s">
        <v>67</v>
      </c>
      <c r="E2420" t="s">
        <v>177</v>
      </c>
      <c r="F2420" t="s">
        <v>37</v>
      </c>
    </row>
    <row r="2421" spans="1:6" outlineLevel="3" x14ac:dyDescent="0.25">
      <c r="A2421" s="4" t="s">
        <v>421</v>
      </c>
      <c r="B2421" t="s">
        <v>422</v>
      </c>
      <c r="C2421" t="s">
        <v>4001</v>
      </c>
      <c r="D2421" t="s">
        <v>78</v>
      </c>
      <c r="E2421" t="s">
        <v>177</v>
      </c>
      <c r="F2421" t="s">
        <v>37</v>
      </c>
    </row>
    <row r="2422" spans="1:6" outlineLevel="3" x14ac:dyDescent="0.25">
      <c r="A2422" s="4" t="s">
        <v>421</v>
      </c>
      <c r="B2422" t="s">
        <v>422</v>
      </c>
      <c r="C2422" t="s">
        <v>4002</v>
      </c>
      <c r="D2422" t="s">
        <v>78</v>
      </c>
      <c r="E2422" t="s">
        <v>177</v>
      </c>
      <c r="F2422" t="s">
        <v>37</v>
      </c>
    </row>
    <row r="2423" spans="1:6" outlineLevel="3" x14ac:dyDescent="0.25">
      <c r="A2423" s="4" t="s">
        <v>421</v>
      </c>
      <c r="B2423" t="s">
        <v>422</v>
      </c>
      <c r="C2423" t="s">
        <v>4003</v>
      </c>
      <c r="D2423" t="s">
        <v>78</v>
      </c>
      <c r="E2423" t="s">
        <v>177</v>
      </c>
      <c r="F2423" t="s">
        <v>37</v>
      </c>
    </row>
    <row r="2424" spans="1:6" outlineLevel="3" x14ac:dyDescent="0.25">
      <c r="A2424" s="4" t="s">
        <v>421</v>
      </c>
      <c r="B2424" t="s">
        <v>422</v>
      </c>
      <c r="C2424" t="s">
        <v>4004</v>
      </c>
      <c r="D2424" t="s">
        <v>126</v>
      </c>
      <c r="E2424" t="s">
        <v>177</v>
      </c>
      <c r="F2424" t="s">
        <v>37</v>
      </c>
    </row>
    <row r="2425" spans="1:6" outlineLevel="3" x14ac:dyDescent="0.25">
      <c r="A2425" s="4" t="s">
        <v>421</v>
      </c>
      <c r="B2425" t="s">
        <v>422</v>
      </c>
      <c r="C2425" t="s">
        <v>1986</v>
      </c>
      <c r="D2425" t="s">
        <v>13</v>
      </c>
      <c r="E2425" t="s">
        <v>177</v>
      </c>
      <c r="F2425" t="s">
        <v>37</v>
      </c>
    </row>
    <row r="2426" spans="1:6" outlineLevel="3" x14ac:dyDescent="0.25">
      <c r="A2426" s="4" t="s">
        <v>421</v>
      </c>
      <c r="B2426" t="s">
        <v>422</v>
      </c>
      <c r="C2426" t="s">
        <v>4005</v>
      </c>
      <c r="D2426" t="s">
        <v>13</v>
      </c>
      <c r="E2426" t="s">
        <v>177</v>
      </c>
      <c r="F2426" t="s">
        <v>37</v>
      </c>
    </row>
    <row r="2427" spans="1:6" outlineLevel="3" x14ac:dyDescent="0.25">
      <c r="A2427" s="4" t="s">
        <v>421</v>
      </c>
      <c r="B2427" t="s">
        <v>422</v>
      </c>
      <c r="C2427" t="s">
        <v>4006</v>
      </c>
      <c r="D2427" t="s">
        <v>13</v>
      </c>
      <c r="E2427" t="s">
        <v>177</v>
      </c>
      <c r="F2427" t="s">
        <v>37</v>
      </c>
    </row>
    <row r="2428" spans="1:6" outlineLevel="3" x14ac:dyDescent="0.25">
      <c r="A2428" s="4" t="s">
        <v>421</v>
      </c>
      <c r="B2428" t="s">
        <v>422</v>
      </c>
      <c r="C2428" t="s">
        <v>4007</v>
      </c>
      <c r="D2428" t="s">
        <v>165</v>
      </c>
      <c r="E2428" t="s">
        <v>177</v>
      </c>
      <c r="F2428" t="s">
        <v>37</v>
      </c>
    </row>
    <row r="2429" spans="1:6" outlineLevel="3" x14ac:dyDescent="0.25">
      <c r="A2429" s="4" t="s">
        <v>421</v>
      </c>
      <c r="B2429" t="s">
        <v>422</v>
      </c>
      <c r="C2429" t="s">
        <v>4008</v>
      </c>
      <c r="D2429" t="s">
        <v>437</v>
      </c>
      <c r="E2429" t="s">
        <v>177</v>
      </c>
      <c r="F2429" t="s">
        <v>37</v>
      </c>
    </row>
    <row r="2430" spans="1:6" outlineLevel="3" x14ac:dyDescent="0.25">
      <c r="A2430" s="4" t="s">
        <v>421</v>
      </c>
      <c r="B2430" t="s">
        <v>422</v>
      </c>
      <c r="C2430" t="s">
        <v>4009</v>
      </c>
      <c r="D2430" t="s">
        <v>202</v>
      </c>
      <c r="E2430" t="s">
        <v>177</v>
      </c>
      <c r="F2430" t="s">
        <v>37</v>
      </c>
    </row>
    <row r="2431" spans="1:6" outlineLevel="3" x14ac:dyDescent="0.25">
      <c r="A2431" s="4" t="s">
        <v>421</v>
      </c>
      <c r="B2431" t="s">
        <v>422</v>
      </c>
      <c r="C2431" t="s">
        <v>2668</v>
      </c>
      <c r="D2431" t="s">
        <v>407</v>
      </c>
      <c r="E2431" t="s">
        <v>159</v>
      </c>
      <c r="F2431" t="s">
        <v>37</v>
      </c>
    </row>
    <row r="2432" spans="1:6" outlineLevel="3" x14ac:dyDescent="0.25">
      <c r="A2432" s="4" t="s">
        <v>421</v>
      </c>
      <c r="B2432" t="s">
        <v>422</v>
      </c>
      <c r="C2432" t="s">
        <v>2669</v>
      </c>
      <c r="D2432" t="s">
        <v>44</v>
      </c>
      <c r="E2432" t="s">
        <v>159</v>
      </c>
      <c r="F2432" t="s">
        <v>37</v>
      </c>
    </row>
    <row r="2433" spans="1:6" outlineLevel="3" x14ac:dyDescent="0.25">
      <c r="A2433" s="4" t="s">
        <v>421</v>
      </c>
      <c r="B2433" t="s">
        <v>422</v>
      </c>
      <c r="C2433" t="s">
        <v>2670</v>
      </c>
      <c r="D2433" t="s">
        <v>437</v>
      </c>
      <c r="E2433" t="s">
        <v>159</v>
      </c>
      <c r="F2433" t="s">
        <v>37</v>
      </c>
    </row>
    <row r="2434" spans="1:6" outlineLevel="3" x14ac:dyDescent="0.25">
      <c r="A2434" s="4" t="s">
        <v>421</v>
      </c>
      <c r="B2434" t="s">
        <v>422</v>
      </c>
      <c r="C2434" t="s">
        <v>2671</v>
      </c>
      <c r="D2434" t="s">
        <v>103</v>
      </c>
      <c r="E2434" t="s">
        <v>159</v>
      </c>
      <c r="F2434" t="s">
        <v>37</v>
      </c>
    </row>
    <row r="2435" spans="1:6" outlineLevel="3" x14ac:dyDescent="0.25">
      <c r="A2435" s="4" t="s">
        <v>421</v>
      </c>
      <c r="B2435" t="s">
        <v>422</v>
      </c>
      <c r="C2435" t="s">
        <v>2672</v>
      </c>
      <c r="D2435" t="s">
        <v>126</v>
      </c>
      <c r="E2435" t="s">
        <v>159</v>
      </c>
      <c r="F2435" t="s">
        <v>37</v>
      </c>
    </row>
    <row r="2436" spans="1:6" outlineLevel="3" x14ac:dyDescent="0.25">
      <c r="A2436" s="4" t="s">
        <v>421</v>
      </c>
      <c r="B2436" t="s">
        <v>422</v>
      </c>
      <c r="C2436" t="s">
        <v>2673</v>
      </c>
      <c r="D2436" t="s">
        <v>165</v>
      </c>
      <c r="E2436" t="s">
        <v>159</v>
      </c>
      <c r="F2436" t="s">
        <v>37</v>
      </c>
    </row>
    <row r="2437" spans="1:6" outlineLevel="3" x14ac:dyDescent="0.25">
      <c r="A2437" s="4" t="s">
        <v>421</v>
      </c>
      <c r="B2437" t="s">
        <v>422</v>
      </c>
      <c r="C2437" t="s">
        <v>2674</v>
      </c>
      <c r="D2437" t="s">
        <v>13</v>
      </c>
      <c r="E2437" t="s">
        <v>159</v>
      </c>
      <c r="F2437" t="s">
        <v>37</v>
      </c>
    </row>
    <row r="2438" spans="1:6" outlineLevel="3" x14ac:dyDescent="0.25">
      <c r="A2438" s="4" t="s">
        <v>421</v>
      </c>
      <c r="B2438" t="s">
        <v>422</v>
      </c>
      <c r="C2438" t="s">
        <v>2675</v>
      </c>
      <c r="D2438" t="s">
        <v>165</v>
      </c>
      <c r="E2438" t="s">
        <v>159</v>
      </c>
      <c r="F2438" t="s">
        <v>37</v>
      </c>
    </row>
    <row r="2439" spans="1:6" outlineLevel="3" x14ac:dyDescent="0.25">
      <c r="A2439" s="4" t="s">
        <v>421</v>
      </c>
      <c r="B2439" t="s">
        <v>422</v>
      </c>
      <c r="C2439" t="s">
        <v>2676</v>
      </c>
      <c r="D2439" t="s">
        <v>119</v>
      </c>
      <c r="E2439" t="s">
        <v>159</v>
      </c>
      <c r="F2439" t="s">
        <v>37</v>
      </c>
    </row>
    <row r="2440" spans="1:6" outlineLevel="3" x14ac:dyDescent="0.25">
      <c r="A2440" s="4" t="s">
        <v>421</v>
      </c>
      <c r="B2440" t="s">
        <v>422</v>
      </c>
      <c r="C2440" t="s">
        <v>2677</v>
      </c>
      <c r="D2440" t="s">
        <v>165</v>
      </c>
      <c r="E2440" t="s">
        <v>159</v>
      </c>
      <c r="F2440" t="s">
        <v>37</v>
      </c>
    </row>
    <row r="2441" spans="1:6" outlineLevel="3" x14ac:dyDescent="0.25">
      <c r="A2441" s="4" t="s">
        <v>421</v>
      </c>
      <c r="B2441" t="s">
        <v>422</v>
      </c>
      <c r="C2441" t="s">
        <v>2678</v>
      </c>
      <c r="D2441" t="s">
        <v>190</v>
      </c>
      <c r="E2441" t="s">
        <v>159</v>
      </c>
      <c r="F2441" t="s">
        <v>37</v>
      </c>
    </row>
    <row r="2442" spans="1:6" outlineLevel="3" x14ac:dyDescent="0.25">
      <c r="A2442" s="4" t="s">
        <v>421</v>
      </c>
      <c r="B2442" t="s">
        <v>422</v>
      </c>
      <c r="C2442" t="s">
        <v>2679</v>
      </c>
      <c r="D2442" t="s">
        <v>65</v>
      </c>
      <c r="E2442" t="s">
        <v>159</v>
      </c>
      <c r="F2442" t="s">
        <v>37</v>
      </c>
    </row>
    <row r="2443" spans="1:6" outlineLevel="3" x14ac:dyDescent="0.25">
      <c r="A2443" s="4" t="s">
        <v>421</v>
      </c>
      <c r="B2443" t="s">
        <v>422</v>
      </c>
      <c r="C2443" t="s">
        <v>2680</v>
      </c>
      <c r="D2443" t="s">
        <v>13</v>
      </c>
      <c r="E2443" t="s">
        <v>159</v>
      </c>
      <c r="F2443" t="s">
        <v>37</v>
      </c>
    </row>
    <row r="2444" spans="1:6" outlineLevel="3" x14ac:dyDescent="0.25">
      <c r="A2444" s="4" t="s">
        <v>421</v>
      </c>
      <c r="B2444" t="s">
        <v>422</v>
      </c>
      <c r="C2444" t="s">
        <v>2681</v>
      </c>
      <c r="D2444" t="s">
        <v>126</v>
      </c>
      <c r="E2444" t="s">
        <v>159</v>
      </c>
      <c r="F2444" t="s">
        <v>37</v>
      </c>
    </row>
    <row r="2445" spans="1:6" outlineLevel="3" x14ac:dyDescent="0.25">
      <c r="A2445" s="4" t="s">
        <v>421</v>
      </c>
      <c r="B2445" t="s">
        <v>422</v>
      </c>
      <c r="C2445" t="s">
        <v>2682</v>
      </c>
      <c r="D2445" t="s">
        <v>13</v>
      </c>
      <c r="E2445" t="s">
        <v>159</v>
      </c>
      <c r="F2445" t="s">
        <v>37</v>
      </c>
    </row>
    <row r="2446" spans="1:6" outlineLevel="3" x14ac:dyDescent="0.25">
      <c r="A2446" s="4" t="s">
        <v>421</v>
      </c>
      <c r="B2446" t="s">
        <v>422</v>
      </c>
      <c r="C2446" t="s">
        <v>2683</v>
      </c>
      <c r="D2446" t="s">
        <v>200</v>
      </c>
      <c r="E2446" t="s">
        <v>159</v>
      </c>
      <c r="F2446" t="s">
        <v>37</v>
      </c>
    </row>
    <row r="2447" spans="1:6" outlineLevel="3" x14ac:dyDescent="0.25">
      <c r="A2447" s="4" t="s">
        <v>421</v>
      </c>
      <c r="B2447" t="s">
        <v>422</v>
      </c>
      <c r="C2447" t="s">
        <v>2684</v>
      </c>
      <c r="D2447" t="s">
        <v>6</v>
      </c>
      <c r="E2447" t="s">
        <v>159</v>
      </c>
      <c r="F2447" t="s">
        <v>37</v>
      </c>
    </row>
    <row r="2448" spans="1:6" outlineLevel="3" x14ac:dyDescent="0.25">
      <c r="A2448" s="4" t="s">
        <v>421</v>
      </c>
      <c r="B2448" t="s">
        <v>422</v>
      </c>
      <c r="C2448" t="s">
        <v>2685</v>
      </c>
      <c r="D2448" t="s">
        <v>65</v>
      </c>
      <c r="E2448" t="s">
        <v>159</v>
      </c>
      <c r="F2448" t="s">
        <v>37</v>
      </c>
    </row>
    <row r="2449" spans="1:6" outlineLevel="3" x14ac:dyDescent="0.25">
      <c r="A2449" s="4" t="s">
        <v>421</v>
      </c>
      <c r="B2449" t="s">
        <v>422</v>
      </c>
      <c r="C2449" t="s">
        <v>2686</v>
      </c>
      <c r="D2449" t="s">
        <v>76</v>
      </c>
      <c r="E2449" t="s">
        <v>159</v>
      </c>
      <c r="F2449" t="s">
        <v>37</v>
      </c>
    </row>
    <row r="2450" spans="1:6" outlineLevel="3" x14ac:dyDescent="0.25">
      <c r="A2450" s="4" t="s">
        <v>421</v>
      </c>
      <c r="B2450" t="s">
        <v>422</v>
      </c>
      <c r="C2450" t="s">
        <v>2687</v>
      </c>
      <c r="D2450" t="s">
        <v>76</v>
      </c>
      <c r="E2450" t="s">
        <v>159</v>
      </c>
      <c r="F2450" t="s">
        <v>37</v>
      </c>
    </row>
    <row r="2451" spans="1:6" outlineLevel="3" x14ac:dyDescent="0.25">
      <c r="A2451" s="4" t="s">
        <v>421</v>
      </c>
      <c r="B2451" t="s">
        <v>422</v>
      </c>
      <c r="C2451" t="s">
        <v>2688</v>
      </c>
      <c r="D2451" t="s">
        <v>76</v>
      </c>
      <c r="E2451" t="s">
        <v>159</v>
      </c>
      <c r="F2451" t="s">
        <v>37</v>
      </c>
    </row>
    <row r="2452" spans="1:6" outlineLevel="3" x14ac:dyDescent="0.25">
      <c r="A2452" s="4" t="s">
        <v>421</v>
      </c>
      <c r="B2452" t="s">
        <v>422</v>
      </c>
      <c r="C2452" t="s">
        <v>2689</v>
      </c>
      <c r="D2452" t="s">
        <v>126</v>
      </c>
      <c r="E2452" t="s">
        <v>159</v>
      </c>
      <c r="F2452" t="s">
        <v>37</v>
      </c>
    </row>
    <row r="2453" spans="1:6" outlineLevel="3" x14ac:dyDescent="0.25">
      <c r="A2453" s="4" t="s">
        <v>421</v>
      </c>
      <c r="B2453" t="s">
        <v>422</v>
      </c>
      <c r="C2453" t="s">
        <v>2690</v>
      </c>
      <c r="D2453" t="s">
        <v>13</v>
      </c>
      <c r="E2453" t="s">
        <v>159</v>
      </c>
      <c r="F2453" t="s">
        <v>37</v>
      </c>
    </row>
    <row r="2454" spans="1:6" outlineLevel="3" x14ac:dyDescent="0.25">
      <c r="A2454" s="4" t="s">
        <v>421</v>
      </c>
      <c r="B2454" t="s">
        <v>422</v>
      </c>
      <c r="C2454" t="s">
        <v>2691</v>
      </c>
      <c r="D2454" t="s">
        <v>437</v>
      </c>
      <c r="E2454" t="s">
        <v>159</v>
      </c>
      <c r="F2454" t="s">
        <v>37</v>
      </c>
    </row>
    <row r="2455" spans="1:6" outlineLevel="3" x14ac:dyDescent="0.25">
      <c r="A2455" s="4" t="s">
        <v>421</v>
      </c>
      <c r="B2455" t="s">
        <v>422</v>
      </c>
      <c r="C2455" t="s">
        <v>2692</v>
      </c>
      <c r="D2455" t="s">
        <v>437</v>
      </c>
      <c r="E2455" t="s">
        <v>159</v>
      </c>
      <c r="F2455" t="s">
        <v>37</v>
      </c>
    </row>
    <row r="2456" spans="1:6" outlineLevel="3" x14ac:dyDescent="0.25">
      <c r="A2456" s="4" t="s">
        <v>421</v>
      </c>
      <c r="B2456" t="s">
        <v>422</v>
      </c>
      <c r="C2456" t="s">
        <v>2693</v>
      </c>
      <c r="D2456" t="s">
        <v>237</v>
      </c>
      <c r="E2456" t="s">
        <v>159</v>
      </c>
      <c r="F2456" t="s">
        <v>37</v>
      </c>
    </row>
    <row r="2457" spans="1:6" outlineLevel="3" x14ac:dyDescent="0.25">
      <c r="A2457" s="4" t="s">
        <v>421</v>
      </c>
      <c r="B2457" t="s">
        <v>422</v>
      </c>
      <c r="C2457" t="s">
        <v>2694</v>
      </c>
      <c r="D2457" t="s">
        <v>165</v>
      </c>
      <c r="E2457" t="s">
        <v>159</v>
      </c>
      <c r="F2457" t="s">
        <v>37</v>
      </c>
    </row>
    <row r="2458" spans="1:6" outlineLevel="3" x14ac:dyDescent="0.25">
      <c r="A2458" s="4" t="s">
        <v>421</v>
      </c>
      <c r="B2458" t="s">
        <v>422</v>
      </c>
      <c r="C2458" t="s">
        <v>2695</v>
      </c>
      <c r="D2458" t="s">
        <v>165</v>
      </c>
      <c r="E2458" t="s">
        <v>159</v>
      </c>
      <c r="F2458" t="s">
        <v>37</v>
      </c>
    </row>
    <row r="2459" spans="1:6" outlineLevel="3" x14ac:dyDescent="0.25">
      <c r="A2459" s="4" t="s">
        <v>421</v>
      </c>
      <c r="B2459" t="s">
        <v>422</v>
      </c>
      <c r="C2459" t="s">
        <v>2696</v>
      </c>
      <c r="D2459" t="s">
        <v>165</v>
      </c>
      <c r="E2459" t="s">
        <v>159</v>
      </c>
      <c r="F2459" t="s">
        <v>37</v>
      </c>
    </row>
    <row r="2460" spans="1:6" outlineLevel="3" x14ac:dyDescent="0.25">
      <c r="A2460" s="4" t="s">
        <v>421</v>
      </c>
      <c r="B2460" t="s">
        <v>422</v>
      </c>
      <c r="C2460" t="s">
        <v>2697</v>
      </c>
      <c r="D2460" t="s">
        <v>437</v>
      </c>
      <c r="E2460" t="s">
        <v>159</v>
      </c>
      <c r="F2460" t="s">
        <v>37</v>
      </c>
    </row>
    <row r="2461" spans="1:6" outlineLevel="3" x14ac:dyDescent="0.25">
      <c r="A2461" s="4" t="s">
        <v>421</v>
      </c>
      <c r="B2461" t="s">
        <v>422</v>
      </c>
      <c r="C2461" t="s">
        <v>2698</v>
      </c>
      <c r="D2461" t="s">
        <v>44</v>
      </c>
      <c r="E2461" t="s">
        <v>159</v>
      </c>
      <c r="F2461" t="s">
        <v>37</v>
      </c>
    </row>
    <row r="2462" spans="1:6" outlineLevel="3" x14ac:dyDescent="0.25">
      <c r="A2462" s="4" t="s">
        <v>421</v>
      </c>
      <c r="B2462" t="s">
        <v>422</v>
      </c>
      <c r="C2462" t="s">
        <v>2699</v>
      </c>
      <c r="D2462" t="s">
        <v>202</v>
      </c>
      <c r="E2462" t="s">
        <v>159</v>
      </c>
      <c r="F2462" t="s">
        <v>37</v>
      </c>
    </row>
    <row r="2463" spans="1:6" outlineLevel="3" x14ac:dyDescent="0.25">
      <c r="A2463" s="4" t="s">
        <v>421</v>
      </c>
      <c r="B2463" t="s">
        <v>422</v>
      </c>
      <c r="C2463" t="s">
        <v>2700</v>
      </c>
      <c r="D2463" t="s">
        <v>202</v>
      </c>
      <c r="E2463" t="s">
        <v>159</v>
      </c>
      <c r="F2463" t="s">
        <v>37</v>
      </c>
    </row>
    <row r="2464" spans="1:6" outlineLevel="3" x14ac:dyDescent="0.25">
      <c r="A2464" s="4" t="s">
        <v>421</v>
      </c>
      <c r="B2464" t="s">
        <v>422</v>
      </c>
      <c r="C2464" t="s">
        <v>2701</v>
      </c>
      <c r="D2464" t="s">
        <v>437</v>
      </c>
      <c r="E2464" t="s">
        <v>159</v>
      </c>
      <c r="F2464" t="s">
        <v>37</v>
      </c>
    </row>
    <row r="2465" spans="1:6" outlineLevel="3" x14ac:dyDescent="0.25">
      <c r="A2465" s="4" t="s">
        <v>421</v>
      </c>
      <c r="B2465" t="s">
        <v>422</v>
      </c>
      <c r="C2465" t="s">
        <v>2702</v>
      </c>
      <c r="D2465" t="s">
        <v>202</v>
      </c>
      <c r="E2465" t="s">
        <v>159</v>
      </c>
      <c r="F2465" t="s">
        <v>37</v>
      </c>
    </row>
    <row r="2466" spans="1:6" outlineLevel="3" x14ac:dyDescent="0.25">
      <c r="A2466" s="4" t="s">
        <v>421</v>
      </c>
      <c r="B2466" t="s">
        <v>422</v>
      </c>
      <c r="C2466" t="s">
        <v>2703</v>
      </c>
      <c r="D2466" t="s">
        <v>6</v>
      </c>
      <c r="E2466" t="s">
        <v>159</v>
      </c>
      <c r="F2466" t="s">
        <v>37</v>
      </c>
    </row>
    <row r="2467" spans="1:6" outlineLevel="3" x14ac:dyDescent="0.25">
      <c r="A2467" s="4" t="s">
        <v>421</v>
      </c>
      <c r="B2467" t="s">
        <v>422</v>
      </c>
      <c r="C2467" t="s">
        <v>2704</v>
      </c>
      <c r="D2467" t="s">
        <v>202</v>
      </c>
      <c r="E2467" t="s">
        <v>159</v>
      </c>
      <c r="F2467" t="s">
        <v>37</v>
      </c>
    </row>
    <row r="2468" spans="1:6" outlineLevel="3" x14ac:dyDescent="0.25">
      <c r="A2468" s="4" t="s">
        <v>421</v>
      </c>
      <c r="B2468" t="s">
        <v>422</v>
      </c>
      <c r="C2468" t="s">
        <v>2705</v>
      </c>
      <c r="D2468" t="s">
        <v>437</v>
      </c>
      <c r="E2468" t="s">
        <v>159</v>
      </c>
      <c r="F2468" t="s">
        <v>37</v>
      </c>
    </row>
    <row r="2469" spans="1:6" outlineLevel="3" x14ac:dyDescent="0.25">
      <c r="A2469" s="4" t="s">
        <v>421</v>
      </c>
      <c r="B2469" t="s">
        <v>422</v>
      </c>
      <c r="C2469" t="s">
        <v>2706</v>
      </c>
      <c r="D2469" t="s">
        <v>6</v>
      </c>
      <c r="E2469" t="s">
        <v>159</v>
      </c>
      <c r="F2469" t="s">
        <v>37</v>
      </c>
    </row>
    <row r="2470" spans="1:6" outlineLevel="3" x14ac:dyDescent="0.25">
      <c r="A2470" s="4" t="s">
        <v>421</v>
      </c>
      <c r="B2470" t="s">
        <v>422</v>
      </c>
      <c r="C2470" t="s">
        <v>2707</v>
      </c>
      <c r="D2470" t="s">
        <v>202</v>
      </c>
      <c r="E2470" t="s">
        <v>159</v>
      </c>
      <c r="F2470" t="s">
        <v>37</v>
      </c>
    </row>
    <row r="2471" spans="1:6" outlineLevel="3" x14ac:dyDescent="0.25">
      <c r="A2471" s="4" t="s">
        <v>421</v>
      </c>
      <c r="B2471" t="s">
        <v>422</v>
      </c>
      <c r="C2471" t="s">
        <v>2708</v>
      </c>
      <c r="D2471" t="s">
        <v>119</v>
      </c>
      <c r="E2471" t="s">
        <v>159</v>
      </c>
      <c r="F2471" t="s">
        <v>37</v>
      </c>
    </row>
    <row r="2472" spans="1:6" outlineLevel="3" x14ac:dyDescent="0.25">
      <c r="A2472" s="4" t="s">
        <v>421</v>
      </c>
      <c r="B2472" t="s">
        <v>422</v>
      </c>
      <c r="C2472" t="s">
        <v>2709</v>
      </c>
      <c r="D2472" t="s">
        <v>6</v>
      </c>
      <c r="E2472" t="s">
        <v>159</v>
      </c>
      <c r="F2472" t="s">
        <v>37</v>
      </c>
    </row>
    <row r="2473" spans="1:6" outlineLevel="3" x14ac:dyDescent="0.25">
      <c r="A2473" s="4" t="s">
        <v>421</v>
      </c>
      <c r="B2473" t="s">
        <v>422</v>
      </c>
      <c r="C2473" t="s">
        <v>2710</v>
      </c>
      <c r="D2473" t="s">
        <v>202</v>
      </c>
      <c r="E2473" t="s">
        <v>159</v>
      </c>
      <c r="F2473" t="s">
        <v>37</v>
      </c>
    </row>
    <row r="2474" spans="1:6" outlineLevel="3" x14ac:dyDescent="0.25">
      <c r="A2474" s="4" t="s">
        <v>421</v>
      </c>
      <c r="B2474" t="s">
        <v>422</v>
      </c>
      <c r="C2474" t="s">
        <v>2711</v>
      </c>
      <c r="D2474" t="s">
        <v>165</v>
      </c>
      <c r="E2474" t="s">
        <v>159</v>
      </c>
      <c r="F2474" t="s">
        <v>37</v>
      </c>
    </row>
    <row r="2475" spans="1:6" outlineLevel="3" x14ac:dyDescent="0.25">
      <c r="A2475" s="4" t="s">
        <v>421</v>
      </c>
      <c r="B2475" t="s">
        <v>422</v>
      </c>
      <c r="C2475" t="s">
        <v>2712</v>
      </c>
      <c r="D2475" t="s">
        <v>165</v>
      </c>
      <c r="E2475" t="s">
        <v>159</v>
      </c>
      <c r="F2475" t="s">
        <v>37</v>
      </c>
    </row>
    <row r="2476" spans="1:6" outlineLevel="3" x14ac:dyDescent="0.25">
      <c r="A2476" s="4" t="s">
        <v>421</v>
      </c>
      <c r="B2476" t="s">
        <v>422</v>
      </c>
      <c r="C2476" t="s">
        <v>2713</v>
      </c>
      <c r="D2476" t="s">
        <v>6</v>
      </c>
      <c r="E2476" t="s">
        <v>159</v>
      </c>
      <c r="F2476" t="s">
        <v>37</v>
      </c>
    </row>
    <row r="2477" spans="1:6" outlineLevel="3" x14ac:dyDescent="0.25">
      <c r="A2477" s="4" t="s">
        <v>421</v>
      </c>
      <c r="B2477" t="s">
        <v>422</v>
      </c>
      <c r="C2477" t="s">
        <v>2714</v>
      </c>
      <c r="D2477" t="s">
        <v>6</v>
      </c>
      <c r="E2477" t="s">
        <v>159</v>
      </c>
      <c r="F2477" t="s">
        <v>37</v>
      </c>
    </row>
    <row r="2478" spans="1:6" outlineLevel="3" x14ac:dyDescent="0.25">
      <c r="A2478" s="4" t="s">
        <v>421</v>
      </c>
      <c r="B2478" t="s">
        <v>422</v>
      </c>
      <c r="C2478" t="s">
        <v>2715</v>
      </c>
      <c r="D2478" t="s">
        <v>165</v>
      </c>
      <c r="E2478" t="s">
        <v>159</v>
      </c>
      <c r="F2478" t="s">
        <v>37</v>
      </c>
    </row>
    <row r="2479" spans="1:6" outlineLevel="3" x14ac:dyDescent="0.25">
      <c r="A2479" s="4" t="s">
        <v>421</v>
      </c>
      <c r="B2479" t="s">
        <v>422</v>
      </c>
      <c r="C2479" t="s">
        <v>2716</v>
      </c>
      <c r="D2479" t="s">
        <v>165</v>
      </c>
      <c r="E2479" t="s">
        <v>159</v>
      </c>
      <c r="F2479" t="s">
        <v>37</v>
      </c>
    </row>
    <row r="2480" spans="1:6" outlineLevel="3" x14ac:dyDescent="0.25">
      <c r="A2480" s="4" t="s">
        <v>421</v>
      </c>
      <c r="B2480" t="s">
        <v>422</v>
      </c>
      <c r="C2480" t="s">
        <v>2717</v>
      </c>
      <c r="D2480" t="s">
        <v>6</v>
      </c>
      <c r="E2480" t="s">
        <v>159</v>
      </c>
      <c r="F2480" t="s">
        <v>37</v>
      </c>
    </row>
    <row r="2481" spans="1:6" outlineLevel="3" x14ac:dyDescent="0.25">
      <c r="A2481" s="4" t="s">
        <v>421</v>
      </c>
      <c r="B2481" t="s">
        <v>422</v>
      </c>
      <c r="C2481" t="s">
        <v>2718</v>
      </c>
      <c r="D2481" t="s">
        <v>165</v>
      </c>
      <c r="E2481" t="s">
        <v>159</v>
      </c>
      <c r="F2481" t="s">
        <v>37</v>
      </c>
    </row>
    <row r="2482" spans="1:6" outlineLevel="3" x14ac:dyDescent="0.25">
      <c r="A2482" s="4" t="s">
        <v>421</v>
      </c>
      <c r="B2482" t="s">
        <v>422</v>
      </c>
      <c r="C2482" t="s">
        <v>2719</v>
      </c>
      <c r="D2482" t="s">
        <v>165</v>
      </c>
      <c r="E2482" t="s">
        <v>159</v>
      </c>
      <c r="F2482" t="s">
        <v>37</v>
      </c>
    </row>
    <row r="2483" spans="1:6" outlineLevel="3" x14ac:dyDescent="0.25">
      <c r="A2483" s="4" t="s">
        <v>421</v>
      </c>
      <c r="B2483" t="s">
        <v>422</v>
      </c>
      <c r="C2483" t="s">
        <v>2720</v>
      </c>
      <c r="D2483" t="s">
        <v>119</v>
      </c>
      <c r="E2483" t="s">
        <v>159</v>
      </c>
      <c r="F2483" t="s">
        <v>37</v>
      </c>
    </row>
    <row r="2484" spans="1:6" outlineLevel="3" x14ac:dyDescent="0.25">
      <c r="A2484" s="4" t="s">
        <v>421</v>
      </c>
      <c r="B2484" t="s">
        <v>422</v>
      </c>
      <c r="C2484" t="s">
        <v>2721</v>
      </c>
      <c r="D2484" t="s">
        <v>165</v>
      </c>
      <c r="E2484" t="s">
        <v>159</v>
      </c>
      <c r="F2484" t="s">
        <v>37</v>
      </c>
    </row>
    <row r="2485" spans="1:6" outlineLevel="3" x14ac:dyDescent="0.25">
      <c r="A2485" s="4" t="s">
        <v>421</v>
      </c>
      <c r="B2485" t="s">
        <v>422</v>
      </c>
      <c r="C2485" t="s">
        <v>2722</v>
      </c>
      <c r="D2485" t="s">
        <v>165</v>
      </c>
      <c r="E2485" t="s">
        <v>159</v>
      </c>
      <c r="F2485" t="s">
        <v>37</v>
      </c>
    </row>
    <row r="2486" spans="1:6" outlineLevel="3" x14ac:dyDescent="0.25">
      <c r="A2486" s="4" t="s">
        <v>421</v>
      </c>
      <c r="B2486" t="s">
        <v>422</v>
      </c>
      <c r="C2486" t="s">
        <v>2723</v>
      </c>
      <c r="D2486" t="s">
        <v>119</v>
      </c>
      <c r="E2486" t="s">
        <v>159</v>
      </c>
      <c r="F2486" t="s">
        <v>37</v>
      </c>
    </row>
    <row r="2487" spans="1:6" outlineLevel="3" x14ac:dyDescent="0.25">
      <c r="A2487" s="4" t="s">
        <v>421</v>
      </c>
      <c r="B2487" t="s">
        <v>422</v>
      </c>
      <c r="C2487" t="s">
        <v>2724</v>
      </c>
      <c r="D2487" t="s">
        <v>6</v>
      </c>
      <c r="E2487" t="s">
        <v>159</v>
      </c>
      <c r="F2487" t="s">
        <v>37</v>
      </c>
    </row>
    <row r="2488" spans="1:6" outlineLevel="3" x14ac:dyDescent="0.25">
      <c r="A2488" s="4" t="s">
        <v>421</v>
      </c>
      <c r="B2488" t="s">
        <v>422</v>
      </c>
      <c r="C2488" t="s">
        <v>2725</v>
      </c>
      <c r="D2488" t="s">
        <v>165</v>
      </c>
      <c r="E2488" t="s">
        <v>159</v>
      </c>
      <c r="F2488" t="s">
        <v>37</v>
      </c>
    </row>
    <row r="2489" spans="1:6" outlineLevel="3" x14ac:dyDescent="0.25">
      <c r="A2489" s="4" t="s">
        <v>421</v>
      </c>
      <c r="B2489" t="s">
        <v>422</v>
      </c>
      <c r="C2489" t="s">
        <v>2726</v>
      </c>
      <c r="D2489" t="s">
        <v>119</v>
      </c>
      <c r="E2489" t="s">
        <v>159</v>
      </c>
      <c r="F2489" t="s">
        <v>37</v>
      </c>
    </row>
    <row r="2490" spans="1:6" outlineLevel="3" x14ac:dyDescent="0.25">
      <c r="A2490" s="4" t="s">
        <v>421</v>
      </c>
      <c r="B2490" t="s">
        <v>422</v>
      </c>
      <c r="C2490" t="s">
        <v>2727</v>
      </c>
      <c r="D2490" t="s">
        <v>119</v>
      </c>
      <c r="E2490" t="s">
        <v>159</v>
      </c>
      <c r="F2490" t="s">
        <v>37</v>
      </c>
    </row>
    <row r="2491" spans="1:6" outlineLevel="3" x14ac:dyDescent="0.25">
      <c r="A2491" s="4" t="s">
        <v>421</v>
      </c>
      <c r="B2491" t="s">
        <v>422</v>
      </c>
      <c r="C2491" t="s">
        <v>2728</v>
      </c>
      <c r="D2491" t="s">
        <v>6</v>
      </c>
      <c r="E2491" t="s">
        <v>159</v>
      </c>
      <c r="F2491" t="s">
        <v>37</v>
      </c>
    </row>
    <row r="2492" spans="1:6" outlineLevel="3" x14ac:dyDescent="0.25">
      <c r="A2492" s="4" t="s">
        <v>421</v>
      </c>
      <c r="B2492" t="s">
        <v>422</v>
      </c>
      <c r="C2492" t="s">
        <v>2729</v>
      </c>
      <c r="D2492" t="s">
        <v>202</v>
      </c>
      <c r="E2492" t="s">
        <v>159</v>
      </c>
      <c r="F2492" t="s">
        <v>37</v>
      </c>
    </row>
    <row r="2493" spans="1:6" outlineLevel="3" x14ac:dyDescent="0.25">
      <c r="A2493" s="4" t="s">
        <v>421</v>
      </c>
      <c r="B2493" t="s">
        <v>422</v>
      </c>
      <c r="C2493" t="s">
        <v>2730</v>
      </c>
      <c r="D2493" t="s">
        <v>6</v>
      </c>
      <c r="E2493" t="s">
        <v>159</v>
      </c>
      <c r="F2493" t="s">
        <v>37</v>
      </c>
    </row>
    <row r="2494" spans="1:6" outlineLevel="3" x14ac:dyDescent="0.25">
      <c r="A2494" s="4" t="s">
        <v>421</v>
      </c>
      <c r="B2494" t="s">
        <v>422</v>
      </c>
      <c r="C2494" t="s">
        <v>2731</v>
      </c>
      <c r="D2494" t="s">
        <v>165</v>
      </c>
      <c r="E2494" t="s">
        <v>159</v>
      </c>
      <c r="F2494" t="s">
        <v>37</v>
      </c>
    </row>
    <row r="2495" spans="1:6" outlineLevel="3" x14ac:dyDescent="0.25">
      <c r="A2495" s="4" t="s">
        <v>421</v>
      </c>
      <c r="B2495" t="s">
        <v>422</v>
      </c>
      <c r="C2495" t="s">
        <v>2732</v>
      </c>
      <c r="D2495" t="s">
        <v>165</v>
      </c>
      <c r="E2495" t="s">
        <v>159</v>
      </c>
      <c r="F2495" t="s">
        <v>37</v>
      </c>
    </row>
    <row r="2496" spans="1:6" outlineLevel="3" x14ac:dyDescent="0.25">
      <c r="A2496" s="4" t="s">
        <v>421</v>
      </c>
      <c r="B2496" t="s">
        <v>422</v>
      </c>
      <c r="C2496" t="s">
        <v>2733</v>
      </c>
      <c r="D2496" t="s">
        <v>165</v>
      </c>
      <c r="E2496" t="s">
        <v>159</v>
      </c>
      <c r="F2496" t="s">
        <v>37</v>
      </c>
    </row>
    <row r="2497" spans="1:6" outlineLevel="3" x14ac:dyDescent="0.25">
      <c r="A2497" s="4" t="s">
        <v>421</v>
      </c>
      <c r="B2497" t="s">
        <v>422</v>
      </c>
      <c r="C2497" t="s">
        <v>2734</v>
      </c>
      <c r="D2497" t="s">
        <v>165</v>
      </c>
      <c r="E2497" t="s">
        <v>159</v>
      </c>
      <c r="F2497" t="s">
        <v>37</v>
      </c>
    </row>
    <row r="2498" spans="1:6" outlineLevel="3" x14ac:dyDescent="0.25">
      <c r="A2498" s="4" t="s">
        <v>421</v>
      </c>
      <c r="B2498" t="s">
        <v>422</v>
      </c>
      <c r="C2498" t="s">
        <v>2735</v>
      </c>
      <c r="D2498" t="s">
        <v>165</v>
      </c>
      <c r="E2498" t="s">
        <v>159</v>
      </c>
      <c r="F2498" t="s">
        <v>37</v>
      </c>
    </row>
    <row r="2499" spans="1:6" outlineLevel="3" x14ac:dyDescent="0.25">
      <c r="A2499" s="4" t="s">
        <v>421</v>
      </c>
      <c r="B2499" t="s">
        <v>422</v>
      </c>
      <c r="C2499" t="s">
        <v>2736</v>
      </c>
      <c r="D2499" t="s">
        <v>165</v>
      </c>
      <c r="E2499" t="s">
        <v>159</v>
      </c>
      <c r="F2499" t="s">
        <v>37</v>
      </c>
    </row>
    <row r="2500" spans="1:6" outlineLevel="3" x14ac:dyDescent="0.25">
      <c r="A2500" s="4" t="s">
        <v>421</v>
      </c>
      <c r="B2500" t="s">
        <v>422</v>
      </c>
      <c r="C2500" t="s">
        <v>2737</v>
      </c>
      <c r="D2500" t="s">
        <v>165</v>
      </c>
      <c r="E2500" t="s">
        <v>159</v>
      </c>
      <c r="F2500" t="s">
        <v>37</v>
      </c>
    </row>
    <row r="2501" spans="1:6" outlineLevel="3" x14ac:dyDescent="0.25">
      <c r="A2501" s="4" t="s">
        <v>421</v>
      </c>
      <c r="B2501" t="s">
        <v>422</v>
      </c>
      <c r="C2501" t="s">
        <v>2738</v>
      </c>
      <c r="D2501" t="s">
        <v>165</v>
      </c>
      <c r="E2501" t="s">
        <v>159</v>
      </c>
      <c r="F2501" t="s">
        <v>37</v>
      </c>
    </row>
    <row r="2502" spans="1:6" outlineLevel="3" x14ac:dyDescent="0.25">
      <c r="A2502" s="4" t="s">
        <v>421</v>
      </c>
      <c r="B2502" t="s">
        <v>422</v>
      </c>
      <c r="C2502" t="s">
        <v>2739</v>
      </c>
      <c r="D2502" t="s">
        <v>165</v>
      </c>
      <c r="E2502" t="s">
        <v>159</v>
      </c>
      <c r="F2502" t="s">
        <v>37</v>
      </c>
    </row>
    <row r="2503" spans="1:6" outlineLevel="3" x14ac:dyDescent="0.25">
      <c r="A2503" s="4" t="s">
        <v>421</v>
      </c>
      <c r="B2503" t="s">
        <v>422</v>
      </c>
      <c r="C2503" t="s">
        <v>2740</v>
      </c>
      <c r="D2503" t="s">
        <v>67</v>
      </c>
      <c r="E2503" t="s">
        <v>159</v>
      </c>
      <c r="F2503" t="s">
        <v>37</v>
      </c>
    </row>
    <row r="2504" spans="1:6" outlineLevel="3" x14ac:dyDescent="0.25">
      <c r="A2504" s="4" t="s">
        <v>421</v>
      </c>
      <c r="B2504" t="s">
        <v>422</v>
      </c>
      <c r="C2504" t="s">
        <v>2741</v>
      </c>
      <c r="D2504" t="s">
        <v>67</v>
      </c>
      <c r="E2504" t="s">
        <v>159</v>
      </c>
      <c r="F2504" t="s">
        <v>37</v>
      </c>
    </row>
    <row r="2505" spans="1:6" outlineLevel="3" x14ac:dyDescent="0.25">
      <c r="A2505" s="4" t="s">
        <v>421</v>
      </c>
      <c r="B2505" t="s">
        <v>422</v>
      </c>
      <c r="C2505" t="s">
        <v>2742</v>
      </c>
      <c r="D2505" t="s">
        <v>67</v>
      </c>
      <c r="E2505" t="s">
        <v>159</v>
      </c>
      <c r="F2505" t="s">
        <v>37</v>
      </c>
    </row>
    <row r="2506" spans="1:6" outlineLevel="3" x14ac:dyDescent="0.25">
      <c r="A2506" s="4" t="s">
        <v>421</v>
      </c>
      <c r="B2506" t="s">
        <v>422</v>
      </c>
      <c r="C2506" t="s">
        <v>2743</v>
      </c>
      <c r="D2506" t="s">
        <v>1269</v>
      </c>
      <c r="E2506" t="s">
        <v>159</v>
      </c>
      <c r="F2506" t="s">
        <v>37</v>
      </c>
    </row>
    <row r="2507" spans="1:6" outlineLevel="3" x14ac:dyDescent="0.25">
      <c r="A2507" s="4" t="s">
        <v>421</v>
      </c>
      <c r="B2507" t="s">
        <v>422</v>
      </c>
      <c r="C2507" t="s">
        <v>2744</v>
      </c>
      <c r="D2507" t="s">
        <v>1076</v>
      </c>
      <c r="E2507" t="s">
        <v>159</v>
      </c>
      <c r="F2507" t="s">
        <v>37</v>
      </c>
    </row>
    <row r="2508" spans="1:6" outlineLevel="3" x14ac:dyDescent="0.25">
      <c r="A2508" s="4" t="s">
        <v>421</v>
      </c>
      <c r="B2508" t="s">
        <v>422</v>
      </c>
      <c r="C2508" t="s">
        <v>4119</v>
      </c>
      <c r="D2508" t="s">
        <v>202</v>
      </c>
      <c r="E2508" t="s">
        <v>98</v>
      </c>
      <c r="F2508" t="s">
        <v>37</v>
      </c>
    </row>
    <row r="2509" spans="1:6" outlineLevel="3" x14ac:dyDescent="0.25">
      <c r="A2509" s="4" t="s">
        <v>421</v>
      </c>
      <c r="B2509" t="s">
        <v>422</v>
      </c>
      <c r="C2509" t="s">
        <v>1789</v>
      </c>
      <c r="D2509" t="s">
        <v>6</v>
      </c>
      <c r="E2509" t="s">
        <v>98</v>
      </c>
      <c r="F2509" t="s">
        <v>37</v>
      </c>
    </row>
    <row r="2510" spans="1:6" outlineLevel="3" x14ac:dyDescent="0.25">
      <c r="A2510" s="4" t="s">
        <v>421</v>
      </c>
      <c r="B2510" t="s">
        <v>422</v>
      </c>
      <c r="C2510" t="s">
        <v>4120</v>
      </c>
      <c r="D2510" t="s">
        <v>437</v>
      </c>
      <c r="E2510" t="s">
        <v>98</v>
      </c>
      <c r="F2510" t="s">
        <v>37</v>
      </c>
    </row>
    <row r="2511" spans="1:6" outlineLevel="3" x14ac:dyDescent="0.25">
      <c r="A2511" s="4" t="s">
        <v>421</v>
      </c>
      <c r="B2511" t="s">
        <v>422</v>
      </c>
      <c r="C2511" t="s">
        <v>1998</v>
      </c>
      <c r="D2511" t="s">
        <v>44</v>
      </c>
      <c r="E2511" t="s">
        <v>98</v>
      </c>
      <c r="F2511" t="s">
        <v>37</v>
      </c>
    </row>
    <row r="2512" spans="1:6" outlineLevel="3" x14ac:dyDescent="0.25">
      <c r="A2512" s="4" t="s">
        <v>421</v>
      </c>
      <c r="B2512" t="s">
        <v>422</v>
      </c>
      <c r="C2512" t="s">
        <v>4121</v>
      </c>
      <c r="D2512" t="s">
        <v>237</v>
      </c>
      <c r="E2512" t="s">
        <v>98</v>
      </c>
      <c r="F2512" t="s">
        <v>37</v>
      </c>
    </row>
    <row r="2513" spans="1:6" outlineLevel="3" x14ac:dyDescent="0.25">
      <c r="A2513" s="4" t="s">
        <v>421</v>
      </c>
      <c r="B2513" t="s">
        <v>422</v>
      </c>
      <c r="C2513" t="s">
        <v>4122</v>
      </c>
      <c r="D2513" t="s">
        <v>165</v>
      </c>
      <c r="E2513" t="s">
        <v>36</v>
      </c>
      <c r="F2513" t="s">
        <v>37</v>
      </c>
    </row>
    <row r="2514" spans="1:6" outlineLevel="3" x14ac:dyDescent="0.25">
      <c r="A2514" s="4" t="s">
        <v>421</v>
      </c>
      <c r="B2514" t="s">
        <v>422</v>
      </c>
      <c r="C2514" t="s">
        <v>4123</v>
      </c>
      <c r="D2514" t="s">
        <v>202</v>
      </c>
      <c r="E2514" t="s">
        <v>36</v>
      </c>
      <c r="F2514" t="s">
        <v>37</v>
      </c>
    </row>
    <row r="2515" spans="1:6" outlineLevel="3" x14ac:dyDescent="0.25">
      <c r="A2515" s="4" t="s">
        <v>421</v>
      </c>
      <c r="B2515" t="s">
        <v>422</v>
      </c>
      <c r="C2515" t="s">
        <v>4124</v>
      </c>
      <c r="D2515" t="s">
        <v>437</v>
      </c>
      <c r="E2515" t="s">
        <v>36</v>
      </c>
      <c r="F2515" t="s">
        <v>37</v>
      </c>
    </row>
    <row r="2516" spans="1:6" outlineLevel="3" x14ac:dyDescent="0.25">
      <c r="A2516" s="4" t="s">
        <v>421</v>
      </c>
      <c r="B2516" t="s">
        <v>422</v>
      </c>
      <c r="C2516" t="s">
        <v>4125</v>
      </c>
      <c r="D2516" t="s">
        <v>165</v>
      </c>
      <c r="E2516" t="s">
        <v>36</v>
      </c>
      <c r="F2516" t="s">
        <v>37</v>
      </c>
    </row>
    <row r="2517" spans="1:6" outlineLevel="3" x14ac:dyDescent="0.25">
      <c r="A2517" s="4" t="s">
        <v>421</v>
      </c>
      <c r="B2517" t="s">
        <v>422</v>
      </c>
      <c r="C2517" t="s">
        <v>1999</v>
      </c>
      <c r="D2517" t="s">
        <v>119</v>
      </c>
      <c r="E2517" t="s">
        <v>36</v>
      </c>
      <c r="F2517" t="s">
        <v>37</v>
      </c>
    </row>
    <row r="2518" spans="1:6" outlineLevel="3" x14ac:dyDescent="0.25">
      <c r="A2518" s="4" t="s">
        <v>421</v>
      </c>
      <c r="B2518" t="s">
        <v>422</v>
      </c>
      <c r="C2518" t="s">
        <v>4126</v>
      </c>
      <c r="D2518" t="s">
        <v>165</v>
      </c>
      <c r="E2518" t="s">
        <v>36</v>
      </c>
      <c r="F2518" t="s">
        <v>37</v>
      </c>
    </row>
    <row r="2519" spans="1:6" outlineLevel="3" x14ac:dyDescent="0.25">
      <c r="A2519" s="4" t="s">
        <v>421</v>
      </c>
      <c r="B2519" t="s">
        <v>422</v>
      </c>
      <c r="C2519" t="s">
        <v>4127</v>
      </c>
      <c r="D2519" t="s">
        <v>437</v>
      </c>
      <c r="E2519" t="s">
        <v>36</v>
      </c>
      <c r="F2519" t="s">
        <v>37</v>
      </c>
    </row>
    <row r="2520" spans="1:6" outlineLevel="3" x14ac:dyDescent="0.25">
      <c r="A2520" s="4" t="s">
        <v>421</v>
      </c>
      <c r="B2520" t="s">
        <v>422</v>
      </c>
      <c r="C2520" t="s">
        <v>4128</v>
      </c>
      <c r="D2520" t="s">
        <v>437</v>
      </c>
      <c r="E2520" t="s">
        <v>36</v>
      </c>
      <c r="F2520" t="s">
        <v>37</v>
      </c>
    </row>
    <row r="2521" spans="1:6" outlineLevel="3" x14ac:dyDescent="0.25">
      <c r="A2521" s="4" t="s">
        <v>421</v>
      </c>
      <c r="B2521" t="s">
        <v>422</v>
      </c>
      <c r="C2521" t="s">
        <v>4129</v>
      </c>
      <c r="D2521" t="s">
        <v>65</v>
      </c>
      <c r="E2521" t="s">
        <v>36</v>
      </c>
      <c r="F2521" t="s">
        <v>37</v>
      </c>
    </row>
    <row r="2522" spans="1:6" outlineLevel="3" x14ac:dyDescent="0.25">
      <c r="A2522" s="4" t="s">
        <v>421</v>
      </c>
      <c r="B2522" t="s">
        <v>422</v>
      </c>
      <c r="C2522" t="s">
        <v>4130</v>
      </c>
      <c r="D2522" t="s">
        <v>202</v>
      </c>
      <c r="E2522" t="s">
        <v>36</v>
      </c>
      <c r="F2522" t="s">
        <v>37</v>
      </c>
    </row>
    <row r="2523" spans="1:6" outlineLevel="3" x14ac:dyDescent="0.25">
      <c r="A2523" s="4" t="s">
        <v>421</v>
      </c>
      <c r="B2523" t="s">
        <v>422</v>
      </c>
      <c r="C2523" t="s">
        <v>4131</v>
      </c>
      <c r="D2523" t="s">
        <v>190</v>
      </c>
      <c r="E2523" t="s">
        <v>36</v>
      </c>
      <c r="F2523" t="s">
        <v>37</v>
      </c>
    </row>
    <row r="2524" spans="1:6" outlineLevel="3" x14ac:dyDescent="0.25">
      <c r="A2524" s="4" t="s">
        <v>421</v>
      </c>
      <c r="B2524" t="s">
        <v>422</v>
      </c>
      <c r="C2524" t="s">
        <v>4132</v>
      </c>
      <c r="D2524" t="s">
        <v>202</v>
      </c>
      <c r="E2524" t="s">
        <v>36</v>
      </c>
      <c r="F2524" t="s">
        <v>37</v>
      </c>
    </row>
    <row r="2525" spans="1:6" outlineLevel="3" x14ac:dyDescent="0.25">
      <c r="A2525" s="4" t="s">
        <v>421</v>
      </c>
      <c r="B2525" t="s">
        <v>422</v>
      </c>
      <c r="C2525" t="s">
        <v>4133</v>
      </c>
      <c r="D2525" t="s">
        <v>13</v>
      </c>
      <c r="E2525" t="s">
        <v>36</v>
      </c>
      <c r="F2525" t="s">
        <v>37</v>
      </c>
    </row>
    <row r="2526" spans="1:6" outlineLevel="3" x14ac:dyDescent="0.25">
      <c r="A2526" s="4" t="s">
        <v>421</v>
      </c>
      <c r="B2526" t="s">
        <v>422</v>
      </c>
      <c r="C2526" t="s">
        <v>4134</v>
      </c>
      <c r="D2526" t="s">
        <v>13</v>
      </c>
      <c r="E2526" t="s">
        <v>36</v>
      </c>
      <c r="F2526" t="s">
        <v>37</v>
      </c>
    </row>
    <row r="2527" spans="1:6" outlineLevel="3" x14ac:dyDescent="0.25">
      <c r="A2527" s="4" t="s">
        <v>421</v>
      </c>
      <c r="B2527" t="s">
        <v>422</v>
      </c>
      <c r="C2527" t="s">
        <v>4135</v>
      </c>
      <c r="D2527" t="s">
        <v>13</v>
      </c>
      <c r="E2527" t="s">
        <v>36</v>
      </c>
      <c r="F2527" t="s">
        <v>37</v>
      </c>
    </row>
    <row r="2528" spans="1:6" outlineLevel="3" x14ac:dyDescent="0.25">
      <c r="A2528" s="4" t="s">
        <v>421</v>
      </c>
      <c r="B2528" t="s">
        <v>422</v>
      </c>
      <c r="C2528" t="s">
        <v>4136</v>
      </c>
      <c r="D2528" t="s">
        <v>13</v>
      </c>
      <c r="E2528" t="s">
        <v>36</v>
      </c>
      <c r="F2528" t="s">
        <v>37</v>
      </c>
    </row>
    <row r="2529" spans="1:6" outlineLevel="3" x14ac:dyDescent="0.25">
      <c r="A2529" s="4" t="s">
        <v>421</v>
      </c>
      <c r="B2529" t="s">
        <v>422</v>
      </c>
      <c r="C2529" t="s">
        <v>4137</v>
      </c>
      <c r="D2529" t="s">
        <v>44</v>
      </c>
      <c r="E2529" t="s">
        <v>36</v>
      </c>
      <c r="F2529" t="s">
        <v>37</v>
      </c>
    </row>
    <row r="2530" spans="1:6" outlineLevel="3" x14ac:dyDescent="0.25">
      <c r="A2530" s="4" t="s">
        <v>421</v>
      </c>
      <c r="B2530" t="s">
        <v>422</v>
      </c>
      <c r="C2530" t="s">
        <v>4138</v>
      </c>
      <c r="D2530" t="s">
        <v>13</v>
      </c>
      <c r="E2530" t="s">
        <v>36</v>
      </c>
      <c r="F2530" t="s">
        <v>37</v>
      </c>
    </row>
    <row r="2531" spans="1:6" outlineLevel="3" x14ac:dyDescent="0.25">
      <c r="A2531" s="4" t="s">
        <v>421</v>
      </c>
      <c r="B2531" t="s">
        <v>422</v>
      </c>
      <c r="C2531" t="s">
        <v>2000</v>
      </c>
      <c r="D2531" t="s">
        <v>435</v>
      </c>
      <c r="E2531" t="s">
        <v>36</v>
      </c>
      <c r="F2531" t="s">
        <v>37</v>
      </c>
    </row>
    <row r="2532" spans="1:6" outlineLevel="3" x14ac:dyDescent="0.25">
      <c r="A2532" s="4" t="s">
        <v>421</v>
      </c>
      <c r="B2532" t="s">
        <v>422</v>
      </c>
      <c r="C2532" t="s">
        <v>4139</v>
      </c>
      <c r="D2532" t="s">
        <v>76</v>
      </c>
      <c r="E2532" t="s">
        <v>36</v>
      </c>
      <c r="F2532" t="s">
        <v>37</v>
      </c>
    </row>
    <row r="2533" spans="1:6" outlineLevel="3" x14ac:dyDescent="0.25">
      <c r="A2533" s="4" t="s">
        <v>421</v>
      </c>
      <c r="B2533" t="s">
        <v>422</v>
      </c>
      <c r="C2533" t="s">
        <v>4140</v>
      </c>
      <c r="D2533" t="s">
        <v>78</v>
      </c>
      <c r="E2533" t="s">
        <v>36</v>
      </c>
      <c r="F2533" t="s">
        <v>37</v>
      </c>
    </row>
    <row r="2534" spans="1:6" outlineLevel="3" x14ac:dyDescent="0.25">
      <c r="A2534" s="4" t="s">
        <v>421</v>
      </c>
      <c r="B2534" t="s">
        <v>422</v>
      </c>
      <c r="C2534" t="s">
        <v>4141</v>
      </c>
      <c r="D2534" t="s">
        <v>119</v>
      </c>
      <c r="E2534" t="s">
        <v>36</v>
      </c>
      <c r="F2534" t="s">
        <v>37</v>
      </c>
    </row>
    <row r="2535" spans="1:6" outlineLevel="3" x14ac:dyDescent="0.25">
      <c r="A2535" s="4" t="s">
        <v>421</v>
      </c>
      <c r="B2535" t="s">
        <v>422</v>
      </c>
      <c r="C2535" t="s">
        <v>4142</v>
      </c>
      <c r="D2535" t="s">
        <v>119</v>
      </c>
      <c r="E2535" t="s">
        <v>36</v>
      </c>
      <c r="F2535" t="s">
        <v>37</v>
      </c>
    </row>
    <row r="2536" spans="1:6" outlineLevel="3" x14ac:dyDescent="0.25">
      <c r="A2536" s="4" t="s">
        <v>421</v>
      </c>
      <c r="B2536" t="s">
        <v>422</v>
      </c>
      <c r="C2536" t="s">
        <v>4143</v>
      </c>
      <c r="D2536" t="s">
        <v>119</v>
      </c>
      <c r="E2536" t="s">
        <v>36</v>
      </c>
      <c r="F2536" t="s">
        <v>37</v>
      </c>
    </row>
    <row r="2537" spans="1:6" outlineLevel="3" x14ac:dyDescent="0.25">
      <c r="A2537" s="4" t="s">
        <v>421</v>
      </c>
      <c r="B2537" t="s">
        <v>422</v>
      </c>
      <c r="C2537" t="s">
        <v>4144</v>
      </c>
      <c r="D2537" t="s">
        <v>119</v>
      </c>
      <c r="E2537" t="s">
        <v>36</v>
      </c>
      <c r="F2537" t="s">
        <v>37</v>
      </c>
    </row>
    <row r="2538" spans="1:6" outlineLevel="3" x14ac:dyDescent="0.25">
      <c r="A2538" s="4" t="s">
        <v>421</v>
      </c>
      <c r="B2538" t="s">
        <v>422</v>
      </c>
      <c r="C2538" t="s">
        <v>4145</v>
      </c>
      <c r="D2538" t="s">
        <v>119</v>
      </c>
      <c r="E2538" t="s">
        <v>36</v>
      </c>
      <c r="F2538" t="s">
        <v>37</v>
      </c>
    </row>
    <row r="2539" spans="1:6" outlineLevel="3" x14ac:dyDescent="0.25">
      <c r="A2539" s="4" t="s">
        <v>421</v>
      </c>
      <c r="B2539" t="s">
        <v>422</v>
      </c>
      <c r="C2539" t="s">
        <v>4146</v>
      </c>
      <c r="D2539" t="s">
        <v>126</v>
      </c>
      <c r="E2539" t="s">
        <v>312</v>
      </c>
      <c r="F2539" t="s">
        <v>37</v>
      </c>
    </row>
    <row r="2540" spans="1:6" outlineLevel="3" x14ac:dyDescent="0.25">
      <c r="A2540" s="4" t="s">
        <v>421</v>
      </c>
      <c r="B2540" t="s">
        <v>422</v>
      </c>
      <c r="C2540" t="s">
        <v>2001</v>
      </c>
      <c r="D2540" t="s">
        <v>437</v>
      </c>
      <c r="E2540" t="s">
        <v>312</v>
      </c>
      <c r="F2540" t="s">
        <v>37</v>
      </c>
    </row>
    <row r="2541" spans="1:6" outlineLevel="3" x14ac:dyDescent="0.25">
      <c r="A2541" s="4" t="s">
        <v>421</v>
      </c>
      <c r="B2541" t="s">
        <v>422</v>
      </c>
      <c r="C2541" t="s">
        <v>4147</v>
      </c>
      <c r="D2541" t="s">
        <v>202</v>
      </c>
      <c r="E2541" t="s">
        <v>312</v>
      </c>
      <c r="F2541" t="s">
        <v>37</v>
      </c>
    </row>
    <row r="2542" spans="1:6" outlineLevel="3" x14ac:dyDescent="0.25">
      <c r="A2542" s="4" t="s">
        <v>421</v>
      </c>
      <c r="B2542" t="s">
        <v>422</v>
      </c>
      <c r="C2542" t="s">
        <v>4148</v>
      </c>
      <c r="D2542" t="s">
        <v>67</v>
      </c>
      <c r="E2542" t="s">
        <v>312</v>
      </c>
      <c r="F2542" t="s">
        <v>37</v>
      </c>
    </row>
    <row r="2543" spans="1:6" outlineLevel="3" x14ac:dyDescent="0.25">
      <c r="A2543" s="4" t="s">
        <v>421</v>
      </c>
      <c r="B2543" t="s">
        <v>422</v>
      </c>
      <c r="C2543" t="s">
        <v>4149</v>
      </c>
      <c r="D2543" t="s">
        <v>202</v>
      </c>
      <c r="E2543" t="s">
        <v>312</v>
      </c>
      <c r="F2543" t="s">
        <v>37</v>
      </c>
    </row>
    <row r="2544" spans="1:6" outlineLevel="3" x14ac:dyDescent="0.25">
      <c r="A2544" s="4" t="s">
        <v>421</v>
      </c>
      <c r="B2544" t="s">
        <v>422</v>
      </c>
      <c r="C2544" t="s">
        <v>4150</v>
      </c>
      <c r="D2544" t="s">
        <v>44</v>
      </c>
      <c r="E2544" t="s">
        <v>312</v>
      </c>
      <c r="F2544" t="s">
        <v>37</v>
      </c>
    </row>
    <row r="2545" spans="1:6" outlineLevel="3" x14ac:dyDescent="0.25">
      <c r="A2545" s="4" t="s">
        <v>421</v>
      </c>
      <c r="B2545" t="s">
        <v>422</v>
      </c>
      <c r="C2545" t="s">
        <v>4151</v>
      </c>
      <c r="D2545" t="s">
        <v>202</v>
      </c>
      <c r="E2545" t="s">
        <v>312</v>
      </c>
      <c r="F2545" t="s">
        <v>37</v>
      </c>
    </row>
    <row r="2546" spans="1:6" outlineLevel="3" x14ac:dyDescent="0.25">
      <c r="A2546" s="4" t="s">
        <v>421</v>
      </c>
      <c r="B2546" t="s">
        <v>422</v>
      </c>
      <c r="C2546" t="s">
        <v>4152</v>
      </c>
      <c r="D2546" t="s">
        <v>6</v>
      </c>
      <c r="E2546" t="s">
        <v>312</v>
      </c>
      <c r="F2546" t="s">
        <v>37</v>
      </c>
    </row>
    <row r="2547" spans="1:6" outlineLevel="3" x14ac:dyDescent="0.25">
      <c r="A2547" s="4" t="s">
        <v>421</v>
      </c>
      <c r="B2547" t="s">
        <v>422</v>
      </c>
      <c r="C2547" t="s">
        <v>4153</v>
      </c>
      <c r="D2547" t="s">
        <v>437</v>
      </c>
      <c r="E2547" t="s">
        <v>312</v>
      </c>
      <c r="F2547" t="s">
        <v>37</v>
      </c>
    </row>
    <row r="2548" spans="1:6" outlineLevel="3" x14ac:dyDescent="0.25">
      <c r="A2548" s="4" t="s">
        <v>421</v>
      </c>
      <c r="B2548" t="s">
        <v>422</v>
      </c>
      <c r="C2548" t="s">
        <v>4154</v>
      </c>
      <c r="D2548" t="s">
        <v>13</v>
      </c>
      <c r="E2548" t="s">
        <v>312</v>
      </c>
      <c r="F2548" t="s">
        <v>37</v>
      </c>
    </row>
    <row r="2549" spans="1:6" outlineLevel="3" x14ac:dyDescent="0.25">
      <c r="A2549" s="4" t="s">
        <v>421</v>
      </c>
      <c r="B2549" t="s">
        <v>422</v>
      </c>
      <c r="C2549" t="s">
        <v>4155</v>
      </c>
      <c r="D2549" t="s">
        <v>67</v>
      </c>
      <c r="E2549" t="s">
        <v>312</v>
      </c>
      <c r="F2549" t="s">
        <v>37</v>
      </c>
    </row>
    <row r="2550" spans="1:6" outlineLevel="3" x14ac:dyDescent="0.25">
      <c r="A2550" s="4" t="s">
        <v>421</v>
      </c>
      <c r="B2550" t="s">
        <v>422</v>
      </c>
      <c r="C2550" t="s">
        <v>4156</v>
      </c>
      <c r="D2550" t="s">
        <v>67</v>
      </c>
      <c r="E2550" t="s">
        <v>312</v>
      </c>
      <c r="F2550" t="s">
        <v>37</v>
      </c>
    </row>
    <row r="2551" spans="1:6" outlineLevel="3" x14ac:dyDescent="0.25">
      <c r="A2551" s="4" t="s">
        <v>421</v>
      </c>
      <c r="B2551" t="s">
        <v>422</v>
      </c>
      <c r="C2551" t="s">
        <v>4157</v>
      </c>
      <c r="D2551" t="s">
        <v>65</v>
      </c>
      <c r="E2551" t="s">
        <v>312</v>
      </c>
      <c r="F2551" t="s">
        <v>37</v>
      </c>
    </row>
    <row r="2552" spans="1:6" outlineLevel="3" x14ac:dyDescent="0.25">
      <c r="A2552" s="4" t="s">
        <v>421</v>
      </c>
      <c r="B2552" t="s">
        <v>422</v>
      </c>
      <c r="C2552" t="s">
        <v>4158</v>
      </c>
      <c r="D2552" t="s">
        <v>46</v>
      </c>
      <c r="E2552" t="s">
        <v>312</v>
      </c>
      <c r="F2552" t="s">
        <v>37</v>
      </c>
    </row>
    <row r="2553" spans="1:6" outlineLevel="3" x14ac:dyDescent="0.25">
      <c r="A2553" s="4" t="s">
        <v>421</v>
      </c>
      <c r="B2553" t="s">
        <v>422</v>
      </c>
      <c r="C2553" t="s">
        <v>4159</v>
      </c>
      <c r="D2553" t="s">
        <v>165</v>
      </c>
      <c r="E2553" t="s">
        <v>220</v>
      </c>
      <c r="F2553" t="s">
        <v>37</v>
      </c>
    </row>
    <row r="2554" spans="1:6" outlineLevel="3" x14ac:dyDescent="0.25">
      <c r="A2554" s="4" t="s">
        <v>421</v>
      </c>
      <c r="B2554" t="s">
        <v>422</v>
      </c>
      <c r="C2554" t="s">
        <v>4160</v>
      </c>
      <c r="D2554" t="s">
        <v>13</v>
      </c>
      <c r="E2554" t="s">
        <v>220</v>
      </c>
      <c r="F2554" t="s">
        <v>37</v>
      </c>
    </row>
    <row r="2555" spans="1:6" outlineLevel="3" x14ac:dyDescent="0.25">
      <c r="A2555" s="4" t="s">
        <v>421</v>
      </c>
      <c r="B2555" t="s">
        <v>422</v>
      </c>
      <c r="C2555" t="s">
        <v>4161</v>
      </c>
      <c r="D2555" t="s">
        <v>13</v>
      </c>
      <c r="E2555" t="s">
        <v>220</v>
      </c>
      <c r="F2555" t="s">
        <v>37</v>
      </c>
    </row>
    <row r="2556" spans="1:6" outlineLevel="3" x14ac:dyDescent="0.25">
      <c r="A2556" s="4" t="s">
        <v>421</v>
      </c>
      <c r="B2556" t="s">
        <v>422</v>
      </c>
      <c r="C2556" t="s">
        <v>4162</v>
      </c>
      <c r="D2556" t="s">
        <v>13</v>
      </c>
      <c r="E2556" t="s">
        <v>220</v>
      </c>
      <c r="F2556" t="s">
        <v>37</v>
      </c>
    </row>
    <row r="2557" spans="1:6" outlineLevel="3" x14ac:dyDescent="0.25">
      <c r="A2557" s="4" t="s">
        <v>421</v>
      </c>
      <c r="B2557" t="s">
        <v>422</v>
      </c>
      <c r="C2557" t="s">
        <v>4163</v>
      </c>
      <c r="D2557" t="s">
        <v>190</v>
      </c>
      <c r="E2557" t="s">
        <v>220</v>
      </c>
      <c r="F2557" t="s">
        <v>37</v>
      </c>
    </row>
    <row r="2558" spans="1:6" outlineLevel="3" x14ac:dyDescent="0.25">
      <c r="A2558" s="4" t="s">
        <v>421</v>
      </c>
      <c r="B2558" t="s">
        <v>422</v>
      </c>
      <c r="C2558" t="s">
        <v>4164</v>
      </c>
      <c r="D2558" t="s">
        <v>237</v>
      </c>
      <c r="E2558" t="s">
        <v>220</v>
      </c>
      <c r="F2558" t="s">
        <v>37</v>
      </c>
    </row>
    <row r="2559" spans="1:6" outlineLevel="3" x14ac:dyDescent="0.25">
      <c r="A2559" s="4" t="s">
        <v>421</v>
      </c>
      <c r="B2559" t="s">
        <v>422</v>
      </c>
      <c r="C2559" t="s">
        <v>4165</v>
      </c>
      <c r="D2559" t="s">
        <v>437</v>
      </c>
      <c r="E2559" t="s">
        <v>220</v>
      </c>
      <c r="F2559" t="s">
        <v>37</v>
      </c>
    </row>
    <row r="2560" spans="1:6" outlineLevel="3" x14ac:dyDescent="0.25">
      <c r="A2560" s="4" t="s">
        <v>421</v>
      </c>
      <c r="B2560" t="s">
        <v>422</v>
      </c>
      <c r="C2560" t="s">
        <v>4166</v>
      </c>
      <c r="D2560" t="s">
        <v>437</v>
      </c>
      <c r="E2560" t="s">
        <v>220</v>
      </c>
      <c r="F2560" t="s">
        <v>37</v>
      </c>
    </row>
    <row r="2561" spans="1:6" outlineLevel="3" x14ac:dyDescent="0.25">
      <c r="A2561" s="4" t="s">
        <v>421</v>
      </c>
      <c r="B2561" t="s">
        <v>422</v>
      </c>
      <c r="C2561" t="s">
        <v>4167</v>
      </c>
      <c r="D2561" t="s">
        <v>237</v>
      </c>
      <c r="E2561" t="s">
        <v>220</v>
      </c>
      <c r="F2561" t="s">
        <v>37</v>
      </c>
    </row>
    <row r="2562" spans="1:6" outlineLevel="3" x14ac:dyDescent="0.25">
      <c r="A2562" s="4" t="s">
        <v>421</v>
      </c>
      <c r="B2562" t="s">
        <v>422</v>
      </c>
      <c r="C2562" t="s">
        <v>4168</v>
      </c>
      <c r="D2562" t="s">
        <v>237</v>
      </c>
      <c r="E2562" t="s">
        <v>220</v>
      </c>
      <c r="F2562" t="s">
        <v>37</v>
      </c>
    </row>
    <row r="2563" spans="1:6" outlineLevel="3" x14ac:dyDescent="0.25">
      <c r="A2563" s="4" t="s">
        <v>421</v>
      </c>
      <c r="B2563" t="s">
        <v>422</v>
      </c>
      <c r="C2563" t="s">
        <v>4169</v>
      </c>
      <c r="D2563" t="s">
        <v>119</v>
      </c>
      <c r="E2563" t="s">
        <v>220</v>
      </c>
      <c r="F2563" t="s">
        <v>37</v>
      </c>
    </row>
    <row r="2564" spans="1:6" outlineLevel="3" x14ac:dyDescent="0.25">
      <c r="A2564" s="4" t="s">
        <v>421</v>
      </c>
      <c r="B2564" t="s">
        <v>422</v>
      </c>
      <c r="C2564" t="s">
        <v>2002</v>
      </c>
      <c r="D2564" t="s">
        <v>76</v>
      </c>
      <c r="E2564" t="s">
        <v>220</v>
      </c>
      <c r="F2564" t="s">
        <v>37</v>
      </c>
    </row>
    <row r="2565" spans="1:6" outlineLevel="3" x14ac:dyDescent="0.25">
      <c r="A2565" s="4" t="s">
        <v>421</v>
      </c>
      <c r="B2565" t="s">
        <v>422</v>
      </c>
      <c r="C2565" t="s">
        <v>4170</v>
      </c>
      <c r="D2565" t="s">
        <v>437</v>
      </c>
      <c r="E2565" t="s">
        <v>220</v>
      </c>
      <c r="F2565" t="s">
        <v>37</v>
      </c>
    </row>
    <row r="2566" spans="1:6" outlineLevel="3" x14ac:dyDescent="0.25">
      <c r="A2566" s="4" t="s">
        <v>421</v>
      </c>
      <c r="B2566" t="s">
        <v>422</v>
      </c>
      <c r="C2566" t="s">
        <v>4171</v>
      </c>
      <c r="D2566" t="s">
        <v>65</v>
      </c>
      <c r="E2566" t="s">
        <v>220</v>
      </c>
      <c r="F2566" t="s">
        <v>37</v>
      </c>
    </row>
    <row r="2567" spans="1:6" outlineLevel="3" x14ac:dyDescent="0.25">
      <c r="A2567" s="4" t="s">
        <v>421</v>
      </c>
      <c r="B2567" t="s">
        <v>422</v>
      </c>
      <c r="C2567" t="s">
        <v>4172</v>
      </c>
      <c r="D2567" t="s">
        <v>6</v>
      </c>
      <c r="E2567" t="s">
        <v>220</v>
      </c>
      <c r="F2567" t="s">
        <v>37</v>
      </c>
    </row>
    <row r="2568" spans="1:6" outlineLevel="3" x14ac:dyDescent="0.25">
      <c r="A2568" s="4" t="s">
        <v>421</v>
      </c>
      <c r="B2568" t="s">
        <v>422</v>
      </c>
      <c r="C2568" t="s">
        <v>4173</v>
      </c>
      <c r="D2568" t="s">
        <v>76</v>
      </c>
      <c r="E2568" t="s">
        <v>220</v>
      </c>
      <c r="F2568" t="s">
        <v>37</v>
      </c>
    </row>
    <row r="2569" spans="1:6" outlineLevel="3" x14ac:dyDescent="0.25">
      <c r="A2569" s="4" t="s">
        <v>421</v>
      </c>
      <c r="B2569" t="s">
        <v>422</v>
      </c>
      <c r="C2569" t="s">
        <v>4174</v>
      </c>
      <c r="D2569" t="s">
        <v>76</v>
      </c>
      <c r="E2569" t="s">
        <v>220</v>
      </c>
      <c r="F2569" t="s">
        <v>37</v>
      </c>
    </row>
    <row r="2570" spans="1:6" outlineLevel="3" x14ac:dyDescent="0.25">
      <c r="A2570" s="4" t="s">
        <v>421</v>
      </c>
      <c r="B2570" t="s">
        <v>422</v>
      </c>
      <c r="C2570" t="s">
        <v>4175</v>
      </c>
      <c r="D2570" t="s">
        <v>6</v>
      </c>
      <c r="E2570" t="s">
        <v>220</v>
      </c>
      <c r="F2570" t="s">
        <v>37</v>
      </c>
    </row>
    <row r="2571" spans="1:6" outlineLevel="3" x14ac:dyDescent="0.25">
      <c r="A2571" s="4" t="s">
        <v>421</v>
      </c>
      <c r="B2571" t="s">
        <v>422</v>
      </c>
      <c r="C2571" t="s">
        <v>4176</v>
      </c>
      <c r="D2571" t="s">
        <v>437</v>
      </c>
      <c r="E2571" t="s">
        <v>220</v>
      </c>
      <c r="F2571" t="s">
        <v>37</v>
      </c>
    </row>
    <row r="2572" spans="1:6" outlineLevel="3" x14ac:dyDescent="0.25">
      <c r="A2572" s="4" t="s">
        <v>421</v>
      </c>
      <c r="B2572" t="s">
        <v>422</v>
      </c>
      <c r="C2572" t="s">
        <v>4177</v>
      </c>
      <c r="D2572" t="s">
        <v>119</v>
      </c>
      <c r="E2572" t="s">
        <v>220</v>
      </c>
      <c r="F2572" t="s">
        <v>37</v>
      </c>
    </row>
    <row r="2573" spans="1:6" outlineLevel="3" x14ac:dyDescent="0.25">
      <c r="A2573" s="4" t="s">
        <v>421</v>
      </c>
      <c r="B2573" t="s">
        <v>422</v>
      </c>
      <c r="C2573" t="s">
        <v>2003</v>
      </c>
      <c r="D2573" t="s">
        <v>76</v>
      </c>
      <c r="E2573" t="s">
        <v>220</v>
      </c>
      <c r="F2573" t="s">
        <v>37</v>
      </c>
    </row>
    <row r="2574" spans="1:6" outlineLevel="3" x14ac:dyDescent="0.25">
      <c r="A2574" s="4" t="s">
        <v>421</v>
      </c>
      <c r="B2574" t="s">
        <v>422</v>
      </c>
      <c r="C2574" t="s">
        <v>1790</v>
      </c>
      <c r="D2574" t="s">
        <v>6</v>
      </c>
      <c r="E2574" t="s">
        <v>220</v>
      </c>
      <c r="F2574" t="s">
        <v>37</v>
      </c>
    </row>
    <row r="2575" spans="1:6" outlineLevel="3" x14ac:dyDescent="0.25">
      <c r="A2575" s="4" t="s">
        <v>421</v>
      </c>
      <c r="B2575" t="s">
        <v>422</v>
      </c>
      <c r="C2575" t="s">
        <v>4178</v>
      </c>
      <c r="D2575" t="s">
        <v>124</v>
      </c>
      <c r="E2575" t="s">
        <v>220</v>
      </c>
      <c r="F2575" t="s">
        <v>37</v>
      </c>
    </row>
    <row r="2576" spans="1:6" outlineLevel="3" x14ac:dyDescent="0.25">
      <c r="A2576" s="4" t="s">
        <v>421</v>
      </c>
      <c r="B2576" t="s">
        <v>422</v>
      </c>
      <c r="C2576" t="s">
        <v>1828</v>
      </c>
      <c r="D2576" t="s">
        <v>165</v>
      </c>
      <c r="E2576" t="s">
        <v>175</v>
      </c>
      <c r="F2576" t="s">
        <v>37</v>
      </c>
    </row>
    <row r="2577" spans="1:6" outlineLevel="3" x14ac:dyDescent="0.25">
      <c r="A2577" s="4" t="s">
        <v>421</v>
      </c>
      <c r="B2577" t="s">
        <v>422</v>
      </c>
      <c r="C2577" t="s">
        <v>2767</v>
      </c>
      <c r="D2577" t="s">
        <v>119</v>
      </c>
      <c r="E2577" t="s">
        <v>235</v>
      </c>
      <c r="F2577" t="s">
        <v>37</v>
      </c>
    </row>
    <row r="2578" spans="1:6" outlineLevel="3" x14ac:dyDescent="0.25">
      <c r="A2578" s="4" t="s">
        <v>421</v>
      </c>
      <c r="B2578" t="s">
        <v>422</v>
      </c>
      <c r="C2578" t="s">
        <v>2768</v>
      </c>
      <c r="D2578" t="s">
        <v>437</v>
      </c>
      <c r="E2578" t="s">
        <v>235</v>
      </c>
      <c r="F2578" t="s">
        <v>37</v>
      </c>
    </row>
    <row r="2579" spans="1:6" outlineLevel="3" x14ac:dyDescent="0.25">
      <c r="A2579" s="4" t="s">
        <v>421</v>
      </c>
      <c r="B2579" t="s">
        <v>422</v>
      </c>
      <c r="C2579" t="s">
        <v>2769</v>
      </c>
      <c r="D2579" t="s">
        <v>65</v>
      </c>
      <c r="E2579" t="s">
        <v>235</v>
      </c>
      <c r="F2579" t="s">
        <v>37</v>
      </c>
    </row>
    <row r="2580" spans="1:6" outlineLevel="3" x14ac:dyDescent="0.25">
      <c r="A2580" s="4" t="s">
        <v>421</v>
      </c>
      <c r="B2580" t="s">
        <v>422</v>
      </c>
      <c r="C2580" t="s">
        <v>2770</v>
      </c>
      <c r="D2580" t="s">
        <v>126</v>
      </c>
      <c r="E2580" t="s">
        <v>235</v>
      </c>
      <c r="F2580" t="s">
        <v>37</v>
      </c>
    </row>
    <row r="2581" spans="1:6" outlineLevel="3" x14ac:dyDescent="0.25">
      <c r="A2581" s="4" t="s">
        <v>421</v>
      </c>
      <c r="B2581" t="s">
        <v>422</v>
      </c>
      <c r="C2581" t="s">
        <v>2771</v>
      </c>
      <c r="D2581" t="s">
        <v>65</v>
      </c>
      <c r="E2581" t="s">
        <v>235</v>
      </c>
      <c r="F2581" t="s">
        <v>37</v>
      </c>
    </row>
    <row r="2582" spans="1:6" outlineLevel="3" x14ac:dyDescent="0.25">
      <c r="A2582" s="4" t="s">
        <v>421</v>
      </c>
      <c r="B2582" t="s">
        <v>422</v>
      </c>
      <c r="C2582" t="s">
        <v>1830</v>
      </c>
      <c r="D2582" t="s">
        <v>165</v>
      </c>
      <c r="E2582" t="s">
        <v>235</v>
      </c>
      <c r="F2582" t="s">
        <v>37</v>
      </c>
    </row>
    <row r="2583" spans="1:6" outlineLevel="3" x14ac:dyDescent="0.25">
      <c r="A2583" s="4" t="s">
        <v>421</v>
      </c>
      <c r="B2583" t="s">
        <v>422</v>
      </c>
      <c r="C2583" t="s">
        <v>2772</v>
      </c>
      <c r="D2583" t="s">
        <v>67</v>
      </c>
      <c r="E2583" t="s">
        <v>235</v>
      </c>
      <c r="F2583" t="s">
        <v>37</v>
      </c>
    </row>
    <row r="2584" spans="1:6" outlineLevel="3" x14ac:dyDescent="0.25">
      <c r="A2584" s="4" t="s">
        <v>421</v>
      </c>
      <c r="B2584" t="s">
        <v>422</v>
      </c>
      <c r="C2584" t="s">
        <v>2773</v>
      </c>
      <c r="D2584" t="s">
        <v>126</v>
      </c>
      <c r="E2584" t="s">
        <v>235</v>
      </c>
      <c r="F2584" t="s">
        <v>37</v>
      </c>
    </row>
    <row r="2585" spans="1:6" outlineLevel="3" x14ac:dyDescent="0.25">
      <c r="A2585" s="4" t="s">
        <v>421</v>
      </c>
      <c r="B2585" t="s">
        <v>422</v>
      </c>
      <c r="C2585" t="s">
        <v>1831</v>
      </c>
      <c r="D2585" t="s">
        <v>126</v>
      </c>
      <c r="E2585" t="s">
        <v>235</v>
      </c>
      <c r="F2585" t="s">
        <v>37</v>
      </c>
    </row>
    <row r="2586" spans="1:6" outlineLevel="3" x14ac:dyDescent="0.25">
      <c r="A2586" s="4" t="s">
        <v>421</v>
      </c>
      <c r="B2586" t="s">
        <v>422</v>
      </c>
      <c r="C2586" t="s">
        <v>2774</v>
      </c>
      <c r="D2586" t="s">
        <v>13</v>
      </c>
      <c r="E2586" t="s">
        <v>235</v>
      </c>
      <c r="F2586" t="s">
        <v>37</v>
      </c>
    </row>
    <row r="2587" spans="1:6" outlineLevel="3" x14ac:dyDescent="0.25">
      <c r="A2587" s="4" t="s">
        <v>421</v>
      </c>
      <c r="B2587" t="s">
        <v>422</v>
      </c>
      <c r="C2587" t="s">
        <v>2775</v>
      </c>
      <c r="D2587" t="s">
        <v>44</v>
      </c>
      <c r="E2587" t="s">
        <v>235</v>
      </c>
      <c r="F2587" t="s">
        <v>37</v>
      </c>
    </row>
    <row r="2588" spans="1:6" outlineLevel="3" x14ac:dyDescent="0.25">
      <c r="A2588" s="4" t="s">
        <v>421</v>
      </c>
      <c r="B2588" t="s">
        <v>422</v>
      </c>
      <c r="C2588" t="s">
        <v>2776</v>
      </c>
      <c r="D2588" t="s">
        <v>44</v>
      </c>
      <c r="E2588" t="s">
        <v>235</v>
      </c>
      <c r="F2588" t="s">
        <v>37</v>
      </c>
    </row>
    <row r="2589" spans="1:6" outlineLevel="3" x14ac:dyDescent="0.25">
      <c r="A2589" s="4" t="s">
        <v>421</v>
      </c>
      <c r="B2589" t="s">
        <v>422</v>
      </c>
      <c r="C2589" t="s">
        <v>2777</v>
      </c>
      <c r="D2589" t="s">
        <v>237</v>
      </c>
      <c r="E2589" t="s">
        <v>235</v>
      </c>
      <c r="F2589" t="s">
        <v>37</v>
      </c>
    </row>
    <row r="2590" spans="1:6" outlineLevel="3" x14ac:dyDescent="0.25">
      <c r="A2590" s="4" t="s">
        <v>421</v>
      </c>
      <c r="B2590" t="s">
        <v>422</v>
      </c>
      <c r="C2590" t="s">
        <v>1832</v>
      </c>
      <c r="D2590" t="s">
        <v>165</v>
      </c>
      <c r="E2590" t="s">
        <v>235</v>
      </c>
      <c r="F2590" t="s">
        <v>37</v>
      </c>
    </row>
    <row r="2591" spans="1:6" outlineLevel="3" x14ac:dyDescent="0.25">
      <c r="A2591" s="4" t="s">
        <v>421</v>
      </c>
      <c r="B2591" t="s">
        <v>422</v>
      </c>
      <c r="C2591" t="s">
        <v>2778</v>
      </c>
      <c r="D2591" t="s">
        <v>124</v>
      </c>
      <c r="E2591" t="s">
        <v>235</v>
      </c>
      <c r="F2591" t="s">
        <v>37</v>
      </c>
    </row>
    <row r="2592" spans="1:6" outlineLevel="3" x14ac:dyDescent="0.25">
      <c r="A2592" s="4" t="s">
        <v>421</v>
      </c>
      <c r="B2592" t="s">
        <v>422</v>
      </c>
      <c r="C2592" t="s">
        <v>1833</v>
      </c>
      <c r="D2592" t="s">
        <v>126</v>
      </c>
      <c r="E2592" t="s">
        <v>235</v>
      </c>
      <c r="F2592" t="s">
        <v>37</v>
      </c>
    </row>
    <row r="2593" spans="1:6" outlineLevel="3" x14ac:dyDescent="0.25">
      <c r="A2593" s="4" t="s">
        <v>421</v>
      </c>
      <c r="B2593" t="s">
        <v>422</v>
      </c>
      <c r="C2593" t="s">
        <v>2779</v>
      </c>
      <c r="D2593" t="s">
        <v>13</v>
      </c>
      <c r="E2593" t="s">
        <v>235</v>
      </c>
      <c r="F2593" t="s">
        <v>37</v>
      </c>
    </row>
    <row r="2594" spans="1:6" outlineLevel="3" x14ac:dyDescent="0.25">
      <c r="A2594" s="4" t="s">
        <v>421</v>
      </c>
      <c r="B2594" t="s">
        <v>422</v>
      </c>
      <c r="C2594" t="s">
        <v>2780</v>
      </c>
      <c r="D2594" t="s">
        <v>124</v>
      </c>
      <c r="E2594" t="s">
        <v>235</v>
      </c>
      <c r="F2594" t="s">
        <v>37</v>
      </c>
    </row>
    <row r="2595" spans="1:6" outlineLevel="3" x14ac:dyDescent="0.25">
      <c r="A2595" s="4" t="s">
        <v>421</v>
      </c>
      <c r="B2595" t="s">
        <v>422</v>
      </c>
      <c r="C2595" t="s">
        <v>2781</v>
      </c>
      <c r="D2595" t="s">
        <v>275</v>
      </c>
      <c r="E2595" t="s">
        <v>235</v>
      </c>
      <c r="F2595" t="s">
        <v>37</v>
      </c>
    </row>
    <row r="2596" spans="1:6" outlineLevel="3" x14ac:dyDescent="0.25">
      <c r="A2596" s="4" t="s">
        <v>421</v>
      </c>
      <c r="B2596" t="s">
        <v>422</v>
      </c>
      <c r="C2596" t="s">
        <v>2782</v>
      </c>
      <c r="D2596" t="s">
        <v>237</v>
      </c>
      <c r="E2596" t="s">
        <v>235</v>
      </c>
      <c r="F2596" t="s">
        <v>37</v>
      </c>
    </row>
    <row r="2597" spans="1:6" outlineLevel="3" x14ac:dyDescent="0.25">
      <c r="A2597" s="4" t="s">
        <v>421</v>
      </c>
      <c r="B2597" t="s">
        <v>422</v>
      </c>
      <c r="C2597" t="s">
        <v>2783</v>
      </c>
      <c r="D2597" t="s">
        <v>67</v>
      </c>
      <c r="E2597" t="s">
        <v>235</v>
      </c>
      <c r="F2597" t="s">
        <v>37</v>
      </c>
    </row>
    <row r="2598" spans="1:6" outlineLevel="3" x14ac:dyDescent="0.25">
      <c r="A2598" s="4" t="s">
        <v>421</v>
      </c>
      <c r="B2598" t="s">
        <v>422</v>
      </c>
      <c r="C2598" t="s">
        <v>2784</v>
      </c>
      <c r="D2598" t="s">
        <v>190</v>
      </c>
      <c r="E2598" t="s">
        <v>235</v>
      </c>
      <c r="F2598" t="s">
        <v>37</v>
      </c>
    </row>
    <row r="2599" spans="1:6" outlineLevel="3" x14ac:dyDescent="0.25">
      <c r="A2599" s="4" t="s">
        <v>421</v>
      </c>
      <c r="B2599" t="s">
        <v>422</v>
      </c>
      <c r="C2599" t="s">
        <v>2785</v>
      </c>
      <c r="D2599" t="s">
        <v>67</v>
      </c>
      <c r="E2599" t="s">
        <v>235</v>
      </c>
      <c r="F2599" t="s">
        <v>37</v>
      </c>
    </row>
    <row r="2600" spans="1:6" outlineLevel="3" x14ac:dyDescent="0.25">
      <c r="A2600" s="4" t="s">
        <v>421</v>
      </c>
      <c r="B2600" t="s">
        <v>422</v>
      </c>
      <c r="C2600" t="s">
        <v>2786</v>
      </c>
      <c r="D2600" t="s">
        <v>67</v>
      </c>
      <c r="E2600" t="s">
        <v>235</v>
      </c>
      <c r="F2600" t="s">
        <v>37</v>
      </c>
    </row>
    <row r="2601" spans="1:6" outlineLevel="3" x14ac:dyDescent="0.25">
      <c r="A2601" s="4" t="s">
        <v>421</v>
      </c>
      <c r="B2601" t="s">
        <v>422</v>
      </c>
      <c r="C2601" t="s">
        <v>2787</v>
      </c>
      <c r="D2601" t="s">
        <v>435</v>
      </c>
      <c r="E2601" t="s">
        <v>235</v>
      </c>
      <c r="F2601" t="s">
        <v>37</v>
      </c>
    </row>
    <row r="2602" spans="1:6" outlineLevel="3" x14ac:dyDescent="0.25">
      <c r="A2602" s="4" t="s">
        <v>421</v>
      </c>
      <c r="B2602" t="s">
        <v>422</v>
      </c>
      <c r="C2602" t="s">
        <v>2788</v>
      </c>
      <c r="D2602" t="s">
        <v>437</v>
      </c>
      <c r="E2602" t="s">
        <v>235</v>
      </c>
      <c r="F2602" t="s">
        <v>37</v>
      </c>
    </row>
    <row r="2603" spans="1:6" outlineLevel="3" x14ac:dyDescent="0.25">
      <c r="A2603" s="4" t="s">
        <v>421</v>
      </c>
      <c r="B2603" t="s">
        <v>422</v>
      </c>
      <c r="C2603" t="s">
        <v>2789</v>
      </c>
      <c r="D2603" t="s">
        <v>63</v>
      </c>
      <c r="E2603" t="s">
        <v>235</v>
      </c>
      <c r="F2603" t="s">
        <v>37</v>
      </c>
    </row>
    <row r="2604" spans="1:6" outlineLevel="3" x14ac:dyDescent="0.25">
      <c r="A2604" s="4" t="s">
        <v>421</v>
      </c>
      <c r="B2604" t="s">
        <v>422</v>
      </c>
      <c r="C2604" t="s">
        <v>2790</v>
      </c>
      <c r="D2604" t="s">
        <v>147</v>
      </c>
      <c r="E2604" t="s">
        <v>235</v>
      </c>
      <c r="F2604" t="s">
        <v>37</v>
      </c>
    </row>
    <row r="2605" spans="1:6" outlineLevel="3" x14ac:dyDescent="0.25">
      <c r="A2605" s="4" t="s">
        <v>421</v>
      </c>
      <c r="B2605" t="s">
        <v>422</v>
      </c>
      <c r="C2605" t="s">
        <v>2791</v>
      </c>
      <c r="D2605" t="s">
        <v>190</v>
      </c>
      <c r="E2605" t="s">
        <v>235</v>
      </c>
      <c r="F2605" t="s">
        <v>37</v>
      </c>
    </row>
    <row r="2606" spans="1:6" outlineLevel="3" x14ac:dyDescent="0.25">
      <c r="A2606" s="4" t="s">
        <v>421</v>
      </c>
      <c r="B2606" t="s">
        <v>422</v>
      </c>
      <c r="C2606" t="s">
        <v>2792</v>
      </c>
      <c r="D2606" t="s">
        <v>44</v>
      </c>
      <c r="E2606" t="s">
        <v>235</v>
      </c>
      <c r="F2606" t="s">
        <v>37</v>
      </c>
    </row>
    <row r="2607" spans="1:6" outlineLevel="3" x14ac:dyDescent="0.25">
      <c r="A2607" s="4" t="s">
        <v>421</v>
      </c>
      <c r="B2607" t="s">
        <v>422</v>
      </c>
      <c r="C2607" t="s">
        <v>2793</v>
      </c>
      <c r="D2607" t="s">
        <v>190</v>
      </c>
      <c r="E2607" t="s">
        <v>235</v>
      </c>
      <c r="F2607" t="s">
        <v>37</v>
      </c>
    </row>
    <row r="2608" spans="1:6" outlineLevel="3" x14ac:dyDescent="0.25">
      <c r="A2608" s="4" t="s">
        <v>421</v>
      </c>
      <c r="B2608" t="s">
        <v>422</v>
      </c>
      <c r="C2608" t="s">
        <v>2794</v>
      </c>
      <c r="D2608" t="s">
        <v>126</v>
      </c>
      <c r="E2608" t="s">
        <v>235</v>
      </c>
      <c r="F2608" t="s">
        <v>37</v>
      </c>
    </row>
    <row r="2609" spans="1:6" outlineLevel="3" x14ac:dyDescent="0.25">
      <c r="A2609" s="4" t="s">
        <v>421</v>
      </c>
      <c r="B2609" t="s">
        <v>422</v>
      </c>
      <c r="C2609" t="s">
        <v>2795</v>
      </c>
      <c r="D2609" t="s">
        <v>44</v>
      </c>
      <c r="E2609" t="s">
        <v>235</v>
      </c>
      <c r="F2609" t="s">
        <v>37</v>
      </c>
    </row>
    <row r="2610" spans="1:6" outlineLevel="3" x14ac:dyDescent="0.25">
      <c r="A2610" s="4" t="s">
        <v>421</v>
      </c>
      <c r="B2610" t="s">
        <v>422</v>
      </c>
      <c r="C2610" t="s">
        <v>2796</v>
      </c>
      <c r="D2610" t="s">
        <v>67</v>
      </c>
      <c r="E2610" t="s">
        <v>235</v>
      </c>
      <c r="F2610" t="s">
        <v>37</v>
      </c>
    </row>
    <row r="2611" spans="1:6" outlineLevel="3" x14ac:dyDescent="0.25">
      <c r="A2611" s="4" t="s">
        <v>421</v>
      </c>
      <c r="B2611" t="s">
        <v>422</v>
      </c>
      <c r="C2611" t="s">
        <v>2797</v>
      </c>
      <c r="D2611" t="s">
        <v>237</v>
      </c>
      <c r="E2611" t="s">
        <v>235</v>
      </c>
      <c r="F2611" t="s">
        <v>37</v>
      </c>
    </row>
    <row r="2612" spans="1:6" outlineLevel="3" x14ac:dyDescent="0.25">
      <c r="A2612" s="4" t="s">
        <v>421</v>
      </c>
      <c r="B2612" t="s">
        <v>422</v>
      </c>
      <c r="C2612" t="s">
        <v>2798</v>
      </c>
      <c r="D2612" t="s">
        <v>44</v>
      </c>
      <c r="E2612" t="s">
        <v>235</v>
      </c>
      <c r="F2612" t="s">
        <v>37</v>
      </c>
    </row>
    <row r="2613" spans="1:6" outlineLevel="3" x14ac:dyDescent="0.25">
      <c r="A2613" s="4" t="s">
        <v>421</v>
      </c>
      <c r="B2613" t="s">
        <v>422</v>
      </c>
      <c r="C2613" t="s">
        <v>2799</v>
      </c>
      <c r="D2613" t="s">
        <v>119</v>
      </c>
      <c r="E2613" t="s">
        <v>235</v>
      </c>
      <c r="F2613" t="s">
        <v>37</v>
      </c>
    </row>
    <row r="2614" spans="1:6" outlineLevel="3" x14ac:dyDescent="0.25">
      <c r="A2614" s="4" t="s">
        <v>421</v>
      </c>
      <c r="B2614" t="s">
        <v>422</v>
      </c>
      <c r="C2614" t="s">
        <v>2800</v>
      </c>
      <c r="D2614" t="s">
        <v>437</v>
      </c>
      <c r="E2614" t="s">
        <v>235</v>
      </c>
      <c r="F2614" t="s">
        <v>37</v>
      </c>
    </row>
    <row r="2615" spans="1:6" outlineLevel="3" x14ac:dyDescent="0.25">
      <c r="A2615" s="4" t="s">
        <v>421</v>
      </c>
      <c r="B2615" t="s">
        <v>422</v>
      </c>
      <c r="C2615" t="s">
        <v>2801</v>
      </c>
      <c r="D2615" t="s">
        <v>65</v>
      </c>
      <c r="E2615" t="s">
        <v>235</v>
      </c>
      <c r="F2615" t="s">
        <v>37</v>
      </c>
    </row>
    <row r="2616" spans="1:6" outlineLevel="3" x14ac:dyDescent="0.25">
      <c r="A2616" s="4" t="s">
        <v>421</v>
      </c>
      <c r="B2616" t="s">
        <v>422</v>
      </c>
      <c r="C2616" t="s">
        <v>2802</v>
      </c>
      <c r="D2616" t="s">
        <v>6</v>
      </c>
      <c r="E2616" t="s">
        <v>235</v>
      </c>
      <c r="F2616" t="s">
        <v>37</v>
      </c>
    </row>
    <row r="2617" spans="1:6" outlineLevel="3" x14ac:dyDescent="0.25">
      <c r="A2617" s="4" t="s">
        <v>421</v>
      </c>
      <c r="B2617" t="s">
        <v>422</v>
      </c>
      <c r="C2617" t="s">
        <v>2803</v>
      </c>
      <c r="D2617" t="s">
        <v>89</v>
      </c>
      <c r="E2617" t="s">
        <v>235</v>
      </c>
      <c r="F2617" t="s">
        <v>37</v>
      </c>
    </row>
    <row r="2618" spans="1:6" outlineLevel="3" x14ac:dyDescent="0.25">
      <c r="A2618" s="4" t="s">
        <v>421</v>
      </c>
      <c r="B2618" t="s">
        <v>422</v>
      </c>
      <c r="C2618" t="s">
        <v>2804</v>
      </c>
      <c r="D2618" t="s">
        <v>6</v>
      </c>
      <c r="E2618" t="s">
        <v>235</v>
      </c>
      <c r="F2618" t="s">
        <v>37</v>
      </c>
    </row>
    <row r="2619" spans="1:6" outlineLevel="3" x14ac:dyDescent="0.25">
      <c r="A2619" s="4" t="s">
        <v>421</v>
      </c>
      <c r="B2619" t="s">
        <v>422</v>
      </c>
      <c r="C2619" t="s">
        <v>2805</v>
      </c>
      <c r="D2619" t="s">
        <v>65</v>
      </c>
      <c r="E2619" t="s">
        <v>235</v>
      </c>
      <c r="F2619" t="s">
        <v>37</v>
      </c>
    </row>
    <row r="2620" spans="1:6" outlineLevel="3" x14ac:dyDescent="0.25">
      <c r="A2620" s="4" t="s">
        <v>421</v>
      </c>
      <c r="B2620" t="s">
        <v>422</v>
      </c>
      <c r="C2620" t="s">
        <v>2806</v>
      </c>
      <c r="D2620" t="s">
        <v>190</v>
      </c>
      <c r="E2620" t="s">
        <v>235</v>
      </c>
      <c r="F2620" t="s">
        <v>37</v>
      </c>
    </row>
    <row r="2621" spans="1:6" outlineLevel="3" x14ac:dyDescent="0.25">
      <c r="A2621" s="4" t="s">
        <v>421</v>
      </c>
      <c r="B2621" t="s">
        <v>422</v>
      </c>
      <c r="C2621" t="s">
        <v>2807</v>
      </c>
      <c r="D2621" t="s">
        <v>65</v>
      </c>
      <c r="E2621" t="s">
        <v>235</v>
      </c>
      <c r="F2621" t="s">
        <v>37</v>
      </c>
    </row>
    <row r="2622" spans="1:6" outlineLevel="3" x14ac:dyDescent="0.25">
      <c r="A2622" s="4" t="s">
        <v>421</v>
      </c>
      <c r="B2622" t="s">
        <v>422</v>
      </c>
      <c r="C2622" t="s">
        <v>2808</v>
      </c>
      <c r="D2622" t="s">
        <v>126</v>
      </c>
      <c r="E2622" t="s">
        <v>235</v>
      </c>
      <c r="F2622" t="s">
        <v>37</v>
      </c>
    </row>
    <row r="2623" spans="1:6" outlineLevel="3" x14ac:dyDescent="0.25">
      <c r="A2623" s="4" t="s">
        <v>421</v>
      </c>
      <c r="B2623" t="s">
        <v>422</v>
      </c>
      <c r="C2623" t="s">
        <v>2809</v>
      </c>
      <c r="D2623" t="s">
        <v>119</v>
      </c>
      <c r="E2623" t="s">
        <v>235</v>
      </c>
      <c r="F2623" t="s">
        <v>37</v>
      </c>
    </row>
    <row r="2624" spans="1:6" outlineLevel="3" x14ac:dyDescent="0.25">
      <c r="A2624" s="4" t="s">
        <v>421</v>
      </c>
      <c r="B2624" t="s">
        <v>422</v>
      </c>
      <c r="C2624" t="s">
        <v>2810</v>
      </c>
      <c r="D2624" t="s">
        <v>190</v>
      </c>
      <c r="E2624" t="s">
        <v>235</v>
      </c>
      <c r="F2624" t="s">
        <v>37</v>
      </c>
    </row>
    <row r="2625" spans="1:6" outlineLevel="3" x14ac:dyDescent="0.25">
      <c r="A2625" s="4" t="s">
        <v>421</v>
      </c>
      <c r="B2625" t="s">
        <v>422</v>
      </c>
      <c r="C2625" t="s">
        <v>2811</v>
      </c>
      <c r="D2625" t="s">
        <v>124</v>
      </c>
      <c r="E2625" t="s">
        <v>235</v>
      </c>
      <c r="F2625" t="s">
        <v>37</v>
      </c>
    </row>
    <row r="2626" spans="1:6" outlineLevel="3" x14ac:dyDescent="0.25">
      <c r="A2626" s="4" t="s">
        <v>421</v>
      </c>
      <c r="B2626" t="s">
        <v>422</v>
      </c>
      <c r="C2626" t="s">
        <v>2812</v>
      </c>
      <c r="D2626" t="s">
        <v>119</v>
      </c>
      <c r="E2626" t="s">
        <v>235</v>
      </c>
      <c r="F2626" t="s">
        <v>37</v>
      </c>
    </row>
    <row r="2627" spans="1:6" outlineLevel="3" x14ac:dyDescent="0.25">
      <c r="A2627" s="4" t="s">
        <v>421</v>
      </c>
      <c r="B2627" t="s">
        <v>422</v>
      </c>
      <c r="C2627" t="s">
        <v>2813</v>
      </c>
      <c r="D2627" t="s">
        <v>13</v>
      </c>
      <c r="E2627" t="s">
        <v>235</v>
      </c>
      <c r="F2627" t="s">
        <v>37</v>
      </c>
    </row>
    <row r="2628" spans="1:6" outlineLevel="3" x14ac:dyDescent="0.25">
      <c r="A2628" s="4" t="s">
        <v>421</v>
      </c>
      <c r="B2628" t="s">
        <v>422</v>
      </c>
      <c r="C2628" t="s">
        <v>1834</v>
      </c>
      <c r="D2628" t="s">
        <v>13</v>
      </c>
      <c r="E2628" t="s">
        <v>235</v>
      </c>
      <c r="F2628" t="s">
        <v>37</v>
      </c>
    </row>
    <row r="2629" spans="1:6" outlineLevel="3" x14ac:dyDescent="0.25">
      <c r="A2629" s="4" t="s">
        <v>421</v>
      </c>
      <c r="B2629" t="s">
        <v>422</v>
      </c>
      <c r="C2629" t="s">
        <v>2814</v>
      </c>
      <c r="D2629" t="s">
        <v>126</v>
      </c>
      <c r="E2629" t="s">
        <v>235</v>
      </c>
      <c r="F2629" t="s">
        <v>37</v>
      </c>
    </row>
    <row r="2630" spans="1:6" outlineLevel="3" x14ac:dyDescent="0.25">
      <c r="A2630" s="4" t="s">
        <v>421</v>
      </c>
      <c r="B2630" t="s">
        <v>422</v>
      </c>
      <c r="C2630" t="s">
        <v>2815</v>
      </c>
      <c r="D2630" t="s">
        <v>126</v>
      </c>
      <c r="E2630" t="s">
        <v>235</v>
      </c>
      <c r="F2630" t="s">
        <v>37</v>
      </c>
    </row>
    <row r="2631" spans="1:6" outlineLevel="3" x14ac:dyDescent="0.25">
      <c r="A2631" s="4" t="s">
        <v>421</v>
      </c>
      <c r="B2631" t="s">
        <v>422</v>
      </c>
      <c r="C2631" t="s">
        <v>2816</v>
      </c>
      <c r="D2631" t="s">
        <v>119</v>
      </c>
      <c r="E2631" t="s">
        <v>235</v>
      </c>
      <c r="F2631" t="s">
        <v>37</v>
      </c>
    </row>
    <row r="2632" spans="1:6" outlineLevel="3" x14ac:dyDescent="0.25">
      <c r="A2632" s="4" t="s">
        <v>421</v>
      </c>
      <c r="B2632" t="s">
        <v>422</v>
      </c>
      <c r="C2632" t="s">
        <v>2817</v>
      </c>
      <c r="D2632" t="s">
        <v>437</v>
      </c>
      <c r="E2632" t="s">
        <v>235</v>
      </c>
      <c r="F2632" t="s">
        <v>37</v>
      </c>
    </row>
    <row r="2633" spans="1:6" outlineLevel="3" x14ac:dyDescent="0.25">
      <c r="A2633" s="4" t="s">
        <v>421</v>
      </c>
      <c r="B2633" t="s">
        <v>422</v>
      </c>
      <c r="C2633" t="s">
        <v>2818</v>
      </c>
      <c r="D2633" t="s">
        <v>435</v>
      </c>
      <c r="E2633" t="s">
        <v>235</v>
      </c>
      <c r="F2633" t="s">
        <v>37</v>
      </c>
    </row>
    <row r="2634" spans="1:6" outlineLevel="3" x14ac:dyDescent="0.25">
      <c r="A2634" s="4" t="s">
        <v>421</v>
      </c>
      <c r="B2634" t="s">
        <v>422</v>
      </c>
      <c r="C2634" t="s">
        <v>1835</v>
      </c>
      <c r="D2634" t="s">
        <v>165</v>
      </c>
      <c r="E2634" t="s">
        <v>235</v>
      </c>
      <c r="F2634" t="s">
        <v>37</v>
      </c>
    </row>
    <row r="2635" spans="1:6" outlineLevel="3" x14ac:dyDescent="0.25">
      <c r="A2635" s="4" t="s">
        <v>421</v>
      </c>
      <c r="B2635" t="s">
        <v>422</v>
      </c>
      <c r="C2635" t="s">
        <v>2819</v>
      </c>
      <c r="D2635" t="s">
        <v>1836</v>
      </c>
      <c r="E2635" t="s">
        <v>235</v>
      </c>
      <c r="F2635" t="s">
        <v>37</v>
      </c>
    </row>
    <row r="2636" spans="1:6" outlineLevel="3" x14ac:dyDescent="0.25">
      <c r="A2636" s="4" t="s">
        <v>421</v>
      </c>
      <c r="B2636" t="s">
        <v>422</v>
      </c>
      <c r="C2636" t="s">
        <v>2820</v>
      </c>
      <c r="D2636" t="s">
        <v>119</v>
      </c>
      <c r="E2636" t="s">
        <v>235</v>
      </c>
      <c r="F2636" t="s">
        <v>37</v>
      </c>
    </row>
    <row r="2637" spans="1:6" outlineLevel="3" x14ac:dyDescent="0.25">
      <c r="A2637" s="4" t="s">
        <v>421</v>
      </c>
      <c r="B2637" t="s">
        <v>422</v>
      </c>
      <c r="C2637" t="s">
        <v>2821</v>
      </c>
      <c r="D2637" t="s">
        <v>202</v>
      </c>
      <c r="E2637" t="s">
        <v>235</v>
      </c>
      <c r="F2637" t="s">
        <v>37</v>
      </c>
    </row>
    <row r="2638" spans="1:6" outlineLevel="3" x14ac:dyDescent="0.25">
      <c r="A2638" s="4" t="s">
        <v>421</v>
      </c>
      <c r="B2638" t="s">
        <v>422</v>
      </c>
      <c r="C2638" t="s">
        <v>2822</v>
      </c>
      <c r="D2638" t="s">
        <v>202</v>
      </c>
      <c r="E2638" t="s">
        <v>235</v>
      </c>
      <c r="F2638" t="s">
        <v>37</v>
      </c>
    </row>
    <row r="2639" spans="1:6" outlineLevel="3" x14ac:dyDescent="0.25">
      <c r="A2639" s="4" t="s">
        <v>421</v>
      </c>
      <c r="B2639" t="s">
        <v>422</v>
      </c>
      <c r="C2639" t="s">
        <v>2823</v>
      </c>
      <c r="D2639" t="s">
        <v>1102</v>
      </c>
      <c r="E2639" t="s">
        <v>423</v>
      </c>
      <c r="F2639" t="s">
        <v>37</v>
      </c>
    </row>
    <row r="2640" spans="1:6" outlineLevel="3" x14ac:dyDescent="0.25">
      <c r="A2640" s="4" t="s">
        <v>421</v>
      </c>
      <c r="B2640" t="s">
        <v>422</v>
      </c>
      <c r="C2640" t="s">
        <v>2824</v>
      </c>
      <c r="D2640" t="s">
        <v>13</v>
      </c>
      <c r="E2640" t="s">
        <v>423</v>
      </c>
      <c r="F2640" t="s">
        <v>37</v>
      </c>
    </row>
    <row r="2641" spans="1:6" outlineLevel="3" x14ac:dyDescent="0.25">
      <c r="A2641" s="4" t="s">
        <v>421</v>
      </c>
      <c r="B2641" t="s">
        <v>422</v>
      </c>
      <c r="C2641" t="s">
        <v>2868</v>
      </c>
      <c r="D2641" t="s">
        <v>165</v>
      </c>
      <c r="E2641" t="s">
        <v>315</v>
      </c>
      <c r="F2641" t="s">
        <v>37</v>
      </c>
    </row>
    <row r="2642" spans="1:6" outlineLevel="3" x14ac:dyDescent="0.25">
      <c r="A2642" s="4" t="s">
        <v>421</v>
      </c>
      <c r="B2642" t="s">
        <v>422</v>
      </c>
      <c r="C2642" t="s">
        <v>2869</v>
      </c>
      <c r="D2642" t="s">
        <v>237</v>
      </c>
      <c r="E2642" t="s">
        <v>315</v>
      </c>
      <c r="F2642" t="s">
        <v>37</v>
      </c>
    </row>
    <row r="2643" spans="1:6" outlineLevel="3" x14ac:dyDescent="0.25">
      <c r="A2643" s="4" t="s">
        <v>421</v>
      </c>
      <c r="B2643" t="s">
        <v>422</v>
      </c>
      <c r="C2643" t="s">
        <v>2870</v>
      </c>
      <c r="D2643" t="s">
        <v>13</v>
      </c>
      <c r="E2643" t="s">
        <v>315</v>
      </c>
      <c r="F2643" t="s">
        <v>37</v>
      </c>
    </row>
    <row r="2644" spans="1:6" outlineLevel="3" x14ac:dyDescent="0.25">
      <c r="A2644" s="4" t="s">
        <v>421</v>
      </c>
      <c r="B2644" t="s">
        <v>422</v>
      </c>
      <c r="C2644" t="s">
        <v>2871</v>
      </c>
      <c r="D2644" t="s">
        <v>275</v>
      </c>
      <c r="E2644" t="s">
        <v>315</v>
      </c>
      <c r="F2644" t="s">
        <v>37</v>
      </c>
    </row>
    <row r="2645" spans="1:6" outlineLevel="3" x14ac:dyDescent="0.25">
      <c r="A2645" s="4" t="s">
        <v>421</v>
      </c>
      <c r="B2645" t="s">
        <v>422</v>
      </c>
      <c r="C2645" t="s">
        <v>2872</v>
      </c>
      <c r="D2645" t="s">
        <v>437</v>
      </c>
      <c r="E2645" t="s">
        <v>315</v>
      </c>
      <c r="F2645" t="s">
        <v>37</v>
      </c>
    </row>
    <row r="2646" spans="1:6" outlineLevel="3" x14ac:dyDescent="0.25">
      <c r="A2646" s="4" t="s">
        <v>421</v>
      </c>
      <c r="B2646" t="s">
        <v>422</v>
      </c>
      <c r="C2646" t="s">
        <v>2873</v>
      </c>
      <c r="D2646" t="s">
        <v>147</v>
      </c>
      <c r="E2646" t="s">
        <v>315</v>
      </c>
      <c r="F2646" t="s">
        <v>37</v>
      </c>
    </row>
    <row r="2647" spans="1:6" outlineLevel="3" x14ac:dyDescent="0.25">
      <c r="A2647" s="4" t="s">
        <v>421</v>
      </c>
      <c r="B2647" t="s">
        <v>422</v>
      </c>
      <c r="C2647" t="s">
        <v>2874</v>
      </c>
      <c r="D2647" t="s">
        <v>437</v>
      </c>
      <c r="E2647" t="s">
        <v>315</v>
      </c>
      <c r="F2647" t="s">
        <v>37</v>
      </c>
    </row>
    <row r="2648" spans="1:6" outlineLevel="3" x14ac:dyDescent="0.25">
      <c r="A2648" s="4" t="s">
        <v>421</v>
      </c>
      <c r="B2648" t="s">
        <v>422</v>
      </c>
      <c r="C2648" t="s">
        <v>2875</v>
      </c>
      <c r="D2648" t="s">
        <v>124</v>
      </c>
      <c r="E2648" t="s">
        <v>315</v>
      </c>
      <c r="F2648" t="s">
        <v>37</v>
      </c>
    </row>
    <row r="2649" spans="1:6" outlineLevel="3" x14ac:dyDescent="0.25">
      <c r="A2649" s="4" t="s">
        <v>421</v>
      </c>
      <c r="B2649" t="s">
        <v>422</v>
      </c>
      <c r="C2649" t="s">
        <v>2876</v>
      </c>
      <c r="D2649" t="s">
        <v>437</v>
      </c>
      <c r="E2649" t="s">
        <v>315</v>
      </c>
      <c r="F2649" t="s">
        <v>37</v>
      </c>
    </row>
    <row r="2650" spans="1:6" outlineLevel="3" x14ac:dyDescent="0.25">
      <c r="A2650" s="4" t="s">
        <v>421</v>
      </c>
      <c r="B2650" t="s">
        <v>422</v>
      </c>
      <c r="C2650" t="s">
        <v>2877</v>
      </c>
      <c r="D2650" t="s">
        <v>237</v>
      </c>
      <c r="E2650" t="s">
        <v>315</v>
      </c>
      <c r="F2650" t="s">
        <v>37</v>
      </c>
    </row>
    <row r="2651" spans="1:6" outlineLevel="3" x14ac:dyDescent="0.25">
      <c r="A2651" s="4" t="s">
        <v>421</v>
      </c>
      <c r="B2651" t="s">
        <v>422</v>
      </c>
      <c r="C2651" t="s">
        <v>2878</v>
      </c>
      <c r="D2651" t="s">
        <v>437</v>
      </c>
      <c r="E2651" t="s">
        <v>315</v>
      </c>
      <c r="F2651" t="s">
        <v>37</v>
      </c>
    </row>
    <row r="2652" spans="1:6" outlineLevel="3" x14ac:dyDescent="0.25">
      <c r="A2652" s="4" t="s">
        <v>421</v>
      </c>
      <c r="B2652" t="s">
        <v>422</v>
      </c>
      <c r="C2652" t="s">
        <v>2879</v>
      </c>
      <c r="D2652" t="s">
        <v>237</v>
      </c>
      <c r="E2652" t="s">
        <v>315</v>
      </c>
      <c r="F2652" t="s">
        <v>37</v>
      </c>
    </row>
    <row r="2653" spans="1:6" outlineLevel="3" x14ac:dyDescent="0.25">
      <c r="A2653" s="4" t="s">
        <v>421</v>
      </c>
      <c r="B2653" t="s">
        <v>422</v>
      </c>
      <c r="C2653" t="s">
        <v>4179</v>
      </c>
      <c r="D2653" t="s">
        <v>202</v>
      </c>
      <c r="E2653" t="s">
        <v>313</v>
      </c>
      <c r="F2653" t="s">
        <v>37</v>
      </c>
    </row>
    <row r="2654" spans="1:6" outlineLevel="3" x14ac:dyDescent="0.25">
      <c r="A2654" s="4" t="s">
        <v>421</v>
      </c>
      <c r="B2654" t="s">
        <v>422</v>
      </c>
      <c r="C2654" t="s">
        <v>2004</v>
      </c>
      <c r="D2654" t="s">
        <v>44</v>
      </c>
      <c r="E2654" t="s">
        <v>313</v>
      </c>
      <c r="F2654" t="s">
        <v>37</v>
      </c>
    </row>
    <row r="2655" spans="1:6" outlineLevel="3" x14ac:dyDescent="0.25">
      <c r="A2655" s="4" t="s">
        <v>421</v>
      </c>
      <c r="B2655" t="s">
        <v>422</v>
      </c>
      <c r="C2655" t="s">
        <v>4180</v>
      </c>
      <c r="D2655" t="s">
        <v>76</v>
      </c>
      <c r="E2655" t="s">
        <v>313</v>
      </c>
      <c r="F2655" t="s">
        <v>37</v>
      </c>
    </row>
    <row r="2656" spans="1:6" outlineLevel="3" x14ac:dyDescent="0.25">
      <c r="A2656" s="4" t="s">
        <v>421</v>
      </c>
      <c r="B2656" t="s">
        <v>422</v>
      </c>
      <c r="C2656" t="s">
        <v>4181</v>
      </c>
      <c r="D2656" t="s">
        <v>165</v>
      </c>
      <c r="E2656" t="s">
        <v>313</v>
      </c>
      <c r="F2656" t="s">
        <v>37</v>
      </c>
    </row>
    <row r="2657" spans="1:6" outlineLevel="3" x14ac:dyDescent="0.25">
      <c r="A2657" s="4" t="s">
        <v>421</v>
      </c>
      <c r="B2657" t="s">
        <v>422</v>
      </c>
      <c r="C2657" t="s">
        <v>4182</v>
      </c>
      <c r="D2657" t="s">
        <v>126</v>
      </c>
      <c r="E2657" t="s">
        <v>313</v>
      </c>
      <c r="F2657" t="s">
        <v>37</v>
      </c>
    </row>
    <row r="2658" spans="1:6" outlineLevel="3" x14ac:dyDescent="0.25">
      <c r="A2658" s="4" t="s">
        <v>421</v>
      </c>
      <c r="B2658" t="s">
        <v>422</v>
      </c>
      <c r="C2658" t="s">
        <v>4183</v>
      </c>
      <c r="D2658" t="s">
        <v>126</v>
      </c>
      <c r="E2658" t="s">
        <v>313</v>
      </c>
      <c r="F2658" t="s">
        <v>37</v>
      </c>
    </row>
    <row r="2659" spans="1:6" outlineLevel="3" x14ac:dyDescent="0.25">
      <c r="A2659" s="4" t="s">
        <v>421</v>
      </c>
      <c r="B2659" t="s">
        <v>422</v>
      </c>
      <c r="C2659" t="s">
        <v>4184</v>
      </c>
      <c r="D2659" t="s">
        <v>437</v>
      </c>
      <c r="E2659" t="s">
        <v>313</v>
      </c>
      <c r="F2659" t="s">
        <v>37</v>
      </c>
    </row>
    <row r="2660" spans="1:6" outlineLevel="3" x14ac:dyDescent="0.25">
      <c r="A2660" s="4" t="s">
        <v>421</v>
      </c>
      <c r="B2660" t="s">
        <v>422</v>
      </c>
      <c r="C2660" t="s">
        <v>4185</v>
      </c>
      <c r="D2660" t="s">
        <v>165</v>
      </c>
      <c r="E2660" t="s">
        <v>313</v>
      </c>
      <c r="F2660" t="s">
        <v>37</v>
      </c>
    </row>
    <row r="2661" spans="1:6" outlineLevel="3" x14ac:dyDescent="0.25">
      <c r="A2661" s="4" t="s">
        <v>421</v>
      </c>
      <c r="B2661" t="s">
        <v>422</v>
      </c>
      <c r="C2661" t="s">
        <v>1791</v>
      </c>
      <c r="D2661" t="s">
        <v>126</v>
      </c>
      <c r="E2661" t="s">
        <v>313</v>
      </c>
      <c r="F2661" t="s">
        <v>37</v>
      </c>
    </row>
    <row r="2662" spans="1:6" outlineLevel="3" x14ac:dyDescent="0.25">
      <c r="A2662" s="4" t="s">
        <v>421</v>
      </c>
      <c r="B2662" t="s">
        <v>422</v>
      </c>
      <c r="C2662" t="s">
        <v>2005</v>
      </c>
      <c r="D2662" t="s">
        <v>202</v>
      </c>
      <c r="E2662" t="s">
        <v>313</v>
      </c>
      <c r="F2662" t="s">
        <v>37</v>
      </c>
    </row>
    <row r="2663" spans="1:6" outlineLevel="3" x14ac:dyDescent="0.25">
      <c r="A2663" s="4" t="s">
        <v>421</v>
      </c>
      <c r="B2663" t="s">
        <v>422</v>
      </c>
      <c r="C2663" t="s">
        <v>4186</v>
      </c>
      <c r="D2663" t="s">
        <v>44</v>
      </c>
      <c r="E2663" t="s">
        <v>313</v>
      </c>
      <c r="F2663" t="s">
        <v>37</v>
      </c>
    </row>
    <row r="2664" spans="1:6" outlineLevel="3" x14ac:dyDescent="0.25">
      <c r="A2664" s="4" t="s">
        <v>421</v>
      </c>
      <c r="B2664" t="s">
        <v>422</v>
      </c>
      <c r="C2664" t="s">
        <v>1792</v>
      </c>
      <c r="D2664" t="s">
        <v>76</v>
      </c>
      <c r="E2664" t="s">
        <v>313</v>
      </c>
      <c r="F2664" t="s">
        <v>37</v>
      </c>
    </row>
    <row r="2665" spans="1:6" outlineLevel="3" x14ac:dyDescent="0.25">
      <c r="A2665" s="4" t="s">
        <v>421</v>
      </c>
      <c r="B2665" t="s">
        <v>422</v>
      </c>
      <c r="C2665" t="s">
        <v>4187</v>
      </c>
      <c r="D2665" t="s">
        <v>67</v>
      </c>
      <c r="E2665" t="s">
        <v>313</v>
      </c>
      <c r="F2665" t="s">
        <v>37</v>
      </c>
    </row>
    <row r="2666" spans="1:6" outlineLevel="3" x14ac:dyDescent="0.25">
      <c r="A2666" s="4" t="s">
        <v>421</v>
      </c>
      <c r="B2666" t="s">
        <v>422</v>
      </c>
      <c r="C2666" t="s">
        <v>2746</v>
      </c>
      <c r="D2666" t="s">
        <v>1070</v>
      </c>
      <c r="E2666" t="s">
        <v>259</v>
      </c>
      <c r="F2666" t="s">
        <v>37</v>
      </c>
    </row>
    <row r="2667" spans="1:6" outlineLevel="3" x14ac:dyDescent="0.25">
      <c r="A2667" s="4" t="s">
        <v>421</v>
      </c>
      <c r="B2667" t="s">
        <v>422</v>
      </c>
      <c r="C2667" t="s">
        <v>2880</v>
      </c>
      <c r="D2667" t="s">
        <v>126</v>
      </c>
      <c r="E2667" t="s">
        <v>163</v>
      </c>
      <c r="F2667" t="s">
        <v>37</v>
      </c>
    </row>
    <row r="2668" spans="1:6" outlineLevel="3" x14ac:dyDescent="0.25">
      <c r="A2668" s="4" t="s">
        <v>421</v>
      </c>
      <c r="B2668" t="s">
        <v>422</v>
      </c>
      <c r="C2668" t="s">
        <v>2881</v>
      </c>
      <c r="D2668" t="s">
        <v>103</v>
      </c>
      <c r="E2668" t="s">
        <v>163</v>
      </c>
      <c r="F2668" t="s">
        <v>37</v>
      </c>
    </row>
    <row r="2669" spans="1:6" outlineLevel="3" x14ac:dyDescent="0.25">
      <c r="A2669" s="4" t="s">
        <v>421</v>
      </c>
      <c r="B2669" t="s">
        <v>422</v>
      </c>
      <c r="C2669" t="s">
        <v>4010</v>
      </c>
      <c r="D2669" t="s">
        <v>13</v>
      </c>
      <c r="E2669" t="s">
        <v>223</v>
      </c>
      <c r="F2669" t="s">
        <v>37</v>
      </c>
    </row>
    <row r="2670" spans="1:6" outlineLevel="3" x14ac:dyDescent="0.25">
      <c r="A2670" s="4" t="s">
        <v>421</v>
      </c>
      <c r="B2670" t="s">
        <v>422</v>
      </c>
      <c r="C2670" t="s">
        <v>4011</v>
      </c>
      <c r="D2670" t="s">
        <v>119</v>
      </c>
      <c r="E2670" t="s">
        <v>223</v>
      </c>
      <c r="F2670" t="s">
        <v>37</v>
      </c>
    </row>
    <row r="2671" spans="1:6" outlineLevel="3" x14ac:dyDescent="0.25">
      <c r="A2671" s="4" t="s">
        <v>421</v>
      </c>
      <c r="B2671" t="s">
        <v>422</v>
      </c>
      <c r="C2671" t="s">
        <v>4012</v>
      </c>
      <c r="D2671" t="s">
        <v>126</v>
      </c>
      <c r="E2671" t="s">
        <v>223</v>
      </c>
      <c r="F2671" t="s">
        <v>37</v>
      </c>
    </row>
    <row r="2672" spans="1:6" outlineLevel="3" x14ac:dyDescent="0.25">
      <c r="A2672" s="4" t="s">
        <v>421</v>
      </c>
      <c r="B2672" t="s">
        <v>422</v>
      </c>
      <c r="C2672" t="s">
        <v>4013</v>
      </c>
      <c r="D2672" t="s">
        <v>13</v>
      </c>
      <c r="E2672" t="s">
        <v>223</v>
      </c>
      <c r="F2672" t="s">
        <v>37</v>
      </c>
    </row>
    <row r="2673" spans="1:6" outlineLevel="3" x14ac:dyDescent="0.25">
      <c r="A2673" s="4" t="s">
        <v>421</v>
      </c>
      <c r="B2673" t="s">
        <v>422</v>
      </c>
      <c r="C2673" t="s">
        <v>4014</v>
      </c>
      <c r="D2673" t="s">
        <v>13</v>
      </c>
      <c r="E2673" t="s">
        <v>223</v>
      </c>
      <c r="F2673" t="s">
        <v>37</v>
      </c>
    </row>
    <row r="2674" spans="1:6" outlineLevel="3" x14ac:dyDescent="0.25">
      <c r="A2674" s="4" t="s">
        <v>421</v>
      </c>
      <c r="B2674" t="s">
        <v>422</v>
      </c>
      <c r="C2674" t="s">
        <v>4015</v>
      </c>
      <c r="D2674" t="s">
        <v>13</v>
      </c>
      <c r="E2674" t="s">
        <v>223</v>
      </c>
      <c r="F2674" t="s">
        <v>37</v>
      </c>
    </row>
    <row r="2675" spans="1:6" outlineLevel="3" x14ac:dyDescent="0.25">
      <c r="A2675" s="4" t="s">
        <v>421</v>
      </c>
      <c r="B2675" t="s">
        <v>422</v>
      </c>
      <c r="C2675" t="s">
        <v>4016</v>
      </c>
      <c r="D2675" t="s">
        <v>65</v>
      </c>
      <c r="E2675" t="s">
        <v>223</v>
      </c>
      <c r="F2675" t="s">
        <v>37</v>
      </c>
    </row>
    <row r="2676" spans="1:6" outlineLevel="3" x14ac:dyDescent="0.25">
      <c r="A2676" s="4" t="s">
        <v>421</v>
      </c>
      <c r="B2676" t="s">
        <v>422</v>
      </c>
      <c r="C2676" t="s">
        <v>4017</v>
      </c>
      <c r="D2676" t="s">
        <v>190</v>
      </c>
      <c r="E2676" t="s">
        <v>223</v>
      </c>
      <c r="F2676" t="s">
        <v>37</v>
      </c>
    </row>
    <row r="2677" spans="1:6" outlineLevel="3" x14ac:dyDescent="0.25">
      <c r="A2677" s="4" t="s">
        <v>421</v>
      </c>
      <c r="B2677" t="s">
        <v>422</v>
      </c>
      <c r="C2677" t="s">
        <v>4018</v>
      </c>
      <c r="D2677" t="s">
        <v>76</v>
      </c>
      <c r="E2677" t="s">
        <v>223</v>
      </c>
      <c r="F2677" t="s">
        <v>37</v>
      </c>
    </row>
    <row r="2678" spans="1:6" outlineLevel="3" x14ac:dyDescent="0.25">
      <c r="A2678" s="4" t="s">
        <v>421</v>
      </c>
      <c r="B2678" t="s">
        <v>422</v>
      </c>
      <c r="C2678" t="s">
        <v>4019</v>
      </c>
      <c r="D2678" t="s">
        <v>119</v>
      </c>
      <c r="E2678" t="s">
        <v>223</v>
      </c>
      <c r="F2678" t="s">
        <v>37</v>
      </c>
    </row>
    <row r="2679" spans="1:6" outlineLevel="3" x14ac:dyDescent="0.25">
      <c r="A2679" s="4" t="s">
        <v>421</v>
      </c>
      <c r="B2679" t="s">
        <v>422</v>
      </c>
      <c r="C2679" t="s">
        <v>2766</v>
      </c>
      <c r="D2679" t="s">
        <v>13</v>
      </c>
      <c r="E2679" t="s">
        <v>80</v>
      </c>
      <c r="F2679" t="s">
        <v>37</v>
      </c>
    </row>
    <row r="2680" spans="1:6" outlineLevel="3" x14ac:dyDescent="0.25">
      <c r="A2680" s="4" t="s">
        <v>421</v>
      </c>
      <c r="B2680" t="s">
        <v>422</v>
      </c>
      <c r="C2680" t="s">
        <v>1829</v>
      </c>
      <c r="D2680" t="s">
        <v>13</v>
      </c>
      <c r="E2680" t="s">
        <v>80</v>
      </c>
      <c r="F2680" t="s">
        <v>37</v>
      </c>
    </row>
    <row r="2681" spans="1:6" outlineLevel="3" x14ac:dyDescent="0.25">
      <c r="A2681" s="4" t="s">
        <v>421</v>
      </c>
      <c r="B2681" t="s">
        <v>422</v>
      </c>
      <c r="C2681" t="s">
        <v>2231</v>
      </c>
      <c r="D2681" t="s">
        <v>165</v>
      </c>
      <c r="E2681" t="s">
        <v>233</v>
      </c>
      <c r="F2681" t="s">
        <v>37</v>
      </c>
    </row>
    <row r="2682" spans="1:6" outlineLevel="3" x14ac:dyDescent="0.25">
      <c r="A2682" s="4" t="s">
        <v>421</v>
      </c>
      <c r="B2682" t="s">
        <v>422</v>
      </c>
      <c r="C2682" t="s">
        <v>2232</v>
      </c>
      <c r="D2682" t="s">
        <v>126</v>
      </c>
      <c r="E2682" t="s">
        <v>233</v>
      </c>
      <c r="F2682" t="s">
        <v>37</v>
      </c>
    </row>
    <row r="2683" spans="1:6" outlineLevel="3" x14ac:dyDescent="0.25">
      <c r="A2683" s="4" t="s">
        <v>421</v>
      </c>
      <c r="B2683" t="s">
        <v>422</v>
      </c>
      <c r="C2683" t="s">
        <v>2233</v>
      </c>
      <c r="D2683" t="s">
        <v>13</v>
      </c>
      <c r="E2683" t="s">
        <v>233</v>
      </c>
      <c r="F2683" t="s">
        <v>37</v>
      </c>
    </row>
    <row r="2684" spans="1:6" outlineLevel="3" x14ac:dyDescent="0.25">
      <c r="A2684" s="4" t="s">
        <v>421</v>
      </c>
      <c r="B2684" t="s">
        <v>422</v>
      </c>
      <c r="C2684" t="s">
        <v>2234</v>
      </c>
      <c r="D2684" t="s">
        <v>165</v>
      </c>
      <c r="E2684" t="s">
        <v>233</v>
      </c>
      <c r="F2684" t="s">
        <v>37</v>
      </c>
    </row>
    <row r="2685" spans="1:6" outlineLevel="3" x14ac:dyDescent="0.25">
      <c r="A2685" s="4" t="s">
        <v>421</v>
      </c>
      <c r="B2685" t="s">
        <v>422</v>
      </c>
      <c r="C2685" t="s">
        <v>2235</v>
      </c>
      <c r="D2685" t="s">
        <v>165</v>
      </c>
      <c r="E2685" t="s">
        <v>233</v>
      </c>
      <c r="F2685" t="s">
        <v>37</v>
      </c>
    </row>
    <row r="2686" spans="1:6" outlineLevel="3" x14ac:dyDescent="0.25">
      <c r="A2686" s="4" t="s">
        <v>421</v>
      </c>
      <c r="B2686" t="s">
        <v>422</v>
      </c>
      <c r="C2686" t="s">
        <v>2236</v>
      </c>
      <c r="D2686" t="s">
        <v>126</v>
      </c>
      <c r="E2686" t="s">
        <v>233</v>
      </c>
      <c r="F2686" t="s">
        <v>37</v>
      </c>
    </row>
    <row r="2687" spans="1:6" outlineLevel="3" x14ac:dyDescent="0.25">
      <c r="A2687" s="4" t="s">
        <v>421</v>
      </c>
      <c r="B2687" t="s">
        <v>422</v>
      </c>
      <c r="C2687" t="s">
        <v>2237</v>
      </c>
      <c r="D2687" t="s">
        <v>437</v>
      </c>
      <c r="E2687" t="s">
        <v>233</v>
      </c>
      <c r="F2687" t="s">
        <v>37</v>
      </c>
    </row>
    <row r="2688" spans="1:6" outlineLevel="3" x14ac:dyDescent="0.25">
      <c r="A2688" s="4" t="s">
        <v>421</v>
      </c>
      <c r="B2688" t="s">
        <v>422</v>
      </c>
      <c r="C2688" t="s">
        <v>2238</v>
      </c>
      <c r="D2688" t="s">
        <v>13</v>
      </c>
      <c r="E2688" t="s">
        <v>233</v>
      </c>
      <c r="F2688" t="s">
        <v>37</v>
      </c>
    </row>
    <row r="2689" spans="1:6" outlineLevel="3" x14ac:dyDescent="0.25">
      <c r="A2689" s="4" t="s">
        <v>421</v>
      </c>
      <c r="B2689" t="s">
        <v>422</v>
      </c>
      <c r="C2689" t="s">
        <v>2239</v>
      </c>
      <c r="D2689" t="s">
        <v>202</v>
      </c>
      <c r="E2689" t="s">
        <v>233</v>
      </c>
      <c r="F2689" t="s">
        <v>37</v>
      </c>
    </row>
    <row r="2690" spans="1:6" outlineLevel="3" x14ac:dyDescent="0.25">
      <c r="A2690" s="4" t="s">
        <v>421</v>
      </c>
      <c r="B2690" t="s">
        <v>422</v>
      </c>
      <c r="C2690" t="s">
        <v>2240</v>
      </c>
      <c r="D2690" t="s">
        <v>126</v>
      </c>
      <c r="E2690" t="s">
        <v>233</v>
      </c>
      <c r="F2690" t="s">
        <v>37</v>
      </c>
    </row>
    <row r="2691" spans="1:6" outlineLevel="3" x14ac:dyDescent="0.25">
      <c r="A2691" s="4" t="s">
        <v>421</v>
      </c>
      <c r="B2691" t="s">
        <v>422</v>
      </c>
      <c r="C2691" t="s">
        <v>2241</v>
      </c>
      <c r="D2691" t="s">
        <v>76</v>
      </c>
      <c r="E2691" t="s">
        <v>233</v>
      </c>
      <c r="F2691" t="s">
        <v>37</v>
      </c>
    </row>
    <row r="2692" spans="1:6" outlineLevel="3" x14ac:dyDescent="0.25">
      <c r="A2692" s="4" t="s">
        <v>421</v>
      </c>
      <c r="B2692" t="s">
        <v>422</v>
      </c>
      <c r="C2692" t="s">
        <v>2242</v>
      </c>
      <c r="D2692" t="s">
        <v>76</v>
      </c>
      <c r="E2692" t="s">
        <v>233</v>
      </c>
      <c r="F2692" t="s">
        <v>37</v>
      </c>
    </row>
    <row r="2693" spans="1:6" outlineLevel="3" x14ac:dyDescent="0.25">
      <c r="A2693" s="4" t="s">
        <v>421</v>
      </c>
      <c r="B2693" t="s">
        <v>422</v>
      </c>
      <c r="C2693" t="s">
        <v>2243</v>
      </c>
      <c r="D2693" t="s">
        <v>202</v>
      </c>
      <c r="E2693" t="s">
        <v>233</v>
      </c>
      <c r="F2693" t="s">
        <v>37</v>
      </c>
    </row>
    <row r="2694" spans="1:6" outlineLevel="3" x14ac:dyDescent="0.25">
      <c r="A2694" s="4" t="s">
        <v>421</v>
      </c>
      <c r="B2694" t="s">
        <v>422</v>
      </c>
      <c r="C2694" t="s">
        <v>2244</v>
      </c>
      <c r="D2694" t="s">
        <v>165</v>
      </c>
      <c r="E2694" t="s">
        <v>233</v>
      </c>
      <c r="F2694" t="s">
        <v>37</v>
      </c>
    </row>
    <row r="2695" spans="1:6" outlineLevel="3" x14ac:dyDescent="0.25">
      <c r="A2695" s="4" t="s">
        <v>421</v>
      </c>
      <c r="B2695" t="s">
        <v>422</v>
      </c>
      <c r="C2695" t="s">
        <v>2245</v>
      </c>
      <c r="D2695" t="s">
        <v>13</v>
      </c>
      <c r="E2695" t="s">
        <v>233</v>
      </c>
      <c r="F2695" t="s">
        <v>37</v>
      </c>
    </row>
    <row r="2696" spans="1:6" outlineLevel="3" x14ac:dyDescent="0.25">
      <c r="A2696" s="4" t="s">
        <v>421</v>
      </c>
      <c r="B2696" t="s">
        <v>422</v>
      </c>
      <c r="C2696" t="s">
        <v>2246</v>
      </c>
      <c r="D2696" t="s">
        <v>202</v>
      </c>
      <c r="E2696" t="s">
        <v>233</v>
      </c>
      <c r="F2696" t="s">
        <v>37</v>
      </c>
    </row>
    <row r="2697" spans="1:6" outlineLevel="3" x14ac:dyDescent="0.25">
      <c r="A2697" s="4" t="s">
        <v>421</v>
      </c>
      <c r="B2697" t="s">
        <v>422</v>
      </c>
      <c r="C2697" t="s">
        <v>2247</v>
      </c>
      <c r="D2697" t="s">
        <v>119</v>
      </c>
      <c r="E2697" t="s">
        <v>233</v>
      </c>
      <c r="F2697" t="s">
        <v>37</v>
      </c>
    </row>
    <row r="2698" spans="1:6" outlineLevel="3" x14ac:dyDescent="0.25">
      <c r="A2698" s="4" t="s">
        <v>421</v>
      </c>
      <c r="B2698" t="s">
        <v>422</v>
      </c>
      <c r="C2698" t="s">
        <v>2248</v>
      </c>
      <c r="D2698" t="s">
        <v>6</v>
      </c>
      <c r="E2698" t="s">
        <v>233</v>
      </c>
      <c r="F2698" t="s">
        <v>37</v>
      </c>
    </row>
    <row r="2699" spans="1:6" outlineLevel="3" x14ac:dyDescent="0.25">
      <c r="A2699" s="4" t="s">
        <v>421</v>
      </c>
      <c r="B2699" t="s">
        <v>422</v>
      </c>
      <c r="C2699" t="s">
        <v>2249</v>
      </c>
      <c r="D2699" t="s">
        <v>202</v>
      </c>
      <c r="E2699" t="s">
        <v>233</v>
      </c>
      <c r="F2699" t="s">
        <v>37</v>
      </c>
    </row>
    <row r="2700" spans="1:6" outlineLevel="3" x14ac:dyDescent="0.25">
      <c r="A2700" s="4" t="s">
        <v>421</v>
      </c>
      <c r="B2700" t="s">
        <v>422</v>
      </c>
      <c r="C2700" t="s">
        <v>2250</v>
      </c>
      <c r="D2700" t="s">
        <v>202</v>
      </c>
      <c r="E2700" t="s">
        <v>233</v>
      </c>
      <c r="F2700" t="s">
        <v>37</v>
      </c>
    </row>
    <row r="2701" spans="1:6" outlineLevel="3" x14ac:dyDescent="0.25">
      <c r="A2701" s="4" t="s">
        <v>421</v>
      </c>
      <c r="B2701" t="s">
        <v>422</v>
      </c>
      <c r="C2701" t="s">
        <v>2251</v>
      </c>
      <c r="D2701" t="s">
        <v>165</v>
      </c>
      <c r="E2701" t="s">
        <v>233</v>
      </c>
      <c r="F2701" t="s">
        <v>37</v>
      </c>
    </row>
    <row r="2702" spans="1:6" outlineLevel="3" x14ac:dyDescent="0.25">
      <c r="A2702" s="4" t="s">
        <v>421</v>
      </c>
      <c r="B2702" t="s">
        <v>422</v>
      </c>
      <c r="C2702" t="s">
        <v>2252</v>
      </c>
      <c r="D2702" t="s">
        <v>6</v>
      </c>
      <c r="E2702" t="s">
        <v>233</v>
      </c>
      <c r="F2702" t="s">
        <v>37</v>
      </c>
    </row>
    <row r="2703" spans="1:6" outlineLevel="3" x14ac:dyDescent="0.25">
      <c r="A2703" s="4" t="s">
        <v>421</v>
      </c>
      <c r="B2703" t="s">
        <v>422</v>
      </c>
      <c r="C2703" t="s">
        <v>2253</v>
      </c>
      <c r="D2703" t="s">
        <v>6</v>
      </c>
      <c r="E2703" t="s">
        <v>233</v>
      </c>
      <c r="F2703" t="s">
        <v>37</v>
      </c>
    </row>
    <row r="2704" spans="1:6" outlineLevel="3" x14ac:dyDescent="0.25">
      <c r="A2704" s="4" t="s">
        <v>421</v>
      </c>
      <c r="B2704" t="s">
        <v>422</v>
      </c>
      <c r="C2704" t="s">
        <v>2254</v>
      </c>
      <c r="D2704" t="s">
        <v>165</v>
      </c>
      <c r="E2704" t="s">
        <v>233</v>
      </c>
      <c r="F2704" t="s">
        <v>37</v>
      </c>
    </row>
    <row r="2705" spans="1:6" outlineLevel="3" x14ac:dyDescent="0.25">
      <c r="A2705" s="4" t="s">
        <v>421</v>
      </c>
      <c r="B2705" t="s">
        <v>422</v>
      </c>
      <c r="C2705" t="s">
        <v>2255</v>
      </c>
      <c r="D2705" t="s">
        <v>165</v>
      </c>
      <c r="E2705" t="s">
        <v>233</v>
      </c>
      <c r="F2705" t="s">
        <v>37</v>
      </c>
    </row>
    <row r="2706" spans="1:6" outlineLevel="3" x14ac:dyDescent="0.25">
      <c r="A2706" s="4" t="s">
        <v>421</v>
      </c>
      <c r="B2706" t="s">
        <v>422</v>
      </c>
      <c r="C2706" t="s">
        <v>2256</v>
      </c>
      <c r="D2706" t="s">
        <v>6</v>
      </c>
      <c r="E2706" t="s">
        <v>233</v>
      </c>
      <c r="F2706" t="s">
        <v>37</v>
      </c>
    </row>
    <row r="2707" spans="1:6" outlineLevel="3" x14ac:dyDescent="0.25">
      <c r="A2707" s="4" t="s">
        <v>421</v>
      </c>
      <c r="B2707" t="s">
        <v>422</v>
      </c>
      <c r="C2707" t="s">
        <v>2257</v>
      </c>
      <c r="D2707" t="s">
        <v>202</v>
      </c>
      <c r="E2707" t="s">
        <v>233</v>
      </c>
      <c r="F2707" t="s">
        <v>37</v>
      </c>
    </row>
    <row r="2708" spans="1:6" outlineLevel="3" x14ac:dyDescent="0.25">
      <c r="A2708" s="4" t="s">
        <v>421</v>
      </c>
      <c r="B2708" t="s">
        <v>422</v>
      </c>
      <c r="C2708" t="s">
        <v>2258</v>
      </c>
      <c r="D2708" t="s">
        <v>202</v>
      </c>
      <c r="E2708" t="s">
        <v>233</v>
      </c>
      <c r="F2708" t="s">
        <v>37</v>
      </c>
    </row>
    <row r="2709" spans="1:6" outlineLevel="3" x14ac:dyDescent="0.25">
      <c r="A2709" s="4" t="s">
        <v>421</v>
      </c>
      <c r="B2709" t="s">
        <v>422</v>
      </c>
      <c r="C2709" t="s">
        <v>2259</v>
      </c>
      <c r="D2709" t="s">
        <v>6</v>
      </c>
      <c r="E2709" t="s">
        <v>233</v>
      </c>
      <c r="F2709" t="s">
        <v>37</v>
      </c>
    </row>
    <row r="2710" spans="1:6" outlineLevel="3" x14ac:dyDescent="0.25">
      <c r="A2710" s="4" t="s">
        <v>421</v>
      </c>
      <c r="B2710" t="s">
        <v>422</v>
      </c>
      <c r="C2710" t="s">
        <v>2260</v>
      </c>
      <c r="D2710" t="s">
        <v>165</v>
      </c>
      <c r="E2710" t="s">
        <v>233</v>
      </c>
      <c r="F2710" t="s">
        <v>37</v>
      </c>
    </row>
    <row r="2711" spans="1:6" outlineLevel="3" x14ac:dyDescent="0.25">
      <c r="A2711" s="4" t="s">
        <v>421</v>
      </c>
      <c r="B2711" t="s">
        <v>422</v>
      </c>
      <c r="C2711" t="s">
        <v>2261</v>
      </c>
      <c r="D2711" t="s">
        <v>165</v>
      </c>
      <c r="E2711" t="s">
        <v>233</v>
      </c>
      <c r="F2711" t="s">
        <v>37</v>
      </c>
    </row>
    <row r="2712" spans="1:6" outlineLevel="3" x14ac:dyDescent="0.25">
      <c r="A2712" s="4" t="s">
        <v>421</v>
      </c>
      <c r="B2712" t="s">
        <v>422</v>
      </c>
      <c r="C2712" t="s">
        <v>2262</v>
      </c>
      <c r="D2712" t="s">
        <v>67</v>
      </c>
      <c r="E2712" t="s">
        <v>233</v>
      </c>
      <c r="F2712" t="s">
        <v>37</v>
      </c>
    </row>
    <row r="2713" spans="1:6" outlineLevel="3" x14ac:dyDescent="0.25">
      <c r="A2713" s="4" t="s">
        <v>421</v>
      </c>
      <c r="B2713" t="s">
        <v>422</v>
      </c>
      <c r="C2713" t="s">
        <v>2263</v>
      </c>
      <c r="D2713" t="s">
        <v>67</v>
      </c>
      <c r="E2713" t="s">
        <v>233</v>
      </c>
      <c r="F2713" t="s">
        <v>37</v>
      </c>
    </row>
    <row r="2714" spans="1:6" outlineLevel="3" x14ac:dyDescent="0.25">
      <c r="A2714" s="4" t="s">
        <v>421</v>
      </c>
      <c r="B2714" t="s">
        <v>422</v>
      </c>
      <c r="C2714" t="s">
        <v>2264</v>
      </c>
      <c r="D2714" t="s">
        <v>1088</v>
      </c>
      <c r="E2714" t="s">
        <v>233</v>
      </c>
      <c r="F2714" t="s">
        <v>37</v>
      </c>
    </row>
    <row r="2715" spans="1:6" outlineLevel="3" x14ac:dyDescent="0.25">
      <c r="A2715" s="4" t="s">
        <v>421</v>
      </c>
      <c r="B2715" t="s">
        <v>422</v>
      </c>
      <c r="C2715" t="s">
        <v>2265</v>
      </c>
      <c r="D2715" t="s">
        <v>202</v>
      </c>
      <c r="E2715" t="s">
        <v>226</v>
      </c>
      <c r="F2715" t="s">
        <v>37</v>
      </c>
    </row>
    <row r="2716" spans="1:6" outlineLevel="3" x14ac:dyDescent="0.25">
      <c r="A2716" s="4" t="s">
        <v>421</v>
      </c>
      <c r="B2716" t="s">
        <v>422</v>
      </c>
      <c r="C2716" t="s">
        <v>2266</v>
      </c>
      <c r="D2716" t="s">
        <v>119</v>
      </c>
      <c r="E2716" t="s">
        <v>226</v>
      </c>
      <c r="F2716" t="s">
        <v>37</v>
      </c>
    </row>
    <row r="2717" spans="1:6" outlineLevel="3" x14ac:dyDescent="0.25">
      <c r="A2717" s="4" t="s">
        <v>421</v>
      </c>
      <c r="B2717" t="s">
        <v>422</v>
      </c>
      <c r="C2717" t="s">
        <v>2267</v>
      </c>
      <c r="D2717" t="s">
        <v>6</v>
      </c>
      <c r="E2717" t="s">
        <v>226</v>
      </c>
      <c r="F2717" t="s">
        <v>37</v>
      </c>
    </row>
    <row r="2718" spans="1:6" outlineLevel="3" x14ac:dyDescent="0.25">
      <c r="A2718" s="4" t="s">
        <v>421</v>
      </c>
      <c r="B2718" t="s">
        <v>422</v>
      </c>
      <c r="C2718" t="s">
        <v>2225</v>
      </c>
      <c r="D2718" t="s">
        <v>13</v>
      </c>
      <c r="E2718" t="s">
        <v>294</v>
      </c>
      <c r="F2718" t="s">
        <v>37</v>
      </c>
    </row>
    <row r="2719" spans="1:6" outlineLevel="3" x14ac:dyDescent="0.25">
      <c r="A2719" s="4" t="s">
        <v>421</v>
      </c>
      <c r="B2719" t="s">
        <v>422</v>
      </c>
      <c r="C2719" t="s">
        <v>2226</v>
      </c>
      <c r="D2719" t="s">
        <v>13</v>
      </c>
      <c r="E2719" t="s">
        <v>294</v>
      </c>
      <c r="F2719" t="s">
        <v>37</v>
      </c>
    </row>
    <row r="2720" spans="1:6" outlineLevel="3" x14ac:dyDescent="0.25">
      <c r="A2720" s="4" t="s">
        <v>421</v>
      </c>
      <c r="B2720" t="s">
        <v>422</v>
      </c>
      <c r="C2720" t="s">
        <v>1822</v>
      </c>
      <c r="D2720" t="s">
        <v>78</v>
      </c>
      <c r="E2720" t="s">
        <v>294</v>
      </c>
      <c r="F2720" t="s">
        <v>37</v>
      </c>
    </row>
    <row r="2721" spans="1:6" outlineLevel="3" x14ac:dyDescent="0.25">
      <c r="A2721" s="4" t="s">
        <v>421</v>
      </c>
      <c r="B2721" t="s">
        <v>422</v>
      </c>
      <c r="C2721" t="s">
        <v>2227</v>
      </c>
      <c r="D2721" t="s">
        <v>119</v>
      </c>
      <c r="E2721" t="s">
        <v>294</v>
      </c>
      <c r="F2721" t="s">
        <v>37</v>
      </c>
    </row>
    <row r="2722" spans="1:6" outlineLevel="3" x14ac:dyDescent="0.25">
      <c r="A2722" s="4" t="s">
        <v>421</v>
      </c>
      <c r="B2722" t="s">
        <v>422</v>
      </c>
      <c r="C2722" t="s">
        <v>1823</v>
      </c>
      <c r="D2722" t="s">
        <v>437</v>
      </c>
      <c r="E2722" t="s">
        <v>294</v>
      </c>
      <c r="F2722" t="s">
        <v>37</v>
      </c>
    </row>
    <row r="2723" spans="1:6" outlineLevel="3" x14ac:dyDescent="0.25">
      <c r="A2723" s="4" t="s">
        <v>421</v>
      </c>
      <c r="B2723" t="s">
        <v>422</v>
      </c>
      <c r="C2723" t="s">
        <v>2228</v>
      </c>
      <c r="D2723" t="s">
        <v>139</v>
      </c>
      <c r="E2723" t="s">
        <v>294</v>
      </c>
      <c r="F2723" t="s">
        <v>37</v>
      </c>
    </row>
    <row r="2724" spans="1:6" outlineLevel="3" x14ac:dyDescent="0.25">
      <c r="A2724" s="4" t="s">
        <v>421</v>
      </c>
      <c r="B2724" t="s">
        <v>422</v>
      </c>
      <c r="C2724" t="s">
        <v>2229</v>
      </c>
      <c r="D2724" t="s">
        <v>67</v>
      </c>
      <c r="E2724" t="s">
        <v>294</v>
      </c>
      <c r="F2724" t="s">
        <v>37</v>
      </c>
    </row>
    <row r="2725" spans="1:6" outlineLevel="3" x14ac:dyDescent="0.25">
      <c r="A2725" s="4" t="s">
        <v>421</v>
      </c>
      <c r="B2725" t="s">
        <v>422</v>
      </c>
      <c r="C2725" t="s">
        <v>2230</v>
      </c>
      <c r="D2725" t="s">
        <v>78</v>
      </c>
      <c r="E2725" t="s">
        <v>294</v>
      </c>
      <c r="F2725" t="s">
        <v>37</v>
      </c>
    </row>
    <row r="2726" spans="1:6" outlineLevel="3" x14ac:dyDescent="0.25">
      <c r="A2726" s="4" t="s">
        <v>421</v>
      </c>
      <c r="B2726" t="s">
        <v>422</v>
      </c>
      <c r="C2726" t="s">
        <v>2401</v>
      </c>
      <c r="D2726" t="s">
        <v>202</v>
      </c>
      <c r="E2726" t="s">
        <v>138</v>
      </c>
      <c r="F2726" t="s">
        <v>37</v>
      </c>
    </row>
    <row r="2727" spans="1:6" outlineLevel="3" x14ac:dyDescent="0.25">
      <c r="A2727" s="4" t="s">
        <v>421</v>
      </c>
      <c r="B2727" t="s">
        <v>422</v>
      </c>
      <c r="C2727" t="s">
        <v>2402</v>
      </c>
      <c r="D2727" t="s">
        <v>202</v>
      </c>
      <c r="E2727" t="s">
        <v>138</v>
      </c>
      <c r="F2727" t="s">
        <v>37</v>
      </c>
    </row>
    <row r="2728" spans="1:6" outlineLevel="3" x14ac:dyDescent="0.25">
      <c r="A2728" s="4" t="s">
        <v>421</v>
      </c>
      <c r="B2728" t="s">
        <v>422</v>
      </c>
      <c r="C2728" t="s">
        <v>2403</v>
      </c>
      <c r="D2728" t="s">
        <v>165</v>
      </c>
      <c r="E2728" t="s">
        <v>138</v>
      </c>
      <c r="F2728" t="s">
        <v>37</v>
      </c>
    </row>
    <row r="2729" spans="1:6" outlineLevel="3" x14ac:dyDescent="0.25">
      <c r="A2729" s="4" t="s">
        <v>421</v>
      </c>
      <c r="B2729" t="s">
        <v>422</v>
      </c>
      <c r="C2729" t="s">
        <v>2404</v>
      </c>
      <c r="D2729" t="s">
        <v>202</v>
      </c>
      <c r="E2729" t="s">
        <v>138</v>
      </c>
      <c r="F2729" t="s">
        <v>37</v>
      </c>
    </row>
    <row r="2730" spans="1:6" outlineLevel="3" x14ac:dyDescent="0.25">
      <c r="A2730" s="4" t="s">
        <v>421</v>
      </c>
      <c r="B2730" t="s">
        <v>422</v>
      </c>
      <c r="C2730" t="s">
        <v>2405</v>
      </c>
      <c r="D2730" t="s">
        <v>202</v>
      </c>
      <c r="E2730" t="s">
        <v>138</v>
      </c>
      <c r="F2730" t="s">
        <v>37</v>
      </c>
    </row>
    <row r="2731" spans="1:6" outlineLevel="3" x14ac:dyDescent="0.25">
      <c r="A2731" s="4" t="s">
        <v>421</v>
      </c>
      <c r="B2731" t="s">
        <v>422</v>
      </c>
      <c r="C2731" t="s">
        <v>2406</v>
      </c>
      <c r="D2731" t="s">
        <v>202</v>
      </c>
      <c r="E2731" t="s">
        <v>138</v>
      </c>
      <c r="F2731" t="s">
        <v>37</v>
      </c>
    </row>
    <row r="2732" spans="1:6" outlineLevel="3" x14ac:dyDescent="0.25">
      <c r="A2732" s="4" t="s">
        <v>421</v>
      </c>
      <c r="B2732" t="s">
        <v>422</v>
      </c>
      <c r="C2732" t="s">
        <v>2407</v>
      </c>
      <c r="D2732" t="s">
        <v>165</v>
      </c>
      <c r="E2732" t="s">
        <v>138</v>
      </c>
      <c r="F2732" t="s">
        <v>37</v>
      </c>
    </row>
    <row r="2733" spans="1:6" outlineLevel="3" x14ac:dyDescent="0.25">
      <c r="A2733" s="4" t="s">
        <v>421</v>
      </c>
      <c r="B2733" t="s">
        <v>422</v>
      </c>
      <c r="C2733" t="s">
        <v>2408</v>
      </c>
      <c r="D2733" t="s">
        <v>165</v>
      </c>
      <c r="E2733" t="s">
        <v>138</v>
      </c>
      <c r="F2733" t="s">
        <v>37</v>
      </c>
    </row>
    <row r="2734" spans="1:6" outlineLevel="3" x14ac:dyDescent="0.25">
      <c r="A2734" s="4" t="s">
        <v>421</v>
      </c>
      <c r="B2734" t="s">
        <v>422</v>
      </c>
      <c r="C2734" t="s">
        <v>2409</v>
      </c>
      <c r="D2734" t="s">
        <v>202</v>
      </c>
      <c r="E2734" t="s">
        <v>138</v>
      </c>
      <c r="F2734" t="s">
        <v>37</v>
      </c>
    </row>
    <row r="2735" spans="1:6" outlineLevel="3" x14ac:dyDescent="0.25">
      <c r="A2735" s="4" t="s">
        <v>421</v>
      </c>
      <c r="B2735" t="s">
        <v>422</v>
      </c>
      <c r="C2735" t="s">
        <v>2410</v>
      </c>
      <c r="D2735" t="s">
        <v>202</v>
      </c>
      <c r="E2735" t="s">
        <v>138</v>
      </c>
      <c r="F2735" t="s">
        <v>37</v>
      </c>
    </row>
    <row r="2736" spans="1:6" outlineLevel="3" x14ac:dyDescent="0.25">
      <c r="A2736" s="4" t="s">
        <v>421</v>
      </c>
      <c r="B2736" t="s">
        <v>422</v>
      </c>
      <c r="C2736" t="s">
        <v>2411</v>
      </c>
      <c r="D2736" t="s">
        <v>437</v>
      </c>
      <c r="E2736" t="s">
        <v>138</v>
      </c>
      <c r="F2736" t="s">
        <v>37</v>
      </c>
    </row>
    <row r="2737" spans="1:6" outlineLevel="3" x14ac:dyDescent="0.25">
      <c r="A2737" s="4" t="s">
        <v>421</v>
      </c>
      <c r="B2737" t="s">
        <v>422</v>
      </c>
      <c r="C2737" t="s">
        <v>2412</v>
      </c>
      <c r="D2737" t="s">
        <v>202</v>
      </c>
      <c r="E2737" t="s">
        <v>138</v>
      </c>
      <c r="F2737" t="s">
        <v>37</v>
      </c>
    </row>
    <row r="2738" spans="1:6" outlineLevel="3" x14ac:dyDescent="0.25">
      <c r="A2738" s="4" t="s">
        <v>421</v>
      </c>
      <c r="B2738" t="s">
        <v>422</v>
      </c>
      <c r="C2738" t="s">
        <v>2413</v>
      </c>
      <c r="D2738" t="s">
        <v>202</v>
      </c>
      <c r="E2738" t="s">
        <v>138</v>
      </c>
      <c r="F2738" t="s">
        <v>37</v>
      </c>
    </row>
    <row r="2739" spans="1:6" outlineLevel="3" x14ac:dyDescent="0.25">
      <c r="A2739" s="4" t="s">
        <v>421</v>
      </c>
      <c r="B2739" t="s">
        <v>422</v>
      </c>
      <c r="C2739" t="s">
        <v>2414</v>
      </c>
      <c r="D2739" t="s">
        <v>165</v>
      </c>
      <c r="E2739" t="s">
        <v>138</v>
      </c>
      <c r="F2739" t="s">
        <v>37</v>
      </c>
    </row>
    <row r="2740" spans="1:6" outlineLevel="3" x14ac:dyDescent="0.25">
      <c r="A2740" s="4" t="s">
        <v>421</v>
      </c>
      <c r="B2740" t="s">
        <v>422</v>
      </c>
      <c r="C2740" t="s">
        <v>2415</v>
      </c>
      <c r="D2740" t="s">
        <v>165</v>
      </c>
      <c r="E2740" t="s">
        <v>138</v>
      </c>
      <c r="F2740" t="s">
        <v>37</v>
      </c>
    </row>
    <row r="2741" spans="1:6" outlineLevel="3" x14ac:dyDescent="0.25">
      <c r="A2741" s="4" t="s">
        <v>421</v>
      </c>
      <c r="B2741" t="s">
        <v>422</v>
      </c>
      <c r="C2741" t="s">
        <v>2416</v>
      </c>
      <c r="D2741" t="s">
        <v>165</v>
      </c>
      <c r="E2741" t="s">
        <v>138</v>
      </c>
      <c r="F2741" t="s">
        <v>37</v>
      </c>
    </row>
    <row r="2742" spans="1:6" outlineLevel="3" x14ac:dyDescent="0.25">
      <c r="A2742" s="4" t="s">
        <v>421</v>
      </c>
      <c r="B2742" t="s">
        <v>422</v>
      </c>
      <c r="C2742" t="s">
        <v>2417</v>
      </c>
      <c r="D2742" t="s">
        <v>437</v>
      </c>
      <c r="E2742" t="s">
        <v>138</v>
      </c>
      <c r="F2742" t="s">
        <v>37</v>
      </c>
    </row>
    <row r="2743" spans="1:6" outlineLevel="3" x14ac:dyDescent="0.25">
      <c r="A2743" s="4" t="s">
        <v>421</v>
      </c>
      <c r="B2743" t="s">
        <v>422</v>
      </c>
      <c r="C2743" t="s">
        <v>2418</v>
      </c>
      <c r="D2743" t="s">
        <v>76</v>
      </c>
      <c r="E2743" t="s">
        <v>138</v>
      </c>
      <c r="F2743" t="s">
        <v>37</v>
      </c>
    </row>
    <row r="2744" spans="1:6" outlineLevel="3" x14ac:dyDescent="0.25">
      <c r="A2744" s="4" t="s">
        <v>421</v>
      </c>
      <c r="B2744" t="s">
        <v>422</v>
      </c>
      <c r="C2744" t="s">
        <v>2419</v>
      </c>
      <c r="D2744" t="s">
        <v>437</v>
      </c>
      <c r="E2744" t="s">
        <v>138</v>
      </c>
      <c r="F2744" t="s">
        <v>37</v>
      </c>
    </row>
    <row r="2745" spans="1:6" outlineLevel="3" x14ac:dyDescent="0.25">
      <c r="A2745" s="4" t="s">
        <v>421</v>
      </c>
      <c r="B2745" t="s">
        <v>422</v>
      </c>
      <c r="C2745" t="s">
        <v>2420</v>
      </c>
      <c r="D2745" t="s">
        <v>13</v>
      </c>
      <c r="E2745" t="s">
        <v>138</v>
      </c>
      <c r="F2745" t="s">
        <v>37</v>
      </c>
    </row>
    <row r="2746" spans="1:6" outlineLevel="3" x14ac:dyDescent="0.25">
      <c r="A2746" s="4" t="s">
        <v>421</v>
      </c>
      <c r="B2746" t="s">
        <v>422</v>
      </c>
      <c r="C2746" t="s">
        <v>2421</v>
      </c>
      <c r="D2746" t="s">
        <v>126</v>
      </c>
      <c r="E2746" t="s">
        <v>138</v>
      </c>
      <c r="F2746" t="s">
        <v>37</v>
      </c>
    </row>
    <row r="2747" spans="1:6" outlineLevel="3" x14ac:dyDescent="0.25">
      <c r="A2747" s="4" t="s">
        <v>421</v>
      </c>
      <c r="B2747" t="s">
        <v>422</v>
      </c>
      <c r="C2747" t="s">
        <v>2422</v>
      </c>
      <c r="D2747" t="s">
        <v>13</v>
      </c>
      <c r="E2747" t="s">
        <v>138</v>
      </c>
      <c r="F2747" t="s">
        <v>37</v>
      </c>
    </row>
    <row r="2748" spans="1:6" outlineLevel="3" x14ac:dyDescent="0.25">
      <c r="A2748" s="4" t="s">
        <v>421</v>
      </c>
      <c r="B2748" t="s">
        <v>422</v>
      </c>
      <c r="C2748" t="s">
        <v>2423</v>
      </c>
      <c r="D2748" t="s">
        <v>13</v>
      </c>
      <c r="E2748" t="s">
        <v>138</v>
      </c>
      <c r="F2748" t="s">
        <v>37</v>
      </c>
    </row>
    <row r="2749" spans="1:6" outlineLevel="3" x14ac:dyDescent="0.25">
      <c r="A2749" s="4" t="s">
        <v>421</v>
      </c>
      <c r="B2749" t="s">
        <v>422</v>
      </c>
      <c r="C2749" t="s">
        <v>2424</v>
      </c>
      <c r="D2749" t="s">
        <v>126</v>
      </c>
      <c r="E2749" t="s">
        <v>138</v>
      </c>
      <c r="F2749" t="s">
        <v>37</v>
      </c>
    </row>
    <row r="2750" spans="1:6" outlineLevel="3" x14ac:dyDescent="0.25">
      <c r="A2750" s="4" t="s">
        <v>421</v>
      </c>
      <c r="B2750" t="s">
        <v>422</v>
      </c>
      <c r="C2750" t="s">
        <v>2425</v>
      </c>
      <c r="D2750" t="s">
        <v>202</v>
      </c>
      <c r="E2750" t="s">
        <v>138</v>
      </c>
      <c r="F2750" t="s">
        <v>37</v>
      </c>
    </row>
    <row r="2751" spans="1:6" outlineLevel="3" x14ac:dyDescent="0.25">
      <c r="A2751" s="4" t="s">
        <v>421</v>
      </c>
      <c r="B2751" t="s">
        <v>422</v>
      </c>
      <c r="C2751" t="s">
        <v>2426</v>
      </c>
      <c r="D2751" t="s">
        <v>202</v>
      </c>
      <c r="E2751" t="s">
        <v>138</v>
      </c>
      <c r="F2751" t="s">
        <v>37</v>
      </c>
    </row>
    <row r="2752" spans="1:6" outlineLevel="3" x14ac:dyDescent="0.25">
      <c r="A2752" s="4" t="s">
        <v>421</v>
      </c>
      <c r="B2752" t="s">
        <v>422</v>
      </c>
      <c r="C2752" t="s">
        <v>2427</v>
      </c>
      <c r="D2752" t="s">
        <v>202</v>
      </c>
      <c r="E2752" t="s">
        <v>138</v>
      </c>
      <c r="F2752" t="s">
        <v>37</v>
      </c>
    </row>
    <row r="2753" spans="1:6" outlineLevel="3" x14ac:dyDescent="0.25">
      <c r="A2753" s="4" t="s">
        <v>421</v>
      </c>
      <c r="B2753" t="s">
        <v>422</v>
      </c>
      <c r="C2753" t="s">
        <v>2428</v>
      </c>
      <c r="D2753" t="s">
        <v>437</v>
      </c>
      <c r="E2753" t="s">
        <v>138</v>
      </c>
      <c r="F2753" t="s">
        <v>37</v>
      </c>
    </row>
    <row r="2754" spans="1:6" outlineLevel="3" x14ac:dyDescent="0.25">
      <c r="A2754" s="4" t="s">
        <v>421</v>
      </c>
      <c r="B2754" t="s">
        <v>422</v>
      </c>
      <c r="C2754" t="s">
        <v>2429</v>
      </c>
      <c r="D2754" t="s">
        <v>6</v>
      </c>
      <c r="E2754" t="s">
        <v>138</v>
      </c>
      <c r="F2754" t="s">
        <v>37</v>
      </c>
    </row>
    <row r="2755" spans="1:6" outlineLevel="3" x14ac:dyDescent="0.25">
      <c r="A2755" s="4" t="s">
        <v>421</v>
      </c>
      <c r="B2755" t="s">
        <v>422</v>
      </c>
      <c r="C2755" t="s">
        <v>2430</v>
      </c>
      <c r="D2755" t="s">
        <v>202</v>
      </c>
      <c r="E2755" t="s">
        <v>138</v>
      </c>
      <c r="F2755" t="s">
        <v>37</v>
      </c>
    </row>
    <row r="2756" spans="1:6" outlineLevel="3" x14ac:dyDescent="0.25">
      <c r="A2756" s="4" t="s">
        <v>421</v>
      </c>
      <c r="B2756" t="s">
        <v>422</v>
      </c>
      <c r="C2756" t="s">
        <v>2431</v>
      </c>
      <c r="D2756" t="s">
        <v>202</v>
      </c>
      <c r="E2756" t="s">
        <v>138</v>
      </c>
      <c r="F2756" t="s">
        <v>37</v>
      </c>
    </row>
    <row r="2757" spans="1:6" outlineLevel="3" x14ac:dyDescent="0.25">
      <c r="A2757" s="4" t="s">
        <v>421</v>
      </c>
      <c r="B2757" t="s">
        <v>422</v>
      </c>
      <c r="C2757" t="s">
        <v>2432</v>
      </c>
      <c r="D2757" t="s">
        <v>202</v>
      </c>
      <c r="E2757" t="s">
        <v>138</v>
      </c>
      <c r="F2757" t="s">
        <v>37</v>
      </c>
    </row>
    <row r="2758" spans="1:6" outlineLevel="3" x14ac:dyDescent="0.25">
      <c r="A2758" s="4" t="s">
        <v>421</v>
      </c>
      <c r="B2758" t="s">
        <v>422</v>
      </c>
      <c r="C2758" t="s">
        <v>2433</v>
      </c>
      <c r="D2758" t="s">
        <v>126</v>
      </c>
      <c r="E2758" t="s">
        <v>138</v>
      </c>
      <c r="F2758" t="s">
        <v>37</v>
      </c>
    </row>
    <row r="2759" spans="1:6" outlineLevel="3" x14ac:dyDescent="0.25">
      <c r="A2759" s="4" t="s">
        <v>421</v>
      </c>
      <c r="B2759" t="s">
        <v>422</v>
      </c>
      <c r="C2759" t="s">
        <v>2434</v>
      </c>
      <c r="D2759" t="s">
        <v>437</v>
      </c>
      <c r="E2759" t="s">
        <v>138</v>
      </c>
      <c r="F2759" t="s">
        <v>37</v>
      </c>
    </row>
    <row r="2760" spans="1:6" outlineLevel="3" x14ac:dyDescent="0.25">
      <c r="A2760" s="4" t="s">
        <v>421</v>
      </c>
      <c r="B2760" t="s">
        <v>422</v>
      </c>
      <c r="C2760" t="s">
        <v>2435</v>
      </c>
      <c r="D2760" t="s">
        <v>13</v>
      </c>
      <c r="E2760" t="s">
        <v>138</v>
      </c>
      <c r="F2760" t="s">
        <v>37</v>
      </c>
    </row>
    <row r="2761" spans="1:6" outlineLevel="3" x14ac:dyDescent="0.25">
      <c r="A2761" s="4" t="s">
        <v>421</v>
      </c>
      <c r="B2761" t="s">
        <v>422</v>
      </c>
      <c r="C2761" t="s">
        <v>2436</v>
      </c>
      <c r="D2761" t="s">
        <v>63</v>
      </c>
      <c r="E2761" t="s">
        <v>138</v>
      </c>
      <c r="F2761" t="s">
        <v>37</v>
      </c>
    </row>
    <row r="2762" spans="1:6" outlineLevel="3" x14ac:dyDescent="0.25">
      <c r="A2762" s="4" t="s">
        <v>421</v>
      </c>
      <c r="B2762" t="s">
        <v>422</v>
      </c>
      <c r="C2762" t="s">
        <v>2437</v>
      </c>
      <c r="D2762" t="s">
        <v>190</v>
      </c>
      <c r="E2762" t="s">
        <v>138</v>
      </c>
      <c r="F2762" t="s">
        <v>37</v>
      </c>
    </row>
    <row r="2763" spans="1:6" outlineLevel="3" x14ac:dyDescent="0.25">
      <c r="A2763" s="4" t="s">
        <v>421</v>
      </c>
      <c r="B2763" t="s">
        <v>422</v>
      </c>
      <c r="C2763" t="s">
        <v>2438</v>
      </c>
      <c r="D2763" t="s">
        <v>103</v>
      </c>
      <c r="E2763" t="s">
        <v>138</v>
      </c>
      <c r="F2763" t="s">
        <v>37</v>
      </c>
    </row>
    <row r="2764" spans="1:6" outlineLevel="3" x14ac:dyDescent="0.25">
      <c r="A2764" s="4" t="s">
        <v>421</v>
      </c>
      <c r="B2764" t="s">
        <v>422</v>
      </c>
      <c r="C2764" t="s">
        <v>2439</v>
      </c>
      <c r="D2764" t="s">
        <v>67</v>
      </c>
      <c r="E2764" t="s">
        <v>138</v>
      </c>
      <c r="F2764" t="s">
        <v>37</v>
      </c>
    </row>
    <row r="2765" spans="1:6" outlineLevel="3" x14ac:dyDescent="0.25">
      <c r="A2765" s="4" t="s">
        <v>421</v>
      </c>
      <c r="B2765" t="s">
        <v>422</v>
      </c>
      <c r="C2765" t="s">
        <v>2440</v>
      </c>
      <c r="D2765" t="s">
        <v>6</v>
      </c>
      <c r="E2765" t="s">
        <v>138</v>
      </c>
      <c r="F2765" t="s">
        <v>37</v>
      </c>
    </row>
    <row r="2766" spans="1:6" outlineLevel="3" x14ac:dyDescent="0.25">
      <c r="A2766" s="4" t="s">
        <v>421</v>
      </c>
      <c r="B2766" t="s">
        <v>422</v>
      </c>
      <c r="C2766" t="s">
        <v>2441</v>
      </c>
      <c r="D2766" t="s">
        <v>119</v>
      </c>
      <c r="E2766" t="s">
        <v>138</v>
      </c>
      <c r="F2766" t="s">
        <v>37</v>
      </c>
    </row>
    <row r="2767" spans="1:6" outlineLevel="3" x14ac:dyDescent="0.25">
      <c r="A2767" s="4" t="s">
        <v>421</v>
      </c>
      <c r="B2767" t="s">
        <v>422</v>
      </c>
      <c r="C2767" t="s">
        <v>2442</v>
      </c>
      <c r="D2767" t="s">
        <v>437</v>
      </c>
      <c r="E2767" t="s">
        <v>138</v>
      </c>
      <c r="F2767" t="s">
        <v>37</v>
      </c>
    </row>
    <row r="2768" spans="1:6" outlineLevel="3" x14ac:dyDescent="0.25">
      <c r="A2768" s="4" t="s">
        <v>421</v>
      </c>
      <c r="B2768" t="s">
        <v>422</v>
      </c>
      <c r="C2768" t="s">
        <v>2443</v>
      </c>
      <c r="D2768" t="s">
        <v>126</v>
      </c>
      <c r="E2768" t="s">
        <v>138</v>
      </c>
      <c r="F2768" t="s">
        <v>37</v>
      </c>
    </row>
    <row r="2769" spans="1:6" outlineLevel="3" x14ac:dyDescent="0.25">
      <c r="A2769" s="4" t="s">
        <v>421</v>
      </c>
      <c r="B2769" t="s">
        <v>422</v>
      </c>
      <c r="C2769" t="s">
        <v>2444</v>
      </c>
      <c r="D2769" t="s">
        <v>435</v>
      </c>
      <c r="E2769" t="s">
        <v>138</v>
      </c>
      <c r="F2769" t="s">
        <v>37</v>
      </c>
    </row>
    <row r="2770" spans="1:6" outlineLevel="3" x14ac:dyDescent="0.25">
      <c r="A2770" s="4" t="s">
        <v>421</v>
      </c>
      <c r="B2770" t="s">
        <v>422</v>
      </c>
      <c r="C2770" t="s">
        <v>2445</v>
      </c>
      <c r="D2770" t="s">
        <v>6</v>
      </c>
      <c r="E2770" t="s">
        <v>138</v>
      </c>
      <c r="F2770" t="s">
        <v>37</v>
      </c>
    </row>
    <row r="2771" spans="1:6" outlineLevel="3" x14ac:dyDescent="0.25">
      <c r="A2771" s="4" t="s">
        <v>421</v>
      </c>
      <c r="B2771" t="s">
        <v>422</v>
      </c>
      <c r="C2771" t="s">
        <v>2446</v>
      </c>
      <c r="D2771" t="s">
        <v>126</v>
      </c>
      <c r="E2771" t="s">
        <v>138</v>
      </c>
      <c r="F2771" t="s">
        <v>37</v>
      </c>
    </row>
    <row r="2772" spans="1:6" outlineLevel="3" x14ac:dyDescent="0.25">
      <c r="A2772" s="4" t="s">
        <v>421</v>
      </c>
      <c r="B2772" t="s">
        <v>422</v>
      </c>
      <c r="C2772" t="s">
        <v>2447</v>
      </c>
      <c r="D2772" t="s">
        <v>13</v>
      </c>
      <c r="E2772" t="s">
        <v>138</v>
      </c>
      <c r="F2772" t="s">
        <v>37</v>
      </c>
    </row>
    <row r="2773" spans="1:6" outlineLevel="3" x14ac:dyDescent="0.25">
      <c r="A2773" s="4" t="s">
        <v>421</v>
      </c>
      <c r="B2773" t="s">
        <v>422</v>
      </c>
      <c r="C2773" t="s">
        <v>2448</v>
      </c>
      <c r="D2773" t="s">
        <v>13</v>
      </c>
      <c r="E2773" t="s">
        <v>138</v>
      </c>
      <c r="F2773" t="s">
        <v>37</v>
      </c>
    </row>
    <row r="2774" spans="1:6" outlineLevel="3" x14ac:dyDescent="0.25">
      <c r="A2774" s="4" t="s">
        <v>421</v>
      </c>
      <c r="B2774" t="s">
        <v>422</v>
      </c>
      <c r="C2774" t="s">
        <v>2449</v>
      </c>
      <c r="D2774" t="s">
        <v>165</v>
      </c>
      <c r="E2774" t="s">
        <v>138</v>
      </c>
      <c r="F2774" t="s">
        <v>37</v>
      </c>
    </row>
    <row r="2775" spans="1:6" outlineLevel="3" x14ac:dyDescent="0.25">
      <c r="A2775" s="4" t="s">
        <v>421</v>
      </c>
      <c r="B2775" t="s">
        <v>422</v>
      </c>
      <c r="C2775" t="s">
        <v>2450</v>
      </c>
      <c r="D2775" t="s">
        <v>165</v>
      </c>
      <c r="E2775" t="s">
        <v>138</v>
      </c>
      <c r="F2775" t="s">
        <v>37</v>
      </c>
    </row>
    <row r="2776" spans="1:6" outlineLevel="3" x14ac:dyDescent="0.25">
      <c r="A2776" s="4" t="s">
        <v>421</v>
      </c>
      <c r="B2776" t="s">
        <v>422</v>
      </c>
      <c r="C2776" t="s">
        <v>2451</v>
      </c>
      <c r="D2776" t="s">
        <v>126</v>
      </c>
      <c r="E2776" t="s">
        <v>138</v>
      </c>
      <c r="F2776" t="s">
        <v>37</v>
      </c>
    </row>
    <row r="2777" spans="1:6" outlineLevel="3" x14ac:dyDescent="0.25">
      <c r="A2777" s="4" t="s">
        <v>421</v>
      </c>
      <c r="B2777" t="s">
        <v>422</v>
      </c>
      <c r="C2777" t="s">
        <v>2452</v>
      </c>
      <c r="D2777" t="s">
        <v>65</v>
      </c>
      <c r="E2777" t="s">
        <v>138</v>
      </c>
      <c r="F2777" t="s">
        <v>37</v>
      </c>
    </row>
    <row r="2778" spans="1:6" outlineLevel="3" x14ac:dyDescent="0.25">
      <c r="A2778" s="4" t="s">
        <v>421</v>
      </c>
      <c r="B2778" t="s">
        <v>422</v>
      </c>
      <c r="C2778" t="s">
        <v>2453</v>
      </c>
      <c r="D2778" t="s">
        <v>65</v>
      </c>
      <c r="E2778" t="s">
        <v>138</v>
      </c>
      <c r="F2778" t="s">
        <v>37</v>
      </c>
    </row>
    <row r="2779" spans="1:6" outlineLevel="3" x14ac:dyDescent="0.25">
      <c r="A2779" s="4" t="s">
        <v>421</v>
      </c>
      <c r="B2779" t="s">
        <v>422</v>
      </c>
      <c r="C2779" t="s">
        <v>2454</v>
      </c>
      <c r="D2779" t="s">
        <v>202</v>
      </c>
      <c r="E2779" t="s">
        <v>138</v>
      </c>
      <c r="F2779" t="s">
        <v>37</v>
      </c>
    </row>
    <row r="2780" spans="1:6" outlineLevel="3" x14ac:dyDescent="0.25">
      <c r="A2780" s="4" t="s">
        <v>421</v>
      </c>
      <c r="B2780" t="s">
        <v>422</v>
      </c>
      <c r="C2780" t="s">
        <v>2455</v>
      </c>
      <c r="D2780" t="s">
        <v>435</v>
      </c>
      <c r="E2780" t="s">
        <v>138</v>
      </c>
      <c r="F2780" t="s">
        <v>37</v>
      </c>
    </row>
    <row r="2781" spans="1:6" outlineLevel="3" x14ac:dyDescent="0.25">
      <c r="A2781" s="4" t="s">
        <v>421</v>
      </c>
      <c r="B2781" t="s">
        <v>422</v>
      </c>
      <c r="C2781" t="s">
        <v>2456</v>
      </c>
      <c r="D2781" t="s">
        <v>165</v>
      </c>
      <c r="E2781" t="s">
        <v>138</v>
      </c>
      <c r="F2781" t="s">
        <v>37</v>
      </c>
    </row>
    <row r="2782" spans="1:6" outlineLevel="3" x14ac:dyDescent="0.25">
      <c r="A2782" s="4" t="s">
        <v>421</v>
      </c>
      <c r="B2782" t="s">
        <v>422</v>
      </c>
      <c r="C2782" t="s">
        <v>2457</v>
      </c>
      <c r="D2782" t="s">
        <v>437</v>
      </c>
      <c r="E2782" t="s">
        <v>138</v>
      </c>
      <c r="F2782" t="s">
        <v>37</v>
      </c>
    </row>
    <row r="2783" spans="1:6" outlineLevel="3" x14ac:dyDescent="0.25">
      <c r="A2783" s="4" t="s">
        <v>421</v>
      </c>
      <c r="B2783" t="s">
        <v>422</v>
      </c>
      <c r="C2783" t="s">
        <v>2458</v>
      </c>
      <c r="D2783" t="s">
        <v>126</v>
      </c>
      <c r="E2783" t="s">
        <v>138</v>
      </c>
      <c r="F2783" t="s">
        <v>37</v>
      </c>
    </row>
    <row r="2784" spans="1:6" outlineLevel="3" x14ac:dyDescent="0.25">
      <c r="A2784" s="4" t="s">
        <v>421</v>
      </c>
      <c r="B2784" t="s">
        <v>422</v>
      </c>
      <c r="C2784" t="s">
        <v>2459</v>
      </c>
      <c r="D2784" t="s">
        <v>126</v>
      </c>
      <c r="E2784" t="s">
        <v>138</v>
      </c>
      <c r="F2784" t="s">
        <v>37</v>
      </c>
    </row>
    <row r="2785" spans="1:6" outlineLevel="3" x14ac:dyDescent="0.25">
      <c r="A2785" s="4" t="s">
        <v>421</v>
      </c>
      <c r="B2785" t="s">
        <v>422</v>
      </c>
      <c r="C2785" t="s">
        <v>2460</v>
      </c>
      <c r="D2785" t="s">
        <v>165</v>
      </c>
      <c r="E2785" t="s">
        <v>138</v>
      </c>
      <c r="F2785" t="s">
        <v>37</v>
      </c>
    </row>
    <row r="2786" spans="1:6" outlineLevel="3" x14ac:dyDescent="0.25">
      <c r="A2786" s="4" t="s">
        <v>421</v>
      </c>
      <c r="B2786" t="s">
        <v>422</v>
      </c>
      <c r="C2786" t="s">
        <v>2461</v>
      </c>
      <c r="D2786" t="s">
        <v>165</v>
      </c>
      <c r="E2786" t="s">
        <v>138</v>
      </c>
      <c r="F2786" t="s">
        <v>37</v>
      </c>
    </row>
    <row r="2787" spans="1:6" outlineLevel="3" x14ac:dyDescent="0.25">
      <c r="A2787" s="4" t="s">
        <v>421</v>
      </c>
      <c r="B2787" t="s">
        <v>422</v>
      </c>
      <c r="C2787" t="s">
        <v>2462</v>
      </c>
      <c r="D2787" t="s">
        <v>165</v>
      </c>
      <c r="E2787" t="s">
        <v>138</v>
      </c>
      <c r="F2787" t="s">
        <v>37</v>
      </c>
    </row>
    <row r="2788" spans="1:6" outlineLevel="3" x14ac:dyDescent="0.25">
      <c r="A2788" s="4" t="s">
        <v>421</v>
      </c>
      <c r="B2788" t="s">
        <v>422</v>
      </c>
      <c r="C2788" t="s">
        <v>2463</v>
      </c>
      <c r="D2788" t="s">
        <v>165</v>
      </c>
      <c r="E2788" t="s">
        <v>138</v>
      </c>
      <c r="F2788" t="s">
        <v>37</v>
      </c>
    </row>
    <row r="2789" spans="1:6" outlineLevel="3" x14ac:dyDescent="0.25">
      <c r="A2789" s="4" t="s">
        <v>421</v>
      </c>
      <c r="B2789" t="s">
        <v>422</v>
      </c>
      <c r="C2789" t="s">
        <v>2464</v>
      </c>
      <c r="D2789" t="s">
        <v>165</v>
      </c>
      <c r="E2789" t="s">
        <v>138</v>
      </c>
      <c r="F2789" t="s">
        <v>37</v>
      </c>
    </row>
    <row r="2790" spans="1:6" outlineLevel="3" x14ac:dyDescent="0.25">
      <c r="A2790" s="4" t="s">
        <v>421</v>
      </c>
      <c r="B2790" t="s">
        <v>422</v>
      </c>
      <c r="C2790" t="s">
        <v>2465</v>
      </c>
      <c r="D2790" t="s">
        <v>119</v>
      </c>
      <c r="E2790" t="s">
        <v>138</v>
      </c>
      <c r="F2790" t="s">
        <v>37</v>
      </c>
    </row>
    <row r="2791" spans="1:6" outlineLevel="3" x14ac:dyDescent="0.25">
      <c r="A2791" s="4" t="s">
        <v>421</v>
      </c>
      <c r="B2791" t="s">
        <v>422</v>
      </c>
      <c r="C2791" t="s">
        <v>2466</v>
      </c>
      <c r="D2791" t="s">
        <v>437</v>
      </c>
      <c r="E2791" t="s">
        <v>138</v>
      </c>
      <c r="F2791" t="s">
        <v>37</v>
      </c>
    </row>
    <row r="2792" spans="1:6" outlineLevel="3" x14ac:dyDescent="0.25">
      <c r="A2792" s="4" t="s">
        <v>421</v>
      </c>
      <c r="B2792" t="s">
        <v>422</v>
      </c>
      <c r="C2792" t="s">
        <v>2467</v>
      </c>
      <c r="D2792" t="s">
        <v>76</v>
      </c>
      <c r="E2792" t="s">
        <v>138</v>
      </c>
      <c r="F2792" t="s">
        <v>37</v>
      </c>
    </row>
    <row r="2793" spans="1:6" outlineLevel="3" x14ac:dyDescent="0.25">
      <c r="A2793" s="4" t="s">
        <v>421</v>
      </c>
      <c r="B2793" t="s">
        <v>422</v>
      </c>
      <c r="C2793" t="s">
        <v>2468</v>
      </c>
      <c r="D2793" t="s">
        <v>165</v>
      </c>
      <c r="E2793" t="s">
        <v>138</v>
      </c>
      <c r="F2793" t="s">
        <v>37</v>
      </c>
    </row>
    <row r="2794" spans="1:6" outlineLevel="3" x14ac:dyDescent="0.25">
      <c r="A2794" s="4" t="s">
        <v>421</v>
      </c>
      <c r="B2794" t="s">
        <v>422</v>
      </c>
      <c r="C2794" t="s">
        <v>2469</v>
      </c>
      <c r="D2794" t="s">
        <v>13</v>
      </c>
      <c r="E2794" t="s">
        <v>138</v>
      </c>
      <c r="F2794" t="s">
        <v>37</v>
      </c>
    </row>
    <row r="2795" spans="1:6" outlineLevel="3" x14ac:dyDescent="0.25">
      <c r="A2795" s="4" t="s">
        <v>421</v>
      </c>
      <c r="B2795" t="s">
        <v>422</v>
      </c>
      <c r="C2795" t="s">
        <v>2470</v>
      </c>
      <c r="D2795" t="s">
        <v>126</v>
      </c>
      <c r="E2795" t="s">
        <v>138</v>
      </c>
      <c r="F2795" t="s">
        <v>37</v>
      </c>
    </row>
    <row r="2796" spans="1:6" outlineLevel="3" x14ac:dyDescent="0.25">
      <c r="A2796" s="4" t="s">
        <v>421</v>
      </c>
      <c r="B2796" t="s">
        <v>422</v>
      </c>
      <c r="C2796" t="s">
        <v>2471</v>
      </c>
      <c r="D2796" t="s">
        <v>202</v>
      </c>
      <c r="E2796" t="s">
        <v>138</v>
      </c>
      <c r="F2796" t="s">
        <v>37</v>
      </c>
    </row>
    <row r="2797" spans="1:6" outlineLevel="3" x14ac:dyDescent="0.25">
      <c r="A2797" s="4" t="s">
        <v>421</v>
      </c>
      <c r="B2797" t="s">
        <v>422</v>
      </c>
      <c r="C2797" t="s">
        <v>2472</v>
      </c>
      <c r="D2797" t="s">
        <v>437</v>
      </c>
      <c r="E2797" t="s">
        <v>138</v>
      </c>
      <c r="F2797" t="s">
        <v>37</v>
      </c>
    </row>
    <row r="2798" spans="1:6" outlineLevel="3" x14ac:dyDescent="0.25">
      <c r="A2798" s="4" t="s">
        <v>421</v>
      </c>
      <c r="B2798" t="s">
        <v>422</v>
      </c>
      <c r="C2798" t="s">
        <v>2473</v>
      </c>
      <c r="D2798" t="s">
        <v>67</v>
      </c>
      <c r="E2798" t="s">
        <v>138</v>
      </c>
      <c r="F2798" t="s">
        <v>37</v>
      </c>
    </row>
    <row r="2799" spans="1:6" outlineLevel="3" x14ac:dyDescent="0.25">
      <c r="A2799" s="4" t="s">
        <v>421</v>
      </c>
      <c r="B2799" t="s">
        <v>422</v>
      </c>
      <c r="C2799" t="s">
        <v>2474</v>
      </c>
      <c r="D2799" t="s">
        <v>67</v>
      </c>
      <c r="E2799" t="s">
        <v>138</v>
      </c>
      <c r="F2799" t="s">
        <v>37</v>
      </c>
    </row>
    <row r="2800" spans="1:6" outlineLevel="3" x14ac:dyDescent="0.25">
      <c r="A2800" s="4" t="s">
        <v>421</v>
      </c>
      <c r="B2800" t="s">
        <v>422</v>
      </c>
      <c r="C2800" t="s">
        <v>2475</v>
      </c>
      <c r="D2800" t="s">
        <v>202</v>
      </c>
      <c r="E2800" t="s">
        <v>138</v>
      </c>
      <c r="F2800" t="s">
        <v>37</v>
      </c>
    </row>
    <row r="2801" spans="1:6" outlineLevel="3" x14ac:dyDescent="0.25">
      <c r="A2801" s="4" t="s">
        <v>421</v>
      </c>
      <c r="B2801" t="s">
        <v>422</v>
      </c>
      <c r="C2801" t="s">
        <v>2476</v>
      </c>
      <c r="D2801" t="s">
        <v>165</v>
      </c>
      <c r="E2801" t="s">
        <v>138</v>
      </c>
      <c r="F2801" t="s">
        <v>37</v>
      </c>
    </row>
    <row r="2802" spans="1:6" outlineLevel="3" x14ac:dyDescent="0.25">
      <c r="A2802" s="4" t="s">
        <v>421</v>
      </c>
      <c r="B2802" t="s">
        <v>422</v>
      </c>
      <c r="C2802" t="s">
        <v>2477</v>
      </c>
      <c r="D2802" t="s">
        <v>6</v>
      </c>
      <c r="E2802" t="s">
        <v>138</v>
      </c>
      <c r="F2802" t="s">
        <v>37</v>
      </c>
    </row>
    <row r="2803" spans="1:6" outlineLevel="3" x14ac:dyDescent="0.25">
      <c r="A2803" s="4" t="s">
        <v>421</v>
      </c>
      <c r="B2803" t="s">
        <v>422</v>
      </c>
      <c r="C2803" t="s">
        <v>2478</v>
      </c>
      <c r="D2803" t="s">
        <v>202</v>
      </c>
      <c r="E2803" t="s">
        <v>138</v>
      </c>
      <c r="F2803" t="s">
        <v>37</v>
      </c>
    </row>
    <row r="2804" spans="1:6" outlineLevel="3" x14ac:dyDescent="0.25">
      <c r="A2804" s="4" t="s">
        <v>421</v>
      </c>
      <c r="B2804" t="s">
        <v>422</v>
      </c>
      <c r="C2804" t="s">
        <v>2479</v>
      </c>
      <c r="D2804" t="s">
        <v>165</v>
      </c>
      <c r="E2804" t="s">
        <v>138</v>
      </c>
      <c r="F2804" t="s">
        <v>37</v>
      </c>
    </row>
    <row r="2805" spans="1:6" outlineLevel="3" x14ac:dyDescent="0.25">
      <c r="A2805" s="4" t="s">
        <v>421</v>
      </c>
      <c r="B2805" t="s">
        <v>422</v>
      </c>
      <c r="C2805" t="s">
        <v>2480</v>
      </c>
      <c r="D2805" t="s">
        <v>165</v>
      </c>
      <c r="E2805" t="s">
        <v>138</v>
      </c>
      <c r="F2805" t="s">
        <v>37</v>
      </c>
    </row>
    <row r="2806" spans="1:6" outlineLevel="3" x14ac:dyDescent="0.25">
      <c r="A2806" s="4" t="s">
        <v>421</v>
      </c>
      <c r="B2806" t="s">
        <v>422</v>
      </c>
      <c r="C2806" t="s">
        <v>2481</v>
      </c>
      <c r="D2806" t="s">
        <v>6</v>
      </c>
      <c r="E2806" t="s">
        <v>138</v>
      </c>
      <c r="F2806" t="s">
        <v>37</v>
      </c>
    </row>
    <row r="2807" spans="1:6" outlineLevel="3" x14ac:dyDescent="0.25">
      <c r="A2807" s="4" t="s">
        <v>421</v>
      </c>
      <c r="B2807" t="s">
        <v>422</v>
      </c>
      <c r="C2807" t="s">
        <v>2482</v>
      </c>
      <c r="D2807" t="s">
        <v>6</v>
      </c>
      <c r="E2807" t="s">
        <v>138</v>
      </c>
      <c r="F2807" t="s">
        <v>37</v>
      </c>
    </row>
    <row r="2808" spans="1:6" outlineLevel="3" x14ac:dyDescent="0.25">
      <c r="A2808" s="4" t="s">
        <v>421</v>
      </c>
      <c r="B2808" t="s">
        <v>422</v>
      </c>
      <c r="C2808" t="s">
        <v>2483</v>
      </c>
      <c r="D2808" t="s">
        <v>165</v>
      </c>
      <c r="E2808" t="s">
        <v>138</v>
      </c>
      <c r="F2808" t="s">
        <v>37</v>
      </c>
    </row>
    <row r="2809" spans="1:6" outlineLevel="3" x14ac:dyDescent="0.25">
      <c r="A2809" s="4" t="s">
        <v>421</v>
      </c>
      <c r="B2809" t="s">
        <v>422</v>
      </c>
      <c r="C2809" t="s">
        <v>2484</v>
      </c>
      <c r="D2809" t="s">
        <v>165</v>
      </c>
      <c r="E2809" t="s">
        <v>138</v>
      </c>
      <c r="F2809" t="s">
        <v>37</v>
      </c>
    </row>
    <row r="2810" spans="1:6" outlineLevel="3" x14ac:dyDescent="0.25">
      <c r="A2810" s="4" t="s">
        <v>421</v>
      </c>
      <c r="B2810" t="s">
        <v>422</v>
      </c>
      <c r="C2810" t="s">
        <v>2485</v>
      </c>
      <c r="D2810" t="s">
        <v>165</v>
      </c>
      <c r="E2810" t="s">
        <v>138</v>
      </c>
      <c r="F2810" t="s">
        <v>37</v>
      </c>
    </row>
    <row r="2811" spans="1:6" outlineLevel="3" x14ac:dyDescent="0.25">
      <c r="A2811" s="4" t="s">
        <v>421</v>
      </c>
      <c r="B2811" t="s">
        <v>422</v>
      </c>
      <c r="C2811" t="s">
        <v>2486</v>
      </c>
      <c r="D2811" t="s">
        <v>165</v>
      </c>
      <c r="E2811" t="s">
        <v>138</v>
      </c>
      <c r="F2811" t="s">
        <v>37</v>
      </c>
    </row>
    <row r="2812" spans="1:6" outlineLevel="3" x14ac:dyDescent="0.25">
      <c r="A2812" s="4" t="s">
        <v>421</v>
      </c>
      <c r="B2812" t="s">
        <v>422</v>
      </c>
      <c r="C2812" t="s">
        <v>2487</v>
      </c>
      <c r="D2812" t="s">
        <v>119</v>
      </c>
      <c r="E2812" t="s">
        <v>138</v>
      </c>
      <c r="F2812" t="s">
        <v>37</v>
      </c>
    </row>
    <row r="2813" spans="1:6" outlineLevel="3" x14ac:dyDescent="0.25">
      <c r="A2813" s="4" t="s">
        <v>421</v>
      </c>
      <c r="B2813" t="s">
        <v>422</v>
      </c>
      <c r="C2813" t="s">
        <v>2488</v>
      </c>
      <c r="D2813" t="s">
        <v>437</v>
      </c>
      <c r="E2813" t="s">
        <v>138</v>
      </c>
      <c r="F2813" t="s">
        <v>37</v>
      </c>
    </row>
    <row r="2814" spans="1:6" outlineLevel="3" x14ac:dyDescent="0.25">
      <c r="A2814" s="4" t="s">
        <v>421</v>
      </c>
      <c r="B2814" t="s">
        <v>422</v>
      </c>
      <c r="C2814" t="s">
        <v>2489</v>
      </c>
      <c r="D2814" t="s">
        <v>165</v>
      </c>
      <c r="E2814" t="s">
        <v>138</v>
      </c>
      <c r="F2814" t="s">
        <v>37</v>
      </c>
    </row>
    <row r="2815" spans="1:6" outlineLevel="3" x14ac:dyDescent="0.25">
      <c r="A2815" s="4" t="s">
        <v>421</v>
      </c>
      <c r="B2815" t="s">
        <v>422</v>
      </c>
      <c r="C2815" t="s">
        <v>2490</v>
      </c>
      <c r="D2815" t="s">
        <v>202</v>
      </c>
      <c r="E2815" t="s">
        <v>138</v>
      </c>
      <c r="F2815" t="s">
        <v>37</v>
      </c>
    </row>
    <row r="2816" spans="1:6" outlineLevel="3" x14ac:dyDescent="0.25">
      <c r="A2816" s="4" t="s">
        <v>421</v>
      </c>
      <c r="B2816" t="s">
        <v>422</v>
      </c>
      <c r="C2816" t="s">
        <v>2491</v>
      </c>
      <c r="D2816" t="s">
        <v>165</v>
      </c>
      <c r="E2816" t="s">
        <v>138</v>
      </c>
      <c r="F2816" t="s">
        <v>37</v>
      </c>
    </row>
    <row r="2817" spans="1:6" outlineLevel="3" x14ac:dyDescent="0.25">
      <c r="A2817" s="4" t="s">
        <v>421</v>
      </c>
      <c r="B2817" t="s">
        <v>422</v>
      </c>
      <c r="C2817" t="s">
        <v>2492</v>
      </c>
      <c r="D2817" t="s">
        <v>165</v>
      </c>
      <c r="E2817" t="s">
        <v>138</v>
      </c>
      <c r="F2817" t="s">
        <v>37</v>
      </c>
    </row>
    <row r="2818" spans="1:6" outlineLevel="3" x14ac:dyDescent="0.25">
      <c r="A2818" s="4" t="s">
        <v>421</v>
      </c>
      <c r="B2818" t="s">
        <v>422</v>
      </c>
      <c r="C2818" t="s">
        <v>2493</v>
      </c>
      <c r="D2818" t="s">
        <v>165</v>
      </c>
      <c r="E2818" t="s">
        <v>138</v>
      </c>
      <c r="F2818" t="s">
        <v>37</v>
      </c>
    </row>
    <row r="2819" spans="1:6" outlineLevel="3" x14ac:dyDescent="0.25">
      <c r="A2819" s="4" t="s">
        <v>421</v>
      </c>
      <c r="B2819" t="s">
        <v>422</v>
      </c>
      <c r="C2819" t="s">
        <v>2494</v>
      </c>
      <c r="D2819" t="s">
        <v>119</v>
      </c>
      <c r="E2819" t="s">
        <v>138</v>
      </c>
      <c r="F2819" t="s">
        <v>37</v>
      </c>
    </row>
    <row r="2820" spans="1:6" outlineLevel="3" x14ac:dyDescent="0.25">
      <c r="A2820" s="4" t="s">
        <v>421</v>
      </c>
      <c r="B2820" t="s">
        <v>422</v>
      </c>
      <c r="C2820" t="s">
        <v>2495</v>
      </c>
      <c r="D2820" t="s">
        <v>6</v>
      </c>
      <c r="E2820" t="s">
        <v>138</v>
      </c>
      <c r="F2820" t="s">
        <v>37</v>
      </c>
    </row>
    <row r="2821" spans="1:6" outlineLevel="3" x14ac:dyDescent="0.25">
      <c r="A2821" s="4" t="s">
        <v>421</v>
      </c>
      <c r="B2821" t="s">
        <v>422</v>
      </c>
      <c r="C2821" t="s">
        <v>2496</v>
      </c>
      <c r="D2821" t="s">
        <v>6</v>
      </c>
      <c r="E2821" t="s">
        <v>138</v>
      </c>
      <c r="F2821" t="s">
        <v>37</v>
      </c>
    </row>
    <row r="2822" spans="1:6" outlineLevel="3" x14ac:dyDescent="0.25">
      <c r="A2822" s="4" t="s">
        <v>421</v>
      </c>
      <c r="B2822" t="s">
        <v>422</v>
      </c>
      <c r="C2822" t="s">
        <v>2497</v>
      </c>
      <c r="D2822" t="s">
        <v>437</v>
      </c>
      <c r="E2822" t="s">
        <v>138</v>
      </c>
      <c r="F2822" t="s">
        <v>37</v>
      </c>
    </row>
    <row r="2823" spans="1:6" outlineLevel="3" x14ac:dyDescent="0.25">
      <c r="A2823" s="4" t="s">
        <v>421</v>
      </c>
      <c r="B2823" t="s">
        <v>422</v>
      </c>
      <c r="C2823" t="s">
        <v>2498</v>
      </c>
      <c r="D2823" t="s">
        <v>143</v>
      </c>
      <c r="E2823" t="s">
        <v>138</v>
      </c>
      <c r="F2823" t="s">
        <v>37</v>
      </c>
    </row>
    <row r="2824" spans="1:6" outlineLevel="3" x14ac:dyDescent="0.25">
      <c r="A2824" s="4" t="s">
        <v>421</v>
      </c>
      <c r="B2824" t="s">
        <v>422</v>
      </c>
      <c r="C2824" t="s">
        <v>2499</v>
      </c>
      <c r="D2824" t="s">
        <v>126</v>
      </c>
      <c r="E2824" t="s">
        <v>138</v>
      </c>
      <c r="F2824" t="s">
        <v>37</v>
      </c>
    </row>
    <row r="2825" spans="1:6" outlineLevel="3" x14ac:dyDescent="0.25">
      <c r="A2825" s="4" t="s">
        <v>421</v>
      </c>
      <c r="B2825" t="s">
        <v>422</v>
      </c>
      <c r="C2825" t="s">
        <v>2500</v>
      </c>
      <c r="D2825" t="s">
        <v>78</v>
      </c>
      <c r="E2825" t="s">
        <v>138</v>
      </c>
      <c r="F2825" t="s">
        <v>37</v>
      </c>
    </row>
    <row r="2826" spans="1:6" outlineLevel="3" x14ac:dyDescent="0.25">
      <c r="A2826" s="4" t="s">
        <v>421</v>
      </c>
      <c r="B2826" t="s">
        <v>422</v>
      </c>
      <c r="C2826" t="s">
        <v>1826</v>
      </c>
      <c r="D2826" t="s">
        <v>126</v>
      </c>
      <c r="E2826" t="s">
        <v>138</v>
      </c>
      <c r="F2826" t="s">
        <v>37</v>
      </c>
    </row>
    <row r="2827" spans="1:6" outlineLevel="3" x14ac:dyDescent="0.25">
      <c r="A2827" s="4" t="s">
        <v>421</v>
      </c>
      <c r="B2827" t="s">
        <v>422</v>
      </c>
      <c r="C2827" t="s">
        <v>2501</v>
      </c>
      <c r="D2827" t="s">
        <v>165</v>
      </c>
      <c r="E2827" t="s">
        <v>138</v>
      </c>
      <c r="F2827" t="s">
        <v>37</v>
      </c>
    </row>
    <row r="2828" spans="1:6" outlineLevel="3" x14ac:dyDescent="0.25">
      <c r="A2828" s="4" t="s">
        <v>421</v>
      </c>
      <c r="B2828" t="s">
        <v>422</v>
      </c>
      <c r="C2828" t="s">
        <v>2502</v>
      </c>
      <c r="D2828" t="s">
        <v>442</v>
      </c>
      <c r="E2828" t="s">
        <v>138</v>
      </c>
      <c r="F2828" t="s">
        <v>37</v>
      </c>
    </row>
    <row r="2829" spans="1:6" outlineLevel="3" x14ac:dyDescent="0.25">
      <c r="A2829" s="4" t="s">
        <v>421</v>
      </c>
      <c r="B2829" t="s">
        <v>422</v>
      </c>
      <c r="C2829" t="s">
        <v>2503</v>
      </c>
      <c r="D2829" t="s">
        <v>442</v>
      </c>
      <c r="E2829" t="s">
        <v>138</v>
      </c>
      <c r="F2829" t="s">
        <v>37</v>
      </c>
    </row>
    <row r="2830" spans="1:6" outlineLevel="3" x14ac:dyDescent="0.25">
      <c r="A2830" s="4" t="s">
        <v>421</v>
      </c>
      <c r="B2830" t="s">
        <v>422</v>
      </c>
      <c r="C2830" t="s">
        <v>2504</v>
      </c>
      <c r="D2830" t="s">
        <v>442</v>
      </c>
      <c r="E2830" t="s">
        <v>138</v>
      </c>
      <c r="F2830" t="s">
        <v>37</v>
      </c>
    </row>
    <row r="2831" spans="1:6" outlineLevel="3" x14ac:dyDescent="0.25">
      <c r="A2831" s="4" t="s">
        <v>421</v>
      </c>
      <c r="B2831" t="s">
        <v>422</v>
      </c>
      <c r="C2831" t="s">
        <v>2505</v>
      </c>
      <c r="D2831" t="s">
        <v>442</v>
      </c>
      <c r="E2831" t="s">
        <v>138</v>
      </c>
      <c r="F2831" t="s">
        <v>37</v>
      </c>
    </row>
    <row r="2832" spans="1:6" outlineLevel="3" x14ac:dyDescent="0.25">
      <c r="A2832" s="4" t="s">
        <v>421</v>
      </c>
      <c r="B2832" t="s">
        <v>422</v>
      </c>
      <c r="C2832" t="s">
        <v>4020</v>
      </c>
      <c r="D2832" t="s">
        <v>124</v>
      </c>
      <c r="E2832" t="s">
        <v>133</v>
      </c>
      <c r="F2832" t="s">
        <v>37</v>
      </c>
    </row>
    <row r="2833" spans="1:6" outlineLevel="3" x14ac:dyDescent="0.25">
      <c r="A2833" s="4" t="s">
        <v>421</v>
      </c>
      <c r="B2833" t="s">
        <v>422</v>
      </c>
      <c r="C2833" t="s">
        <v>4021</v>
      </c>
      <c r="D2833" t="s">
        <v>44</v>
      </c>
      <c r="E2833" t="s">
        <v>133</v>
      </c>
      <c r="F2833" t="s">
        <v>37</v>
      </c>
    </row>
    <row r="2834" spans="1:6" outlineLevel="3" x14ac:dyDescent="0.25">
      <c r="A2834" s="4" t="s">
        <v>421</v>
      </c>
      <c r="B2834" t="s">
        <v>422</v>
      </c>
      <c r="C2834" t="s">
        <v>4022</v>
      </c>
      <c r="D2834" t="s">
        <v>211</v>
      </c>
      <c r="E2834" t="s">
        <v>133</v>
      </c>
      <c r="F2834" t="s">
        <v>37</v>
      </c>
    </row>
    <row r="2835" spans="1:6" outlineLevel="3" x14ac:dyDescent="0.25">
      <c r="A2835" s="4" t="s">
        <v>421</v>
      </c>
      <c r="B2835" t="s">
        <v>422</v>
      </c>
      <c r="C2835" t="s">
        <v>4188</v>
      </c>
      <c r="D2835" t="s">
        <v>13</v>
      </c>
      <c r="E2835" t="s">
        <v>198</v>
      </c>
      <c r="F2835" t="s">
        <v>37</v>
      </c>
    </row>
    <row r="2836" spans="1:6" outlineLevel="3" x14ac:dyDescent="0.25">
      <c r="A2836" s="4" t="s">
        <v>421</v>
      </c>
      <c r="B2836" t="s">
        <v>422</v>
      </c>
      <c r="C2836" t="s">
        <v>4189</v>
      </c>
      <c r="D2836" t="s">
        <v>437</v>
      </c>
      <c r="E2836" t="s">
        <v>198</v>
      </c>
      <c r="F2836" t="s">
        <v>37</v>
      </c>
    </row>
    <row r="2837" spans="1:6" outlineLevel="3" x14ac:dyDescent="0.25">
      <c r="A2837" s="4" t="s">
        <v>421</v>
      </c>
      <c r="B2837" t="s">
        <v>422</v>
      </c>
      <c r="C2837" t="s">
        <v>4190</v>
      </c>
      <c r="D2837" t="s">
        <v>13</v>
      </c>
      <c r="E2837" t="s">
        <v>198</v>
      </c>
      <c r="F2837" t="s">
        <v>37</v>
      </c>
    </row>
    <row r="2838" spans="1:6" outlineLevel="3" x14ac:dyDescent="0.25">
      <c r="A2838" s="4" t="s">
        <v>421</v>
      </c>
      <c r="B2838" t="s">
        <v>422</v>
      </c>
      <c r="C2838" t="s">
        <v>2006</v>
      </c>
      <c r="D2838" t="s">
        <v>202</v>
      </c>
      <c r="E2838" t="s">
        <v>198</v>
      </c>
      <c r="F2838" t="s">
        <v>37</v>
      </c>
    </row>
    <row r="2839" spans="1:6" outlineLevel="3" x14ac:dyDescent="0.25">
      <c r="A2839" s="4" t="s">
        <v>421</v>
      </c>
      <c r="B2839" t="s">
        <v>422</v>
      </c>
      <c r="C2839" t="s">
        <v>4191</v>
      </c>
      <c r="D2839" t="s">
        <v>13</v>
      </c>
      <c r="E2839" t="s">
        <v>198</v>
      </c>
      <c r="F2839" t="s">
        <v>37</v>
      </c>
    </row>
    <row r="2840" spans="1:6" outlineLevel="3" x14ac:dyDescent="0.25">
      <c r="A2840" s="4" t="s">
        <v>421</v>
      </c>
      <c r="B2840" t="s">
        <v>422</v>
      </c>
      <c r="C2840" t="s">
        <v>2007</v>
      </c>
      <c r="D2840" t="s">
        <v>126</v>
      </c>
      <c r="E2840" t="s">
        <v>198</v>
      </c>
      <c r="F2840" t="s">
        <v>37</v>
      </c>
    </row>
    <row r="2841" spans="1:6" outlineLevel="3" x14ac:dyDescent="0.25">
      <c r="A2841" s="4" t="s">
        <v>421</v>
      </c>
      <c r="B2841" t="s">
        <v>422</v>
      </c>
      <c r="C2841" t="s">
        <v>4192</v>
      </c>
      <c r="D2841" t="s">
        <v>13</v>
      </c>
      <c r="E2841" t="s">
        <v>198</v>
      </c>
      <c r="F2841" t="s">
        <v>37</v>
      </c>
    </row>
    <row r="2842" spans="1:6" outlineLevel="3" x14ac:dyDescent="0.25">
      <c r="A2842" s="4" t="s">
        <v>421</v>
      </c>
      <c r="B2842" t="s">
        <v>422</v>
      </c>
      <c r="C2842" t="s">
        <v>4193</v>
      </c>
      <c r="D2842" t="s">
        <v>202</v>
      </c>
      <c r="E2842" t="s">
        <v>198</v>
      </c>
      <c r="F2842" t="s">
        <v>37</v>
      </c>
    </row>
    <row r="2843" spans="1:6" outlineLevel="3" x14ac:dyDescent="0.25">
      <c r="A2843" s="4" t="s">
        <v>421</v>
      </c>
      <c r="B2843" t="s">
        <v>422</v>
      </c>
      <c r="C2843" t="s">
        <v>4194</v>
      </c>
      <c r="D2843" t="s">
        <v>202</v>
      </c>
      <c r="E2843" t="s">
        <v>198</v>
      </c>
      <c r="F2843" t="s">
        <v>37</v>
      </c>
    </row>
    <row r="2844" spans="1:6" outlineLevel="3" x14ac:dyDescent="0.25">
      <c r="A2844" s="4" t="s">
        <v>421</v>
      </c>
      <c r="B2844" t="s">
        <v>422</v>
      </c>
      <c r="C2844" t="s">
        <v>4195</v>
      </c>
      <c r="D2844" t="s">
        <v>202</v>
      </c>
      <c r="E2844" t="s">
        <v>198</v>
      </c>
      <c r="F2844" t="s">
        <v>37</v>
      </c>
    </row>
    <row r="2845" spans="1:6" outlineLevel="3" x14ac:dyDescent="0.25">
      <c r="A2845" s="4" t="s">
        <v>421</v>
      </c>
      <c r="B2845" t="s">
        <v>422</v>
      </c>
      <c r="C2845" t="s">
        <v>4196</v>
      </c>
      <c r="D2845" t="s">
        <v>202</v>
      </c>
      <c r="E2845" t="s">
        <v>198</v>
      </c>
      <c r="F2845" t="s">
        <v>37</v>
      </c>
    </row>
    <row r="2846" spans="1:6" outlineLevel="3" x14ac:dyDescent="0.25">
      <c r="A2846" s="4" t="s">
        <v>421</v>
      </c>
      <c r="B2846" t="s">
        <v>422</v>
      </c>
      <c r="C2846" t="s">
        <v>4197</v>
      </c>
      <c r="D2846" t="s">
        <v>13</v>
      </c>
      <c r="E2846" t="s">
        <v>198</v>
      </c>
      <c r="F2846" t="s">
        <v>37</v>
      </c>
    </row>
    <row r="2847" spans="1:6" outlineLevel="3" x14ac:dyDescent="0.25">
      <c r="A2847" s="4" t="s">
        <v>421</v>
      </c>
      <c r="B2847" t="s">
        <v>422</v>
      </c>
      <c r="C2847" t="s">
        <v>4198</v>
      </c>
      <c r="D2847" t="s">
        <v>13</v>
      </c>
      <c r="E2847" t="s">
        <v>198</v>
      </c>
      <c r="F2847" t="s">
        <v>37</v>
      </c>
    </row>
    <row r="2848" spans="1:6" outlineLevel="3" x14ac:dyDescent="0.25">
      <c r="A2848" s="4" t="s">
        <v>421</v>
      </c>
      <c r="B2848" t="s">
        <v>422</v>
      </c>
      <c r="C2848" t="s">
        <v>4199</v>
      </c>
      <c r="D2848" t="s">
        <v>13</v>
      </c>
      <c r="E2848" t="s">
        <v>198</v>
      </c>
      <c r="F2848" t="s">
        <v>37</v>
      </c>
    </row>
    <row r="2849" spans="1:6" outlineLevel="3" x14ac:dyDescent="0.25">
      <c r="A2849" s="4" t="s">
        <v>421</v>
      </c>
      <c r="B2849" t="s">
        <v>422</v>
      </c>
      <c r="C2849" t="s">
        <v>4200</v>
      </c>
      <c r="D2849" t="s">
        <v>437</v>
      </c>
      <c r="E2849" t="s">
        <v>198</v>
      </c>
      <c r="F2849" t="s">
        <v>37</v>
      </c>
    </row>
    <row r="2850" spans="1:6" outlineLevel="3" x14ac:dyDescent="0.25">
      <c r="A2850" s="4" t="s">
        <v>421</v>
      </c>
      <c r="B2850" t="s">
        <v>422</v>
      </c>
      <c r="C2850" t="s">
        <v>4201</v>
      </c>
      <c r="D2850" t="s">
        <v>202</v>
      </c>
      <c r="E2850" t="s">
        <v>198</v>
      </c>
      <c r="F2850" t="s">
        <v>37</v>
      </c>
    </row>
    <row r="2851" spans="1:6" outlineLevel="3" x14ac:dyDescent="0.25">
      <c r="A2851" s="4" t="s">
        <v>421</v>
      </c>
      <c r="B2851" t="s">
        <v>422</v>
      </c>
      <c r="C2851" t="s">
        <v>2008</v>
      </c>
      <c r="D2851" t="s">
        <v>13</v>
      </c>
      <c r="E2851" t="s">
        <v>198</v>
      </c>
      <c r="F2851" t="s">
        <v>37</v>
      </c>
    </row>
    <row r="2852" spans="1:6" outlineLevel="3" x14ac:dyDescent="0.25">
      <c r="A2852" s="4" t="s">
        <v>421</v>
      </c>
      <c r="B2852" t="s">
        <v>422</v>
      </c>
      <c r="C2852" t="s">
        <v>4202</v>
      </c>
      <c r="D2852" t="s">
        <v>13</v>
      </c>
      <c r="E2852" t="s">
        <v>198</v>
      </c>
      <c r="F2852" t="s">
        <v>37</v>
      </c>
    </row>
    <row r="2853" spans="1:6" outlineLevel="3" x14ac:dyDescent="0.25">
      <c r="A2853" s="4" t="s">
        <v>421</v>
      </c>
      <c r="B2853" t="s">
        <v>422</v>
      </c>
      <c r="C2853" t="s">
        <v>4203</v>
      </c>
      <c r="D2853" t="s">
        <v>202</v>
      </c>
      <c r="E2853" t="s">
        <v>198</v>
      </c>
      <c r="F2853" t="s">
        <v>37</v>
      </c>
    </row>
    <row r="2854" spans="1:6" outlineLevel="3" x14ac:dyDescent="0.25">
      <c r="A2854" s="4" t="s">
        <v>421</v>
      </c>
      <c r="B2854" t="s">
        <v>422</v>
      </c>
      <c r="C2854" t="s">
        <v>4204</v>
      </c>
      <c r="D2854" t="s">
        <v>13</v>
      </c>
      <c r="E2854" t="s">
        <v>198</v>
      </c>
      <c r="F2854" t="s">
        <v>37</v>
      </c>
    </row>
    <row r="2855" spans="1:6" outlineLevel="3" x14ac:dyDescent="0.25">
      <c r="A2855" s="4" t="s">
        <v>421</v>
      </c>
      <c r="B2855" t="s">
        <v>422</v>
      </c>
      <c r="C2855" t="s">
        <v>4205</v>
      </c>
      <c r="D2855" t="s">
        <v>202</v>
      </c>
      <c r="E2855" t="s">
        <v>198</v>
      </c>
      <c r="F2855" t="s">
        <v>37</v>
      </c>
    </row>
    <row r="2856" spans="1:6" outlineLevel="3" x14ac:dyDescent="0.25">
      <c r="A2856" s="4" t="s">
        <v>421</v>
      </c>
      <c r="B2856" t="s">
        <v>422</v>
      </c>
      <c r="C2856" t="s">
        <v>4206</v>
      </c>
      <c r="D2856" t="s">
        <v>13</v>
      </c>
      <c r="E2856" t="s">
        <v>198</v>
      </c>
      <c r="F2856" t="s">
        <v>37</v>
      </c>
    </row>
    <row r="2857" spans="1:6" outlineLevel="3" x14ac:dyDescent="0.25">
      <c r="A2857" s="4" t="s">
        <v>421</v>
      </c>
      <c r="B2857" t="s">
        <v>422</v>
      </c>
      <c r="C2857" t="s">
        <v>4207</v>
      </c>
      <c r="D2857" t="s">
        <v>202</v>
      </c>
      <c r="E2857" t="s">
        <v>198</v>
      </c>
      <c r="F2857" t="s">
        <v>37</v>
      </c>
    </row>
    <row r="2858" spans="1:6" outlineLevel="3" x14ac:dyDescent="0.25">
      <c r="A2858" s="4" t="s">
        <v>421</v>
      </c>
      <c r="B2858" t="s">
        <v>422</v>
      </c>
      <c r="C2858" t="s">
        <v>4208</v>
      </c>
      <c r="D2858" t="s">
        <v>13</v>
      </c>
      <c r="E2858" t="s">
        <v>198</v>
      </c>
      <c r="F2858" t="s">
        <v>37</v>
      </c>
    </row>
    <row r="2859" spans="1:6" outlineLevel="3" x14ac:dyDescent="0.25">
      <c r="A2859" s="4" t="s">
        <v>421</v>
      </c>
      <c r="B2859" t="s">
        <v>422</v>
      </c>
      <c r="C2859" t="s">
        <v>4209</v>
      </c>
      <c r="D2859" t="s">
        <v>202</v>
      </c>
      <c r="E2859" t="s">
        <v>198</v>
      </c>
      <c r="F2859" t="s">
        <v>37</v>
      </c>
    </row>
    <row r="2860" spans="1:6" outlineLevel="3" x14ac:dyDescent="0.25">
      <c r="A2860" s="4" t="s">
        <v>421</v>
      </c>
      <c r="B2860" t="s">
        <v>422</v>
      </c>
      <c r="C2860" t="s">
        <v>4210</v>
      </c>
      <c r="D2860" t="s">
        <v>202</v>
      </c>
      <c r="E2860" t="s">
        <v>198</v>
      </c>
      <c r="F2860" t="s">
        <v>37</v>
      </c>
    </row>
    <row r="2861" spans="1:6" outlineLevel="3" x14ac:dyDescent="0.25">
      <c r="A2861" s="4" t="s">
        <v>421</v>
      </c>
      <c r="B2861" t="s">
        <v>422</v>
      </c>
      <c r="C2861" t="s">
        <v>2009</v>
      </c>
      <c r="D2861" t="s">
        <v>126</v>
      </c>
      <c r="E2861" t="s">
        <v>198</v>
      </c>
      <c r="F2861" t="s">
        <v>37</v>
      </c>
    </row>
    <row r="2862" spans="1:6" outlineLevel="3" x14ac:dyDescent="0.25">
      <c r="A2862" s="4" t="s">
        <v>421</v>
      </c>
      <c r="B2862" t="s">
        <v>422</v>
      </c>
      <c r="C2862" t="s">
        <v>4211</v>
      </c>
      <c r="D2862" t="s">
        <v>165</v>
      </c>
      <c r="E2862" t="s">
        <v>198</v>
      </c>
      <c r="F2862" t="s">
        <v>37</v>
      </c>
    </row>
    <row r="2863" spans="1:6" outlineLevel="3" x14ac:dyDescent="0.25">
      <c r="A2863" s="4" t="s">
        <v>421</v>
      </c>
      <c r="B2863" t="s">
        <v>422</v>
      </c>
      <c r="C2863" t="s">
        <v>4212</v>
      </c>
      <c r="D2863" t="s">
        <v>202</v>
      </c>
      <c r="E2863" t="s">
        <v>198</v>
      </c>
      <c r="F2863" t="s">
        <v>37</v>
      </c>
    </row>
    <row r="2864" spans="1:6" outlineLevel="3" x14ac:dyDescent="0.25">
      <c r="A2864" s="4" t="s">
        <v>421</v>
      </c>
      <c r="B2864" t="s">
        <v>422</v>
      </c>
      <c r="C2864" t="s">
        <v>2010</v>
      </c>
      <c r="D2864" t="s">
        <v>13</v>
      </c>
      <c r="E2864" t="s">
        <v>198</v>
      </c>
      <c r="F2864" t="s">
        <v>37</v>
      </c>
    </row>
    <row r="2865" spans="1:6" outlineLevel="3" x14ac:dyDescent="0.25">
      <c r="A2865" s="4" t="s">
        <v>421</v>
      </c>
      <c r="B2865" t="s">
        <v>422</v>
      </c>
      <c r="C2865" t="s">
        <v>2011</v>
      </c>
      <c r="D2865" t="s">
        <v>13</v>
      </c>
      <c r="E2865" t="s">
        <v>198</v>
      </c>
      <c r="F2865" t="s">
        <v>37</v>
      </c>
    </row>
    <row r="2866" spans="1:6" outlineLevel="3" x14ac:dyDescent="0.25">
      <c r="A2866" s="4" t="s">
        <v>421</v>
      </c>
      <c r="B2866" t="s">
        <v>422</v>
      </c>
      <c r="C2866" t="s">
        <v>4213</v>
      </c>
      <c r="D2866" t="s">
        <v>13</v>
      </c>
      <c r="E2866" t="s">
        <v>198</v>
      </c>
      <c r="F2866" t="s">
        <v>37</v>
      </c>
    </row>
    <row r="2867" spans="1:6" outlineLevel="3" x14ac:dyDescent="0.25">
      <c r="A2867" s="4" t="s">
        <v>421</v>
      </c>
      <c r="B2867" t="s">
        <v>422</v>
      </c>
      <c r="C2867" t="s">
        <v>4214</v>
      </c>
      <c r="D2867" t="s">
        <v>126</v>
      </c>
      <c r="E2867" t="s">
        <v>198</v>
      </c>
      <c r="F2867" t="s">
        <v>37</v>
      </c>
    </row>
    <row r="2868" spans="1:6" outlineLevel="3" x14ac:dyDescent="0.25">
      <c r="A2868" s="4" t="s">
        <v>421</v>
      </c>
      <c r="B2868" t="s">
        <v>422</v>
      </c>
      <c r="C2868" t="s">
        <v>4215</v>
      </c>
      <c r="D2868" t="s">
        <v>202</v>
      </c>
      <c r="E2868" t="s">
        <v>198</v>
      </c>
      <c r="F2868" t="s">
        <v>37</v>
      </c>
    </row>
    <row r="2869" spans="1:6" outlineLevel="3" x14ac:dyDescent="0.25">
      <c r="A2869" s="4" t="s">
        <v>421</v>
      </c>
      <c r="B2869" t="s">
        <v>422</v>
      </c>
      <c r="C2869" t="s">
        <v>4216</v>
      </c>
      <c r="D2869" t="s">
        <v>202</v>
      </c>
      <c r="E2869" t="s">
        <v>198</v>
      </c>
      <c r="F2869" t="s">
        <v>37</v>
      </c>
    </row>
    <row r="2870" spans="1:6" outlineLevel="3" x14ac:dyDescent="0.25">
      <c r="A2870" s="4" t="s">
        <v>421</v>
      </c>
      <c r="B2870" t="s">
        <v>422</v>
      </c>
      <c r="C2870" t="s">
        <v>4217</v>
      </c>
      <c r="D2870" t="s">
        <v>13</v>
      </c>
      <c r="E2870" t="s">
        <v>198</v>
      </c>
      <c r="F2870" t="s">
        <v>37</v>
      </c>
    </row>
    <row r="2871" spans="1:6" outlineLevel="3" x14ac:dyDescent="0.25">
      <c r="A2871" s="4" t="s">
        <v>421</v>
      </c>
      <c r="B2871" t="s">
        <v>422</v>
      </c>
      <c r="C2871" t="s">
        <v>1793</v>
      </c>
      <c r="D2871" t="s">
        <v>13</v>
      </c>
      <c r="E2871" t="s">
        <v>198</v>
      </c>
      <c r="F2871" t="s">
        <v>37</v>
      </c>
    </row>
    <row r="2872" spans="1:6" outlineLevel="3" x14ac:dyDescent="0.25">
      <c r="A2872" s="4" t="s">
        <v>421</v>
      </c>
      <c r="B2872" t="s">
        <v>422</v>
      </c>
      <c r="C2872" t="s">
        <v>4218</v>
      </c>
      <c r="D2872" t="s">
        <v>202</v>
      </c>
      <c r="E2872" t="s">
        <v>198</v>
      </c>
      <c r="F2872" t="s">
        <v>37</v>
      </c>
    </row>
    <row r="2873" spans="1:6" outlineLevel="3" x14ac:dyDescent="0.25">
      <c r="A2873" s="4" t="s">
        <v>421</v>
      </c>
      <c r="B2873" t="s">
        <v>422</v>
      </c>
      <c r="C2873" t="s">
        <v>4219</v>
      </c>
      <c r="D2873" t="s">
        <v>202</v>
      </c>
      <c r="E2873" t="s">
        <v>198</v>
      </c>
      <c r="F2873" t="s">
        <v>37</v>
      </c>
    </row>
    <row r="2874" spans="1:6" outlineLevel="3" x14ac:dyDescent="0.25">
      <c r="A2874" s="4" t="s">
        <v>421</v>
      </c>
      <c r="B2874" t="s">
        <v>422</v>
      </c>
      <c r="C2874" t="s">
        <v>4220</v>
      </c>
      <c r="D2874" t="s">
        <v>13</v>
      </c>
      <c r="E2874" t="s">
        <v>198</v>
      </c>
      <c r="F2874" t="s">
        <v>37</v>
      </c>
    </row>
    <row r="2875" spans="1:6" outlineLevel="3" x14ac:dyDescent="0.25">
      <c r="A2875" s="4" t="s">
        <v>421</v>
      </c>
      <c r="B2875" t="s">
        <v>422</v>
      </c>
      <c r="C2875" t="s">
        <v>4221</v>
      </c>
      <c r="D2875" t="s">
        <v>13</v>
      </c>
      <c r="E2875" t="s">
        <v>198</v>
      </c>
      <c r="F2875" t="s">
        <v>37</v>
      </c>
    </row>
    <row r="2876" spans="1:6" outlineLevel="3" x14ac:dyDescent="0.25">
      <c r="A2876" s="4" t="s">
        <v>421</v>
      </c>
      <c r="B2876" t="s">
        <v>422</v>
      </c>
      <c r="C2876" t="s">
        <v>4222</v>
      </c>
      <c r="D2876" t="s">
        <v>202</v>
      </c>
      <c r="E2876" t="s">
        <v>198</v>
      </c>
      <c r="F2876" t="s">
        <v>37</v>
      </c>
    </row>
    <row r="2877" spans="1:6" outlineLevel="3" x14ac:dyDescent="0.25">
      <c r="A2877" s="4" t="s">
        <v>421</v>
      </c>
      <c r="B2877" t="s">
        <v>422</v>
      </c>
      <c r="C2877" t="s">
        <v>4223</v>
      </c>
      <c r="D2877" t="s">
        <v>13</v>
      </c>
      <c r="E2877" t="s">
        <v>198</v>
      </c>
      <c r="F2877" t="s">
        <v>37</v>
      </c>
    </row>
    <row r="2878" spans="1:6" outlineLevel="3" x14ac:dyDescent="0.25">
      <c r="A2878" s="4" t="s">
        <v>421</v>
      </c>
      <c r="B2878" t="s">
        <v>422</v>
      </c>
      <c r="C2878" t="s">
        <v>4224</v>
      </c>
      <c r="D2878" t="s">
        <v>13</v>
      </c>
      <c r="E2878" t="s">
        <v>198</v>
      </c>
      <c r="F2878" t="s">
        <v>37</v>
      </c>
    </row>
    <row r="2879" spans="1:6" outlineLevel="3" x14ac:dyDescent="0.25">
      <c r="A2879" s="4" t="s">
        <v>421</v>
      </c>
      <c r="B2879" t="s">
        <v>422</v>
      </c>
      <c r="C2879" t="s">
        <v>4225</v>
      </c>
      <c r="D2879" t="s">
        <v>13</v>
      </c>
      <c r="E2879" t="s">
        <v>198</v>
      </c>
      <c r="F2879" t="s">
        <v>37</v>
      </c>
    </row>
    <row r="2880" spans="1:6" outlineLevel="3" x14ac:dyDescent="0.25">
      <c r="A2880" s="4" t="s">
        <v>421</v>
      </c>
      <c r="B2880" t="s">
        <v>422</v>
      </c>
      <c r="C2880" t="s">
        <v>4226</v>
      </c>
      <c r="D2880" t="s">
        <v>165</v>
      </c>
      <c r="E2880" t="s">
        <v>198</v>
      </c>
      <c r="F2880" t="s">
        <v>37</v>
      </c>
    </row>
    <row r="2881" spans="1:6" outlineLevel="3" x14ac:dyDescent="0.25">
      <c r="A2881" s="4" t="s">
        <v>421</v>
      </c>
      <c r="B2881" t="s">
        <v>422</v>
      </c>
      <c r="C2881" t="s">
        <v>4227</v>
      </c>
      <c r="D2881" t="s">
        <v>13</v>
      </c>
      <c r="E2881" t="s">
        <v>198</v>
      </c>
      <c r="F2881" t="s">
        <v>37</v>
      </c>
    </row>
    <row r="2882" spans="1:6" outlineLevel="3" x14ac:dyDescent="0.25">
      <c r="A2882" s="4" t="s">
        <v>421</v>
      </c>
      <c r="B2882" t="s">
        <v>422</v>
      </c>
      <c r="C2882" t="s">
        <v>4228</v>
      </c>
      <c r="D2882" t="s">
        <v>6</v>
      </c>
      <c r="E2882" t="s">
        <v>198</v>
      </c>
      <c r="F2882" t="s">
        <v>37</v>
      </c>
    </row>
    <row r="2883" spans="1:6" outlineLevel="3" x14ac:dyDescent="0.25">
      <c r="A2883" s="4" t="s">
        <v>421</v>
      </c>
      <c r="B2883" t="s">
        <v>422</v>
      </c>
      <c r="C2883" t="s">
        <v>4229</v>
      </c>
      <c r="D2883" t="s">
        <v>67</v>
      </c>
      <c r="E2883" t="s">
        <v>198</v>
      </c>
      <c r="F2883" t="s">
        <v>37</v>
      </c>
    </row>
    <row r="2884" spans="1:6" outlineLevel="3" x14ac:dyDescent="0.25">
      <c r="A2884" s="4" t="s">
        <v>421</v>
      </c>
      <c r="B2884" t="s">
        <v>422</v>
      </c>
      <c r="C2884" t="s">
        <v>4230</v>
      </c>
      <c r="D2884" t="s">
        <v>165</v>
      </c>
      <c r="E2884" t="s">
        <v>198</v>
      </c>
      <c r="F2884" t="s">
        <v>37</v>
      </c>
    </row>
    <row r="2885" spans="1:6" outlineLevel="3" x14ac:dyDescent="0.25">
      <c r="A2885" s="4" t="s">
        <v>421</v>
      </c>
      <c r="B2885" t="s">
        <v>422</v>
      </c>
      <c r="C2885" t="s">
        <v>4231</v>
      </c>
      <c r="D2885" t="s">
        <v>165</v>
      </c>
      <c r="E2885" t="s">
        <v>198</v>
      </c>
      <c r="F2885" t="s">
        <v>37</v>
      </c>
    </row>
    <row r="2886" spans="1:6" outlineLevel="3" x14ac:dyDescent="0.25">
      <c r="A2886" s="4" t="s">
        <v>421</v>
      </c>
      <c r="B2886" t="s">
        <v>422</v>
      </c>
      <c r="C2886" t="s">
        <v>4232</v>
      </c>
      <c r="D2886" t="s">
        <v>437</v>
      </c>
      <c r="E2886" t="s">
        <v>198</v>
      </c>
      <c r="F2886" t="s">
        <v>37</v>
      </c>
    </row>
    <row r="2887" spans="1:6" outlineLevel="3" x14ac:dyDescent="0.25">
      <c r="A2887" s="4" t="s">
        <v>421</v>
      </c>
      <c r="B2887" t="s">
        <v>422</v>
      </c>
      <c r="C2887" t="s">
        <v>4233</v>
      </c>
      <c r="D2887" t="s">
        <v>1211</v>
      </c>
      <c r="E2887" t="s">
        <v>198</v>
      </c>
      <c r="F2887" t="s">
        <v>37</v>
      </c>
    </row>
    <row r="2888" spans="1:6" outlineLevel="3" x14ac:dyDescent="0.25">
      <c r="A2888" s="4" t="s">
        <v>421</v>
      </c>
      <c r="B2888" t="s">
        <v>422</v>
      </c>
      <c r="C2888" t="s">
        <v>1794</v>
      </c>
      <c r="D2888" t="s">
        <v>442</v>
      </c>
      <c r="E2888" t="s">
        <v>198</v>
      </c>
      <c r="F2888" t="s">
        <v>37</v>
      </c>
    </row>
    <row r="2889" spans="1:6" outlineLevel="3" x14ac:dyDescent="0.25">
      <c r="A2889" s="4" t="s">
        <v>421</v>
      </c>
      <c r="B2889" t="s">
        <v>422</v>
      </c>
      <c r="C2889" t="s">
        <v>4023</v>
      </c>
      <c r="D2889" t="s">
        <v>13</v>
      </c>
      <c r="E2889" t="s">
        <v>309</v>
      </c>
      <c r="F2889" t="s">
        <v>37</v>
      </c>
    </row>
    <row r="2890" spans="1:6" outlineLevel="3" x14ac:dyDescent="0.25">
      <c r="A2890" s="4" t="s">
        <v>421</v>
      </c>
      <c r="B2890" t="s">
        <v>422</v>
      </c>
      <c r="C2890" t="s">
        <v>4234</v>
      </c>
      <c r="D2890" t="s">
        <v>6</v>
      </c>
      <c r="E2890" t="s">
        <v>83</v>
      </c>
      <c r="F2890" t="s">
        <v>37</v>
      </c>
    </row>
    <row r="2891" spans="1:6" outlineLevel="3" x14ac:dyDescent="0.25">
      <c r="A2891" s="4" t="s">
        <v>421</v>
      </c>
      <c r="B2891" t="s">
        <v>422</v>
      </c>
      <c r="C2891" t="s">
        <v>4235</v>
      </c>
      <c r="D2891" t="s">
        <v>202</v>
      </c>
      <c r="E2891" t="s">
        <v>83</v>
      </c>
      <c r="F2891" t="s">
        <v>37</v>
      </c>
    </row>
    <row r="2892" spans="1:6" outlineLevel="3" x14ac:dyDescent="0.25">
      <c r="A2892" s="4" t="s">
        <v>421</v>
      </c>
      <c r="B2892" t="s">
        <v>422</v>
      </c>
      <c r="C2892" t="s">
        <v>2012</v>
      </c>
      <c r="D2892" t="s">
        <v>202</v>
      </c>
      <c r="E2892" t="s">
        <v>83</v>
      </c>
      <c r="F2892" t="s">
        <v>37</v>
      </c>
    </row>
    <row r="2893" spans="1:6" outlineLevel="3" x14ac:dyDescent="0.25">
      <c r="A2893" s="4" t="s">
        <v>421</v>
      </c>
      <c r="B2893" t="s">
        <v>422</v>
      </c>
      <c r="C2893" t="s">
        <v>4236</v>
      </c>
      <c r="D2893" t="s">
        <v>202</v>
      </c>
      <c r="E2893" t="s">
        <v>83</v>
      </c>
      <c r="F2893" t="s">
        <v>37</v>
      </c>
    </row>
    <row r="2894" spans="1:6" outlineLevel="3" x14ac:dyDescent="0.25">
      <c r="A2894" s="4" t="s">
        <v>421</v>
      </c>
      <c r="B2894" t="s">
        <v>422</v>
      </c>
      <c r="C2894" t="s">
        <v>4237</v>
      </c>
      <c r="D2894" t="s">
        <v>202</v>
      </c>
      <c r="E2894" t="s">
        <v>83</v>
      </c>
      <c r="F2894" t="s">
        <v>37</v>
      </c>
    </row>
    <row r="2895" spans="1:6" outlineLevel="3" x14ac:dyDescent="0.25">
      <c r="A2895" s="4" t="s">
        <v>421</v>
      </c>
      <c r="B2895" t="s">
        <v>422</v>
      </c>
      <c r="C2895" t="s">
        <v>4238</v>
      </c>
      <c r="D2895" t="s">
        <v>202</v>
      </c>
      <c r="E2895" t="s">
        <v>83</v>
      </c>
      <c r="F2895" t="s">
        <v>37</v>
      </c>
    </row>
    <row r="2896" spans="1:6" outlineLevel="3" x14ac:dyDescent="0.25">
      <c r="A2896" s="4" t="s">
        <v>421</v>
      </c>
      <c r="B2896" t="s">
        <v>422</v>
      </c>
      <c r="C2896" t="s">
        <v>4239</v>
      </c>
      <c r="D2896" t="s">
        <v>202</v>
      </c>
      <c r="E2896" t="s">
        <v>83</v>
      </c>
      <c r="F2896" t="s">
        <v>37</v>
      </c>
    </row>
    <row r="2897" spans="1:6" outlineLevel="3" x14ac:dyDescent="0.25">
      <c r="A2897" s="4" t="s">
        <v>421</v>
      </c>
      <c r="B2897" t="s">
        <v>422</v>
      </c>
      <c r="C2897" t="s">
        <v>4240</v>
      </c>
      <c r="D2897" t="s">
        <v>202</v>
      </c>
      <c r="E2897" t="s">
        <v>83</v>
      </c>
      <c r="F2897" t="s">
        <v>37</v>
      </c>
    </row>
    <row r="2898" spans="1:6" outlineLevel="3" x14ac:dyDescent="0.25">
      <c r="A2898" s="4" t="s">
        <v>421</v>
      </c>
      <c r="B2898" t="s">
        <v>422</v>
      </c>
      <c r="C2898" t="s">
        <v>4241</v>
      </c>
      <c r="D2898" t="s">
        <v>202</v>
      </c>
      <c r="E2898" t="s">
        <v>83</v>
      </c>
      <c r="F2898" t="s">
        <v>37</v>
      </c>
    </row>
    <row r="2899" spans="1:6" outlineLevel="3" x14ac:dyDescent="0.25">
      <c r="A2899" s="4" t="s">
        <v>421</v>
      </c>
      <c r="B2899" t="s">
        <v>422</v>
      </c>
      <c r="C2899" t="s">
        <v>4242</v>
      </c>
      <c r="D2899" t="s">
        <v>435</v>
      </c>
      <c r="E2899" t="s">
        <v>83</v>
      </c>
      <c r="F2899" t="s">
        <v>37</v>
      </c>
    </row>
    <row r="2900" spans="1:6" outlineLevel="3" x14ac:dyDescent="0.25">
      <c r="A2900" s="4" t="s">
        <v>421</v>
      </c>
      <c r="B2900" t="s">
        <v>422</v>
      </c>
      <c r="C2900" t="s">
        <v>4243</v>
      </c>
      <c r="D2900" t="s">
        <v>126</v>
      </c>
      <c r="E2900" t="s">
        <v>83</v>
      </c>
      <c r="F2900" t="s">
        <v>37</v>
      </c>
    </row>
    <row r="2901" spans="1:6" outlineLevel="3" x14ac:dyDescent="0.25">
      <c r="A2901" s="4" t="s">
        <v>421</v>
      </c>
      <c r="B2901" t="s">
        <v>422</v>
      </c>
      <c r="C2901" t="s">
        <v>4244</v>
      </c>
      <c r="D2901" t="s">
        <v>126</v>
      </c>
      <c r="E2901" t="s">
        <v>83</v>
      </c>
      <c r="F2901" t="s">
        <v>37</v>
      </c>
    </row>
    <row r="2902" spans="1:6" outlineLevel="3" x14ac:dyDescent="0.25">
      <c r="A2902" s="4" t="s">
        <v>421</v>
      </c>
      <c r="B2902" t="s">
        <v>422</v>
      </c>
      <c r="C2902" t="s">
        <v>4245</v>
      </c>
      <c r="D2902" t="s">
        <v>78</v>
      </c>
      <c r="E2902" t="s">
        <v>83</v>
      </c>
      <c r="F2902" t="s">
        <v>37</v>
      </c>
    </row>
    <row r="2903" spans="1:6" outlineLevel="3" x14ac:dyDescent="0.25">
      <c r="A2903" s="4" t="s">
        <v>421</v>
      </c>
      <c r="B2903" t="s">
        <v>422</v>
      </c>
      <c r="C2903" t="s">
        <v>4246</v>
      </c>
      <c r="D2903" t="s">
        <v>13</v>
      </c>
      <c r="E2903" t="s">
        <v>83</v>
      </c>
      <c r="F2903" t="s">
        <v>37</v>
      </c>
    </row>
    <row r="2904" spans="1:6" outlineLevel="3" x14ac:dyDescent="0.25">
      <c r="A2904" s="4" t="s">
        <v>421</v>
      </c>
      <c r="B2904" t="s">
        <v>422</v>
      </c>
      <c r="C2904" t="s">
        <v>2013</v>
      </c>
      <c r="D2904" t="s">
        <v>13</v>
      </c>
      <c r="E2904" t="s">
        <v>83</v>
      </c>
      <c r="F2904" t="s">
        <v>37</v>
      </c>
    </row>
    <row r="2905" spans="1:6" outlineLevel="3" x14ac:dyDescent="0.25">
      <c r="A2905" s="4" t="s">
        <v>421</v>
      </c>
      <c r="B2905" t="s">
        <v>422</v>
      </c>
      <c r="C2905" t="s">
        <v>4247</v>
      </c>
      <c r="D2905" t="s">
        <v>13</v>
      </c>
      <c r="E2905" t="s">
        <v>83</v>
      </c>
      <c r="F2905" t="s">
        <v>37</v>
      </c>
    </row>
    <row r="2906" spans="1:6" outlineLevel="3" x14ac:dyDescent="0.25">
      <c r="A2906" s="4" t="s">
        <v>421</v>
      </c>
      <c r="B2906" t="s">
        <v>422</v>
      </c>
      <c r="C2906" t="s">
        <v>4248</v>
      </c>
      <c r="D2906" t="s">
        <v>13</v>
      </c>
      <c r="E2906" t="s">
        <v>83</v>
      </c>
      <c r="F2906" t="s">
        <v>37</v>
      </c>
    </row>
    <row r="2907" spans="1:6" outlineLevel="3" x14ac:dyDescent="0.25">
      <c r="A2907" s="4" t="s">
        <v>421</v>
      </c>
      <c r="B2907" t="s">
        <v>422</v>
      </c>
      <c r="C2907" t="s">
        <v>4249</v>
      </c>
      <c r="D2907" t="s">
        <v>126</v>
      </c>
      <c r="E2907" t="s">
        <v>83</v>
      </c>
      <c r="F2907" t="s">
        <v>37</v>
      </c>
    </row>
    <row r="2908" spans="1:6" outlineLevel="3" x14ac:dyDescent="0.25">
      <c r="A2908" s="4" t="s">
        <v>421</v>
      </c>
      <c r="B2908" t="s">
        <v>422</v>
      </c>
      <c r="C2908" t="s">
        <v>2014</v>
      </c>
      <c r="D2908" t="s">
        <v>126</v>
      </c>
      <c r="E2908" t="s">
        <v>83</v>
      </c>
      <c r="F2908" t="s">
        <v>37</v>
      </c>
    </row>
    <row r="2909" spans="1:6" outlineLevel="3" x14ac:dyDescent="0.25">
      <c r="A2909" s="4" t="s">
        <v>421</v>
      </c>
      <c r="B2909" t="s">
        <v>422</v>
      </c>
      <c r="C2909" t="s">
        <v>4250</v>
      </c>
      <c r="D2909" t="s">
        <v>202</v>
      </c>
      <c r="E2909" t="s">
        <v>83</v>
      </c>
      <c r="F2909" t="s">
        <v>37</v>
      </c>
    </row>
    <row r="2910" spans="1:6" outlineLevel="3" x14ac:dyDescent="0.25">
      <c r="A2910" s="4" t="s">
        <v>421</v>
      </c>
      <c r="B2910" t="s">
        <v>422</v>
      </c>
      <c r="C2910" t="s">
        <v>4251</v>
      </c>
      <c r="D2910" t="s">
        <v>126</v>
      </c>
      <c r="E2910" t="s">
        <v>83</v>
      </c>
      <c r="F2910" t="s">
        <v>37</v>
      </c>
    </row>
    <row r="2911" spans="1:6" outlineLevel="3" x14ac:dyDescent="0.25">
      <c r="A2911" s="4" t="s">
        <v>421</v>
      </c>
      <c r="B2911" t="s">
        <v>422</v>
      </c>
      <c r="C2911" t="s">
        <v>4252</v>
      </c>
      <c r="D2911" t="s">
        <v>126</v>
      </c>
      <c r="E2911" t="s">
        <v>83</v>
      </c>
      <c r="F2911" t="s">
        <v>37</v>
      </c>
    </row>
    <row r="2912" spans="1:6" outlineLevel="3" x14ac:dyDescent="0.25">
      <c r="A2912" s="4" t="s">
        <v>421</v>
      </c>
      <c r="B2912" t="s">
        <v>422</v>
      </c>
      <c r="C2912" t="s">
        <v>4253</v>
      </c>
      <c r="D2912" t="s">
        <v>413</v>
      </c>
      <c r="E2912" t="s">
        <v>83</v>
      </c>
      <c r="F2912" t="s">
        <v>37</v>
      </c>
    </row>
    <row r="2913" spans="1:6" outlineLevel="3" x14ac:dyDescent="0.25">
      <c r="A2913" s="4" t="s">
        <v>421</v>
      </c>
      <c r="B2913" t="s">
        <v>422</v>
      </c>
      <c r="C2913" t="s">
        <v>2015</v>
      </c>
      <c r="D2913" t="s">
        <v>126</v>
      </c>
      <c r="E2913" t="s">
        <v>83</v>
      </c>
      <c r="F2913" t="s">
        <v>37</v>
      </c>
    </row>
    <row r="2914" spans="1:6" outlineLevel="3" x14ac:dyDescent="0.25">
      <c r="A2914" s="4" t="s">
        <v>421</v>
      </c>
      <c r="B2914" t="s">
        <v>422</v>
      </c>
      <c r="C2914" t="s">
        <v>4254</v>
      </c>
      <c r="D2914" t="s">
        <v>126</v>
      </c>
      <c r="E2914" t="s">
        <v>83</v>
      </c>
      <c r="F2914" t="s">
        <v>37</v>
      </c>
    </row>
    <row r="2915" spans="1:6" outlineLevel="3" x14ac:dyDescent="0.25">
      <c r="A2915" s="4" t="s">
        <v>421</v>
      </c>
      <c r="B2915" t="s">
        <v>422</v>
      </c>
      <c r="C2915" t="s">
        <v>4255</v>
      </c>
      <c r="D2915" t="s">
        <v>126</v>
      </c>
      <c r="E2915" t="s">
        <v>83</v>
      </c>
      <c r="F2915" t="s">
        <v>37</v>
      </c>
    </row>
    <row r="2916" spans="1:6" outlineLevel="3" x14ac:dyDescent="0.25">
      <c r="A2916" s="4" t="s">
        <v>421</v>
      </c>
      <c r="B2916" t="s">
        <v>422</v>
      </c>
      <c r="C2916" t="s">
        <v>2016</v>
      </c>
      <c r="D2916" t="s">
        <v>6</v>
      </c>
      <c r="E2916" t="s">
        <v>83</v>
      </c>
      <c r="F2916" t="s">
        <v>37</v>
      </c>
    </row>
    <row r="2917" spans="1:6" outlineLevel="3" x14ac:dyDescent="0.25">
      <c r="A2917" s="4" t="s">
        <v>421</v>
      </c>
      <c r="B2917" t="s">
        <v>422</v>
      </c>
      <c r="C2917" t="s">
        <v>4256</v>
      </c>
      <c r="D2917" t="s">
        <v>165</v>
      </c>
      <c r="E2917" t="s">
        <v>83</v>
      </c>
      <c r="F2917" t="s">
        <v>37</v>
      </c>
    </row>
    <row r="2918" spans="1:6" outlineLevel="3" x14ac:dyDescent="0.25">
      <c r="A2918" s="4" t="s">
        <v>421</v>
      </c>
      <c r="B2918" t="s">
        <v>422</v>
      </c>
      <c r="C2918" t="s">
        <v>4257</v>
      </c>
      <c r="D2918" t="s">
        <v>126</v>
      </c>
      <c r="E2918" t="s">
        <v>83</v>
      </c>
      <c r="F2918" t="s">
        <v>37</v>
      </c>
    </row>
    <row r="2919" spans="1:6" outlineLevel="3" x14ac:dyDescent="0.25">
      <c r="A2919" s="4" t="s">
        <v>421</v>
      </c>
      <c r="B2919" t="s">
        <v>422</v>
      </c>
      <c r="C2919" t="s">
        <v>4258</v>
      </c>
      <c r="D2919" t="s">
        <v>6</v>
      </c>
      <c r="E2919" t="s">
        <v>83</v>
      </c>
      <c r="F2919" t="s">
        <v>37</v>
      </c>
    </row>
    <row r="2920" spans="1:6" outlineLevel="3" x14ac:dyDescent="0.25">
      <c r="A2920" s="4" t="s">
        <v>421</v>
      </c>
      <c r="B2920" t="s">
        <v>422</v>
      </c>
      <c r="C2920" t="s">
        <v>4259</v>
      </c>
      <c r="D2920" t="s">
        <v>202</v>
      </c>
      <c r="E2920" t="s">
        <v>83</v>
      </c>
      <c r="F2920" t="s">
        <v>37</v>
      </c>
    </row>
    <row r="2921" spans="1:6" outlineLevel="3" x14ac:dyDescent="0.25">
      <c r="A2921" s="4" t="s">
        <v>421</v>
      </c>
      <c r="B2921" t="s">
        <v>422</v>
      </c>
      <c r="C2921" t="s">
        <v>4260</v>
      </c>
      <c r="D2921" t="s">
        <v>165</v>
      </c>
      <c r="E2921" t="s">
        <v>83</v>
      </c>
      <c r="F2921" t="s">
        <v>37</v>
      </c>
    </row>
    <row r="2922" spans="1:6" outlineLevel="3" x14ac:dyDescent="0.25">
      <c r="A2922" s="4" t="s">
        <v>421</v>
      </c>
      <c r="B2922" t="s">
        <v>422</v>
      </c>
      <c r="C2922" t="s">
        <v>4261</v>
      </c>
      <c r="D2922" t="s">
        <v>13</v>
      </c>
      <c r="E2922" t="s">
        <v>83</v>
      </c>
      <c r="F2922" t="s">
        <v>37</v>
      </c>
    </row>
    <row r="2923" spans="1:6" outlineLevel="3" x14ac:dyDescent="0.25">
      <c r="A2923" s="4" t="s">
        <v>421</v>
      </c>
      <c r="B2923" t="s">
        <v>422</v>
      </c>
      <c r="C2923" t="s">
        <v>4262</v>
      </c>
      <c r="D2923" t="s">
        <v>165</v>
      </c>
      <c r="E2923" t="s">
        <v>83</v>
      </c>
      <c r="F2923" t="s">
        <v>37</v>
      </c>
    </row>
    <row r="2924" spans="1:6" outlineLevel="3" x14ac:dyDescent="0.25">
      <c r="A2924" s="4" t="s">
        <v>421</v>
      </c>
      <c r="B2924" t="s">
        <v>422</v>
      </c>
      <c r="C2924" t="s">
        <v>4263</v>
      </c>
      <c r="D2924" t="s">
        <v>202</v>
      </c>
      <c r="E2924" t="s">
        <v>83</v>
      </c>
      <c r="F2924" t="s">
        <v>37</v>
      </c>
    </row>
    <row r="2925" spans="1:6" outlineLevel="3" x14ac:dyDescent="0.25">
      <c r="A2925" s="4" t="s">
        <v>421</v>
      </c>
      <c r="B2925" t="s">
        <v>422</v>
      </c>
      <c r="C2925" t="s">
        <v>4264</v>
      </c>
      <c r="D2925" t="s">
        <v>202</v>
      </c>
      <c r="E2925" t="s">
        <v>83</v>
      </c>
      <c r="F2925" t="s">
        <v>37</v>
      </c>
    </row>
    <row r="2926" spans="1:6" outlineLevel="3" x14ac:dyDescent="0.25">
      <c r="A2926" s="4" t="s">
        <v>421</v>
      </c>
      <c r="B2926" t="s">
        <v>422</v>
      </c>
      <c r="C2926" t="s">
        <v>4265</v>
      </c>
      <c r="D2926" t="s">
        <v>165</v>
      </c>
      <c r="E2926" t="s">
        <v>83</v>
      </c>
      <c r="F2926" t="s">
        <v>37</v>
      </c>
    </row>
    <row r="2927" spans="1:6" outlineLevel="3" x14ac:dyDescent="0.25">
      <c r="A2927" s="4" t="s">
        <v>421</v>
      </c>
      <c r="B2927" t="s">
        <v>422</v>
      </c>
      <c r="C2927" t="s">
        <v>4266</v>
      </c>
      <c r="D2927" t="s">
        <v>437</v>
      </c>
      <c r="E2927" t="s">
        <v>83</v>
      </c>
      <c r="F2927" t="s">
        <v>37</v>
      </c>
    </row>
    <row r="2928" spans="1:6" outlineLevel="3" x14ac:dyDescent="0.25">
      <c r="A2928" s="4" t="s">
        <v>421</v>
      </c>
      <c r="B2928" t="s">
        <v>422</v>
      </c>
      <c r="C2928" t="s">
        <v>4267</v>
      </c>
      <c r="D2928" t="s">
        <v>165</v>
      </c>
      <c r="E2928" t="s">
        <v>83</v>
      </c>
      <c r="F2928" t="s">
        <v>37</v>
      </c>
    </row>
    <row r="2929" spans="1:6" outlineLevel="3" x14ac:dyDescent="0.25">
      <c r="A2929" s="4" t="s">
        <v>421</v>
      </c>
      <c r="B2929" t="s">
        <v>422</v>
      </c>
      <c r="C2929" t="s">
        <v>4268</v>
      </c>
      <c r="D2929" t="s">
        <v>165</v>
      </c>
      <c r="E2929" t="s">
        <v>83</v>
      </c>
      <c r="F2929" t="s">
        <v>37</v>
      </c>
    </row>
    <row r="2930" spans="1:6" outlineLevel="3" x14ac:dyDescent="0.25">
      <c r="A2930" s="4" t="s">
        <v>421</v>
      </c>
      <c r="B2930" t="s">
        <v>422</v>
      </c>
      <c r="C2930" t="s">
        <v>4269</v>
      </c>
      <c r="D2930" t="s">
        <v>165</v>
      </c>
      <c r="E2930" t="s">
        <v>83</v>
      </c>
      <c r="F2930" t="s">
        <v>37</v>
      </c>
    </row>
    <row r="2931" spans="1:6" outlineLevel="3" x14ac:dyDescent="0.25">
      <c r="A2931" s="4" t="s">
        <v>421</v>
      </c>
      <c r="B2931" t="s">
        <v>422</v>
      </c>
      <c r="C2931" t="s">
        <v>4270</v>
      </c>
      <c r="D2931" t="s">
        <v>126</v>
      </c>
      <c r="E2931" t="s">
        <v>83</v>
      </c>
      <c r="F2931" t="s">
        <v>37</v>
      </c>
    </row>
    <row r="2932" spans="1:6" outlineLevel="3" x14ac:dyDescent="0.25">
      <c r="A2932" s="4" t="s">
        <v>421</v>
      </c>
      <c r="B2932" t="s">
        <v>422</v>
      </c>
      <c r="C2932" t="s">
        <v>4271</v>
      </c>
      <c r="D2932" t="s">
        <v>13</v>
      </c>
      <c r="E2932" t="s">
        <v>83</v>
      </c>
      <c r="F2932" t="s">
        <v>37</v>
      </c>
    </row>
    <row r="2933" spans="1:6" outlineLevel="3" x14ac:dyDescent="0.25">
      <c r="A2933" s="4" t="s">
        <v>421</v>
      </c>
      <c r="B2933" t="s">
        <v>422</v>
      </c>
      <c r="C2933" t="s">
        <v>4272</v>
      </c>
      <c r="D2933" t="s">
        <v>398</v>
      </c>
      <c r="E2933" t="s">
        <v>83</v>
      </c>
      <c r="F2933" t="s">
        <v>37</v>
      </c>
    </row>
    <row r="2934" spans="1:6" outlineLevel="3" x14ac:dyDescent="0.25">
      <c r="A2934" s="4" t="s">
        <v>421</v>
      </c>
      <c r="B2934" t="s">
        <v>422</v>
      </c>
      <c r="C2934" t="s">
        <v>2017</v>
      </c>
      <c r="D2934" t="s">
        <v>398</v>
      </c>
      <c r="E2934" t="s">
        <v>83</v>
      </c>
      <c r="F2934" t="s">
        <v>37</v>
      </c>
    </row>
    <row r="2935" spans="1:6" outlineLevel="3" x14ac:dyDescent="0.25">
      <c r="A2935" s="4" t="s">
        <v>421</v>
      </c>
      <c r="B2935" t="s">
        <v>422</v>
      </c>
      <c r="C2935" t="s">
        <v>2018</v>
      </c>
      <c r="D2935" t="s">
        <v>13</v>
      </c>
      <c r="E2935" t="s">
        <v>83</v>
      </c>
      <c r="F2935" t="s">
        <v>37</v>
      </c>
    </row>
    <row r="2936" spans="1:6" outlineLevel="3" x14ac:dyDescent="0.25">
      <c r="A2936" s="4" t="s">
        <v>421</v>
      </c>
      <c r="B2936" t="s">
        <v>422</v>
      </c>
      <c r="C2936" t="s">
        <v>4273</v>
      </c>
      <c r="D2936" t="s">
        <v>6</v>
      </c>
      <c r="E2936" t="s">
        <v>83</v>
      </c>
      <c r="F2936" t="s">
        <v>37</v>
      </c>
    </row>
    <row r="2937" spans="1:6" outlineLevel="3" x14ac:dyDescent="0.25">
      <c r="A2937" s="4" t="s">
        <v>421</v>
      </c>
      <c r="B2937" t="s">
        <v>422</v>
      </c>
      <c r="C2937" t="s">
        <v>4274</v>
      </c>
      <c r="D2937" t="s">
        <v>78</v>
      </c>
      <c r="E2937" t="s">
        <v>83</v>
      </c>
      <c r="F2937" t="s">
        <v>37</v>
      </c>
    </row>
    <row r="2938" spans="1:6" outlineLevel="3" x14ac:dyDescent="0.25">
      <c r="A2938" s="4" t="s">
        <v>421</v>
      </c>
      <c r="B2938" t="s">
        <v>422</v>
      </c>
      <c r="C2938" t="s">
        <v>4275</v>
      </c>
      <c r="D2938" t="s">
        <v>126</v>
      </c>
      <c r="E2938" t="s">
        <v>83</v>
      </c>
      <c r="F2938" t="s">
        <v>37</v>
      </c>
    </row>
    <row r="2939" spans="1:6" outlineLevel="3" x14ac:dyDescent="0.25">
      <c r="A2939" s="4" t="s">
        <v>421</v>
      </c>
      <c r="B2939" t="s">
        <v>422</v>
      </c>
      <c r="C2939" t="s">
        <v>4276</v>
      </c>
      <c r="D2939" t="s">
        <v>126</v>
      </c>
      <c r="E2939" t="s">
        <v>83</v>
      </c>
      <c r="F2939" t="s">
        <v>37</v>
      </c>
    </row>
    <row r="2940" spans="1:6" outlineLevel="3" x14ac:dyDescent="0.25">
      <c r="A2940" s="4" t="s">
        <v>421</v>
      </c>
      <c r="B2940" t="s">
        <v>422</v>
      </c>
      <c r="C2940" t="s">
        <v>4277</v>
      </c>
      <c r="D2940" t="s">
        <v>126</v>
      </c>
      <c r="E2940" t="s">
        <v>83</v>
      </c>
      <c r="F2940" t="s">
        <v>37</v>
      </c>
    </row>
    <row r="2941" spans="1:6" outlineLevel="3" x14ac:dyDescent="0.25">
      <c r="A2941" s="4" t="s">
        <v>421</v>
      </c>
      <c r="B2941" t="s">
        <v>422</v>
      </c>
      <c r="C2941" t="s">
        <v>4278</v>
      </c>
      <c r="D2941" t="s">
        <v>78</v>
      </c>
      <c r="E2941" t="s">
        <v>83</v>
      </c>
      <c r="F2941" t="s">
        <v>37</v>
      </c>
    </row>
    <row r="2942" spans="1:6" outlineLevel="3" x14ac:dyDescent="0.25">
      <c r="A2942" s="4" t="s">
        <v>421</v>
      </c>
      <c r="B2942" t="s">
        <v>422</v>
      </c>
      <c r="C2942" t="s">
        <v>4279</v>
      </c>
      <c r="D2942" t="s">
        <v>78</v>
      </c>
      <c r="E2942" t="s">
        <v>83</v>
      </c>
      <c r="F2942" t="s">
        <v>37</v>
      </c>
    </row>
    <row r="2943" spans="1:6" outlineLevel="3" x14ac:dyDescent="0.25">
      <c r="A2943" s="4" t="s">
        <v>421</v>
      </c>
      <c r="B2943" t="s">
        <v>422</v>
      </c>
      <c r="C2943" t="s">
        <v>4280</v>
      </c>
      <c r="D2943" t="s">
        <v>78</v>
      </c>
      <c r="E2943" t="s">
        <v>83</v>
      </c>
      <c r="F2943" t="s">
        <v>37</v>
      </c>
    </row>
    <row r="2944" spans="1:6" outlineLevel="3" x14ac:dyDescent="0.25">
      <c r="A2944" s="4" t="s">
        <v>421</v>
      </c>
      <c r="B2944" t="s">
        <v>422</v>
      </c>
      <c r="C2944" t="s">
        <v>4281</v>
      </c>
      <c r="D2944" t="s">
        <v>126</v>
      </c>
      <c r="E2944" t="s">
        <v>83</v>
      </c>
      <c r="F2944" t="s">
        <v>37</v>
      </c>
    </row>
    <row r="2945" spans="1:6" outlineLevel="3" x14ac:dyDescent="0.25">
      <c r="A2945" s="4" t="s">
        <v>421</v>
      </c>
      <c r="B2945" t="s">
        <v>422</v>
      </c>
      <c r="C2945" t="s">
        <v>4282</v>
      </c>
      <c r="D2945" t="s">
        <v>126</v>
      </c>
      <c r="E2945" t="s">
        <v>83</v>
      </c>
      <c r="F2945" t="s">
        <v>37</v>
      </c>
    </row>
    <row r="2946" spans="1:6" outlineLevel="3" x14ac:dyDescent="0.25">
      <c r="A2946" s="4" t="s">
        <v>421</v>
      </c>
      <c r="B2946" t="s">
        <v>422</v>
      </c>
      <c r="C2946" t="s">
        <v>4283</v>
      </c>
      <c r="D2946" t="s">
        <v>126</v>
      </c>
      <c r="E2946" t="s">
        <v>83</v>
      </c>
      <c r="F2946" t="s">
        <v>37</v>
      </c>
    </row>
    <row r="2947" spans="1:6" outlineLevel="3" x14ac:dyDescent="0.25">
      <c r="A2947" s="4" t="s">
        <v>421</v>
      </c>
      <c r="B2947" t="s">
        <v>422</v>
      </c>
      <c r="C2947" t="s">
        <v>4284</v>
      </c>
      <c r="D2947" t="s">
        <v>126</v>
      </c>
      <c r="E2947" t="s">
        <v>83</v>
      </c>
      <c r="F2947" t="s">
        <v>37</v>
      </c>
    </row>
    <row r="2948" spans="1:6" outlineLevel="3" x14ac:dyDescent="0.25">
      <c r="A2948" s="4" t="s">
        <v>421</v>
      </c>
      <c r="B2948" t="s">
        <v>422</v>
      </c>
      <c r="C2948" t="s">
        <v>4285</v>
      </c>
      <c r="D2948" t="s">
        <v>78</v>
      </c>
      <c r="E2948" t="s">
        <v>83</v>
      </c>
      <c r="F2948" t="s">
        <v>37</v>
      </c>
    </row>
    <row r="2949" spans="1:6" outlineLevel="3" x14ac:dyDescent="0.25">
      <c r="A2949" s="4" t="s">
        <v>421</v>
      </c>
      <c r="B2949" t="s">
        <v>422</v>
      </c>
      <c r="C2949" t="s">
        <v>4286</v>
      </c>
      <c r="D2949" t="s">
        <v>78</v>
      </c>
      <c r="E2949" t="s">
        <v>83</v>
      </c>
      <c r="F2949" t="s">
        <v>37</v>
      </c>
    </row>
    <row r="2950" spans="1:6" outlineLevel="3" x14ac:dyDescent="0.25">
      <c r="A2950" s="4" t="s">
        <v>421</v>
      </c>
      <c r="B2950" t="s">
        <v>422</v>
      </c>
      <c r="C2950" t="s">
        <v>4287</v>
      </c>
      <c r="D2950" t="s">
        <v>78</v>
      </c>
      <c r="E2950" t="s">
        <v>83</v>
      </c>
      <c r="F2950" t="s">
        <v>37</v>
      </c>
    </row>
    <row r="2951" spans="1:6" outlineLevel="3" x14ac:dyDescent="0.25">
      <c r="A2951" s="4" t="s">
        <v>421</v>
      </c>
      <c r="B2951" t="s">
        <v>422</v>
      </c>
      <c r="C2951" t="s">
        <v>4288</v>
      </c>
      <c r="D2951" t="s">
        <v>126</v>
      </c>
      <c r="E2951" t="s">
        <v>83</v>
      </c>
      <c r="F2951" t="s">
        <v>37</v>
      </c>
    </row>
    <row r="2952" spans="1:6" outlineLevel="3" x14ac:dyDescent="0.25">
      <c r="A2952" s="4" t="s">
        <v>421</v>
      </c>
      <c r="B2952" t="s">
        <v>422</v>
      </c>
      <c r="C2952" t="s">
        <v>4289</v>
      </c>
      <c r="D2952" t="s">
        <v>78</v>
      </c>
      <c r="E2952" t="s">
        <v>83</v>
      </c>
      <c r="F2952" t="s">
        <v>37</v>
      </c>
    </row>
    <row r="2953" spans="1:6" outlineLevel="3" x14ac:dyDescent="0.25">
      <c r="A2953" s="4" t="s">
        <v>421</v>
      </c>
      <c r="B2953" t="s">
        <v>422</v>
      </c>
      <c r="C2953" t="s">
        <v>4290</v>
      </c>
      <c r="D2953" t="s">
        <v>78</v>
      </c>
      <c r="E2953" t="s">
        <v>83</v>
      </c>
      <c r="F2953" t="s">
        <v>37</v>
      </c>
    </row>
    <row r="2954" spans="1:6" outlineLevel="3" x14ac:dyDescent="0.25">
      <c r="A2954" s="4" t="s">
        <v>421</v>
      </c>
      <c r="B2954" t="s">
        <v>422</v>
      </c>
      <c r="C2954" t="s">
        <v>4291</v>
      </c>
      <c r="D2954" t="s">
        <v>78</v>
      </c>
      <c r="E2954" t="s">
        <v>83</v>
      </c>
      <c r="F2954" t="s">
        <v>37</v>
      </c>
    </row>
    <row r="2955" spans="1:6" outlineLevel="3" x14ac:dyDescent="0.25">
      <c r="A2955" s="4" t="s">
        <v>421</v>
      </c>
      <c r="B2955" t="s">
        <v>422</v>
      </c>
      <c r="C2955" t="s">
        <v>4292</v>
      </c>
      <c r="D2955" t="s">
        <v>126</v>
      </c>
      <c r="E2955" t="s">
        <v>83</v>
      </c>
      <c r="F2955" t="s">
        <v>37</v>
      </c>
    </row>
    <row r="2956" spans="1:6" outlineLevel="3" x14ac:dyDescent="0.25">
      <c r="A2956" s="4" t="s">
        <v>421</v>
      </c>
      <c r="B2956" t="s">
        <v>422</v>
      </c>
      <c r="C2956" t="s">
        <v>4293</v>
      </c>
      <c r="D2956" t="s">
        <v>126</v>
      </c>
      <c r="E2956" t="s">
        <v>83</v>
      </c>
      <c r="F2956" t="s">
        <v>37</v>
      </c>
    </row>
    <row r="2957" spans="1:6" outlineLevel="3" x14ac:dyDescent="0.25">
      <c r="A2957" s="4" t="s">
        <v>421</v>
      </c>
      <c r="B2957" t="s">
        <v>422</v>
      </c>
      <c r="C2957" t="s">
        <v>4294</v>
      </c>
      <c r="D2957" t="s">
        <v>126</v>
      </c>
      <c r="E2957" t="s">
        <v>83</v>
      </c>
      <c r="F2957" t="s">
        <v>37</v>
      </c>
    </row>
    <row r="2958" spans="1:6" outlineLevel="3" x14ac:dyDescent="0.25">
      <c r="A2958" s="4" t="s">
        <v>421</v>
      </c>
      <c r="B2958" t="s">
        <v>422</v>
      </c>
      <c r="C2958" t="s">
        <v>4295</v>
      </c>
      <c r="D2958" t="s">
        <v>126</v>
      </c>
      <c r="E2958" t="s">
        <v>83</v>
      </c>
      <c r="F2958" t="s">
        <v>37</v>
      </c>
    </row>
    <row r="2959" spans="1:6" outlineLevel="3" x14ac:dyDescent="0.25">
      <c r="A2959" s="4" t="s">
        <v>421</v>
      </c>
      <c r="B2959" t="s">
        <v>422</v>
      </c>
      <c r="C2959" t="s">
        <v>4296</v>
      </c>
      <c r="D2959" t="s">
        <v>126</v>
      </c>
      <c r="E2959" t="s">
        <v>83</v>
      </c>
      <c r="F2959" t="s">
        <v>37</v>
      </c>
    </row>
    <row r="2960" spans="1:6" outlineLevel="3" x14ac:dyDescent="0.25">
      <c r="A2960" s="4" t="s">
        <v>421</v>
      </c>
      <c r="B2960" t="s">
        <v>422</v>
      </c>
      <c r="C2960" t="s">
        <v>4297</v>
      </c>
      <c r="D2960" t="s">
        <v>126</v>
      </c>
      <c r="E2960" t="s">
        <v>83</v>
      </c>
      <c r="F2960" t="s">
        <v>37</v>
      </c>
    </row>
    <row r="2961" spans="1:6" outlineLevel="3" x14ac:dyDescent="0.25">
      <c r="A2961" s="4" t="s">
        <v>421</v>
      </c>
      <c r="B2961" t="s">
        <v>422</v>
      </c>
      <c r="C2961" t="s">
        <v>4298</v>
      </c>
      <c r="D2961" t="s">
        <v>78</v>
      </c>
      <c r="E2961" t="s">
        <v>83</v>
      </c>
      <c r="F2961" t="s">
        <v>37</v>
      </c>
    </row>
    <row r="2962" spans="1:6" outlineLevel="3" x14ac:dyDescent="0.25">
      <c r="A2962" s="4" t="s">
        <v>421</v>
      </c>
      <c r="B2962" t="s">
        <v>422</v>
      </c>
      <c r="C2962" t="s">
        <v>4299</v>
      </c>
      <c r="D2962" t="s">
        <v>126</v>
      </c>
      <c r="E2962" t="s">
        <v>83</v>
      </c>
      <c r="F2962" t="s">
        <v>37</v>
      </c>
    </row>
    <row r="2963" spans="1:6" outlineLevel="3" x14ac:dyDescent="0.25">
      <c r="A2963" s="4" t="s">
        <v>421</v>
      </c>
      <c r="B2963" t="s">
        <v>422</v>
      </c>
      <c r="C2963" t="s">
        <v>4300</v>
      </c>
      <c r="D2963" t="s">
        <v>126</v>
      </c>
      <c r="E2963" t="s">
        <v>83</v>
      </c>
      <c r="F2963" t="s">
        <v>37</v>
      </c>
    </row>
    <row r="2964" spans="1:6" outlineLevel="3" x14ac:dyDescent="0.25">
      <c r="A2964" s="4" t="s">
        <v>421</v>
      </c>
      <c r="B2964" t="s">
        <v>422</v>
      </c>
      <c r="C2964" t="s">
        <v>4301</v>
      </c>
      <c r="D2964" t="s">
        <v>126</v>
      </c>
      <c r="E2964" t="s">
        <v>83</v>
      </c>
      <c r="F2964" t="s">
        <v>37</v>
      </c>
    </row>
    <row r="2965" spans="1:6" outlineLevel="3" x14ac:dyDescent="0.25">
      <c r="A2965" s="4" t="s">
        <v>421</v>
      </c>
      <c r="B2965" t="s">
        <v>422</v>
      </c>
      <c r="C2965" t="s">
        <v>4302</v>
      </c>
      <c r="D2965" t="s">
        <v>126</v>
      </c>
      <c r="E2965" t="s">
        <v>83</v>
      </c>
      <c r="F2965" t="s">
        <v>37</v>
      </c>
    </row>
    <row r="2966" spans="1:6" outlineLevel="3" x14ac:dyDescent="0.25">
      <c r="A2966" s="4" t="s">
        <v>421</v>
      </c>
      <c r="B2966" t="s">
        <v>422</v>
      </c>
      <c r="C2966" t="s">
        <v>4303</v>
      </c>
      <c r="D2966" t="s">
        <v>126</v>
      </c>
      <c r="E2966" t="s">
        <v>83</v>
      </c>
      <c r="F2966" t="s">
        <v>37</v>
      </c>
    </row>
    <row r="2967" spans="1:6" outlineLevel="3" x14ac:dyDescent="0.25">
      <c r="A2967" s="4" t="s">
        <v>421</v>
      </c>
      <c r="B2967" t="s">
        <v>422</v>
      </c>
      <c r="C2967" t="s">
        <v>4304</v>
      </c>
      <c r="D2967" t="s">
        <v>1512</v>
      </c>
      <c r="E2967" t="s">
        <v>83</v>
      </c>
      <c r="F2967" t="s">
        <v>37</v>
      </c>
    </row>
    <row r="2968" spans="1:6" outlineLevel="3" x14ac:dyDescent="0.25">
      <c r="A2968" s="4" t="s">
        <v>421</v>
      </c>
      <c r="B2968" t="s">
        <v>422</v>
      </c>
      <c r="C2968" t="s">
        <v>4305</v>
      </c>
      <c r="D2968" t="s">
        <v>430</v>
      </c>
      <c r="E2968" t="s">
        <v>83</v>
      </c>
      <c r="F2968" t="s">
        <v>37</v>
      </c>
    </row>
    <row r="2969" spans="1:6" outlineLevel="3" x14ac:dyDescent="0.25">
      <c r="A2969" s="4" t="s">
        <v>421</v>
      </c>
      <c r="B2969" t="s">
        <v>422</v>
      </c>
      <c r="C2969" t="s">
        <v>4306</v>
      </c>
      <c r="D2969" t="s">
        <v>103</v>
      </c>
      <c r="E2969" t="s">
        <v>83</v>
      </c>
      <c r="F2969" t="s">
        <v>37</v>
      </c>
    </row>
    <row r="2970" spans="1:6" outlineLevel="3" x14ac:dyDescent="0.25">
      <c r="A2970" s="4" t="s">
        <v>421</v>
      </c>
      <c r="B2970" t="s">
        <v>422</v>
      </c>
      <c r="C2970" t="s">
        <v>4024</v>
      </c>
      <c r="D2970" t="s">
        <v>13</v>
      </c>
      <c r="E2970" t="s">
        <v>206</v>
      </c>
      <c r="F2970" t="s">
        <v>37</v>
      </c>
    </row>
    <row r="2971" spans="1:6" outlineLevel="3" x14ac:dyDescent="0.25">
      <c r="A2971" s="4" t="s">
        <v>421</v>
      </c>
      <c r="B2971" t="s">
        <v>422</v>
      </c>
      <c r="C2971" t="s">
        <v>1786</v>
      </c>
      <c r="D2971" t="s">
        <v>165</v>
      </c>
      <c r="E2971" t="s">
        <v>206</v>
      </c>
      <c r="F2971" t="s">
        <v>37</v>
      </c>
    </row>
    <row r="2972" spans="1:6" outlineLevel="3" x14ac:dyDescent="0.25">
      <c r="A2972" s="4" t="s">
        <v>421</v>
      </c>
      <c r="B2972" t="s">
        <v>422</v>
      </c>
      <c r="C2972" t="s">
        <v>4025</v>
      </c>
      <c r="D2972" t="s">
        <v>165</v>
      </c>
      <c r="E2972" t="s">
        <v>206</v>
      </c>
      <c r="F2972" t="s">
        <v>37</v>
      </c>
    </row>
    <row r="2973" spans="1:6" outlineLevel="3" x14ac:dyDescent="0.25">
      <c r="A2973" s="4" t="s">
        <v>421</v>
      </c>
      <c r="B2973" t="s">
        <v>422</v>
      </c>
      <c r="C2973" t="s">
        <v>4026</v>
      </c>
      <c r="D2973" t="s">
        <v>165</v>
      </c>
      <c r="E2973" t="s">
        <v>206</v>
      </c>
      <c r="F2973" t="s">
        <v>37</v>
      </c>
    </row>
    <row r="2974" spans="1:6" outlineLevel="3" x14ac:dyDescent="0.25">
      <c r="A2974" s="4" t="s">
        <v>421</v>
      </c>
      <c r="B2974" t="s">
        <v>422</v>
      </c>
      <c r="C2974" t="s">
        <v>4027</v>
      </c>
      <c r="D2974" t="s">
        <v>124</v>
      </c>
      <c r="E2974" t="s">
        <v>206</v>
      </c>
      <c r="F2974" t="s">
        <v>37</v>
      </c>
    </row>
    <row r="2975" spans="1:6" outlineLevel="3" x14ac:dyDescent="0.25">
      <c r="A2975" s="4" t="s">
        <v>421</v>
      </c>
      <c r="B2975" t="s">
        <v>422</v>
      </c>
      <c r="C2975" t="s">
        <v>1787</v>
      </c>
      <c r="D2975" t="s">
        <v>124</v>
      </c>
      <c r="E2975" t="s">
        <v>206</v>
      </c>
      <c r="F2975" t="s">
        <v>37</v>
      </c>
    </row>
    <row r="2976" spans="1:6" outlineLevel="3" x14ac:dyDescent="0.25">
      <c r="A2976" s="4" t="s">
        <v>421</v>
      </c>
      <c r="B2976" t="s">
        <v>422</v>
      </c>
      <c r="C2976" t="s">
        <v>4028</v>
      </c>
      <c r="D2976" t="s">
        <v>165</v>
      </c>
      <c r="E2976" t="s">
        <v>206</v>
      </c>
      <c r="F2976" t="s">
        <v>37</v>
      </c>
    </row>
    <row r="2977" spans="1:6" outlineLevel="3" x14ac:dyDescent="0.25">
      <c r="A2977" s="4" t="s">
        <v>421</v>
      </c>
      <c r="B2977" t="s">
        <v>422</v>
      </c>
      <c r="C2977" t="s">
        <v>4029</v>
      </c>
      <c r="D2977" t="s">
        <v>190</v>
      </c>
      <c r="E2977" t="s">
        <v>206</v>
      </c>
      <c r="F2977" t="s">
        <v>37</v>
      </c>
    </row>
    <row r="2978" spans="1:6" outlineLevel="3" x14ac:dyDescent="0.25">
      <c r="A2978" s="4" t="s">
        <v>421</v>
      </c>
      <c r="B2978" t="s">
        <v>422</v>
      </c>
      <c r="C2978" t="s">
        <v>4030</v>
      </c>
      <c r="D2978" t="s">
        <v>190</v>
      </c>
      <c r="E2978" t="s">
        <v>206</v>
      </c>
      <c r="F2978" t="s">
        <v>37</v>
      </c>
    </row>
    <row r="2979" spans="1:6" outlineLevel="3" x14ac:dyDescent="0.25">
      <c r="A2979" s="4" t="s">
        <v>421</v>
      </c>
      <c r="B2979" t="s">
        <v>422</v>
      </c>
      <c r="C2979" t="s">
        <v>4031</v>
      </c>
      <c r="D2979" t="s">
        <v>190</v>
      </c>
      <c r="E2979" t="s">
        <v>206</v>
      </c>
      <c r="F2979" t="s">
        <v>37</v>
      </c>
    </row>
    <row r="2980" spans="1:6" outlineLevel="3" x14ac:dyDescent="0.25">
      <c r="A2980" s="4" t="s">
        <v>421</v>
      </c>
      <c r="B2980" t="s">
        <v>422</v>
      </c>
      <c r="C2980" t="s">
        <v>4032</v>
      </c>
      <c r="D2980" t="s">
        <v>13</v>
      </c>
      <c r="E2980" t="s">
        <v>1038</v>
      </c>
      <c r="F2980" t="s">
        <v>37</v>
      </c>
    </row>
    <row r="2981" spans="1:6" outlineLevel="3" x14ac:dyDescent="0.25">
      <c r="A2981" s="4" t="s">
        <v>421</v>
      </c>
      <c r="B2981" t="s">
        <v>422</v>
      </c>
      <c r="C2981" t="s">
        <v>4033</v>
      </c>
      <c r="D2981" t="s">
        <v>103</v>
      </c>
      <c r="E2981" t="s">
        <v>1038</v>
      </c>
      <c r="F2981" t="s">
        <v>37</v>
      </c>
    </row>
    <row r="2982" spans="1:6" outlineLevel="3" x14ac:dyDescent="0.25">
      <c r="A2982" s="4" t="s">
        <v>421</v>
      </c>
      <c r="B2982" t="s">
        <v>422</v>
      </c>
      <c r="C2982" t="s">
        <v>4034</v>
      </c>
      <c r="D2982" t="s">
        <v>119</v>
      </c>
      <c r="E2982" t="s">
        <v>1038</v>
      </c>
      <c r="F2982" t="s">
        <v>37</v>
      </c>
    </row>
    <row r="2983" spans="1:6" outlineLevel="3" x14ac:dyDescent="0.25">
      <c r="A2983" s="4" t="s">
        <v>421</v>
      </c>
      <c r="B2983" t="s">
        <v>422</v>
      </c>
      <c r="C2983" t="s">
        <v>4035</v>
      </c>
      <c r="D2983" t="s">
        <v>119</v>
      </c>
      <c r="E2983" t="s">
        <v>1038</v>
      </c>
      <c r="F2983" t="s">
        <v>37</v>
      </c>
    </row>
    <row r="2984" spans="1:6" outlineLevel="3" x14ac:dyDescent="0.25">
      <c r="A2984" s="4" t="s">
        <v>421</v>
      </c>
      <c r="B2984" t="s">
        <v>422</v>
      </c>
      <c r="C2984" t="s">
        <v>4036</v>
      </c>
      <c r="D2984" t="s">
        <v>119</v>
      </c>
      <c r="E2984" t="s">
        <v>1038</v>
      </c>
      <c r="F2984" t="s">
        <v>37</v>
      </c>
    </row>
    <row r="2985" spans="1:6" outlineLevel="3" x14ac:dyDescent="0.25">
      <c r="A2985" s="4" t="s">
        <v>421</v>
      </c>
      <c r="B2985" t="s">
        <v>422</v>
      </c>
      <c r="C2985" t="s">
        <v>1987</v>
      </c>
      <c r="D2985" t="s">
        <v>119</v>
      </c>
      <c r="E2985" t="s">
        <v>1038</v>
      </c>
      <c r="F2985" t="s">
        <v>37</v>
      </c>
    </row>
    <row r="2986" spans="1:6" outlineLevel="3" x14ac:dyDescent="0.25">
      <c r="A2986" s="4" t="s">
        <v>421</v>
      </c>
      <c r="B2986" t="s">
        <v>422</v>
      </c>
      <c r="C2986" t="s">
        <v>1988</v>
      </c>
      <c r="D2986" t="s">
        <v>119</v>
      </c>
      <c r="E2986" t="s">
        <v>1038</v>
      </c>
      <c r="F2986" t="s">
        <v>37</v>
      </c>
    </row>
    <row r="2987" spans="1:6" outlineLevel="3" x14ac:dyDescent="0.25">
      <c r="A2987" s="4" t="s">
        <v>421</v>
      </c>
      <c r="B2987" t="s">
        <v>422</v>
      </c>
      <c r="C2987" t="s">
        <v>4037</v>
      </c>
      <c r="D2987" t="s">
        <v>119</v>
      </c>
      <c r="E2987" t="s">
        <v>1038</v>
      </c>
      <c r="F2987" t="s">
        <v>37</v>
      </c>
    </row>
    <row r="2988" spans="1:6" outlineLevel="3" x14ac:dyDescent="0.25">
      <c r="A2988" s="4" t="s">
        <v>421</v>
      </c>
      <c r="B2988" t="s">
        <v>422</v>
      </c>
      <c r="C2988" t="s">
        <v>4038</v>
      </c>
      <c r="D2988" t="s">
        <v>119</v>
      </c>
      <c r="E2988" t="s">
        <v>1038</v>
      </c>
      <c r="F2988" t="s">
        <v>37</v>
      </c>
    </row>
    <row r="2989" spans="1:6" outlineLevel="3" x14ac:dyDescent="0.25">
      <c r="A2989" s="4" t="s">
        <v>421</v>
      </c>
      <c r="B2989" t="s">
        <v>422</v>
      </c>
      <c r="C2989" t="s">
        <v>4039</v>
      </c>
      <c r="D2989" t="s">
        <v>119</v>
      </c>
      <c r="E2989" t="s">
        <v>1038</v>
      </c>
      <c r="F2989" t="s">
        <v>37</v>
      </c>
    </row>
    <row r="2990" spans="1:6" outlineLevel="3" x14ac:dyDescent="0.25">
      <c r="A2990" s="4" t="s">
        <v>421</v>
      </c>
      <c r="B2990" t="s">
        <v>422</v>
      </c>
      <c r="C2990" t="s">
        <v>4040</v>
      </c>
      <c r="D2990" t="s">
        <v>119</v>
      </c>
      <c r="E2990" t="s">
        <v>1038</v>
      </c>
      <c r="F2990" t="s">
        <v>37</v>
      </c>
    </row>
    <row r="2991" spans="1:6" outlineLevel="3" x14ac:dyDescent="0.25">
      <c r="A2991" s="4" t="s">
        <v>421</v>
      </c>
      <c r="B2991" t="s">
        <v>422</v>
      </c>
      <c r="C2991" t="s">
        <v>4041</v>
      </c>
      <c r="D2991" t="s">
        <v>119</v>
      </c>
      <c r="E2991" t="s">
        <v>1038</v>
      </c>
      <c r="F2991" t="s">
        <v>37</v>
      </c>
    </row>
    <row r="2992" spans="1:6" outlineLevel="3" x14ac:dyDescent="0.25">
      <c r="A2992" s="4" t="s">
        <v>421</v>
      </c>
      <c r="B2992" t="s">
        <v>422</v>
      </c>
      <c r="C2992" t="s">
        <v>4042</v>
      </c>
      <c r="D2992" t="s">
        <v>119</v>
      </c>
      <c r="E2992" t="s">
        <v>1038</v>
      </c>
      <c r="F2992" t="s">
        <v>37</v>
      </c>
    </row>
    <row r="2993" spans="1:6" outlineLevel="3" x14ac:dyDescent="0.25">
      <c r="A2993" s="4" t="s">
        <v>421</v>
      </c>
      <c r="B2993" t="s">
        <v>422</v>
      </c>
      <c r="C2993" t="s">
        <v>4043</v>
      </c>
      <c r="D2993" t="s">
        <v>143</v>
      </c>
      <c r="E2993" t="s">
        <v>1038</v>
      </c>
      <c r="F2993" t="s">
        <v>37</v>
      </c>
    </row>
    <row r="2994" spans="1:6" outlineLevel="3" x14ac:dyDescent="0.25">
      <c r="A2994" s="4" t="s">
        <v>421</v>
      </c>
      <c r="B2994" t="s">
        <v>422</v>
      </c>
      <c r="C2994" t="s">
        <v>4044</v>
      </c>
      <c r="D2994" t="s">
        <v>13</v>
      </c>
      <c r="E2994" t="s">
        <v>1038</v>
      </c>
      <c r="F2994" t="s">
        <v>37</v>
      </c>
    </row>
    <row r="2995" spans="1:6" outlineLevel="3" x14ac:dyDescent="0.25">
      <c r="A2995" s="4" t="s">
        <v>421</v>
      </c>
      <c r="B2995" t="s">
        <v>422</v>
      </c>
      <c r="C2995" t="s">
        <v>4045</v>
      </c>
      <c r="D2995" t="s">
        <v>202</v>
      </c>
      <c r="E2995" t="s">
        <v>1038</v>
      </c>
      <c r="F2995" t="s">
        <v>37</v>
      </c>
    </row>
    <row r="2996" spans="1:6" outlineLevel="3" x14ac:dyDescent="0.25">
      <c r="A2996" s="4" t="s">
        <v>421</v>
      </c>
      <c r="B2996" t="s">
        <v>422</v>
      </c>
      <c r="C2996" t="s">
        <v>4046</v>
      </c>
      <c r="D2996" t="s">
        <v>275</v>
      </c>
      <c r="E2996" t="s">
        <v>1038</v>
      </c>
      <c r="F2996" t="s">
        <v>37</v>
      </c>
    </row>
    <row r="2997" spans="1:6" outlineLevel="3" x14ac:dyDescent="0.25">
      <c r="A2997" s="4" t="s">
        <v>421</v>
      </c>
      <c r="B2997" t="s">
        <v>422</v>
      </c>
      <c r="C2997" t="s">
        <v>4047</v>
      </c>
      <c r="D2997" t="s">
        <v>13</v>
      </c>
      <c r="E2997" t="s">
        <v>162</v>
      </c>
      <c r="F2997" t="s">
        <v>37</v>
      </c>
    </row>
    <row r="2998" spans="1:6" outlineLevel="3" x14ac:dyDescent="0.25">
      <c r="A2998" s="4" t="s">
        <v>421</v>
      </c>
      <c r="B2998" t="s">
        <v>422</v>
      </c>
      <c r="C2998" t="s">
        <v>4048</v>
      </c>
      <c r="D2998" t="s">
        <v>126</v>
      </c>
      <c r="E2998" t="s">
        <v>162</v>
      </c>
      <c r="F2998" t="s">
        <v>37</v>
      </c>
    </row>
    <row r="2999" spans="1:6" outlineLevel="3" x14ac:dyDescent="0.25">
      <c r="A2999" s="4" t="s">
        <v>421</v>
      </c>
      <c r="B2999" t="s">
        <v>422</v>
      </c>
      <c r="C2999" t="s">
        <v>4049</v>
      </c>
      <c r="D2999" t="s">
        <v>126</v>
      </c>
      <c r="E2999" t="s">
        <v>162</v>
      </c>
      <c r="F2999" t="s">
        <v>37</v>
      </c>
    </row>
    <row r="3000" spans="1:6" outlineLevel="3" x14ac:dyDescent="0.25">
      <c r="A3000" s="4" t="s">
        <v>421</v>
      </c>
      <c r="B3000" t="s">
        <v>422</v>
      </c>
      <c r="C3000" t="s">
        <v>4050</v>
      </c>
      <c r="D3000" t="s">
        <v>126</v>
      </c>
      <c r="E3000" t="s">
        <v>162</v>
      </c>
      <c r="F3000" t="s">
        <v>37</v>
      </c>
    </row>
    <row r="3001" spans="1:6" outlineLevel="3" x14ac:dyDescent="0.25">
      <c r="A3001" s="4" t="s">
        <v>421</v>
      </c>
      <c r="B3001" t="s">
        <v>422</v>
      </c>
      <c r="C3001" t="s">
        <v>4051</v>
      </c>
      <c r="D3001" t="s">
        <v>126</v>
      </c>
      <c r="E3001" t="s">
        <v>162</v>
      </c>
      <c r="F3001" t="s">
        <v>37</v>
      </c>
    </row>
    <row r="3002" spans="1:6" outlineLevel="3" x14ac:dyDescent="0.25">
      <c r="A3002" s="4" t="s">
        <v>421</v>
      </c>
      <c r="B3002" t="s">
        <v>422</v>
      </c>
      <c r="C3002" t="s">
        <v>4052</v>
      </c>
      <c r="D3002" t="s">
        <v>126</v>
      </c>
      <c r="E3002" t="s">
        <v>162</v>
      </c>
      <c r="F3002" t="s">
        <v>37</v>
      </c>
    </row>
    <row r="3003" spans="1:6" outlineLevel="3" x14ac:dyDescent="0.25">
      <c r="A3003" s="4" t="s">
        <v>421</v>
      </c>
      <c r="B3003" t="s">
        <v>422</v>
      </c>
      <c r="C3003" t="s">
        <v>4053</v>
      </c>
      <c r="D3003" t="s">
        <v>13</v>
      </c>
      <c r="E3003" t="s">
        <v>162</v>
      </c>
      <c r="F3003" t="s">
        <v>37</v>
      </c>
    </row>
    <row r="3004" spans="1:6" outlineLevel="3" x14ac:dyDescent="0.25">
      <c r="A3004" s="4" t="s">
        <v>421</v>
      </c>
      <c r="B3004" t="s">
        <v>422</v>
      </c>
      <c r="C3004" t="s">
        <v>4054</v>
      </c>
      <c r="D3004" t="s">
        <v>237</v>
      </c>
      <c r="E3004" t="s">
        <v>162</v>
      </c>
      <c r="F3004" t="s">
        <v>37</v>
      </c>
    </row>
    <row r="3005" spans="1:6" outlineLevel="3" x14ac:dyDescent="0.25">
      <c r="A3005" s="4" t="s">
        <v>421</v>
      </c>
      <c r="B3005" t="s">
        <v>422</v>
      </c>
      <c r="C3005" t="s">
        <v>1989</v>
      </c>
      <c r="D3005" t="s">
        <v>103</v>
      </c>
      <c r="E3005" t="s">
        <v>162</v>
      </c>
      <c r="F3005" t="s">
        <v>37</v>
      </c>
    </row>
    <row r="3006" spans="1:6" outlineLevel="3" x14ac:dyDescent="0.25">
      <c r="A3006" s="4" t="s">
        <v>421</v>
      </c>
      <c r="B3006" t="s">
        <v>422</v>
      </c>
      <c r="C3006" t="s">
        <v>4055</v>
      </c>
      <c r="D3006" t="s">
        <v>103</v>
      </c>
      <c r="E3006" t="s">
        <v>162</v>
      </c>
      <c r="F3006" t="s">
        <v>37</v>
      </c>
    </row>
    <row r="3007" spans="1:6" outlineLevel="3" x14ac:dyDescent="0.25">
      <c r="A3007" s="4" t="s">
        <v>421</v>
      </c>
      <c r="B3007" t="s">
        <v>422</v>
      </c>
      <c r="C3007" t="s">
        <v>4056</v>
      </c>
      <c r="D3007" t="s">
        <v>44</v>
      </c>
      <c r="E3007" t="s">
        <v>162</v>
      </c>
      <c r="F3007" t="s">
        <v>37</v>
      </c>
    </row>
    <row r="3008" spans="1:6" outlineLevel="3" x14ac:dyDescent="0.25">
      <c r="A3008" s="4" t="s">
        <v>421</v>
      </c>
      <c r="B3008" t="s">
        <v>422</v>
      </c>
      <c r="C3008" t="s">
        <v>4057</v>
      </c>
      <c r="D3008" t="s">
        <v>124</v>
      </c>
      <c r="E3008" t="s">
        <v>162</v>
      </c>
      <c r="F3008" t="s">
        <v>37</v>
      </c>
    </row>
    <row r="3009" spans="1:6" outlineLevel="3" x14ac:dyDescent="0.25">
      <c r="A3009" s="4" t="s">
        <v>421</v>
      </c>
      <c r="B3009" t="s">
        <v>422</v>
      </c>
      <c r="C3009" t="s">
        <v>4058</v>
      </c>
      <c r="D3009" t="s">
        <v>103</v>
      </c>
      <c r="E3009" t="s">
        <v>162</v>
      </c>
      <c r="F3009" t="s">
        <v>37</v>
      </c>
    </row>
    <row r="3010" spans="1:6" outlineLevel="3" x14ac:dyDescent="0.25">
      <c r="A3010" s="4" t="s">
        <v>421</v>
      </c>
      <c r="B3010" t="s">
        <v>422</v>
      </c>
      <c r="C3010" t="s">
        <v>4059</v>
      </c>
      <c r="D3010" t="s">
        <v>275</v>
      </c>
      <c r="E3010" t="s">
        <v>162</v>
      </c>
      <c r="F3010" t="s">
        <v>37</v>
      </c>
    </row>
    <row r="3011" spans="1:6" outlineLevel="3" x14ac:dyDescent="0.25">
      <c r="A3011" s="4" t="s">
        <v>421</v>
      </c>
      <c r="B3011" t="s">
        <v>422</v>
      </c>
      <c r="C3011" t="s">
        <v>4060</v>
      </c>
      <c r="D3011" t="s">
        <v>165</v>
      </c>
      <c r="E3011" t="s">
        <v>162</v>
      </c>
      <c r="F3011" t="s">
        <v>37</v>
      </c>
    </row>
    <row r="3012" spans="1:6" outlineLevel="3" x14ac:dyDescent="0.25">
      <c r="A3012" s="4" t="s">
        <v>421</v>
      </c>
      <c r="B3012" t="s">
        <v>422</v>
      </c>
      <c r="C3012" t="s">
        <v>2092</v>
      </c>
      <c r="D3012" t="s">
        <v>237</v>
      </c>
      <c r="E3012" t="s">
        <v>93</v>
      </c>
      <c r="F3012" t="s">
        <v>37</v>
      </c>
    </row>
    <row r="3013" spans="1:6" outlineLevel="3" x14ac:dyDescent="0.25">
      <c r="A3013" s="4" t="s">
        <v>421</v>
      </c>
      <c r="B3013" t="s">
        <v>422</v>
      </c>
      <c r="C3013" t="s">
        <v>2093</v>
      </c>
      <c r="D3013" t="s">
        <v>6</v>
      </c>
      <c r="E3013" t="s">
        <v>93</v>
      </c>
      <c r="F3013" t="s">
        <v>37</v>
      </c>
    </row>
    <row r="3014" spans="1:6" outlineLevel="3" x14ac:dyDescent="0.25">
      <c r="A3014" s="4" t="s">
        <v>421</v>
      </c>
      <c r="B3014" t="s">
        <v>422</v>
      </c>
      <c r="C3014" t="s">
        <v>2094</v>
      </c>
      <c r="D3014" t="s">
        <v>202</v>
      </c>
      <c r="E3014" t="s">
        <v>130</v>
      </c>
      <c r="F3014" t="s">
        <v>37</v>
      </c>
    </row>
    <row r="3015" spans="1:6" outlineLevel="3" x14ac:dyDescent="0.25">
      <c r="A3015" s="4" t="s">
        <v>421</v>
      </c>
      <c r="B3015" t="s">
        <v>422</v>
      </c>
      <c r="C3015" t="s">
        <v>1996</v>
      </c>
      <c r="D3015" t="s">
        <v>437</v>
      </c>
      <c r="E3015" t="s">
        <v>1137</v>
      </c>
      <c r="F3015" t="s">
        <v>37</v>
      </c>
    </row>
    <row r="3016" spans="1:6" outlineLevel="3" x14ac:dyDescent="0.25">
      <c r="A3016" s="4" t="s">
        <v>421</v>
      </c>
      <c r="B3016" t="s">
        <v>422</v>
      </c>
      <c r="C3016" t="s">
        <v>4101</v>
      </c>
      <c r="D3016" t="s">
        <v>13</v>
      </c>
      <c r="E3016" t="s">
        <v>1137</v>
      </c>
      <c r="F3016" t="s">
        <v>37</v>
      </c>
    </row>
    <row r="3017" spans="1:6" outlineLevel="3" x14ac:dyDescent="0.25">
      <c r="A3017" s="4" t="s">
        <v>421</v>
      </c>
      <c r="B3017" t="s">
        <v>422</v>
      </c>
      <c r="C3017" t="s">
        <v>4102</v>
      </c>
      <c r="D3017" t="s">
        <v>78</v>
      </c>
      <c r="E3017" t="s">
        <v>1138</v>
      </c>
      <c r="F3017" t="s">
        <v>37</v>
      </c>
    </row>
    <row r="3018" spans="1:6" outlineLevel="3" x14ac:dyDescent="0.25">
      <c r="A3018" s="4" t="s">
        <v>421</v>
      </c>
      <c r="B3018" t="s">
        <v>422</v>
      </c>
      <c r="C3018" t="s">
        <v>2882</v>
      </c>
      <c r="D3018" t="s">
        <v>76</v>
      </c>
      <c r="E3018" t="s">
        <v>336</v>
      </c>
      <c r="F3018" t="s">
        <v>37</v>
      </c>
    </row>
    <row r="3019" spans="1:6" outlineLevel="3" x14ac:dyDescent="0.25">
      <c r="A3019" s="4" t="s">
        <v>421</v>
      </c>
      <c r="B3019" t="s">
        <v>422</v>
      </c>
      <c r="C3019" t="s">
        <v>2883</v>
      </c>
      <c r="D3019" t="s">
        <v>65</v>
      </c>
      <c r="E3019" t="s">
        <v>336</v>
      </c>
      <c r="F3019" t="s">
        <v>37</v>
      </c>
    </row>
    <row r="3020" spans="1:6" outlineLevel="3" x14ac:dyDescent="0.25">
      <c r="A3020" s="4" t="s">
        <v>421</v>
      </c>
      <c r="B3020" t="s">
        <v>422</v>
      </c>
      <c r="C3020" t="s">
        <v>2884</v>
      </c>
      <c r="D3020" t="s">
        <v>65</v>
      </c>
      <c r="E3020" t="s">
        <v>336</v>
      </c>
      <c r="F3020" t="s">
        <v>37</v>
      </c>
    </row>
    <row r="3021" spans="1:6" outlineLevel="3" x14ac:dyDescent="0.25">
      <c r="A3021" s="4" t="s">
        <v>421</v>
      </c>
      <c r="B3021" t="s">
        <v>422</v>
      </c>
      <c r="C3021" t="s">
        <v>2885</v>
      </c>
      <c r="D3021" t="s">
        <v>6</v>
      </c>
      <c r="E3021" t="s">
        <v>336</v>
      </c>
      <c r="F3021" t="s">
        <v>37</v>
      </c>
    </row>
    <row r="3022" spans="1:6" outlineLevel="3" x14ac:dyDescent="0.25">
      <c r="A3022" s="4" t="s">
        <v>421</v>
      </c>
      <c r="B3022" t="s">
        <v>422</v>
      </c>
      <c r="C3022" t="s">
        <v>2886</v>
      </c>
      <c r="D3022" t="s">
        <v>67</v>
      </c>
      <c r="E3022" t="s">
        <v>336</v>
      </c>
      <c r="F3022" t="s">
        <v>37</v>
      </c>
    </row>
    <row r="3023" spans="1:6" outlineLevel="3" x14ac:dyDescent="0.25">
      <c r="A3023" s="4" t="s">
        <v>421</v>
      </c>
      <c r="B3023" t="s">
        <v>422</v>
      </c>
      <c r="C3023" t="s">
        <v>4307</v>
      </c>
      <c r="D3023" t="s">
        <v>13</v>
      </c>
      <c r="E3023" t="s">
        <v>229</v>
      </c>
      <c r="F3023" t="s">
        <v>37</v>
      </c>
    </row>
    <row r="3024" spans="1:6" outlineLevel="3" x14ac:dyDescent="0.25">
      <c r="A3024" s="4" t="s">
        <v>421</v>
      </c>
      <c r="B3024" t="s">
        <v>422</v>
      </c>
      <c r="C3024" t="s">
        <v>4308</v>
      </c>
      <c r="D3024" t="s">
        <v>13</v>
      </c>
      <c r="E3024" t="s">
        <v>229</v>
      </c>
      <c r="F3024" t="s">
        <v>37</v>
      </c>
    </row>
    <row r="3025" spans="1:6" outlineLevel="3" x14ac:dyDescent="0.25">
      <c r="A3025" s="4" t="s">
        <v>421</v>
      </c>
      <c r="B3025" t="s">
        <v>422</v>
      </c>
      <c r="C3025" t="s">
        <v>4309</v>
      </c>
      <c r="D3025" t="s">
        <v>78</v>
      </c>
      <c r="E3025" t="s">
        <v>229</v>
      </c>
      <c r="F3025" t="s">
        <v>37</v>
      </c>
    </row>
    <row r="3026" spans="1:6" outlineLevel="3" x14ac:dyDescent="0.25">
      <c r="A3026" s="4" t="s">
        <v>421</v>
      </c>
      <c r="B3026" t="s">
        <v>422</v>
      </c>
      <c r="C3026" t="s">
        <v>4310</v>
      </c>
      <c r="D3026" t="s">
        <v>437</v>
      </c>
      <c r="E3026" t="s">
        <v>229</v>
      </c>
      <c r="F3026" t="s">
        <v>37</v>
      </c>
    </row>
    <row r="3027" spans="1:6" outlineLevel="3" x14ac:dyDescent="0.25">
      <c r="A3027" s="4" t="s">
        <v>421</v>
      </c>
      <c r="B3027" t="s">
        <v>422</v>
      </c>
      <c r="C3027" t="s">
        <v>4311</v>
      </c>
      <c r="D3027" t="s">
        <v>437</v>
      </c>
      <c r="E3027" t="s">
        <v>229</v>
      </c>
      <c r="F3027" t="s">
        <v>37</v>
      </c>
    </row>
    <row r="3028" spans="1:6" outlineLevel="3" x14ac:dyDescent="0.25">
      <c r="A3028" s="4" t="s">
        <v>421</v>
      </c>
      <c r="B3028" t="s">
        <v>422</v>
      </c>
      <c r="C3028" t="s">
        <v>4312</v>
      </c>
      <c r="D3028" t="s">
        <v>78</v>
      </c>
      <c r="E3028" t="s">
        <v>229</v>
      </c>
      <c r="F3028" t="s">
        <v>37</v>
      </c>
    </row>
    <row r="3029" spans="1:6" outlineLevel="3" x14ac:dyDescent="0.25">
      <c r="A3029" s="4" t="s">
        <v>421</v>
      </c>
      <c r="B3029" t="s">
        <v>422</v>
      </c>
      <c r="C3029" t="s">
        <v>4061</v>
      </c>
      <c r="D3029" t="s">
        <v>202</v>
      </c>
      <c r="E3029" t="s">
        <v>291</v>
      </c>
      <c r="F3029" t="s">
        <v>37</v>
      </c>
    </row>
    <row r="3030" spans="1:6" outlineLevel="3" x14ac:dyDescent="0.25">
      <c r="A3030" s="4" t="s">
        <v>421</v>
      </c>
      <c r="B3030" t="s">
        <v>422</v>
      </c>
      <c r="C3030" t="s">
        <v>4062</v>
      </c>
      <c r="D3030" t="s">
        <v>126</v>
      </c>
      <c r="E3030" t="s">
        <v>291</v>
      </c>
      <c r="F3030" t="s">
        <v>37</v>
      </c>
    </row>
    <row r="3031" spans="1:6" outlineLevel="2" x14ac:dyDescent="0.25">
      <c r="A3031" s="38" t="s">
        <v>1031</v>
      </c>
      <c r="F3031">
        <f>SUBTOTAL(3,F539:F3030)</f>
        <v>2492</v>
      </c>
    </row>
    <row r="3032" spans="1:6" outlineLevel="1" x14ac:dyDescent="0.25">
      <c r="E3032" s="37" t="s">
        <v>1020</v>
      </c>
      <c r="F3032">
        <f>SUBTOTAL(3,F537:F3030)</f>
        <v>2493</v>
      </c>
    </row>
    <row r="3033" spans="1:6" outlineLevel="3" x14ac:dyDescent="0.25">
      <c r="A3033" s="4" t="s">
        <v>421</v>
      </c>
      <c r="B3033" t="s">
        <v>422</v>
      </c>
      <c r="C3033" t="s">
        <v>1470</v>
      </c>
      <c r="D3033" t="s">
        <v>488</v>
      </c>
      <c r="E3033" t="s">
        <v>317</v>
      </c>
      <c r="F3033" t="s">
        <v>950</v>
      </c>
    </row>
    <row r="3034" spans="1:6" outlineLevel="3" x14ac:dyDescent="0.25">
      <c r="A3034" s="4" t="s">
        <v>421</v>
      </c>
      <c r="B3034" t="s">
        <v>422</v>
      </c>
      <c r="C3034" t="s">
        <v>1471</v>
      </c>
      <c r="D3034" t="s">
        <v>1265</v>
      </c>
      <c r="E3034" t="s">
        <v>318</v>
      </c>
      <c r="F3034" t="s">
        <v>950</v>
      </c>
    </row>
    <row r="3035" spans="1:6" outlineLevel="3" x14ac:dyDescent="0.25">
      <c r="A3035" s="4" t="s">
        <v>421</v>
      </c>
      <c r="B3035" t="s">
        <v>422</v>
      </c>
      <c r="C3035" t="s">
        <v>1279</v>
      </c>
      <c r="D3035" t="s">
        <v>1216</v>
      </c>
      <c r="E3035" t="s">
        <v>329</v>
      </c>
      <c r="F3035" t="s">
        <v>950</v>
      </c>
    </row>
    <row r="3036" spans="1:6" outlineLevel="3" x14ac:dyDescent="0.25">
      <c r="A3036" s="4" t="s">
        <v>421</v>
      </c>
      <c r="B3036" t="s">
        <v>422</v>
      </c>
      <c r="C3036" t="s">
        <v>1472</v>
      </c>
      <c r="D3036" t="s">
        <v>126</v>
      </c>
      <c r="E3036" t="s">
        <v>1274</v>
      </c>
      <c r="F3036" t="s">
        <v>950</v>
      </c>
    </row>
    <row r="3037" spans="1:6" outlineLevel="2" x14ac:dyDescent="0.25">
      <c r="A3037" s="38" t="s">
        <v>1031</v>
      </c>
      <c r="F3037">
        <f>SUBTOTAL(3,F3033:F3036)</f>
        <v>4</v>
      </c>
    </row>
    <row r="3038" spans="1:6" outlineLevel="1" x14ac:dyDescent="0.25">
      <c r="E3038" s="37" t="s">
        <v>1021</v>
      </c>
      <c r="F3038">
        <f>SUBTOTAL(3,F3033:F3036)</f>
        <v>4</v>
      </c>
    </row>
    <row r="3039" spans="1:6" outlineLevel="3" x14ac:dyDescent="0.25">
      <c r="A3039" s="4" t="s">
        <v>421</v>
      </c>
      <c r="B3039" t="s">
        <v>422</v>
      </c>
      <c r="C3039" t="s">
        <v>1441</v>
      </c>
      <c r="D3039" t="s">
        <v>103</v>
      </c>
      <c r="E3039" t="s">
        <v>17</v>
      </c>
      <c r="F3039" t="s">
        <v>12</v>
      </c>
    </row>
    <row r="3040" spans="1:6" outlineLevel="3" x14ac:dyDescent="0.25">
      <c r="A3040" s="4" t="s">
        <v>421</v>
      </c>
      <c r="B3040" t="s">
        <v>422</v>
      </c>
      <c r="C3040" t="s">
        <v>1447</v>
      </c>
      <c r="D3040" t="s">
        <v>437</v>
      </c>
      <c r="E3040" t="s">
        <v>410</v>
      </c>
      <c r="F3040" t="s">
        <v>12</v>
      </c>
    </row>
    <row r="3041" spans="1:6" outlineLevel="3" x14ac:dyDescent="0.25">
      <c r="A3041" s="4" t="s">
        <v>421</v>
      </c>
      <c r="B3041" t="s">
        <v>422</v>
      </c>
      <c r="C3041" t="s">
        <v>1442</v>
      </c>
      <c r="D3041" t="s">
        <v>103</v>
      </c>
      <c r="E3041" t="s">
        <v>436</v>
      </c>
      <c r="F3041" t="s">
        <v>12</v>
      </c>
    </row>
    <row r="3042" spans="1:6" outlineLevel="3" x14ac:dyDescent="0.25">
      <c r="A3042" s="4" t="s">
        <v>421</v>
      </c>
      <c r="B3042" t="s">
        <v>422</v>
      </c>
      <c r="C3042" t="s">
        <v>1440</v>
      </c>
      <c r="D3042" t="s">
        <v>126</v>
      </c>
      <c r="E3042" t="s">
        <v>173</v>
      </c>
      <c r="F3042" t="s">
        <v>12</v>
      </c>
    </row>
    <row r="3043" spans="1:6" outlineLevel="3" x14ac:dyDescent="0.25">
      <c r="A3043" s="4" t="s">
        <v>421</v>
      </c>
      <c r="B3043" t="s">
        <v>422</v>
      </c>
      <c r="C3043" t="s">
        <v>1443</v>
      </c>
      <c r="D3043" t="s">
        <v>437</v>
      </c>
      <c r="E3043" t="s">
        <v>439</v>
      </c>
      <c r="F3043" t="s">
        <v>12</v>
      </c>
    </row>
    <row r="3044" spans="1:6" outlineLevel="3" x14ac:dyDescent="0.25">
      <c r="A3044" s="4" t="s">
        <v>421</v>
      </c>
      <c r="B3044" t="s">
        <v>422</v>
      </c>
      <c r="C3044" t="s">
        <v>1444</v>
      </c>
      <c r="D3044" t="s">
        <v>165</v>
      </c>
      <c r="E3044" t="s">
        <v>441</v>
      </c>
      <c r="F3044" t="s">
        <v>12</v>
      </c>
    </row>
    <row r="3045" spans="1:6" outlineLevel="3" x14ac:dyDescent="0.25">
      <c r="A3045" s="4" t="s">
        <v>421</v>
      </c>
      <c r="B3045" t="s">
        <v>422</v>
      </c>
      <c r="C3045" t="s">
        <v>1446</v>
      </c>
      <c r="D3045" t="s">
        <v>67</v>
      </c>
      <c r="E3045" t="s">
        <v>440</v>
      </c>
      <c r="F3045" t="s">
        <v>12</v>
      </c>
    </row>
    <row r="3046" spans="1:6" outlineLevel="3" x14ac:dyDescent="0.25">
      <c r="A3046" s="4" t="s">
        <v>421</v>
      </c>
      <c r="B3046" t="s">
        <v>422</v>
      </c>
      <c r="C3046" t="s">
        <v>1445</v>
      </c>
      <c r="D3046" t="s">
        <v>432</v>
      </c>
      <c r="E3046" t="s">
        <v>433</v>
      </c>
      <c r="F3046" t="s">
        <v>12</v>
      </c>
    </row>
    <row r="3047" spans="1:6" outlineLevel="3" x14ac:dyDescent="0.25">
      <c r="A3047" s="4" t="s">
        <v>421</v>
      </c>
      <c r="B3047" t="s">
        <v>422</v>
      </c>
      <c r="C3047" t="s">
        <v>1448</v>
      </c>
      <c r="D3047" t="s">
        <v>141</v>
      </c>
      <c r="E3047" t="s">
        <v>434</v>
      </c>
      <c r="F3047" t="s">
        <v>12</v>
      </c>
    </row>
    <row r="3048" spans="1:6" outlineLevel="2" x14ac:dyDescent="0.25">
      <c r="A3048" s="38" t="s">
        <v>1031</v>
      </c>
      <c r="F3048">
        <f>SUBTOTAL(3,F3039:F3047)</f>
        <v>9</v>
      </c>
    </row>
    <row r="3049" spans="1:6" outlineLevel="1" x14ac:dyDescent="0.25">
      <c r="E3049" s="37" t="s">
        <v>1022</v>
      </c>
      <c r="F3049">
        <f>SUBTOTAL(3,F3039:F3047)</f>
        <v>9</v>
      </c>
    </row>
    <row r="3050" spans="1:6" outlineLevel="3" x14ac:dyDescent="0.25">
      <c r="A3050" s="4" t="s">
        <v>421</v>
      </c>
      <c r="B3050" t="s">
        <v>422</v>
      </c>
      <c r="C3050" t="s">
        <v>1384</v>
      </c>
      <c r="D3050" t="s">
        <v>211</v>
      </c>
      <c r="E3050" t="s">
        <v>106</v>
      </c>
      <c r="F3050" t="s">
        <v>15</v>
      </c>
    </row>
    <row r="3051" spans="1:6" outlineLevel="2" x14ac:dyDescent="0.25">
      <c r="A3051" s="38" t="s">
        <v>1031</v>
      </c>
      <c r="F3051">
        <f>SUBTOTAL(3,F3050:F3050)</f>
        <v>1</v>
      </c>
    </row>
    <row r="3052" spans="1:6" outlineLevel="1" x14ac:dyDescent="0.25">
      <c r="E3052" s="37" t="s">
        <v>1023</v>
      </c>
      <c r="F3052">
        <f>SUBTOTAL(3,F3050:F3050)</f>
        <v>1</v>
      </c>
    </row>
    <row r="3053" spans="1:6" outlineLevel="3" x14ac:dyDescent="0.25">
      <c r="A3053" s="4" t="s">
        <v>421</v>
      </c>
      <c r="B3053" t="s">
        <v>422</v>
      </c>
      <c r="C3053" t="s">
        <v>1231</v>
      </c>
      <c r="D3053" t="s">
        <v>443</v>
      </c>
      <c r="E3053" t="s">
        <v>1189</v>
      </c>
      <c r="F3053" t="s">
        <v>174</v>
      </c>
    </row>
    <row r="3054" spans="1:6" outlineLevel="3" x14ac:dyDescent="0.25">
      <c r="A3054" s="4" t="s">
        <v>421</v>
      </c>
      <c r="B3054" t="s">
        <v>422</v>
      </c>
      <c r="C3054" t="s">
        <v>1231</v>
      </c>
      <c r="D3054" t="s">
        <v>443</v>
      </c>
      <c r="E3054" t="s">
        <v>32</v>
      </c>
      <c r="F3054" t="s">
        <v>174</v>
      </c>
    </row>
    <row r="3055" spans="1:6" outlineLevel="2" x14ac:dyDescent="0.25">
      <c r="A3055" s="38" t="s">
        <v>1031</v>
      </c>
      <c r="F3055">
        <f>SUBTOTAL(3,F3053:F3054)</f>
        <v>2</v>
      </c>
    </row>
    <row r="3056" spans="1:6" outlineLevel="1" x14ac:dyDescent="0.25">
      <c r="E3056" s="37" t="s">
        <v>1024</v>
      </c>
      <c r="F3056">
        <f>SUBTOTAL(3,F3053:F3054)</f>
        <v>2</v>
      </c>
    </row>
    <row r="3057" spans="1:6" outlineLevel="3" x14ac:dyDescent="0.25">
      <c r="A3057" s="4" t="s">
        <v>0</v>
      </c>
      <c r="B3057" t="s">
        <v>449</v>
      </c>
      <c r="C3057" t="s">
        <v>4389</v>
      </c>
      <c r="D3057" t="s">
        <v>1198</v>
      </c>
      <c r="E3057" t="s">
        <v>99</v>
      </c>
      <c r="F3057" t="s">
        <v>37</v>
      </c>
    </row>
    <row r="3058" spans="1:6" outlineLevel="3" x14ac:dyDescent="0.25">
      <c r="A3058" s="4" t="s">
        <v>0</v>
      </c>
      <c r="B3058" t="s">
        <v>449</v>
      </c>
      <c r="C3058" t="s">
        <v>548</v>
      </c>
      <c r="D3058" t="s">
        <v>1212</v>
      </c>
      <c r="E3058" t="s">
        <v>135</v>
      </c>
      <c r="F3058" t="s">
        <v>37</v>
      </c>
    </row>
    <row r="3059" spans="1:6" outlineLevel="3" x14ac:dyDescent="0.25">
      <c r="A3059" s="4" t="s">
        <v>0</v>
      </c>
      <c r="B3059" t="s">
        <v>449</v>
      </c>
      <c r="C3059" t="s">
        <v>4427</v>
      </c>
      <c r="D3059" t="s">
        <v>4428</v>
      </c>
      <c r="E3059" t="s">
        <v>221</v>
      </c>
      <c r="F3059" t="s">
        <v>37</v>
      </c>
    </row>
    <row r="3060" spans="1:6" outlineLevel="3" x14ac:dyDescent="0.25">
      <c r="A3060" s="4" t="s">
        <v>0</v>
      </c>
      <c r="B3060" t="s">
        <v>449</v>
      </c>
      <c r="C3060" t="s">
        <v>4313</v>
      </c>
      <c r="D3060" t="s">
        <v>65</v>
      </c>
      <c r="E3060" t="s">
        <v>322</v>
      </c>
      <c r="F3060" t="s">
        <v>37</v>
      </c>
    </row>
    <row r="3061" spans="1:6" outlineLevel="3" x14ac:dyDescent="0.25">
      <c r="A3061" s="4" t="s">
        <v>0</v>
      </c>
      <c r="B3061" t="s">
        <v>449</v>
      </c>
      <c r="C3061" t="s">
        <v>4418</v>
      </c>
      <c r="D3061" t="s">
        <v>1217</v>
      </c>
      <c r="E3061" t="s">
        <v>1130</v>
      </c>
      <c r="F3061" t="s">
        <v>37</v>
      </c>
    </row>
    <row r="3062" spans="1:6" outlineLevel="3" x14ac:dyDescent="0.25">
      <c r="A3062" s="4" t="s">
        <v>0</v>
      </c>
      <c r="B3062" t="s">
        <v>449</v>
      </c>
      <c r="C3062" t="s">
        <v>4419</v>
      </c>
      <c r="D3062" t="s">
        <v>1218</v>
      </c>
      <c r="E3062" t="s">
        <v>1131</v>
      </c>
      <c r="F3062" t="s">
        <v>37</v>
      </c>
    </row>
    <row r="3063" spans="1:6" outlineLevel="3" x14ac:dyDescent="0.25">
      <c r="A3063" s="4" t="s">
        <v>0</v>
      </c>
      <c r="B3063" t="s">
        <v>449</v>
      </c>
      <c r="C3063" t="s">
        <v>4420</v>
      </c>
      <c r="D3063" t="s">
        <v>1219</v>
      </c>
      <c r="E3063" t="s">
        <v>1132</v>
      </c>
      <c r="F3063" t="s">
        <v>37</v>
      </c>
    </row>
    <row r="3064" spans="1:6" outlineLevel="3" x14ac:dyDescent="0.25">
      <c r="A3064" s="4" t="s">
        <v>0</v>
      </c>
      <c r="B3064" t="s">
        <v>449</v>
      </c>
      <c r="C3064" t="s">
        <v>4390</v>
      </c>
      <c r="D3064" t="s">
        <v>71</v>
      </c>
      <c r="E3064" t="s">
        <v>231</v>
      </c>
      <c r="F3064" t="s">
        <v>37</v>
      </c>
    </row>
    <row r="3065" spans="1:6" outlineLevel="3" x14ac:dyDescent="0.25">
      <c r="A3065" s="4" t="s">
        <v>0</v>
      </c>
      <c r="B3065" t="s">
        <v>449</v>
      </c>
      <c r="C3065" t="s">
        <v>1283</v>
      </c>
      <c r="D3065" t="s">
        <v>432</v>
      </c>
      <c r="E3065" t="s">
        <v>256</v>
      </c>
      <c r="F3065" t="s">
        <v>37</v>
      </c>
    </row>
    <row r="3066" spans="1:6" outlineLevel="3" x14ac:dyDescent="0.25">
      <c r="A3066" s="4" t="s">
        <v>0</v>
      </c>
      <c r="B3066" t="s">
        <v>449</v>
      </c>
      <c r="C3066" t="s">
        <v>1284</v>
      </c>
      <c r="D3066" t="s">
        <v>1681</v>
      </c>
      <c r="E3066" t="s">
        <v>92</v>
      </c>
      <c r="F3066" t="s">
        <v>37</v>
      </c>
    </row>
    <row r="3067" spans="1:6" outlineLevel="3" x14ac:dyDescent="0.25">
      <c r="A3067" s="4" t="s">
        <v>0</v>
      </c>
      <c r="B3067" t="s">
        <v>449</v>
      </c>
      <c r="C3067" t="s">
        <v>4314</v>
      </c>
      <c r="D3067" t="s">
        <v>153</v>
      </c>
      <c r="E3067" t="s">
        <v>96</v>
      </c>
      <c r="F3067" t="s">
        <v>37</v>
      </c>
    </row>
    <row r="3068" spans="1:6" outlineLevel="3" x14ac:dyDescent="0.25">
      <c r="A3068" s="4" t="s">
        <v>0</v>
      </c>
      <c r="B3068" t="s">
        <v>449</v>
      </c>
      <c r="C3068" t="s">
        <v>4383</v>
      </c>
      <c r="D3068" t="s">
        <v>1209</v>
      </c>
      <c r="E3068" t="s">
        <v>302</v>
      </c>
      <c r="F3068" t="s">
        <v>37</v>
      </c>
    </row>
    <row r="3069" spans="1:6" outlineLevel="3" x14ac:dyDescent="0.25">
      <c r="A3069" s="4" t="s">
        <v>0</v>
      </c>
      <c r="B3069" t="s">
        <v>449</v>
      </c>
      <c r="C3069" t="s">
        <v>4335</v>
      </c>
      <c r="D3069" t="s">
        <v>52</v>
      </c>
      <c r="E3069" t="s">
        <v>232</v>
      </c>
      <c r="F3069" t="s">
        <v>37</v>
      </c>
    </row>
    <row r="3070" spans="1:6" outlineLevel="3" x14ac:dyDescent="0.25">
      <c r="A3070" s="4" t="s">
        <v>0</v>
      </c>
      <c r="B3070" t="s">
        <v>449</v>
      </c>
      <c r="C3070" t="s">
        <v>4391</v>
      </c>
      <c r="D3070" t="s">
        <v>1145</v>
      </c>
      <c r="E3070" t="s">
        <v>161</v>
      </c>
      <c r="F3070" t="s">
        <v>37</v>
      </c>
    </row>
    <row r="3071" spans="1:6" outlineLevel="3" x14ac:dyDescent="0.25">
      <c r="A3071" s="4" t="s">
        <v>0</v>
      </c>
      <c r="B3071" t="s">
        <v>449</v>
      </c>
      <c r="C3071" t="s">
        <v>4315</v>
      </c>
      <c r="D3071" t="s">
        <v>267</v>
      </c>
      <c r="E3071" t="s">
        <v>399</v>
      </c>
      <c r="F3071" t="s">
        <v>37</v>
      </c>
    </row>
    <row r="3072" spans="1:6" outlineLevel="3" x14ac:dyDescent="0.25">
      <c r="A3072" s="4" t="s">
        <v>0</v>
      </c>
      <c r="B3072" t="s">
        <v>449</v>
      </c>
      <c r="C3072" t="s">
        <v>4316</v>
      </c>
      <c r="D3072" t="s">
        <v>143</v>
      </c>
      <c r="E3072" t="s">
        <v>178</v>
      </c>
      <c r="F3072" t="s">
        <v>37</v>
      </c>
    </row>
    <row r="3073" spans="1:6" outlineLevel="3" x14ac:dyDescent="0.25">
      <c r="A3073" s="4" t="s">
        <v>0</v>
      </c>
      <c r="B3073" t="s">
        <v>449</v>
      </c>
      <c r="C3073" t="s">
        <v>4421</v>
      </c>
      <c r="D3073" t="s">
        <v>1795</v>
      </c>
      <c r="E3073" t="s">
        <v>1133</v>
      </c>
      <c r="F3073" t="s">
        <v>37</v>
      </c>
    </row>
    <row r="3074" spans="1:6" outlineLevel="3" x14ac:dyDescent="0.25">
      <c r="A3074" s="4" t="s">
        <v>0</v>
      </c>
      <c r="B3074" t="s">
        <v>449</v>
      </c>
      <c r="C3074" t="s">
        <v>1682</v>
      </c>
      <c r="D3074" t="s">
        <v>2026</v>
      </c>
      <c r="E3074" t="s">
        <v>131</v>
      </c>
      <c r="F3074" t="s">
        <v>37</v>
      </c>
    </row>
    <row r="3075" spans="1:6" outlineLevel="3" x14ac:dyDescent="0.25">
      <c r="A3075" s="4" t="s">
        <v>0</v>
      </c>
      <c r="B3075" t="s">
        <v>449</v>
      </c>
      <c r="C3075" t="s">
        <v>2027</v>
      </c>
      <c r="D3075" t="s">
        <v>2028</v>
      </c>
      <c r="E3075" t="s">
        <v>82</v>
      </c>
      <c r="F3075" t="s">
        <v>37</v>
      </c>
    </row>
    <row r="3076" spans="1:6" outlineLevel="3" x14ac:dyDescent="0.25">
      <c r="A3076" s="4" t="s">
        <v>0</v>
      </c>
      <c r="B3076" t="s">
        <v>449</v>
      </c>
      <c r="C3076" t="s">
        <v>4322</v>
      </c>
      <c r="D3076" t="s">
        <v>2019</v>
      </c>
      <c r="E3076" t="s">
        <v>228</v>
      </c>
      <c r="F3076" t="s">
        <v>37</v>
      </c>
    </row>
    <row r="3077" spans="1:6" outlineLevel="3" x14ac:dyDescent="0.25">
      <c r="A3077" s="4" t="s">
        <v>0</v>
      </c>
      <c r="B3077" t="s">
        <v>449</v>
      </c>
      <c r="C3077" t="s">
        <v>4323</v>
      </c>
      <c r="D3077" t="s">
        <v>4324</v>
      </c>
      <c r="E3077" t="s">
        <v>193</v>
      </c>
      <c r="F3077" t="s">
        <v>37</v>
      </c>
    </row>
    <row r="3078" spans="1:6" outlineLevel="3" x14ac:dyDescent="0.25">
      <c r="A3078" s="4" t="s">
        <v>0</v>
      </c>
      <c r="B3078" t="s">
        <v>449</v>
      </c>
      <c r="C3078" t="s">
        <v>4325</v>
      </c>
      <c r="D3078" t="s">
        <v>1147</v>
      </c>
      <c r="E3078" t="s">
        <v>286</v>
      </c>
      <c r="F3078" t="s">
        <v>37</v>
      </c>
    </row>
    <row r="3079" spans="1:6" outlineLevel="3" x14ac:dyDescent="0.25">
      <c r="A3079" s="4" t="s">
        <v>0</v>
      </c>
      <c r="B3079" t="s">
        <v>449</v>
      </c>
      <c r="C3079" t="s">
        <v>4326</v>
      </c>
      <c r="D3079" t="s">
        <v>1199</v>
      </c>
      <c r="E3079" t="s">
        <v>195</v>
      </c>
      <c r="F3079" t="s">
        <v>37</v>
      </c>
    </row>
    <row r="3080" spans="1:6" outlineLevel="3" x14ac:dyDescent="0.25">
      <c r="A3080" s="4" t="s">
        <v>0</v>
      </c>
      <c r="B3080" t="s">
        <v>449</v>
      </c>
      <c r="C3080" t="s">
        <v>4338</v>
      </c>
      <c r="D3080" t="s">
        <v>4339</v>
      </c>
      <c r="E3080" t="s">
        <v>137</v>
      </c>
      <c r="F3080" t="s">
        <v>37</v>
      </c>
    </row>
    <row r="3081" spans="1:6" outlineLevel="3" x14ac:dyDescent="0.25">
      <c r="A3081" s="4" t="s">
        <v>0</v>
      </c>
      <c r="B3081" t="s">
        <v>449</v>
      </c>
      <c r="C3081" t="s">
        <v>4327</v>
      </c>
      <c r="D3081" t="s">
        <v>1271</v>
      </c>
      <c r="E3081" t="s">
        <v>401</v>
      </c>
      <c r="F3081" t="s">
        <v>37</v>
      </c>
    </row>
    <row r="3082" spans="1:6" outlineLevel="3" x14ac:dyDescent="0.25">
      <c r="A3082" s="4" t="s">
        <v>0</v>
      </c>
      <c r="B3082" t="s">
        <v>449</v>
      </c>
      <c r="C3082" t="s">
        <v>4328</v>
      </c>
      <c r="D3082" t="s">
        <v>50</v>
      </c>
      <c r="E3082" t="s">
        <v>402</v>
      </c>
      <c r="F3082" t="s">
        <v>37</v>
      </c>
    </row>
    <row r="3083" spans="1:6" outlineLevel="3" x14ac:dyDescent="0.25">
      <c r="A3083" s="4" t="s">
        <v>0</v>
      </c>
      <c r="B3083" t="s">
        <v>449</v>
      </c>
      <c r="C3083" t="s">
        <v>4329</v>
      </c>
      <c r="D3083" t="s">
        <v>2020</v>
      </c>
      <c r="E3083" t="s">
        <v>199</v>
      </c>
      <c r="F3083" t="s">
        <v>37</v>
      </c>
    </row>
    <row r="3084" spans="1:6" outlineLevel="3" x14ac:dyDescent="0.25">
      <c r="A3084" s="4" t="s">
        <v>0</v>
      </c>
      <c r="B3084" t="s">
        <v>449</v>
      </c>
      <c r="C3084" t="s">
        <v>4330</v>
      </c>
      <c r="D3084" t="s">
        <v>2021</v>
      </c>
      <c r="E3084" t="s">
        <v>403</v>
      </c>
      <c r="F3084" t="s">
        <v>37</v>
      </c>
    </row>
    <row r="3085" spans="1:6" outlineLevel="3" x14ac:dyDescent="0.25">
      <c r="A3085" s="4" t="s">
        <v>0</v>
      </c>
      <c r="B3085" t="s">
        <v>449</v>
      </c>
      <c r="C3085" t="s">
        <v>4331</v>
      </c>
      <c r="D3085" t="s">
        <v>275</v>
      </c>
      <c r="E3085" t="s">
        <v>90</v>
      </c>
      <c r="F3085" t="s">
        <v>37</v>
      </c>
    </row>
    <row r="3086" spans="1:6" outlineLevel="3" x14ac:dyDescent="0.25">
      <c r="A3086" s="4" t="s">
        <v>0</v>
      </c>
      <c r="B3086" t="s">
        <v>449</v>
      </c>
      <c r="C3086" t="s">
        <v>4384</v>
      </c>
      <c r="D3086" t="s">
        <v>1679</v>
      </c>
      <c r="E3086" t="s">
        <v>204</v>
      </c>
      <c r="F3086" t="s">
        <v>37</v>
      </c>
    </row>
    <row r="3087" spans="1:6" outlineLevel="3" x14ac:dyDescent="0.25">
      <c r="A3087" s="4" t="s">
        <v>0</v>
      </c>
      <c r="B3087" t="s">
        <v>449</v>
      </c>
      <c r="C3087" t="s">
        <v>4385</v>
      </c>
      <c r="D3087" t="s">
        <v>1210</v>
      </c>
      <c r="E3087" t="s">
        <v>299</v>
      </c>
      <c r="F3087" t="s">
        <v>37</v>
      </c>
    </row>
    <row r="3088" spans="1:6" outlineLevel="3" x14ac:dyDescent="0.25">
      <c r="A3088" s="4" t="s">
        <v>0</v>
      </c>
      <c r="B3088" t="s">
        <v>449</v>
      </c>
      <c r="C3088" t="s">
        <v>4386</v>
      </c>
      <c r="D3088" t="s">
        <v>1211</v>
      </c>
      <c r="E3088" t="s">
        <v>300</v>
      </c>
      <c r="F3088" t="s">
        <v>37</v>
      </c>
    </row>
    <row r="3089" spans="1:6" outlineLevel="3" x14ac:dyDescent="0.25">
      <c r="A3089" s="4" t="s">
        <v>0</v>
      </c>
      <c r="B3089" t="s">
        <v>449</v>
      </c>
      <c r="C3089" t="s">
        <v>4387</v>
      </c>
      <c r="D3089" t="s">
        <v>437</v>
      </c>
      <c r="E3089" t="s">
        <v>298</v>
      </c>
      <c r="F3089" t="s">
        <v>37</v>
      </c>
    </row>
    <row r="3090" spans="1:6" outlineLevel="3" x14ac:dyDescent="0.25">
      <c r="A3090" s="4" t="s">
        <v>0</v>
      </c>
      <c r="B3090" t="s">
        <v>449</v>
      </c>
      <c r="C3090" t="s">
        <v>4388</v>
      </c>
      <c r="D3090" t="s">
        <v>1680</v>
      </c>
      <c r="E3090" t="s">
        <v>205</v>
      </c>
      <c r="F3090" t="s">
        <v>37</v>
      </c>
    </row>
    <row r="3091" spans="1:6" outlineLevel="3" x14ac:dyDescent="0.25">
      <c r="A3091" s="4" t="s">
        <v>0</v>
      </c>
      <c r="B3091" t="s">
        <v>449</v>
      </c>
      <c r="C3091" t="s">
        <v>4429</v>
      </c>
      <c r="D3091" t="s">
        <v>1732</v>
      </c>
      <c r="E3091" t="s">
        <v>227</v>
      </c>
      <c r="F3091" t="s">
        <v>37</v>
      </c>
    </row>
    <row r="3092" spans="1:6" outlineLevel="3" x14ac:dyDescent="0.25">
      <c r="A3092" s="4" t="s">
        <v>0</v>
      </c>
      <c r="B3092" t="s">
        <v>449</v>
      </c>
      <c r="C3092" t="s">
        <v>4430</v>
      </c>
      <c r="D3092" t="s">
        <v>1733</v>
      </c>
      <c r="E3092" t="s">
        <v>367</v>
      </c>
      <c r="F3092" t="s">
        <v>37</v>
      </c>
    </row>
    <row r="3093" spans="1:6" outlineLevel="3" x14ac:dyDescent="0.25">
      <c r="A3093" s="4" t="s">
        <v>0</v>
      </c>
      <c r="B3093" t="s">
        <v>449</v>
      </c>
      <c r="C3093" t="s">
        <v>2029</v>
      </c>
      <c r="D3093" t="s">
        <v>1213</v>
      </c>
      <c r="E3093" t="s">
        <v>249</v>
      </c>
      <c r="F3093" t="s">
        <v>37</v>
      </c>
    </row>
    <row r="3094" spans="1:6" outlineLevel="3" x14ac:dyDescent="0.25">
      <c r="A3094" s="4" t="s">
        <v>0</v>
      </c>
      <c r="B3094" t="s">
        <v>449</v>
      </c>
      <c r="C3094" t="s">
        <v>4350</v>
      </c>
      <c r="D3094" t="s">
        <v>1513</v>
      </c>
      <c r="E3094" t="s">
        <v>1106</v>
      </c>
      <c r="F3094" t="s">
        <v>37</v>
      </c>
    </row>
    <row r="3095" spans="1:6" outlineLevel="3" x14ac:dyDescent="0.25">
      <c r="A3095" s="4" t="s">
        <v>0</v>
      </c>
      <c r="B3095" t="s">
        <v>449</v>
      </c>
      <c r="C3095" t="s">
        <v>4372</v>
      </c>
      <c r="D3095" t="s">
        <v>1037</v>
      </c>
      <c r="E3095" t="s">
        <v>239</v>
      </c>
      <c r="F3095" t="s">
        <v>37</v>
      </c>
    </row>
    <row r="3096" spans="1:6" outlineLevel="3" x14ac:dyDescent="0.25">
      <c r="A3096" s="4" t="s">
        <v>0</v>
      </c>
      <c r="B3096" t="s">
        <v>449</v>
      </c>
      <c r="C3096" t="s">
        <v>2030</v>
      </c>
      <c r="D3096" t="s">
        <v>1731</v>
      </c>
      <c r="E3096" t="s">
        <v>136</v>
      </c>
      <c r="F3096" t="s">
        <v>37</v>
      </c>
    </row>
    <row r="3097" spans="1:6" outlineLevel="3" x14ac:dyDescent="0.25">
      <c r="A3097" s="4" t="s">
        <v>0</v>
      </c>
      <c r="B3097" t="s">
        <v>449</v>
      </c>
      <c r="C3097" t="s">
        <v>2031</v>
      </c>
      <c r="D3097" t="s">
        <v>1254</v>
      </c>
      <c r="E3097" t="s">
        <v>118</v>
      </c>
      <c r="F3097" t="s">
        <v>37</v>
      </c>
    </row>
    <row r="3098" spans="1:6" outlineLevel="3" x14ac:dyDescent="0.25">
      <c r="A3098" s="4" t="s">
        <v>0</v>
      </c>
      <c r="B3098" t="s">
        <v>449</v>
      </c>
      <c r="C3098" t="s">
        <v>4361</v>
      </c>
      <c r="D3098" t="s">
        <v>253</v>
      </c>
      <c r="E3098" t="s">
        <v>1118</v>
      </c>
      <c r="F3098" t="s">
        <v>37</v>
      </c>
    </row>
    <row r="3099" spans="1:6" outlineLevel="3" x14ac:dyDescent="0.25">
      <c r="A3099" s="4" t="s">
        <v>0</v>
      </c>
      <c r="B3099" t="s">
        <v>449</v>
      </c>
      <c r="C3099" t="s">
        <v>4358</v>
      </c>
      <c r="D3099" t="s">
        <v>1088</v>
      </c>
      <c r="E3099" t="s">
        <v>1115</v>
      </c>
      <c r="F3099" t="s">
        <v>37</v>
      </c>
    </row>
    <row r="3100" spans="1:6" outlineLevel="3" x14ac:dyDescent="0.25">
      <c r="A3100" s="4" t="s">
        <v>0</v>
      </c>
      <c r="B3100" t="s">
        <v>449</v>
      </c>
      <c r="C3100" t="s">
        <v>4362</v>
      </c>
      <c r="D3100" t="s">
        <v>1253</v>
      </c>
      <c r="E3100" t="s">
        <v>1120</v>
      </c>
      <c r="F3100" t="s">
        <v>37</v>
      </c>
    </row>
    <row r="3101" spans="1:6" outlineLevel="3" x14ac:dyDescent="0.25">
      <c r="A3101" s="4" t="s">
        <v>0</v>
      </c>
      <c r="B3101" t="s">
        <v>449</v>
      </c>
      <c r="C3101" t="s">
        <v>4415</v>
      </c>
      <c r="D3101" t="s">
        <v>4416</v>
      </c>
      <c r="E3101" t="s">
        <v>1669</v>
      </c>
      <c r="F3101" t="s">
        <v>37</v>
      </c>
    </row>
    <row r="3102" spans="1:6" outlineLevel="3" x14ac:dyDescent="0.25">
      <c r="A3102" s="4" t="s">
        <v>0</v>
      </c>
      <c r="B3102" t="s">
        <v>449</v>
      </c>
      <c r="C3102" t="s">
        <v>4368</v>
      </c>
      <c r="D3102" t="s">
        <v>413</v>
      </c>
      <c r="E3102" t="s">
        <v>1071</v>
      </c>
      <c r="F3102" t="s">
        <v>37</v>
      </c>
    </row>
    <row r="3103" spans="1:6" outlineLevel="3" x14ac:dyDescent="0.25">
      <c r="A3103" s="4" t="s">
        <v>0</v>
      </c>
      <c r="B3103" t="s">
        <v>449</v>
      </c>
      <c r="C3103" t="s">
        <v>4359</v>
      </c>
      <c r="D3103" t="s">
        <v>1517</v>
      </c>
      <c r="E3103" t="s">
        <v>1116</v>
      </c>
      <c r="F3103" t="s">
        <v>37</v>
      </c>
    </row>
    <row r="3104" spans="1:6" outlineLevel="3" x14ac:dyDescent="0.25">
      <c r="A3104" s="4" t="s">
        <v>0</v>
      </c>
      <c r="B3104" t="s">
        <v>449</v>
      </c>
      <c r="C3104" t="s">
        <v>4422</v>
      </c>
      <c r="D3104" t="s">
        <v>1220</v>
      </c>
      <c r="E3104" t="s">
        <v>1134</v>
      </c>
      <c r="F3104" t="s">
        <v>37</v>
      </c>
    </row>
    <row r="3105" spans="1:6" outlineLevel="3" x14ac:dyDescent="0.25">
      <c r="A3105" s="4" t="s">
        <v>0</v>
      </c>
      <c r="B3105" t="s">
        <v>449</v>
      </c>
      <c r="C3105" t="s">
        <v>2032</v>
      </c>
      <c r="D3105" t="s">
        <v>4398</v>
      </c>
      <c r="E3105" t="s">
        <v>87</v>
      </c>
      <c r="F3105" t="s">
        <v>37</v>
      </c>
    </row>
    <row r="3106" spans="1:6" outlineLevel="3" x14ac:dyDescent="0.25">
      <c r="A3106" s="4" t="s">
        <v>0</v>
      </c>
      <c r="B3106" t="s">
        <v>449</v>
      </c>
      <c r="C3106" t="s">
        <v>4423</v>
      </c>
      <c r="D3106" t="s">
        <v>1076</v>
      </c>
      <c r="E3106" t="s">
        <v>1135</v>
      </c>
      <c r="F3106" t="s">
        <v>37</v>
      </c>
    </row>
    <row r="3107" spans="1:6" outlineLevel="3" x14ac:dyDescent="0.25">
      <c r="A3107" s="4" t="s">
        <v>0</v>
      </c>
      <c r="B3107" t="s">
        <v>449</v>
      </c>
      <c r="C3107" t="s">
        <v>4431</v>
      </c>
      <c r="D3107" t="s">
        <v>437</v>
      </c>
      <c r="E3107" t="s">
        <v>292</v>
      </c>
      <c r="F3107" t="s">
        <v>37</v>
      </c>
    </row>
    <row r="3108" spans="1:6" outlineLevel="3" x14ac:dyDescent="0.25">
      <c r="A3108" s="4" t="s">
        <v>0</v>
      </c>
      <c r="B3108" t="s">
        <v>449</v>
      </c>
      <c r="C3108" t="s">
        <v>4332</v>
      </c>
      <c r="D3108" t="s">
        <v>126</v>
      </c>
      <c r="E3108" t="s">
        <v>1050</v>
      </c>
      <c r="F3108" t="s">
        <v>37</v>
      </c>
    </row>
    <row r="3109" spans="1:6" outlineLevel="3" x14ac:dyDescent="0.25">
      <c r="A3109" s="4" t="s">
        <v>0</v>
      </c>
      <c r="B3109" t="s">
        <v>449</v>
      </c>
      <c r="C3109" t="s">
        <v>4333</v>
      </c>
      <c r="D3109" t="s">
        <v>1676</v>
      </c>
      <c r="E3109" t="s">
        <v>406</v>
      </c>
      <c r="F3109" t="s">
        <v>37</v>
      </c>
    </row>
    <row r="3110" spans="1:6" outlineLevel="3" x14ac:dyDescent="0.25">
      <c r="A3110" s="4" t="s">
        <v>0</v>
      </c>
      <c r="B3110" t="s">
        <v>449</v>
      </c>
      <c r="C3110" t="s">
        <v>4371</v>
      </c>
      <c r="D3110" t="s">
        <v>431</v>
      </c>
      <c r="E3110" t="s">
        <v>1086</v>
      </c>
      <c r="F3110" t="s">
        <v>37</v>
      </c>
    </row>
    <row r="3111" spans="1:6" outlineLevel="3" x14ac:dyDescent="0.25">
      <c r="A3111" s="4" t="s">
        <v>0</v>
      </c>
      <c r="B3111" t="s">
        <v>449</v>
      </c>
      <c r="C3111" t="s">
        <v>4417</v>
      </c>
      <c r="D3111" t="s">
        <v>1749</v>
      </c>
      <c r="E3111" t="s">
        <v>214</v>
      </c>
      <c r="F3111" t="s">
        <v>37</v>
      </c>
    </row>
    <row r="3112" spans="1:6" outlineLevel="3" x14ac:dyDescent="0.25">
      <c r="A3112" s="4" t="s">
        <v>0</v>
      </c>
      <c r="B3112" t="s">
        <v>449</v>
      </c>
      <c r="C3112" t="s">
        <v>4317</v>
      </c>
      <c r="D3112" t="s">
        <v>1</v>
      </c>
      <c r="E3112" t="s">
        <v>296</v>
      </c>
      <c r="F3112" t="s">
        <v>37</v>
      </c>
    </row>
    <row r="3113" spans="1:6" outlineLevel="3" x14ac:dyDescent="0.25">
      <c r="A3113" s="4" t="s">
        <v>0</v>
      </c>
      <c r="B3113" t="s">
        <v>449</v>
      </c>
      <c r="C3113" t="s">
        <v>4392</v>
      </c>
      <c r="D3113" t="s">
        <v>1263</v>
      </c>
      <c r="E3113" t="s">
        <v>134</v>
      </c>
      <c r="F3113" t="s">
        <v>37</v>
      </c>
    </row>
    <row r="3114" spans="1:6" outlineLevel="3" x14ac:dyDescent="0.25">
      <c r="A3114" s="4" t="s">
        <v>0</v>
      </c>
      <c r="B3114" t="s">
        <v>449</v>
      </c>
      <c r="C3114" t="s">
        <v>4343</v>
      </c>
      <c r="D3114" t="s">
        <v>4344</v>
      </c>
      <c r="E3114" t="s">
        <v>91</v>
      </c>
      <c r="F3114" t="s">
        <v>37</v>
      </c>
    </row>
    <row r="3115" spans="1:6" outlineLevel="3" x14ac:dyDescent="0.25">
      <c r="A3115" s="4" t="s">
        <v>0</v>
      </c>
      <c r="B3115" t="s">
        <v>449</v>
      </c>
      <c r="C3115" t="s">
        <v>4345</v>
      </c>
      <c r="D3115" t="s">
        <v>1202</v>
      </c>
      <c r="E3115" t="s">
        <v>160</v>
      </c>
      <c r="F3115" t="s">
        <v>37</v>
      </c>
    </row>
    <row r="3116" spans="1:6" outlineLevel="3" x14ac:dyDescent="0.25">
      <c r="A3116" s="4" t="s">
        <v>0</v>
      </c>
      <c r="B3116" t="s">
        <v>449</v>
      </c>
      <c r="C3116" t="s">
        <v>4346</v>
      </c>
      <c r="D3116" t="s">
        <v>1252</v>
      </c>
      <c r="E3116" t="s">
        <v>157</v>
      </c>
      <c r="F3116" t="s">
        <v>37</v>
      </c>
    </row>
    <row r="3117" spans="1:6" outlineLevel="3" x14ac:dyDescent="0.25">
      <c r="A3117" s="4" t="s">
        <v>0</v>
      </c>
      <c r="B3117" t="s">
        <v>449</v>
      </c>
      <c r="C3117" t="s">
        <v>4347</v>
      </c>
      <c r="D3117" t="s">
        <v>1272</v>
      </c>
      <c r="E3117" t="s">
        <v>158</v>
      </c>
      <c r="F3117" t="s">
        <v>37</v>
      </c>
    </row>
    <row r="3118" spans="1:6" outlineLevel="3" x14ac:dyDescent="0.25">
      <c r="A3118" s="4" t="s">
        <v>0</v>
      </c>
      <c r="B3118" t="s">
        <v>449</v>
      </c>
      <c r="C3118" t="s">
        <v>4351</v>
      </c>
      <c r="D3118" t="s">
        <v>1076</v>
      </c>
      <c r="E3118" t="s">
        <v>1107</v>
      </c>
      <c r="F3118" t="s">
        <v>37</v>
      </c>
    </row>
    <row r="3119" spans="1:6" outlineLevel="3" x14ac:dyDescent="0.25">
      <c r="A3119" s="4" t="s">
        <v>0</v>
      </c>
      <c r="B3119" t="s">
        <v>449</v>
      </c>
      <c r="C3119" t="s">
        <v>4373</v>
      </c>
      <c r="D3119" t="s">
        <v>387</v>
      </c>
      <c r="E3119" t="s">
        <v>115</v>
      </c>
      <c r="F3119" t="s">
        <v>37</v>
      </c>
    </row>
    <row r="3120" spans="1:6" outlineLevel="3" x14ac:dyDescent="0.25">
      <c r="A3120" s="4" t="s">
        <v>0</v>
      </c>
      <c r="B3120" t="s">
        <v>449</v>
      </c>
      <c r="C3120" t="s">
        <v>4399</v>
      </c>
      <c r="D3120" t="s">
        <v>1214</v>
      </c>
      <c r="E3120" t="s">
        <v>248</v>
      </c>
      <c r="F3120" t="s">
        <v>37</v>
      </c>
    </row>
    <row r="3121" spans="1:6" outlineLevel="3" x14ac:dyDescent="0.25">
      <c r="A3121" s="4" t="s">
        <v>0</v>
      </c>
      <c r="B3121" t="s">
        <v>449</v>
      </c>
      <c r="C3121" t="s">
        <v>4400</v>
      </c>
      <c r="D3121" t="s">
        <v>4401</v>
      </c>
      <c r="E3121" t="s">
        <v>244</v>
      </c>
      <c r="F3121" t="s">
        <v>37</v>
      </c>
    </row>
    <row r="3122" spans="1:6" outlineLevel="3" x14ac:dyDescent="0.25">
      <c r="A3122" s="4" t="s">
        <v>0</v>
      </c>
      <c r="B3122" t="s">
        <v>449</v>
      </c>
      <c r="C3122" t="s">
        <v>4402</v>
      </c>
      <c r="D3122" t="s">
        <v>78</v>
      </c>
      <c r="E3122" t="s">
        <v>244</v>
      </c>
      <c r="F3122" t="s">
        <v>37</v>
      </c>
    </row>
    <row r="3123" spans="1:6" outlineLevel="3" x14ac:dyDescent="0.25">
      <c r="A3123" s="4" t="s">
        <v>0</v>
      </c>
      <c r="B3123" t="s">
        <v>449</v>
      </c>
      <c r="C3123" t="s">
        <v>4403</v>
      </c>
      <c r="D3123" t="s">
        <v>4404</v>
      </c>
      <c r="E3123" t="s">
        <v>919</v>
      </c>
      <c r="F3123" t="s">
        <v>37</v>
      </c>
    </row>
    <row r="3124" spans="1:6" outlineLevel="3" x14ac:dyDescent="0.25">
      <c r="A3124" s="4" t="s">
        <v>0</v>
      </c>
      <c r="B3124" t="s">
        <v>449</v>
      </c>
      <c r="C3124" t="s">
        <v>4405</v>
      </c>
      <c r="D3124" t="s">
        <v>1203</v>
      </c>
      <c r="E3124" t="s">
        <v>86</v>
      </c>
      <c r="F3124" t="s">
        <v>37</v>
      </c>
    </row>
    <row r="3125" spans="1:6" outlineLevel="3" x14ac:dyDescent="0.25">
      <c r="A3125" s="4" t="s">
        <v>0</v>
      </c>
      <c r="B3125" t="s">
        <v>449</v>
      </c>
      <c r="C3125" t="s">
        <v>4340</v>
      </c>
      <c r="D3125" t="s">
        <v>4341</v>
      </c>
      <c r="E3125" t="s">
        <v>1046</v>
      </c>
      <c r="F3125" t="s">
        <v>37</v>
      </c>
    </row>
    <row r="3126" spans="1:6" outlineLevel="3" x14ac:dyDescent="0.25">
      <c r="A3126" s="4" t="s">
        <v>0</v>
      </c>
      <c r="B3126" t="s">
        <v>449</v>
      </c>
      <c r="C3126" t="s">
        <v>4374</v>
      </c>
      <c r="D3126" t="s">
        <v>391</v>
      </c>
      <c r="E3126" t="s">
        <v>117</v>
      </c>
      <c r="F3126" t="s">
        <v>37</v>
      </c>
    </row>
    <row r="3127" spans="1:6" outlineLevel="3" x14ac:dyDescent="0.25">
      <c r="A3127" s="4" t="s">
        <v>0</v>
      </c>
      <c r="B3127" t="s">
        <v>449</v>
      </c>
      <c r="C3127" t="s">
        <v>4424</v>
      </c>
      <c r="D3127" t="s">
        <v>250</v>
      </c>
      <c r="E3127" t="s">
        <v>1136</v>
      </c>
      <c r="F3127" t="s">
        <v>37</v>
      </c>
    </row>
    <row r="3128" spans="1:6" outlineLevel="3" x14ac:dyDescent="0.25">
      <c r="A3128" s="4" t="s">
        <v>0</v>
      </c>
      <c r="B3128" t="s">
        <v>449</v>
      </c>
      <c r="C3128" t="s">
        <v>4318</v>
      </c>
      <c r="D3128" t="s">
        <v>1195</v>
      </c>
      <c r="E3128" t="s">
        <v>97</v>
      </c>
      <c r="F3128" t="s">
        <v>37</v>
      </c>
    </row>
    <row r="3129" spans="1:6" outlineLevel="3" x14ac:dyDescent="0.25">
      <c r="A3129" s="4" t="s">
        <v>0</v>
      </c>
      <c r="B3129" t="s">
        <v>449</v>
      </c>
      <c r="C3129" t="s">
        <v>4406</v>
      </c>
      <c r="D3129" t="s">
        <v>1264</v>
      </c>
      <c r="E3129" t="s">
        <v>177</v>
      </c>
      <c r="F3129" t="s">
        <v>37</v>
      </c>
    </row>
    <row r="3130" spans="1:6" outlineLevel="3" x14ac:dyDescent="0.25">
      <c r="A3130" s="4" t="s">
        <v>0</v>
      </c>
      <c r="B3130" t="s">
        <v>449</v>
      </c>
      <c r="C3130" t="s">
        <v>4352</v>
      </c>
      <c r="D3130" t="s">
        <v>267</v>
      </c>
      <c r="E3130" t="s">
        <v>1108</v>
      </c>
      <c r="F3130" t="s">
        <v>37</v>
      </c>
    </row>
    <row r="3131" spans="1:6" outlineLevel="3" x14ac:dyDescent="0.25">
      <c r="A3131" s="4" t="s">
        <v>0</v>
      </c>
      <c r="B3131" t="s">
        <v>449</v>
      </c>
      <c r="C3131" t="s">
        <v>4360</v>
      </c>
      <c r="D3131" t="s">
        <v>67</v>
      </c>
      <c r="E3131" t="s">
        <v>1117</v>
      </c>
      <c r="F3131" t="s">
        <v>37</v>
      </c>
    </row>
    <row r="3132" spans="1:6" outlineLevel="3" x14ac:dyDescent="0.25">
      <c r="A3132" s="4" t="s">
        <v>0</v>
      </c>
      <c r="B3132" t="s">
        <v>449</v>
      </c>
      <c r="C3132" t="s">
        <v>4348</v>
      </c>
      <c r="D3132" t="s">
        <v>4349</v>
      </c>
      <c r="E3132" t="s">
        <v>159</v>
      </c>
      <c r="F3132" t="s">
        <v>37</v>
      </c>
    </row>
    <row r="3133" spans="1:6" outlineLevel="3" x14ac:dyDescent="0.25">
      <c r="A3133" s="4" t="s">
        <v>0</v>
      </c>
      <c r="B3133" t="s">
        <v>449</v>
      </c>
      <c r="C3133" t="s">
        <v>4353</v>
      </c>
      <c r="D3133" t="s">
        <v>1514</v>
      </c>
      <c r="E3133" t="s">
        <v>1109</v>
      </c>
      <c r="F3133" t="s">
        <v>37</v>
      </c>
    </row>
    <row r="3134" spans="1:6" outlineLevel="3" x14ac:dyDescent="0.25">
      <c r="A3134" s="4" t="s">
        <v>0</v>
      </c>
      <c r="B3134" t="s">
        <v>449</v>
      </c>
      <c r="C3134" t="s">
        <v>2022</v>
      </c>
      <c r="D3134" t="s">
        <v>1076</v>
      </c>
      <c r="E3134" t="s">
        <v>1110</v>
      </c>
      <c r="F3134" t="s">
        <v>37</v>
      </c>
    </row>
    <row r="3135" spans="1:6" outlineLevel="3" x14ac:dyDescent="0.25">
      <c r="A3135" s="4" t="s">
        <v>0</v>
      </c>
      <c r="B3135" t="s">
        <v>449</v>
      </c>
      <c r="C3135" t="s">
        <v>4354</v>
      </c>
      <c r="D3135" t="s">
        <v>1515</v>
      </c>
      <c r="E3135" t="s">
        <v>1112</v>
      </c>
      <c r="F3135" t="s">
        <v>37</v>
      </c>
    </row>
    <row r="3136" spans="1:6" outlineLevel="3" x14ac:dyDescent="0.25">
      <c r="A3136" s="4" t="s">
        <v>0</v>
      </c>
      <c r="B3136" t="s">
        <v>449</v>
      </c>
      <c r="C3136" t="s">
        <v>4355</v>
      </c>
      <c r="D3136" t="s">
        <v>1516</v>
      </c>
      <c r="E3136" t="s">
        <v>1128</v>
      </c>
      <c r="F3136" t="s">
        <v>37</v>
      </c>
    </row>
    <row r="3137" spans="1:6" outlineLevel="3" x14ac:dyDescent="0.25">
      <c r="A3137" s="4" t="s">
        <v>0</v>
      </c>
      <c r="B3137" t="s">
        <v>449</v>
      </c>
      <c r="C3137" t="s">
        <v>4363</v>
      </c>
      <c r="D3137" t="s">
        <v>1518</v>
      </c>
      <c r="E3137" t="s">
        <v>1121</v>
      </c>
      <c r="F3137" t="s">
        <v>37</v>
      </c>
    </row>
    <row r="3138" spans="1:6" outlineLevel="3" x14ac:dyDescent="0.25">
      <c r="A3138" s="4" t="s">
        <v>0</v>
      </c>
      <c r="B3138" t="s">
        <v>449</v>
      </c>
      <c r="C3138" t="s">
        <v>4432</v>
      </c>
      <c r="D3138" t="s">
        <v>1684</v>
      </c>
      <c r="E3138" t="s">
        <v>98</v>
      </c>
      <c r="F3138" t="s">
        <v>37</v>
      </c>
    </row>
    <row r="3139" spans="1:6" outlineLevel="3" x14ac:dyDescent="0.25">
      <c r="A3139" s="4" t="s">
        <v>0</v>
      </c>
      <c r="B3139" t="s">
        <v>449</v>
      </c>
      <c r="C3139" t="s">
        <v>4433</v>
      </c>
      <c r="D3139" t="s">
        <v>1685</v>
      </c>
      <c r="E3139" t="s">
        <v>36</v>
      </c>
      <c r="F3139" t="s">
        <v>37</v>
      </c>
    </row>
    <row r="3140" spans="1:6" outlineLevel="3" x14ac:dyDescent="0.25">
      <c r="A3140" s="4" t="s">
        <v>0</v>
      </c>
      <c r="B3140" t="s">
        <v>449</v>
      </c>
      <c r="C3140" t="s">
        <v>4434</v>
      </c>
      <c r="D3140" t="s">
        <v>1734</v>
      </c>
      <c r="E3140" t="s">
        <v>312</v>
      </c>
      <c r="F3140" t="s">
        <v>37</v>
      </c>
    </row>
    <row r="3141" spans="1:6" outlineLevel="3" x14ac:dyDescent="0.25">
      <c r="A3141" s="4" t="s">
        <v>0</v>
      </c>
      <c r="B3141" t="s">
        <v>449</v>
      </c>
      <c r="C3141" t="s">
        <v>4435</v>
      </c>
      <c r="D3141" t="s">
        <v>4436</v>
      </c>
      <c r="E3141" t="s">
        <v>220</v>
      </c>
      <c r="F3141" t="s">
        <v>37</v>
      </c>
    </row>
    <row r="3142" spans="1:6" outlineLevel="3" x14ac:dyDescent="0.25">
      <c r="A3142" s="4" t="s">
        <v>0</v>
      </c>
      <c r="B3142" t="s">
        <v>449</v>
      </c>
      <c r="C3142" t="s">
        <v>4375</v>
      </c>
      <c r="D3142" t="s">
        <v>742</v>
      </c>
      <c r="E3142" t="s">
        <v>175</v>
      </c>
      <c r="F3142" t="s">
        <v>37</v>
      </c>
    </row>
    <row r="3143" spans="1:6" outlineLevel="3" x14ac:dyDescent="0.25">
      <c r="A3143" s="4" t="s">
        <v>0</v>
      </c>
      <c r="B3143" t="s">
        <v>449</v>
      </c>
      <c r="C3143" t="s">
        <v>4378</v>
      </c>
      <c r="D3143" t="s">
        <v>4379</v>
      </c>
      <c r="E3143" t="s">
        <v>235</v>
      </c>
      <c r="F3143" t="s">
        <v>37</v>
      </c>
    </row>
    <row r="3144" spans="1:6" outlineLevel="3" x14ac:dyDescent="0.25">
      <c r="A3144" s="4" t="s">
        <v>0</v>
      </c>
      <c r="B3144" t="s">
        <v>449</v>
      </c>
      <c r="C3144" t="s">
        <v>4380</v>
      </c>
      <c r="D3144" t="s">
        <v>1208</v>
      </c>
      <c r="E3144" t="s">
        <v>316</v>
      </c>
      <c r="F3144" t="s">
        <v>37</v>
      </c>
    </row>
    <row r="3145" spans="1:6" outlineLevel="3" x14ac:dyDescent="0.25">
      <c r="A3145" s="4" t="s">
        <v>0</v>
      </c>
      <c r="B3145" t="s">
        <v>449</v>
      </c>
      <c r="C3145" t="s">
        <v>4393</v>
      </c>
      <c r="D3145" t="s">
        <v>1188</v>
      </c>
      <c r="E3145" t="s">
        <v>315</v>
      </c>
      <c r="F3145" t="s">
        <v>37</v>
      </c>
    </row>
    <row r="3146" spans="1:6" outlineLevel="3" x14ac:dyDescent="0.25">
      <c r="A3146" s="4" t="s">
        <v>0</v>
      </c>
      <c r="B3146" t="s">
        <v>449</v>
      </c>
      <c r="C3146" t="s">
        <v>4382</v>
      </c>
      <c r="D3146" t="s">
        <v>2024</v>
      </c>
      <c r="E3146" t="s">
        <v>1667</v>
      </c>
      <c r="F3146" t="s">
        <v>37</v>
      </c>
    </row>
    <row r="3147" spans="1:6" outlineLevel="3" x14ac:dyDescent="0.25">
      <c r="A3147" s="4" t="s">
        <v>0</v>
      </c>
      <c r="B3147" t="s">
        <v>449</v>
      </c>
      <c r="C3147" t="s">
        <v>4319</v>
      </c>
      <c r="D3147" t="s">
        <v>1196</v>
      </c>
      <c r="E3147" t="s">
        <v>81</v>
      </c>
      <c r="F3147" t="s">
        <v>37</v>
      </c>
    </row>
    <row r="3148" spans="1:6" outlineLevel="3" x14ac:dyDescent="0.25">
      <c r="A3148" s="4" t="s">
        <v>0</v>
      </c>
      <c r="B3148" t="s">
        <v>449</v>
      </c>
      <c r="C3148" t="s">
        <v>4437</v>
      </c>
      <c r="D3148" t="s">
        <v>267</v>
      </c>
      <c r="E3148" t="s">
        <v>408</v>
      </c>
      <c r="F3148" t="s">
        <v>37</v>
      </c>
    </row>
    <row r="3149" spans="1:6" outlineLevel="3" x14ac:dyDescent="0.25">
      <c r="A3149" s="4" t="s">
        <v>0</v>
      </c>
      <c r="B3149" t="s">
        <v>449</v>
      </c>
      <c r="C3149" t="s">
        <v>4438</v>
      </c>
      <c r="D3149" t="s">
        <v>1735</v>
      </c>
      <c r="E3149" t="s">
        <v>313</v>
      </c>
      <c r="F3149" t="s">
        <v>37</v>
      </c>
    </row>
    <row r="3150" spans="1:6" outlineLevel="3" x14ac:dyDescent="0.25">
      <c r="A3150" s="4" t="s">
        <v>0</v>
      </c>
      <c r="B3150" t="s">
        <v>449</v>
      </c>
      <c r="C3150" t="s">
        <v>4367</v>
      </c>
      <c r="D3150" t="s">
        <v>1204</v>
      </c>
      <c r="E3150" t="s">
        <v>259</v>
      </c>
      <c r="F3150" t="s">
        <v>37</v>
      </c>
    </row>
    <row r="3151" spans="1:6" outlineLevel="3" x14ac:dyDescent="0.25">
      <c r="A3151" s="4" t="s">
        <v>0</v>
      </c>
      <c r="B3151" t="s">
        <v>449</v>
      </c>
      <c r="C3151" t="s">
        <v>4369</v>
      </c>
      <c r="D3151" t="s">
        <v>1205</v>
      </c>
      <c r="E3151" t="s">
        <v>1072</v>
      </c>
      <c r="F3151" t="s">
        <v>37</v>
      </c>
    </row>
    <row r="3152" spans="1:6" outlineLevel="3" x14ac:dyDescent="0.25">
      <c r="A3152" s="4" t="s">
        <v>0</v>
      </c>
      <c r="B3152" t="s">
        <v>449</v>
      </c>
      <c r="C3152" t="s">
        <v>4370</v>
      </c>
      <c r="D3152" t="s">
        <v>1206</v>
      </c>
      <c r="E3152" t="s">
        <v>1075</v>
      </c>
      <c r="F3152" t="s">
        <v>37</v>
      </c>
    </row>
    <row r="3153" spans="1:6" outlineLevel="3" x14ac:dyDescent="0.25">
      <c r="A3153" s="4" t="s">
        <v>0</v>
      </c>
      <c r="B3153" t="s">
        <v>449</v>
      </c>
      <c r="C3153" t="s">
        <v>4394</v>
      </c>
      <c r="D3153" t="s">
        <v>1146</v>
      </c>
      <c r="E3153" t="s">
        <v>163</v>
      </c>
      <c r="F3153" t="s">
        <v>37</v>
      </c>
    </row>
    <row r="3154" spans="1:6" outlineLevel="3" x14ac:dyDescent="0.25">
      <c r="A3154" s="4" t="s">
        <v>0</v>
      </c>
      <c r="B3154" t="s">
        <v>449</v>
      </c>
      <c r="C3154" t="s">
        <v>4356</v>
      </c>
      <c r="D3154" t="s">
        <v>150</v>
      </c>
      <c r="E3154" t="s">
        <v>1113</v>
      </c>
      <c r="F3154" t="s">
        <v>37</v>
      </c>
    </row>
    <row r="3155" spans="1:6" outlineLevel="3" x14ac:dyDescent="0.25">
      <c r="A3155" s="4" t="s">
        <v>0</v>
      </c>
      <c r="B3155" t="s">
        <v>449</v>
      </c>
      <c r="C3155" t="s">
        <v>4407</v>
      </c>
      <c r="D3155" t="s">
        <v>1148</v>
      </c>
      <c r="E3155" t="s">
        <v>223</v>
      </c>
      <c r="F3155" t="s">
        <v>37</v>
      </c>
    </row>
    <row r="3156" spans="1:6" outlineLevel="3" x14ac:dyDescent="0.25">
      <c r="A3156" s="4" t="s">
        <v>0</v>
      </c>
      <c r="B3156" t="s">
        <v>449</v>
      </c>
      <c r="C3156" t="s">
        <v>4376</v>
      </c>
      <c r="D3156" t="s">
        <v>116</v>
      </c>
      <c r="E3156" t="s">
        <v>80</v>
      </c>
      <c r="F3156" t="s">
        <v>37</v>
      </c>
    </row>
    <row r="3157" spans="1:6" outlineLevel="3" x14ac:dyDescent="0.25">
      <c r="A3157" s="4" t="s">
        <v>0</v>
      </c>
      <c r="B3157" t="s">
        <v>449</v>
      </c>
      <c r="C3157" t="s">
        <v>4381</v>
      </c>
      <c r="D3157" t="s">
        <v>2023</v>
      </c>
      <c r="E3157" t="s">
        <v>224</v>
      </c>
      <c r="F3157" t="s">
        <v>37</v>
      </c>
    </row>
    <row r="3158" spans="1:6" outlineLevel="3" x14ac:dyDescent="0.25">
      <c r="A3158" s="4" t="s">
        <v>0</v>
      </c>
      <c r="B3158" t="s">
        <v>449</v>
      </c>
      <c r="C3158" t="s">
        <v>4357</v>
      </c>
      <c r="D3158" t="s">
        <v>65</v>
      </c>
      <c r="E3158" t="s">
        <v>1114</v>
      </c>
      <c r="F3158" t="s">
        <v>37</v>
      </c>
    </row>
    <row r="3159" spans="1:6" outlineLevel="3" x14ac:dyDescent="0.25">
      <c r="A3159" s="4" t="s">
        <v>0</v>
      </c>
      <c r="B3159" t="s">
        <v>449</v>
      </c>
      <c r="C3159" t="s">
        <v>4336</v>
      </c>
      <c r="D3159" t="s">
        <v>1200</v>
      </c>
      <c r="E3159" t="s">
        <v>233</v>
      </c>
      <c r="F3159" t="s">
        <v>37</v>
      </c>
    </row>
    <row r="3160" spans="1:6" outlineLevel="3" x14ac:dyDescent="0.25">
      <c r="A3160" s="4" t="s">
        <v>0</v>
      </c>
      <c r="B3160" t="s">
        <v>449</v>
      </c>
      <c r="C3160" t="s">
        <v>4337</v>
      </c>
      <c r="D3160" t="s">
        <v>1201</v>
      </c>
      <c r="E3160" t="s">
        <v>226</v>
      </c>
      <c r="F3160" t="s">
        <v>37</v>
      </c>
    </row>
    <row r="3161" spans="1:6" outlineLevel="3" x14ac:dyDescent="0.25">
      <c r="A3161" s="4" t="s">
        <v>0</v>
      </c>
      <c r="B3161" t="s">
        <v>449</v>
      </c>
      <c r="C3161" t="s">
        <v>4365</v>
      </c>
      <c r="D3161" t="s">
        <v>4366</v>
      </c>
      <c r="E3161" t="s">
        <v>1122</v>
      </c>
      <c r="F3161" t="s">
        <v>37</v>
      </c>
    </row>
    <row r="3162" spans="1:6" outlineLevel="3" x14ac:dyDescent="0.25">
      <c r="A3162" s="4" t="s">
        <v>0</v>
      </c>
      <c r="B3162" t="s">
        <v>449</v>
      </c>
      <c r="C3162" t="s">
        <v>4334</v>
      </c>
      <c r="D3162" t="s">
        <v>1677</v>
      </c>
      <c r="E3162" t="s">
        <v>294</v>
      </c>
      <c r="F3162" t="s">
        <v>37</v>
      </c>
    </row>
    <row r="3163" spans="1:6" outlineLevel="3" x14ac:dyDescent="0.25">
      <c r="A3163" s="4" t="s">
        <v>0</v>
      </c>
      <c r="B3163" t="s">
        <v>449</v>
      </c>
      <c r="C3163" t="s">
        <v>4342</v>
      </c>
      <c r="D3163" t="s">
        <v>1237</v>
      </c>
      <c r="E3163" t="s">
        <v>138</v>
      </c>
      <c r="F3163" t="s">
        <v>37</v>
      </c>
    </row>
    <row r="3164" spans="1:6" outlineLevel="3" x14ac:dyDescent="0.25">
      <c r="A3164" s="4" t="s">
        <v>0</v>
      </c>
      <c r="B3164" t="s">
        <v>449</v>
      </c>
      <c r="C3164" t="s">
        <v>4408</v>
      </c>
      <c r="D3164" t="s">
        <v>52</v>
      </c>
      <c r="E3164" t="s">
        <v>133</v>
      </c>
      <c r="F3164" t="s">
        <v>37</v>
      </c>
    </row>
    <row r="3165" spans="1:6" outlineLevel="3" x14ac:dyDescent="0.25">
      <c r="A3165" s="4" t="s">
        <v>0</v>
      </c>
      <c r="B3165" t="s">
        <v>449</v>
      </c>
      <c r="C3165" t="s">
        <v>4439</v>
      </c>
      <c r="D3165" t="s">
        <v>376</v>
      </c>
      <c r="E3165" t="s">
        <v>198</v>
      </c>
      <c r="F3165" t="s">
        <v>37</v>
      </c>
    </row>
    <row r="3166" spans="1:6" outlineLevel="3" x14ac:dyDescent="0.25">
      <c r="A3166" s="4" t="s">
        <v>0</v>
      </c>
      <c r="B3166" t="s">
        <v>449</v>
      </c>
      <c r="C3166" t="s">
        <v>4364</v>
      </c>
      <c r="D3166" t="s">
        <v>1678</v>
      </c>
      <c r="E3166" t="s">
        <v>1119</v>
      </c>
      <c r="F3166" t="s">
        <v>37</v>
      </c>
    </row>
    <row r="3167" spans="1:6" outlineLevel="3" x14ac:dyDescent="0.25">
      <c r="A3167" s="4" t="s">
        <v>0</v>
      </c>
      <c r="B3167" t="s">
        <v>449</v>
      </c>
      <c r="C3167" t="s">
        <v>4409</v>
      </c>
      <c r="D3167" t="s">
        <v>431</v>
      </c>
      <c r="E3167" t="s">
        <v>309</v>
      </c>
      <c r="F3167" t="s">
        <v>37</v>
      </c>
    </row>
    <row r="3168" spans="1:6" outlineLevel="3" x14ac:dyDescent="0.25">
      <c r="A3168" s="4" t="s">
        <v>0</v>
      </c>
      <c r="B3168" t="s">
        <v>449</v>
      </c>
      <c r="C3168" t="s">
        <v>4395</v>
      </c>
      <c r="D3168" t="s">
        <v>31</v>
      </c>
      <c r="E3168" t="s">
        <v>295</v>
      </c>
      <c r="F3168" t="s">
        <v>37</v>
      </c>
    </row>
    <row r="3169" spans="1:6" outlineLevel="3" x14ac:dyDescent="0.25">
      <c r="A3169" s="4" t="s">
        <v>0</v>
      </c>
      <c r="B3169" t="s">
        <v>449</v>
      </c>
      <c r="C3169" t="s">
        <v>4440</v>
      </c>
      <c r="D3169" t="s">
        <v>1238</v>
      </c>
      <c r="E3169" t="s">
        <v>83</v>
      </c>
      <c r="F3169" t="s">
        <v>37</v>
      </c>
    </row>
    <row r="3170" spans="1:6" outlineLevel="3" x14ac:dyDescent="0.25">
      <c r="A3170" s="4" t="s">
        <v>0</v>
      </c>
      <c r="B3170" t="s">
        <v>449</v>
      </c>
      <c r="C3170" t="s">
        <v>4410</v>
      </c>
      <c r="D3170" t="s">
        <v>1683</v>
      </c>
      <c r="E3170" t="s">
        <v>1095</v>
      </c>
      <c r="F3170" t="s">
        <v>37</v>
      </c>
    </row>
    <row r="3171" spans="1:6" outlineLevel="3" x14ac:dyDescent="0.25">
      <c r="A3171" s="4" t="s">
        <v>0</v>
      </c>
      <c r="B3171" t="s">
        <v>449</v>
      </c>
      <c r="C3171" t="s">
        <v>4377</v>
      </c>
      <c r="D3171" t="s">
        <v>1207</v>
      </c>
      <c r="E3171" t="s">
        <v>85</v>
      </c>
      <c r="F3171" t="s">
        <v>37</v>
      </c>
    </row>
    <row r="3172" spans="1:6" outlineLevel="3" x14ac:dyDescent="0.25">
      <c r="A3172" s="4" t="s">
        <v>0</v>
      </c>
      <c r="B3172" t="s">
        <v>449</v>
      </c>
      <c r="C3172" t="s">
        <v>4411</v>
      </c>
      <c r="D3172" t="s">
        <v>1215</v>
      </c>
      <c r="E3172" t="s">
        <v>206</v>
      </c>
      <c r="F3172" t="s">
        <v>37</v>
      </c>
    </row>
    <row r="3173" spans="1:6" outlineLevel="3" x14ac:dyDescent="0.25">
      <c r="A3173" s="4" t="s">
        <v>0</v>
      </c>
      <c r="B3173" t="s">
        <v>449</v>
      </c>
      <c r="C3173" t="s">
        <v>4412</v>
      </c>
      <c r="D3173" t="s">
        <v>2033</v>
      </c>
      <c r="E3173" t="s">
        <v>1038</v>
      </c>
      <c r="F3173" t="s">
        <v>37</v>
      </c>
    </row>
    <row r="3174" spans="1:6" outlineLevel="3" x14ac:dyDescent="0.25">
      <c r="A3174" s="4" t="s">
        <v>0</v>
      </c>
      <c r="B3174" t="s">
        <v>449</v>
      </c>
      <c r="C3174" t="s">
        <v>4413</v>
      </c>
      <c r="D3174" t="s">
        <v>2034</v>
      </c>
      <c r="E3174" t="s">
        <v>162</v>
      </c>
      <c r="F3174" t="s">
        <v>37</v>
      </c>
    </row>
    <row r="3175" spans="1:6" outlineLevel="3" x14ac:dyDescent="0.25">
      <c r="A3175" s="4" t="s">
        <v>0</v>
      </c>
      <c r="B3175" t="s">
        <v>449</v>
      </c>
      <c r="C3175" t="s">
        <v>4320</v>
      </c>
      <c r="D3175" t="s">
        <v>1197</v>
      </c>
      <c r="E3175" t="s">
        <v>93</v>
      </c>
      <c r="F3175" t="s">
        <v>37</v>
      </c>
    </row>
    <row r="3176" spans="1:6" outlineLevel="3" x14ac:dyDescent="0.25">
      <c r="A3176" s="4" t="s">
        <v>0</v>
      </c>
      <c r="B3176" t="s">
        <v>449</v>
      </c>
      <c r="C3176" t="s">
        <v>4321</v>
      </c>
      <c r="D3176" t="s">
        <v>1198</v>
      </c>
      <c r="E3176" t="s">
        <v>130</v>
      </c>
      <c r="F3176" t="s">
        <v>37</v>
      </c>
    </row>
    <row r="3177" spans="1:6" outlineLevel="3" x14ac:dyDescent="0.25">
      <c r="A3177" s="4" t="s">
        <v>0</v>
      </c>
      <c r="B3177" t="s">
        <v>449</v>
      </c>
      <c r="C3177" t="s">
        <v>4425</v>
      </c>
      <c r="D3177" t="s">
        <v>1144</v>
      </c>
      <c r="E3177" t="s">
        <v>1137</v>
      </c>
      <c r="F3177" t="s">
        <v>37</v>
      </c>
    </row>
    <row r="3178" spans="1:6" outlineLevel="3" x14ac:dyDescent="0.25">
      <c r="A3178" s="4" t="s">
        <v>0</v>
      </c>
      <c r="B3178" t="s">
        <v>449</v>
      </c>
      <c r="C3178" t="s">
        <v>4426</v>
      </c>
      <c r="D3178" t="s">
        <v>1221</v>
      </c>
      <c r="E3178" t="s">
        <v>1138</v>
      </c>
      <c r="F3178" t="s">
        <v>37</v>
      </c>
    </row>
    <row r="3179" spans="1:6" outlineLevel="3" x14ac:dyDescent="0.25">
      <c r="A3179" s="4" t="s">
        <v>0</v>
      </c>
      <c r="B3179" t="s">
        <v>449</v>
      </c>
      <c r="C3179" t="s">
        <v>4396</v>
      </c>
      <c r="D3179" t="s">
        <v>2025</v>
      </c>
      <c r="E3179" t="s">
        <v>336</v>
      </c>
      <c r="F3179" t="s">
        <v>37</v>
      </c>
    </row>
    <row r="3180" spans="1:6" outlineLevel="3" x14ac:dyDescent="0.25">
      <c r="A3180" s="4" t="s">
        <v>0</v>
      </c>
      <c r="B3180" t="s">
        <v>449</v>
      </c>
      <c r="C3180" t="s">
        <v>4441</v>
      </c>
      <c r="D3180" t="s">
        <v>200</v>
      </c>
      <c r="E3180" t="s">
        <v>409</v>
      </c>
      <c r="F3180" t="s">
        <v>37</v>
      </c>
    </row>
    <row r="3181" spans="1:6" outlineLevel="3" x14ac:dyDescent="0.25">
      <c r="A3181" s="4" t="s">
        <v>0</v>
      </c>
      <c r="B3181" t="s">
        <v>449</v>
      </c>
      <c r="C3181" t="s">
        <v>4442</v>
      </c>
      <c r="D3181" t="s">
        <v>1686</v>
      </c>
      <c r="E3181" t="s">
        <v>229</v>
      </c>
      <c r="F3181" t="s">
        <v>37</v>
      </c>
    </row>
    <row r="3182" spans="1:6" outlineLevel="3" x14ac:dyDescent="0.25">
      <c r="A3182" s="4" t="s">
        <v>0</v>
      </c>
      <c r="B3182" t="s">
        <v>449</v>
      </c>
      <c r="C3182" t="s">
        <v>4414</v>
      </c>
      <c r="D3182" t="s">
        <v>1216</v>
      </c>
      <c r="E3182" t="s">
        <v>291</v>
      </c>
      <c r="F3182" t="s">
        <v>37</v>
      </c>
    </row>
    <row r="3183" spans="1:6" outlineLevel="3" x14ac:dyDescent="0.25">
      <c r="A3183" s="4" t="s">
        <v>0</v>
      </c>
      <c r="B3183" t="s">
        <v>449</v>
      </c>
      <c r="C3183" t="s">
        <v>4397</v>
      </c>
      <c r="D3183" t="s">
        <v>200</v>
      </c>
      <c r="E3183" t="s">
        <v>277</v>
      </c>
      <c r="F3183" t="s">
        <v>37</v>
      </c>
    </row>
    <row r="3184" spans="1:6" outlineLevel="2" x14ac:dyDescent="0.25">
      <c r="A3184" s="38" t="s">
        <v>1032</v>
      </c>
      <c r="F3184">
        <f>SUBTOTAL(3,F3057:F3183)</f>
        <v>127</v>
      </c>
    </row>
    <row r="3185" spans="1:6" outlineLevel="1" x14ac:dyDescent="0.25">
      <c r="E3185" s="37" t="s">
        <v>1020</v>
      </c>
      <c r="F3185">
        <f>SUBTOTAL(3,F3057:F3183)</f>
        <v>127</v>
      </c>
    </row>
    <row r="3186" spans="1:6" outlineLevel="3" x14ac:dyDescent="0.25">
      <c r="A3186" s="4" t="s">
        <v>0</v>
      </c>
      <c r="B3186" t="s">
        <v>449</v>
      </c>
      <c r="C3186" t="s">
        <v>1476</v>
      </c>
      <c r="D3186" t="s">
        <v>1299</v>
      </c>
      <c r="E3186" t="s">
        <v>317</v>
      </c>
      <c r="F3186" t="s">
        <v>950</v>
      </c>
    </row>
    <row r="3187" spans="1:6" outlineLevel="3" x14ac:dyDescent="0.25">
      <c r="A3187" s="4" t="s">
        <v>0</v>
      </c>
      <c r="B3187" t="s">
        <v>449</v>
      </c>
      <c r="C3187" t="s">
        <v>1482</v>
      </c>
      <c r="D3187" t="s">
        <v>1303</v>
      </c>
      <c r="E3187" t="s">
        <v>245</v>
      </c>
      <c r="F3187" t="s">
        <v>950</v>
      </c>
    </row>
    <row r="3188" spans="1:6" outlineLevel="3" x14ac:dyDescent="0.25">
      <c r="A3188" s="4" t="s">
        <v>0</v>
      </c>
      <c r="B3188" t="s">
        <v>449</v>
      </c>
      <c r="C3188" t="s">
        <v>1486</v>
      </c>
      <c r="D3188" t="s">
        <v>332</v>
      </c>
      <c r="E3188" t="s">
        <v>333</v>
      </c>
      <c r="F3188" t="s">
        <v>950</v>
      </c>
    </row>
    <row r="3189" spans="1:6" outlineLevel="3" x14ac:dyDescent="0.25">
      <c r="A3189" s="4" t="s">
        <v>0</v>
      </c>
      <c r="B3189" t="s">
        <v>449</v>
      </c>
      <c r="C3189" t="s">
        <v>1491</v>
      </c>
      <c r="D3189" t="s">
        <v>1309</v>
      </c>
      <c r="E3189" t="s">
        <v>375</v>
      </c>
      <c r="F3189" t="s">
        <v>950</v>
      </c>
    </row>
    <row r="3190" spans="1:6" outlineLevel="3" x14ac:dyDescent="0.25">
      <c r="A3190" s="4" t="s">
        <v>0</v>
      </c>
      <c r="B3190" t="s">
        <v>449</v>
      </c>
      <c r="C3190" t="s">
        <v>1479</v>
      </c>
      <c r="D3190" t="s">
        <v>1301</v>
      </c>
      <c r="E3190" t="s">
        <v>318</v>
      </c>
      <c r="F3190" t="s">
        <v>950</v>
      </c>
    </row>
    <row r="3191" spans="1:6" outlineLevel="3" x14ac:dyDescent="0.25">
      <c r="A3191" s="4" t="s">
        <v>0</v>
      </c>
      <c r="B3191" t="s">
        <v>449</v>
      </c>
      <c r="C3191" t="s">
        <v>1483</v>
      </c>
      <c r="D3191" t="s">
        <v>1304</v>
      </c>
      <c r="E3191" t="s">
        <v>373</v>
      </c>
      <c r="F3191" t="s">
        <v>950</v>
      </c>
    </row>
    <row r="3192" spans="1:6" outlineLevel="3" x14ac:dyDescent="0.25">
      <c r="A3192" s="4" t="s">
        <v>0</v>
      </c>
      <c r="B3192" t="s">
        <v>449</v>
      </c>
      <c r="C3192" t="s">
        <v>1488</v>
      </c>
      <c r="D3192" t="s">
        <v>1267</v>
      </c>
      <c r="E3192" t="s">
        <v>389</v>
      </c>
      <c r="F3192" t="s">
        <v>950</v>
      </c>
    </row>
    <row r="3193" spans="1:6" outlineLevel="3" x14ac:dyDescent="0.25">
      <c r="A3193" s="4" t="s">
        <v>0</v>
      </c>
      <c r="B3193" t="s">
        <v>449</v>
      </c>
      <c r="C3193" t="s">
        <v>1493</v>
      </c>
      <c r="D3193" t="s">
        <v>1311</v>
      </c>
      <c r="E3193" t="s">
        <v>1275</v>
      </c>
      <c r="F3193" t="s">
        <v>950</v>
      </c>
    </row>
    <row r="3194" spans="1:6" outlineLevel="3" x14ac:dyDescent="0.25">
      <c r="A3194" s="4" t="s">
        <v>0</v>
      </c>
      <c r="B3194" t="s">
        <v>449</v>
      </c>
      <c r="C3194" t="s">
        <v>1489</v>
      </c>
      <c r="D3194" t="s">
        <v>1307</v>
      </c>
      <c r="E3194" t="s">
        <v>329</v>
      </c>
      <c r="F3194" t="s">
        <v>950</v>
      </c>
    </row>
    <row r="3195" spans="1:6" outlineLevel="3" x14ac:dyDescent="0.25">
      <c r="A3195" s="4" t="s">
        <v>0</v>
      </c>
      <c r="B3195" t="s">
        <v>449</v>
      </c>
      <c r="C3195" t="s">
        <v>1494</v>
      </c>
      <c r="D3195" t="s">
        <v>78</v>
      </c>
      <c r="E3195" t="s">
        <v>329</v>
      </c>
      <c r="F3195" t="s">
        <v>950</v>
      </c>
    </row>
    <row r="3196" spans="1:6" outlineLevel="3" x14ac:dyDescent="0.25">
      <c r="A3196" s="4" t="s">
        <v>0</v>
      </c>
      <c r="B3196" t="s">
        <v>449</v>
      </c>
      <c r="C3196" t="s">
        <v>1490</v>
      </c>
      <c r="D3196" t="s">
        <v>1308</v>
      </c>
      <c r="E3196" t="s">
        <v>372</v>
      </c>
      <c r="F3196" t="s">
        <v>950</v>
      </c>
    </row>
    <row r="3197" spans="1:6" outlineLevel="3" x14ac:dyDescent="0.25">
      <c r="A3197" s="4" t="s">
        <v>0</v>
      </c>
      <c r="B3197" t="s">
        <v>449</v>
      </c>
      <c r="C3197" t="s">
        <v>1477</v>
      </c>
      <c r="D3197" t="s">
        <v>1266</v>
      </c>
      <c r="E3197" t="s">
        <v>330</v>
      </c>
      <c r="F3197" t="s">
        <v>950</v>
      </c>
    </row>
    <row r="3198" spans="1:6" outlineLevel="3" x14ac:dyDescent="0.25">
      <c r="A3198" s="4" t="s">
        <v>0</v>
      </c>
      <c r="B3198" t="s">
        <v>449</v>
      </c>
      <c r="C3198" t="s">
        <v>1487</v>
      </c>
      <c r="D3198" t="s">
        <v>1306</v>
      </c>
      <c r="E3198" t="s">
        <v>335</v>
      </c>
      <c r="F3198" t="s">
        <v>950</v>
      </c>
    </row>
    <row r="3199" spans="1:6" outlineLevel="3" x14ac:dyDescent="0.25">
      <c r="A3199" s="4" t="s">
        <v>0</v>
      </c>
      <c r="B3199" t="s">
        <v>449</v>
      </c>
      <c r="C3199" t="s">
        <v>1475</v>
      </c>
      <c r="D3199" t="s">
        <v>44</v>
      </c>
      <c r="E3199" t="s">
        <v>240</v>
      </c>
      <c r="F3199" t="s">
        <v>950</v>
      </c>
    </row>
    <row r="3200" spans="1:6" outlineLevel="3" x14ac:dyDescent="0.25">
      <c r="A3200" s="4" t="s">
        <v>0</v>
      </c>
      <c r="B3200" t="s">
        <v>449</v>
      </c>
      <c r="C3200" t="s">
        <v>1495</v>
      </c>
      <c r="D3200" t="s">
        <v>1312</v>
      </c>
      <c r="E3200" t="s">
        <v>247</v>
      </c>
      <c r="F3200" t="s">
        <v>950</v>
      </c>
    </row>
    <row r="3201" spans="1:6" outlineLevel="3" x14ac:dyDescent="0.25">
      <c r="A3201" s="4" t="s">
        <v>0</v>
      </c>
      <c r="B3201" t="s">
        <v>449</v>
      </c>
      <c r="C3201" t="s">
        <v>1478</v>
      </c>
      <c r="D3201" t="s">
        <v>1300</v>
      </c>
      <c r="E3201" t="s">
        <v>243</v>
      </c>
      <c r="F3201" t="s">
        <v>950</v>
      </c>
    </row>
    <row r="3202" spans="1:6" outlineLevel="3" x14ac:dyDescent="0.25">
      <c r="A3202" s="4" t="s">
        <v>0</v>
      </c>
      <c r="B3202" t="s">
        <v>449</v>
      </c>
      <c r="C3202" t="s">
        <v>1473</v>
      </c>
      <c r="D3202" t="s">
        <v>1297</v>
      </c>
      <c r="E3202" t="s">
        <v>343</v>
      </c>
      <c r="F3202" t="s">
        <v>950</v>
      </c>
    </row>
    <row r="3203" spans="1:6" outlineLevel="3" x14ac:dyDescent="0.25">
      <c r="A3203" s="4" t="s">
        <v>0</v>
      </c>
      <c r="B3203" t="s">
        <v>449</v>
      </c>
      <c r="C3203" t="s">
        <v>1474</v>
      </c>
      <c r="D3203" t="s">
        <v>1298</v>
      </c>
      <c r="E3203" t="s">
        <v>301</v>
      </c>
      <c r="F3203" t="s">
        <v>950</v>
      </c>
    </row>
    <row r="3204" spans="1:6" outlineLevel="3" x14ac:dyDescent="0.25">
      <c r="A3204" s="4" t="s">
        <v>0</v>
      </c>
      <c r="B3204" t="s">
        <v>449</v>
      </c>
      <c r="C3204" t="s">
        <v>1485</v>
      </c>
      <c r="D3204" t="s">
        <v>1305</v>
      </c>
      <c r="E3204" t="s">
        <v>242</v>
      </c>
      <c r="F3204" t="s">
        <v>950</v>
      </c>
    </row>
    <row r="3205" spans="1:6" outlineLevel="3" x14ac:dyDescent="0.25">
      <c r="A3205" s="4" t="s">
        <v>0</v>
      </c>
      <c r="B3205" t="s">
        <v>449</v>
      </c>
      <c r="C3205" t="s">
        <v>1480</v>
      </c>
      <c r="D3205" t="s">
        <v>1302</v>
      </c>
      <c r="E3205" t="s">
        <v>342</v>
      </c>
      <c r="F3205" t="s">
        <v>950</v>
      </c>
    </row>
    <row r="3206" spans="1:6" outlineLevel="3" x14ac:dyDescent="0.25">
      <c r="A3206" s="4" t="s">
        <v>0</v>
      </c>
      <c r="B3206" t="s">
        <v>449</v>
      </c>
      <c r="C3206" t="s">
        <v>1492</v>
      </c>
      <c r="D3206" t="s">
        <v>1310</v>
      </c>
      <c r="E3206" t="s">
        <v>371</v>
      </c>
      <c r="F3206" t="s">
        <v>950</v>
      </c>
    </row>
    <row r="3207" spans="1:6" outlineLevel="3" x14ac:dyDescent="0.25">
      <c r="A3207" s="4" t="s">
        <v>0</v>
      </c>
      <c r="B3207" t="s">
        <v>449</v>
      </c>
      <c r="C3207" t="s">
        <v>1484</v>
      </c>
      <c r="D3207" t="s">
        <v>1261</v>
      </c>
      <c r="E3207" t="s">
        <v>331</v>
      </c>
      <c r="F3207" t="s">
        <v>950</v>
      </c>
    </row>
    <row r="3208" spans="1:6" outlineLevel="3" x14ac:dyDescent="0.25">
      <c r="A3208" s="4" t="s">
        <v>0</v>
      </c>
      <c r="B3208" t="s">
        <v>449</v>
      </c>
      <c r="C3208" t="s">
        <v>1496</v>
      </c>
      <c r="D3208" t="s">
        <v>13</v>
      </c>
      <c r="E3208" t="s">
        <v>1276</v>
      </c>
      <c r="F3208" t="s">
        <v>950</v>
      </c>
    </row>
    <row r="3209" spans="1:6" outlineLevel="3" x14ac:dyDescent="0.25">
      <c r="A3209" s="4" t="s">
        <v>0</v>
      </c>
      <c r="B3209" t="s">
        <v>449</v>
      </c>
      <c r="C3209" t="s">
        <v>1481</v>
      </c>
      <c r="D3209" t="s">
        <v>26</v>
      </c>
      <c r="E3209" t="s">
        <v>1274</v>
      </c>
      <c r="F3209" t="s">
        <v>950</v>
      </c>
    </row>
    <row r="3210" spans="1:6" outlineLevel="2" x14ac:dyDescent="0.25">
      <c r="A3210" s="38" t="s">
        <v>1032</v>
      </c>
      <c r="F3210">
        <f>SUBTOTAL(3,F3186:F3209)</f>
        <v>24</v>
      </c>
    </row>
    <row r="3211" spans="1:6" outlineLevel="1" x14ac:dyDescent="0.25">
      <c r="E3211" s="37" t="s">
        <v>1021</v>
      </c>
      <c r="F3211">
        <f>SUBTOTAL(3,F3186:F3209)</f>
        <v>24</v>
      </c>
    </row>
    <row r="3212" spans="1:6" outlineLevel="3" x14ac:dyDescent="0.25">
      <c r="A3212" s="4" t="s">
        <v>0</v>
      </c>
      <c r="B3212" t="s">
        <v>449</v>
      </c>
      <c r="C3212" t="s">
        <v>2067</v>
      </c>
      <c r="D3212" t="s">
        <v>272</v>
      </c>
      <c r="E3212" t="s">
        <v>273</v>
      </c>
      <c r="F3212" t="s">
        <v>12</v>
      </c>
    </row>
    <row r="3213" spans="1:6" outlineLevel="3" x14ac:dyDescent="0.25">
      <c r="A3213" s="4" t="s">
        <v>0</v>
      </c>
      <c r="B3213" t="s">
        <v>449</v>
      </c>
      <c r="C3213" t="s">
        <v>2064</v>
      </c>
      <c r="D3213" t="s">
        <v>351</v>
      </c>
      <c r="E3213" t="s">
        <v>352</v>
      </c>
      <c r="F3213" t="s">
        <v>12</v>
      </c>
    </row>
    <row r="3214" spans="1:6" outlineLevel="3" x14ac:dyDescent="0.25">
      <c r="A3214" s="4" t="s">
        <v>0</v>
      </c>
      <c r="B3214" t="s">
        <v>449</v>
      </c>
      <c r="C3214" t="s">
        <v>1449</v>
      </c>
      <c r="D3214" t="s">
        <v>165</v>
      </c>
      <c r="E3214" t="s">
        <v>166</v>
      </c>
      <c r="F3214" t="s">
        <v>12</v>
      </c>
    </row>
    <row r="3215" spans="1:6" outlineLevel="3" x14ac:dyDescent="0.25">
      <c r="A3215" s="4" t="s">
        <v>0</v>
      </c>
      <c r="B3215" t="s">
        <v>449</v>
      </c>
      <c r="C3215" t="s">
        <v>2065</v>
      </c>
      <c r="D3215" t="s">
        <v>353</v>
      </c>
      <c r="E3215" t="s">
        <v>354</v>
      </c>
      <c r="F3215" t="s">
        <v>12</v>
      </c>
    </row>
    <row r="3216" spans="1:6" outlineLevel="3" x14ac:dyDescent="0.25">
      <c r="A3216" s="4" t="s">
        <v>0</v>
      </c>
      <c r="B3216" t="s">
        <v>449</v>
      </c>
      <c r="C3216" t="s">
        <v>1453</v>
      </c>
      <c r="D3216" t="s">
        <v>1222</v>
      </c>
      <c r="E3216" t="s">
        <v>17</v>
      </c>
      <c r="F3216" t="s">
        <v>12</v>
      </c>
    </row>
    <row r="3217" spans="1:6" outlineLevel="3" x14ac:dyDescent="0.25">
      <c r="A3217" s="4" t="s">
        <v>0</v>
      </c>
      <c r="B3217" t="s">
        <v>449</v>
      </c>
      <c r="C3217" t="s">
        <v>1467</v>
      </c>
      <c r="D3217" t="s">
        <v>261</v>
      </c>
      <c r="E3217" t="s">
        <v>262</v>
      </c>
      <c r="F3217" t="s">
        <v>12</v>
      </c>
    </row>
    <row r="3218" spans="1:6" outlineLevel="3" x14ac:dyDescent="0.25">
      <c r="A3218" s="4" t="s">
        <v>0</v>
      </c>
      <c r="B3218" t="s">
        <v>449</v>
      </c>
      <c r="C3218" t="s">
        <v>1455</v>
      </c>
      <c r="D3218" t="s">
        <v>267</v>
      </c>
      <c r="E3218" t="s">
        <v>268</v>
      </c>
      <c r="F3218" t="s">
        <v>12</v>
      </c>
    </row>
    <row r="3219" spans="1:6" outlineLevel="3" x14ac:dyDescent="0.25">
      <c r="A3219" s="4" t="s">
        <v>0</v>
      </c>
      <c r="B3219" t="s">
        <v>449</v>
      </c>
      <c r="C3219" t="s">
        <v>2062</v>
      </c>
      <c r="D3219" t="s">
        <v>415</v>
      </c>
      <c r="E3219" t="s">
        <v>416</v>
      </c>
      <c r="F3219" t="s">
        <v>12</v>
      </c>
    </row>
    <row r="3220" spans="1:6" outlineLevel="3" x14ac:dyDescent="0.25">
      <c r="A3220" s="4" t="s">
        <v>0</v>
      </c>
      <c r="B3220" t="s">
        <v>449</v>
      </c>
      <c r="C3220" t="s">
        <v>2063</v>
      </c>
      <c r="D3220" t="s">
        <v>417</v>
      </c>
      <c r="E3220" t="s">
        <v>418</v>
      </c>
      <c r="F3220" t="s">
        <v>12</v>
      </c>
    </row>
    <row r="3221" spans="1:6" outlineLevel="3" x14ac:dyDescent="0.25">
      <c r="A3221" s="4" t="s">
        <v>0</v>
      </c>
      <c r="B3221" t="s">
        <v>449</v>
      </c>
      <c r="C3221" t="s">
        <v>1454</v>
      </c>
      <c r="D3221" t="s">
        <v>38</v>
      </c>
      <c r="E3221" t="s">
        <v>39</v>
      </c>
      <c r="F3221" t="s">
        <v>12</v>
      </c>
    </row>
    <row r="3222" spans="1:6" outlineLevel="3" x14ac:dyDescent="0.25">
      <c r="A3222" s="4" t="s">
        <v>0</v>
      </c>
      <c r="B3222" t="s">
        <v>449</v>
      </c>
      <c r="C3222" t="s">
        <v>2061</v>
      </c>
      <c r="D3222" t="s">
        <v>78</v>
      </c>
      <c r="E3222" t="s">
        <v>411</v>
      </c>
      <c r="F3222" t="s">
        <v>12</v>
      </c>
    </row>
    <row r="3223" spans="1:6" outlineLevel="3" x14ac:dyDescent="0.25">
      <c r="A3223" s="4" t="s">
        <v>0</v>
      </c>
      <c r="B3223" t="s">
        <v>449</v>
      </c>
      <c r="C3223" t="s">
        <v>2060</v>
      </c>
      <c r="D3223" t="s">
        <v>280</v>
      </c>
      <c r="E3223" t="s">
        <v>410</v>
      </c>
      <c r="F3223" t="s">
        <v>12</v>
      </c>
    </row>
    <row r="3224" spans="1:6" outlineLevel="3" x14ac:dyDescent="0.25">
      <c r="A3224" s="4" t="s">
        <v>0</v>
      </c>
      <c r="B3224" t="s">
        <v>449</v>
      </c>
      <c r="C3224" t="s">
        <v>1461</v>
      </c>
      <c r="D3224" t="s">
        <v>356</v>
      </c>
      <c r="E3224" t="s">
        <v>357</v>
      </c>
      <c r="F3224" t="s">
        <v>12</v>
      </c>
    </row>
    <row r="3225" spans="1:6" outlineLevel="3" x14ac:dyDescent="0.25">
      <c r="A3225" s="4" t="s">
        <v>0</v>
      </c>
      <c r="B3225" t="s">
        <v>449</v>
      </c>
      <c r="C3225" t="s">
        <v>1457</v>
      </c>
      <c r="D3225" t="s">
        <v>940</v>
      </c>
      <c r="E3225" t="s">
        <v>274</v>
      </c>
      <c r="F3225" t="s">
        <v>12</v>
      </c>
    </row>
    <row r="3226" spans="1:6" outlineLevel="3" x14ac:dyDescent="0.25">
      <c r="A3226" s="4" t="s">
        <v>0</v>
      </c>
      <c r="B3226" t="s">
        <v>449</v>
      </c>
      <c r="C3226" t="s">
        <v>1463</v>
      </c>
      <c r="D3226" t="s">
        <v>67</v>
      </c>
      <c r="E3226" t="s">
        <v>360</v>
      </c>
      <c r="F3226" t="s">
        <v>12</v>
      </c>
    </row>
    <row r="3227" spans="1:6" outlineLevel="3" x14ac:dyDescent="0.25">
      <c r="A3227" s="4" t="s">
        <v>0</v>
      </c>
      <c r="B3227" t="s">
        <v>449</v>
      </c>
      <c r="C3227" t="s">
        <v>1462</v>
      </c>
      <c r="D3227" t="s">
        <v>358</v>
      </c>
      <c r="E3227" t="s">
        <v>359</v>
      </c>
      <c r="F3227" t="s">
        <v>12</v>
      </c>
    </row>
    <row r="3228" spans="1:6" outlineLevel="3" x14ac:dyDescent="0.25">
      <c r="A3228" s="4" t="s">
        <v>0</v>
      </c>
      <c r="B3228" t="s">
        <v>449</v>
      </c>
      <c r="C3228" t="s">
        <v>1452</v>
      </c>
      <c r="D3228" t="s">
        <v>1104</v>
      </c>
      <c r="E3228" t="s">
        <v>173</v>
      </c>
      <c r="F3228" t="s">
        <v>12</v>
      </c>
    </row>
    <row r="3229" spans="1:6" outlineLevel="3" x14ac:dyDescent="0.25">
      <c r="A3229" s="4" t="s">
        <v>0</v>
      </c>
      <c r="B3229" t="s">
        <v>449</v>
      </c>
      <c r="C3229" t="s">
        <v>1451</v>
      </c>
      <c r="D3229" t="s">
        <v>1087</v>
      </c>
      <c r="E3229" t="s">
        <v>18</v>
      </c>
      <c r="F3229" t="s">
        <v>12</v>
      </c>
    </row>
    <row r="3230" spans="1:6" outlineLevel="3" x14ac:dyDescent="0.25">
      <c r="A3230" s="4" t="s">
        <v>0</v>
      </c>
      <c r="B3230" t="s">
        <v>449</v>
      </c>
      <c r="C3230" t="s">
        <v>1460</v>
      </c>
      <c r="D3230" t="s">
        <v>1</v>
      </c>
      <c r="E3230" t="s">
        <v>8</v>
      </c>
      <c r="F3230" t="s">
        <v>12</v>
      </c>
    </row>
    <row r="3231" spans="1:6" outlineLevel="3" x14ac:dyDescent="0.25">
      <c r="A3231" s="4" t="s">
        <v>0</v>
      </c>
      <c r="B3231" t="s">
        <v>449</v>
      </c>
      <c r="C3231" t="s">
        <v>1458</v>
      </c>
      <c r="D3231" t="s">
        <v>275</v>
      </c>
      <c r="E3231" t="s">
        <v>276</v>
      </c>
      <c r="F3231" t="s">
        <v>12</v>
      </c>
    </row>
    <row r="3232" spans="1:6" outlineLevel="3" x14ac:dyDescent="0.25">
      <c r="A3232" s="4" t="s">
        <v>0</v>
      </c>
      <c r="B3232" t="s">
        <v>449</v>
      </c>
      <c r="C3232" t="s">
        <v>1456</v>
      </c>
      <c r="D3232" t="s">
        <v>932</v>
      </c>
      <c r="E3232" t="s">
        <v>264</v>
      </c>
      <c r="F3232" t="s">
        <v>12</v>
      </c>
    </row>
    <row r="3233" spans="1:6" outlineLevel="3" x14ac:dyDescent="0.25">
      <c r="A3233" s="4" t="s">
        <v>0</v>
      </c>
      <c r="B3233" t="s">
        <v>449</v>
      </c>
      <c r="C3233" t="s">
        <v>1450</v>
      </c>
      <c r="D3233" t="s">
        <v>167</v>
      </c>
      <c r="E3233" t="s">
        <v>168</v>
      </c>
      <c r="F3233" t="s">
        <v>12</v>
      </c>
    </row>
    <row r="3234" spans="1:6" outlineLevel="3" x14ac:dyDescent="0.25">
      <c r="A3234" s="4" t="s">
        <v>0</v>
      </c>
      <c r="B3234" t="s">
        <v>449</v>
      </c>
      <c r="C3234" t="s">
        <v>1468</v>
      </c>
      <c r="D3234" t="s">
        <v>153</v>
      </c>
      <c r="E3234" t="s">
        <v>321</v>
      </c>
      <c r="F3234" t="s">
        <v>12</v>
      </c>
    </row>
    <row r="3235" spans="1:6" outlineLevel="3" x14ac:dyDescent="0.25">
      <c r="A3235" s="4" t="s">
        <v>0</v>
      </c>
      <c r="B3235" t="s">
        <v>449</v>
      </c>
      <c r="C3235" t="s">
        <v>2066</v>
      </c>
      <c r="D3235" t="s">
        <v>76</v>
      </c>
      <c r="E3235" t="s">
        <v>77</v>
      </c>
      <c r="F3235" t="s">
        <v>12</v>
      </c>
    </row>
    <row r="3236" spans="1:6" outlineLevel="3" x14ac:dyDescent="0.25">
      <c r="A3236" s="4" t="s">
        <v>0</v>
      </c>
      <c r="B3236" t="s">
        <v>449</v>
      </c>
      <c r="C3236" t="s">
        <v>1464</v>
      </c>
      <c r="D3236" t="s">
        <v>930</v>
      </c>
      <c r="E3236" t="s">
        <v>344</v>
      </c>
      <c r="F3236" t="s">
        <v>12</v>
      </c>
    </row>
    <row r="3237" spans="1:6" outlineLevel="3" x14ac:dyDescent="0.25">
      <c r="A3237" s="4" t="s">
        <v>0</v>
      </c>
      <c r="B3237" t="s">
        <v>449</v>
      </c>
      <c r="C3237" t="s">
        <v>1459</v>
      </c>
      <c r="D3237" t="s">
        <v>270</v>
      </c>
      <c r="E3237" t="s">
        <v>271</v>
      </c>
      <c r="F3237" t="s">
        <v>12</v>
      </c>
    </row>
    <row r="3238" spans="1:6" outlineLevel="3" x14ac:dyDescent="0.25">
      <c r="A3238" s="4" t="s">
        <v>0</v>
      </c>
      <c r="B3238" t="s">
        <v>449</v>
      </c>
      <c r="C3238" t="s">
        <v>1466</v>
      </c>
      <c r="D3238" t="s">
        <v>124</v>
      </c>
      <c r="E3238" t="s">
        <v>236</v>
      </c>
      <c r="F3238" t="s">
        <v>12</v>
      </c>
    </row>
    <row r="3239" spans="1:6" outlineLevel="3" x14ac:dyDescent="0.25">
      <c r="A3239" s="4" t="s">
        <v>0</v>
      </c>
      <c r="B3239" t="s">
        <v>449</v>
      </c>
      <c r="C3239" t="s">
        <v>1465</v>
      </c>
      <c r="D3239" t="s">
        <v>931</v>
      </c>
      <c r="E3239" t="s">
        <v>132</v>
      </c>
      <c r="F3239" t="s">
        <v>12</v>
      </c>
    </row>
    <row r="3240" spans="1:6" outlineLevel="2" x14ac:dyDescent="0.25">
      <c r="A3240" s="38" t="s">
        <v>1032</v>
      </c>
      <c r="F3240">
        <f>SUBTOTAL(3,F3212:F3239)</f>
        <v>28</v>
      </c>
    </row>
    <row r="3241" spans="1:6" outlineLevel="1" x14ac:dyDescent="0.25">
      <c r="E3241" s="37" t="s">
        <v>1022</v>
      </c>
      <c r="F3241">
        <f>SUBTOTAL(3,F3212:F3239)</f>
        <v>28</v>
      </c>
    </row>
    <row r="3242" spans="1:6" outlineLevel="3" x14ac:dyDescent="0.25">
      <c r="A3242" s="4" t="s">
        <v>0</v>
      </c>
      <c r="B3242" t="s">
        <v>449</v>
      </c>
      <c r="C3242" t="s">
        <v>1293</v>
      </c>
      <c r="D3242" t="s">
        <v>21</v>
      </c>
      <c r="E3242" t="s">
        <v>349</v>
      </c>
      <c r="F3242" t="s">
        <v>34</v>
      </c>
    </row>
    <row r="3243" spans="1:6" outlineLevel="3" x14ac:dyDescent="0.25">
      <c r="A3243" s="4" t="s">
        <v>0</v>
      </c>
      <c r="B3243" t="s">
        <v>449</v>
      </c>
      <c r="C3243" t="s">
        <v>1171</v>
      </c>
      <c r="D3243" t="s">
        <v>126</v>
      </c>
      <c r="E3243" t="s">
        <v>127</v>
      </c>
      <c r="F3243" t="s">
        <v>34</v>
      </c>
    </row>
    <row r="3244" spans="1:6" outlineLevel="3" x14ac:dyDescent="0.25">
      <c r="A3244" s="4" t="s">
        <v>0</v>
      </c>
      <c r="B3244" t="s">
        <v>449</v>
      </c>
      <c r="C3244" t="s">
        <v>1166</v>
      </c>
      <c r="D3244" t="s">
        <v>126</v>
      </c>
      <c r="E3244" t="s">
        <v>196</v>
      </c>
      <c r="F3244" t="s">
        <v>34</v>
      </c>
    </row>
    <row r="3245" spans="1:6" outlineLevel="3" x14ac:dyDescent="0.25">
      <c r="A3245" s="4" t="s">
        <v>0</v>
      </c>
      <c r="B3245" t="s">
        <v>449</v>
      </c>
      <c r="C3245" t="s">
        <v>1167</v>
      </c>
      <c r="D3245" t="s">
        <v>126</v>
      </c>
      <c r="E3245" t="s">
        <v>208</v>
      </c>
      <c r="F3245" t="s">
        <v>34</v>
      </c>
    </row>
    <row r="3246" spans="1:6" outlineLevel="3" x14ac:dyDescent="0.25">
      <c r="A3246" s="4" t="s">
        <v>0</v>
      </c>
      <c r="B3246" t="s">
        <v>449</v>
      </c>
      <c r="C3246" t="s">
        <v>1176</v>
      </c>
      <c r="D3246" t="s">
        <v>126</v>
      </c>
      <c r="E3246" t="s">
        <v>929</v>
      </c>
      <c r="F3246" t="s">
        <v>34</v>
      </c>
    </row>
    <row r="3247" spans="1:6" outlineLevel="3" x14ac:dyDescent="0.25">
      <c r="A3247" s="4" t="s">
        <v>0</v>
      </c>
      <c r="B3247" t="s">
        <v>449</v>
      </c>
      <c r="C3247" t="s">
        <v>1150</v>
      </c>
      <c r="D3247" t="s">
        <v>369</v>
      </c>
      <c r="E3247" t="s">
        <v>370</v>
      </c>
      <c r="F3247" t="s">
        <v>34</v>
      </c>
    </row>
    <row r="3248" spans="1:6" outlineLevel="3" x14ac:dyDescent="0.25">
      <c r="A3248" s="4" t="s">
        <v>0</v>
      </c>
      <c r="B3248" t="s">
        <v>449</v>
      </c>
      <c r="C3248" t="s">
        <v>1162</v>
      </c>
      <c r="D3248" t="s">
        <v>13</v>
      </c>
      <c r="E3248" t="s">
        <v>185</v>
      </c>
      <c r="F3248" t="s">
        <v>34</v>
      </c>
    </row>
    <row r="3249" spans="1:6" outlineLevel="3" x14ac:dyDescent="0.25">
      <c r="A3249" s="4" t="s">
        <v>0</v>
      </c>
      <c r="B3249" t="s">
        <v>449</v>
      </c>
      <c r="C3249" t="s">
        <v>1294</v>
      </c>
      <c r="D3249" t="s">
        <v>78</v>
      </c>
      <c r="E3249" t="s">
        <v>79</v>
      </c>
      <c r="F3249" t="s">
        <v>34</v>
      </c>
    </row>
    <row r="3250" spans="1:6" outlineLevel="3" x14ac:dyDescent="0.25">
      <c r="A3250" s="4" t="s">
        <v>0</v>
      </c>
      <c r="B3250" t="s">
        <v>449</v>
      </c>
      <c r="C3250" t="s">
        <v>1036</v>
      </c>
      <c r="D3250" t="s">
        <v>124</v>
      </c>
      <c r="E3250" t="s">
        <v>288</v>
      </c>
      <c r="F3250" t="s">
        <v>34</v>
      </c>
    </row>
    <row r="3251" spans="1:6" outlineLevel="3" x14ac:dyDescent="0.25">
      <c r="A3251" s="4" t="s">
        <v>0</v>
      </c>
      <c r="B3251" t="s">
        <v>449</v>
      </c>
      <c r="C3251" t="s">
        <v>1156</v>
      </c>
      <c r="D3251" t="s">
        <v>237</v>
      </c>
      <c r="E3251" t="s">
        <v>238</v>
      </c>
      <c r="F3251" t="s">
        <v>34</v>
      </c>
    </row>
    <row r="3252" spans="1:6" outlineLevel="3" x14ac:dyDescent="0.25">
      <c r="A3252" s="4" t="s">
        <v>0</v>
      </c>
      <c r="B3252" t="s">
        <v>449</v>
      </c>
      <c r="C3252" t="s">
        <v>1157</v>
      </c>
      <c r="D3252" t="s">
        <v>76</v>
      </c>
      <c r="E3252" t="s">
        <v>287</v>
      </c>
      <c r="F3252" t="s">
        <v>34</v>
      </c>
    </row>
    <row r="3253" spans="1:6" outlineLevel="3" x14ac:dyDescent="0.25">
      <c r="A3253" s="4" t="s">
        <v>0</v>
      </c>
      <c r="B3253" t="s">
        <v>449</v>
      </c>
      <c r="C3253" t="s">
        <v>1168</v>
      </c>
      <c r="D3253" t="s">
        <v>143</v>
      </c>
      <c r="E3253" t="s">
        <v>192</v>
      </c>
      <c r="F3253" t="s">
        <v>34</v>
      </c>
    </row>
    <row r="3254" spans="1:6" outlineLevel="3" x14ac:dyDescent="0.25">
      <c r="A3254" s="4" t="s">
        <v>0</v>
      </c>
      <c r="B3254" t="s">
        <v>449</v>
      </c>
      <c r="C3254" t="s">
        <v>1172</v>
      </c>
      <c r="D3254" t="s">
        <v>6</v>
      </c>
      <c r="E3254" t="s">
        <v>56</v>
      </c>
      <c r="F3254" t="s">
        <v>34</v>
      </c>
    </row>
    <row r="3255" spans="1:6" outlineLevel="3" x14ac:dyDescent="0.25">
      <c r="A3255" s="4" t="s">
        <v>0</v>
      </c>
      <c r="B3255" t="s">
        <v>449</v>
      </c>
      <c r="C3255" t="s">
        <v>1154</v>
      </c>
      <c r="D3255" t="s">
        <v>31</v>
      </c>
      <c r="E3255" t="s">
        <v>320</v>
      </c>
      <c r="F3255" t="s">
        <v>34</v>
      </c>
    </row>
    <row r="3256" spans="1:6" outlineLevel="3" x14ac:dyDescent="0.25">
      <c r="A3256" s="4" t="s">
        <v>0</v>
      </c>
      <c r="B3256" t="s">
        <v>449</v>
      </c>
      <c r="C3256" t="s">
        <v>1174</v>
      </c>
      <c r="D3256" t="s">
        <v>65</v>
      </c>
      <c r="E3256" t="s">
        <v>246</v>
      </c>
      <c r="F3256" t="s">
        <v>34</v>
      </c>
    </row>
    <row r="3257" spans="1:6" outlineLevel="3" x14ac:dyDescent="0.25">
      <c r="A3257" s="4" t="s">
        <v>0</v>
      </c>
      <c r="B3257" t="s">
        <v>449</v>
      </c>
      <c r="C3257" t="s">
        <v>1173</v>
      </c>
      <c r="D3257" t="s">
        <v>48</v>
      </c>
      <c r="E3257" t="s">
        <v>49</v>
      </c>
      <c r="F3257" t="s">
        <v>34</v>
      </c>
    </row>
    <row r="3258" spans="1:6" outlineLevel="3" x14ac:dyDescent="0.25">
      <c r="A3258" s="4" t="s">
        <v>0</v>
      </c>
      <c r="B3258" t="s">
        <v>449</v>
      </c>
      <c r="C3258" t="s">
        <v>1177</v>
      </c>
      <c r="D3258" t="s">
        <v>338</v>
      </c>
      <c r="E3258" t="s">
        <v>339</v>
      </c>
      <c r="F3258" t="s">
        <v>34</v>
      </c>
    </row>
    <row r="3259" spans="1:6" outlineLevel="3" x14ac:dyDescent="0.25">
      <c r="A3259" s="4" t="s">
        <v>0</v>
      </c>
      <c r="B3259" t="s">
        <v>449</v>
      </c>
      <c r="C3259" t="s">
        <v>1175</v>
      </c>
      <c r="D3259" t="s">
        <v>31</v>
      </c>
      <c r="E3259" t="s">
        <v>379</v>
      </c>
      <c r="F3259" t="s">
        <v>34</v>
      </c>
    </row>
    <row r="3260" spans="1:6" outlineLevel="3" x14ac:dyDescent="0.25">
      <c r="A3260" s="4" t="s">
        <v>0</v>
      </c>
      <c r="B3260" t="s">
        <v>449</v>
      </c>
      <c r="C3260" t="s">
        <v>1153</v>
      </c>
      <c r="D3260" t="s">
        <v>31</v>
      </c>
      <c r="E3260" t="s">
        <v>319</v>
      </c>
      <c r="F3260" t="s">
        <v>34</v>
      </c>
    </row>
    <row r="3261" spans="1:6" outlineLevel="3" x14ac:dyDescent="0.25">
      <c r="A3261" s="4" t="s">
        <v>0</v>
      </c>
      <c r="B3261" t="s">
        <v>449</v>
      </c>
      <c r="C3261" t="s">
        <v>1291</v>
      </c>
      <c r="D3261" t="s">
        <v>44</v>
      </c>
      <c r="E3261" t="s">
        <v>374</v>
      </c>
      <c r="F3261" t="s">
        <v>34</v>
      </c>
    </row>
    <row r="3262" spans="1:6" outlineLevel="3" x14ac:dyDescent="0.25">
      <c r="A3262" s="4" t="s">
        <v>0</v>
      </c>
      <c r="B3262" t="s">
        <v>449</v>
      </c>
      <c r="C3262" t="s">
        <v>1151</v>
      </c>
      <c r="D3262" t="s">
        <v>89</v>
      </c>
      <c r="E3262" t="s">
        <v>234</v>
      </c>
      <c r="F3262" t="s">
        <v>34</v>
      </c>
    </row>
    <row r="3263" spans="1:6" outlineLevel="3" x14ac:dyDescent="0.25">
      <c r="A3263" s="4" t="s">
        <v>0</v>
      </c>
      <c r="B3263" t="s">
        <v>449</v>
      </c>
      <c r="C3263" t="s">
        <v>1170</v>
      </c>
      <c r="D3263" t="s">
        <v>78</v>
      </c>
      <c r="E3263" t="s">
        <v>197</v>
      </c>
      <c r="F3263" t="s">
        <v>34</v>
      </c>
    </row>
    <row r="3264" spans="1:6" outlineLevel="3" x14ac:dyDescent="0.25">
      <c r="A3264" s="4" t="s">
        <v>0</v>
      </c>
      <c r="B3264" t="s">
        <v>449</v>
      </c>
      <c r="C3264" t="s">
        <v>1178</v>
      </c>
      <c r="D3264" t="s">
        <v>78</v>
      </c>
      <c r="E3264" t="s">
        <v>340</v>
      </c>
      <c r="F3264" t="s">
        <v>34</v>
      </c>
    </row>
    <row r="3265" spans="1:6" outlineLevel="3" x14ac:dyDescent="0.25">
      <c r="A3265" s="4" t="s">
        <v>0</v>
      </c>
      <c r="B3265" t="s">
        <v>449</v>
      </c>
      <c r="C3265" t="s">
        <v>1169</v>
      </c>
      <c r="D3265" t="s">
        <v>13</v>
      </c>
      <c r="E3265" t="s">
        <v>285</v>
      </c>
      <c r="F3265" t="s">
        <v>34</v>
      </c>
    </row>
    <row r="3266" spans="1:6" outlineLevel="3" x14ac:dyDescent="0.25">
      <c r="A3266" s="4" t="s">
        <v>0</v>
      </c>
      <c r="B3266" t="s">
        <v>449</v>
      </c>
      <c r="C3266" t="s">
        <v>1179</v>
      </c>
      <c r="D3266" t="s">
        <v>13</v>
      </c>
      <c r="E3266" t="s">
        <v>1313</v>
      </c>
      <c r="F3266" t="s">
        <v>34</v>
      </c>
    </row>
    <row r="3267" spans="1:6" outlineLevel="3" x14ac:dyDescent="0.25">
      <c r="A3267" s="4" t="s">
        <v>0</v>
      </c>
      <c r="B3267" t="s">
        <v>449</v>
      </c>
      <c r="C3267" t="s">
        <v>1149</v>
      </c>
      <c r="D3267" t="s">
        <v>325</v>
      </c>
      <c r="E3267" t="s">
        <v>326</v>
      </c>
      <c r="F3267" t="s">
        <v>34</v>
      </c>
    </row>
    <row r="3268" spans="1:6" outlineLevel="3" x14ac:dyDescent="0.25">
      <c r="A3268" s="4" t="s">
        <v>0</v>
      </c>
      <c r="B3268" t="s">
        <v>449</v>
      </c>
      <c r="C3268" t="s">
        <v>1158</v>
      </c>
      <c r="D3268" t="s">
        <v>363</v>
      </c>
      <c r="E3268" t="s">
        <v>364</v>
      </c>
      <c r="F3268" t="s">
        <v>34</v>
      </c>
    </row>
    <row r="3269" spans="1:6" outlineLevel="3" x14ac:dyDescent="0.25">
      <c r="A3269" s="4" t="s">
        <v>0</v>
      </c>
      <c r="B3269" t="s">
        <v>449</v>
      </c>
      <c r="C3269" t="s">
        <v>1155</v>
      </c>
      <c r="D3269" t="s">
        <v>10</v>
      </c>
      <c r="E3269" t="s">
        <v>11</v>
      </c>
      <c r="F3269" t="s">
        <v>34</v>
      </c>
    </row>
    <row r="3270" spans="1:6" outlineLevel="3" x14ac:dyDescent="0.25">
      <c r="A3270" s="4" t="s">
        <v>0</v>
      </c>
      <c r="B3270" t="s">
        <v>449</v>
      </c>
      <c r="C3270" t="s">
        <v>1160</v>
      </c>
      <c r="D3270" t="s">
        <v>23</v>
      </c>
      <c r="E3270" t="s">
        <v>24</v>
      </c>
      <c r="F3270" t="s">
        <v>34</v>
      </c>
    </row>
    <row r="3271" spans="1:6" outlineLevel="3" x14ac:dyDescent="0.25">
      <c r="A3271" s="4" t="s">
        <v>0</v>
      </c>
      <c r="B3271" t="s">
        <v>449</v>
      </c>
      <c r="C3271" t="s">
        <v>1292</v>
      </c>
      <c r="D3271" t="s">
        <v>26</v>
      </c>
      <c r="E3271" t="s">
        <v>27</v>
      </c>
      <c r="F3271" t="s">
        <v>34</v>
      </c>
    </row>
    <row r="3272" spans="1:6" outlineLevel="3" x14ac:dyDescent="0.25">
      <c r="A3272" s="4" t="s">
        <v>0</v>
      </c>
      <c r="B3272" t="s">
        <v>449</v>
      </c>
      <c r="C3272" t="s">
        <v>1164</v>
      </c>
      <c r="D3272" t="s">
        <v>376</v>
      </c>
      <c r="E3272" t="s">
        <v>393</v>
      </c>
      <c r="F3272" t="s">
        <v>34</v>
      </c>
    </row>
    <row r="3273" spans="1:6" outlineLevel="3" x14ac:dyDescent="0.25">
      <c r="A3273" s="4" t="s">
        <v>0</v>
      </c>
      <c r="B3273" t="s">
        <v>449</v>
      </c>
      <c r="C3273" t="s">
        <v>1159</v>
      </c>
      <c r="D3273" t="s">
        <v>385</v>
      </c>
      <c r="E3273" t="s">
        <v>386</v>
      </c>
      <c r="F3273" t="s">
        <v>34</v>
      </c>
    </row>
    <row r="3274" spans="1:6" outlineLevel="3" x14ac:dyDescent="0.25">
      <c r="A3274" s="4" t="s">
        <v>0</v>
      </c>
      <c r="B3274" t="s">
        <v>449</v>
      </c>
      <c r="C3274" t="s">
        <v>1295</v>
      </c>
      <c r="D3274" t="s">
        <v>391</v>
      </c>
      <c r="E3274" t="s">
        <v>392</v>
      </c>
      <c r="F3274" t="s">
        <v>34</v>
      </c>
    </row>
    <row r="3275" spans="1:6" outlineLevel="3" x14ac:dyDescent="0.25">
      <c r="A3275" s="4" t="s">
        <v>0</v>
      </c>
      <c r="B3275" t="s">
        <v>449</v>
      </c>
      <c r="C3275" t="s">
        <v>1163</v>
      </c>
      <c r="D3275" t="s">
        <v>114</v>
      </c>
      <c r="E3275" t="s">
        <v>289</v>
      </c>
      <c r="F3275" t="s">
        <v>34</v>
      </c>
    </row>
    <row r="3276" spans="1:6" outlineLevel="3" x14ac:dyDescent="0.25">
      <c r="A3276" s="4" t="s">
        <v>0</v>
      </c>
      <c r="B3276" t="s">
        <v>449</v>
      </c>
      <c r="C3276" t="s">
        <v>1161</v>
      </c>
      <c r="D3276" t="s">
        <v>376</v>
      </c>
      <c r="E3276" t="s">
        <v>377</v>
      </c>
      <c r="F3276" t="s">
        <v>34</v>
      </c>
    </row>
    <row r="3277" spans="1:6" outlineLevel="3" x14ac:dyDescent="0.25">
      <c r="A3277" s="4" t="s">
        <v>0</v>
      </c>
      <c r="B3277" t="s">
        <v>449</v>
      </c>
      <c r="C3277" t="s">
        <v>1165</v>
      </c>
      <c r="D3277" t="s">
        <v>395</v>
      </c>
      <c r="E3277" t="s">
        <v>397</v>
      </c>
      <c r="F3277" t="s">
        <v>34</v>
      </c>
    </row>
    <row r="3278" spans="1:6" outlineLevel="3" x14ac:dyDescent="0.25">
      <c r="A3278" s="4" t="s">
        <v>0</v>
      </c>
      <c r="B3278" t="s">
        <v>449</v>
      </c>
      <c r="C3278" t="s">
        <v>1152</v>
      </c>
      <c r="D3278" t="s">
        <v>46</v>
      </c>
      <c r="E3278" t="s">
        <v>278</v>
      </c>
      <c r="F3278" t="s">
        <v>34</v>
      </c>
    </row>
    <row r="3279" spans="1:6" outlineLevel="2" x14ac:dyDescent="0.25">
      <c r="A3279" s="38" t="s">
        <v>1032</v>
      </c>
      <c r="F3279">
        <f>SUBTOTAL(3,F3242:F3278)</f>
        <v>37</v>
      </c>
    </row>
    <row r="3280" spans="1:6" outlineLevel="1" x14ac:dyDescent="0.25">
      <c r="E3280" s="37" t="s">
        <v>1025</v>
      </c>
      <c r="F3280">
        <f>SUBTOTAL(3,F3242:F3278)</f>
        <v>37</v>
      </c>
    </row>
    <row r="3281" spans="1:6" outlineLevel="3" x14ac:dyDescent="0.25">
      <c r="A3281" s="4" t="s">
        <v>0</v>
      </c>
      <c r="B3281" t="s">
        <v>449</v>
      </c>
      <c r="C3281" t="s">
        <v>1353</v>
      </c>
      <c r="D3281" t="s">
        <v>202</v>
      </c>
      <c r="E3281" t="s">
        <v>1100</v>
      </c>
      <c r="F3281" t="s">
        <v>3</v>
      </c>
    </row>
    <row r="3282" spans="1:6" outlineLevel="3" x14ac:dyDescent="0.25">
      <c r="A3282" s="4" t="s">
        <v>0</v>
      </c>
      <c r="B3282" t="s">
        <v>449</v>
      </c>
      <c r="C3282" t="s">
        <v>1347</v>
      </c>
      <c r="D3282" t="s">
        <v>943</v>
      </c>
      <c r="E3282" t="s">
        <v>944</v>
      </c>
      <c r="F3282" t="s">
        <v>3</v>
      </c>
    </row>
    <row r="3283" spans="1:6" outlineLevel="3" x14ac:dyDescent="0.25">
      <c r="A3283" s="4" t="s">
        <v>0</v>
      </c>
      <c r="B3283" t="s">
        <v>449</v>
      </c>
      <c r="C3283" t="s">
        <v>1322</v>
      </c>
      <c r="D3283" t="s">
        <v>108</v>
      </c>
      <c r="E3283" t="s">
        <v>109</v>
      </c>
      <c r="F3283" t="s">
        <v>3</v>
      </c>
    </row>
    <row r="3284" spans="1:6" outlineLevel="3" x14ac:dyDescent="0.25">
      <c r="A3284" s="4" t="s">
        <v>0</v>
      </c>
      <c r="B3284" t="s">
        <v>449</v>
      </c>
      <c r="C3284" t="s">
        <v>1318</v>
      </c>
      <c r="D3284" t="s">
        <v>119</v>
      </c>
      <c r="E3284" t="s">
        <v>184</v>
      </c>
      <c r="F3284" t="s">
        <v>3</v>
      </c>
    </row>
    <row r="3285" spans="1:6" outlineLevel="3" x14ac:dyDescent="0.25">
      <c r="A3285" s="4" t="s">
        <v>0</v>
      </c>
      <c r="B3285" t="s">
        <v>449</v>
      </c>
      <c r="C3285" t="s">
        <v>1319</v>
      </c>
      <c r="D3285" t="s">
        <v>1</v>
      </c>
      <c r="E3285" t="s">
        <v>113</v>
      </c>
      <c r="F3285" t="s">
        <v>3</v>
      </c>
    </row>
    <row r="3286" spans="1:6" outlineLevel="3" x14ac:dyDescent="0.25">
      <c r="A3286" s="4" t="s">
        <v>0</v>
      </c>
      <c r="B3286" t="s">
        <v>449</v>
      </c>
      <c r="C3286" t="s">
        <v>1320</v>
      </c>
      <c r="D3286" t="s">
        <v>1</v>
      </c>
      <c r="E3286" t="s">
        <v>110</v>
      </c>
      <c r="F3286" t="s">
        <v>3</v>
      </c>
    </row>
    <row r="3287" spans="1:6" outlineLevel="3" x14ac:dyDescent="0.25">
      <c r="A3287" s="4" t="s">
        <v>0</v>
      </c>
      <c r="B3287" t="s">
        <v>449</v>
      </c>
      <c r="C3287" t="s">
        <v>1326</v>
      </c>
      <c r="D3287" t="s">
        <v>69</v>
      </c>
      <c r="E3287" t="s">
        <v>70</v>
      </c>
      <c r="F3287" t="s">
        <v>3</v>
      </c>
    </row>
    <row r="3288" spans="1:6" outlineLevel="3" x14ac:dyDescent="0.25">
      <c r="A3288" s="4" t="s">
        <v>0</v>
      </c>
      <c r="B3288" t="s">
        <v>449</v>
      </c>
      <c r="C3288" t="s">
        <v>1321</v>
      </c>
      <c r="D3288" t="s">
        <v>61</v>
      </c>
      <c r="E3288" t="s">
        <v>62</v>
      </c>
      <c r="F3288" t="s">
        <v>3</v>
      </c>
    </row>
    <row r="3289" spans="1:6" outlineLevel="3" x14ac:dyDescent="0.25">
      <c r="A3289" s="4" t="s">
        <v>0</v>
      </c>
      <c r="B3289" t="s">
        <v>449</v>
      </c>
      <c r="C3289" t="s">
        <v>1325</v>
      </c>
      <c r="D3289" t="s">
        <v>111</v>
      </c>
      <c r="E3289" t="s">
        <v>112</v>
      </c>
      <c r="F3289" t="s">
        <v>3</v>
      </c>
    </row>
    <row r="3290" spans="1:6" outlineLevel="3" x14ac:dyDescent="0.25">
      <c r="A3290" s="4" t="s">
        <v>0</v>
      </c>
      <c r="B3290" t="s">
        <v>449</v>
      </c>
      <c r="C3290" t="s">
        <v>1334</v>
      </c>
      <c r="D3290" t="s">
        <v>71</v>
      </c>
      <c r="E3290" t="s">
        <v>72</v>
      </c>
      <c r="F3290" t="s">
        <v>3</v>
      </c>
    </row>
    <row r="3291" spans="1:6" outlineLevel="3" x14ac:dyDescent="0.25">
      <c r="A3291" s="4" t="s">
        <v>0</v>
      </c>
      <c r="B3291" t="s">
        <v>449</v>
      </c>
      <c r="C3291" t="s">
        <v>1323</v>
      </c>
      <c r="D3291" t="s">
        <v>63</v>
      </c>
      <c r="E3291" t="s">
        <v>64</v>
      </c>
      <c r="F3291" t="s">
        <v>3</v>
      </c>
    </row>
    <row r="3292" spans="1:6" outlineLevel="3" x14ac:dyDescent="0.25">
      <c r="A3292" s="4" t="s">
        <v>0</v>
      </c>
      <c r="B3292" t="s">
        <v>449</v>
      </c>
      <c r="C3292" t="s">
        <v>1346</v>
      </c>
      <c r="D3292" t="s">
        <v>190</v>
      </c>
      <c r="E3292" t="s">
        <v>1229</v>
      </c>
      <c r="F3292" t="s">
        <v>3</v>
      </c>
    </row>
    <row r="3293" spans="1:6" outlineLevel="3" x14ac:dyDescent="0.25">
      <c r="A3293" s="4" t="s">
        <v>0</v>
      </c>
      <c r="B3293" t="s">
        <v>449</v>
      </c>
      <c r="C3293" t="s">
        <v>1335</v>
      </c>
      <c r="D3293" t="s">
        <v>59</v>
      </c>
      <c r="E3293" t="s">
        <v>60</v>
      </c>
      <c r="F3293" t="s">
        <v>3</v>
      </c>
    </row>
    <row r="3294" spans="1:6" outlineLevel="3" x14ac:dyDescent="0.25">
      <c r="A3294" s="4" t="s">
        <v>0</v>
      </c>
      <c r="B3294" t="s">
        <v>449</v>
      </c>
      <c r="C3294" t="s">
        <v>1340</v>
      </c>
      <c r="D3294" t="s">
        <v>1193</v>
      </c>
      <c r="E3294" t="s">
        <v>1228</v>
      </c>
      <c r="F3294" t="s">
        <v>3</v>
      </c>
    </row>
    <row r="3295" spans="1:6" outlineLevel="3" x14ac:dyDescent="0.25">
      <c r="A3295" s="4" t="s">
        <v>0</v>
      </c>
      <c r="B3295" t="s">
        <v>449</v>
      </c>
      <c r="C3295" t="s">
        <v>1349</v>
      </c>
      <c r="D3295" t="s">
        <v>31</v>
      </c>
      <c r="E3295" t="s">
        <v>33</v>
      </c>
      <c r="F3295" t="s">
        <v>3</v>
      </c>
    </row>
    <row r="3296" spans="1:6" outlineLevel="3" x14ac:dyDescent="0.25">
      <c r="A3296" s="4" t="s">
        <v>0</v>
      </c>
      <c r="B3296" t="s">
        <v>449</v>
      </c>
      <c r="C3296" t="s">
        <v>1324</v>
      </c>
      <c r="D3296" t="s">
        <v>67</v>
      </c>
      <c r="E3296" t="s">
        <v>68</v>
      </c>
      <c r="F3296" t="s">
        <v>3</v>
      </c>
    </row>
    <row r="3297" spans="1:6" outlineLevel="3" x14ac:dyDescent="0.25">
      <c r="A3297" s="4" t="s">
        <v>0</v>
      </c>
      <c r="B3297" t="s">
        <v>449</v>
      </c>
      <c r="C3297" t="s">
        <v>1356</v>
      </c>
      <c r="D3297" t="s">
        <v>212</v>
      </c>
      <c r="E3297" t="s">
        <v>1314</v>
      </c>
      <c r="F3297" t="s">
        <v>3</v>
      </c>
    </row>
    <row r="3298" spans="1:6" outlineLevel="3" x14ac:dyDescent="0.25">
      <c r="A3298" s="4" t="s">
        <v>0</v>
      </c>
      <c r="B3298" t="s">
        <v>449</v>
      </c>
      <c r="C3298" t="s">
        <v>1352</v>
      </c>
      <c r="D3298" t="s">
        <v>212</v>
      </c>
      <c r="E3298" t="s">
        <v>213</v>
      </c>
      <c r="F3298" t="s">
        <v>3</v>
      </c>
    </row>
    <row r="3299" spans="1:6" outlineLevel="3" x14ac:dyDescent="0.25">
      <c r="A3299" s="4" t="s">
        <v>0</v>
      </c>
      <c r="B3299" t="s">
        <v>449</v>
      </c>
      <c r="C3299" t="s">
        <v>1354</v>
      </c>
      <c r="D3299" t="s">
        <v>21</v>
      </c>
      <c r="E3299" t="s">
        <v>324</v>
      </c>
      <c r="F3299" t="s">
        <v>3</v>
      </c>
    </row>
    <row r="3300" spans="1:6" outlineLevel="3" x14ac:dyDescent="0.25">
      <c r="A3300" s="4" t="s">
        <v>0</v>
      </c>
      <c r="B3300" t="s">
        <v>449</v>
      </c>
      <c r="C3300" t="s">
        <v>1355</v>
      </c>
      <c r="D3300" t="s">
        <v>165</v>
      </c>
      <c r="E3300" t="s">
        <v>946</v>
      </c>
      <c r="F3300" t="s">
        <v>3</v>
      </c>
    </row>
    <row r="3301" spans="1:6" outlineLevel="3" x14ac:dyDescent="0.25">
      <c r="A3301" s="4" t="s">
        <v>0</v>
      </c>
      <c r="B3301" t="s">
        <v>449</v>
      </c>
      <c r="C3301" t="s">
        <v>1315</v>
      </c>
      <c r="D3301" t="s">
        <v>128</v>
      </c>
      <c r="E3301" t="s">
        <v>129</v>
      </c>
      <c r="F3301" t="s">
        <v>3</v>
      </c>
    </row>
    <row r="3302" spans="1:6" outlineLevel="3" x14ac:dyDescent="0.25">
      <c r="A3302" s="4" t="s">
        <v>0</v>
      </c>
      <c r="B3302" t="s">
        <v>449</v>
      </c>
      <c r="C3302" t="s">
        <v>1341</v>
      </c>
      <c r="D3302" t="s">
        <v>257</v>
      </c>
      <c r="E3302" t="s">
        <v>258</v>
      </c>
      <c r="F3302" t="s">
        <v>3</v>
      </c>
    </row>
    <row r="3303" spans="1:6" outlineLevel="3" x14ac:dyDescent="0.25">
      <c r="A3303" s="4" t="s">
        <v>0</v>
      </c>
      <c r="B3303" t="s">
        <v>449</v>
      </c>
      <c r="C3303" t="s">
        <v>1348</v>
      </c>
      <c r="D3303" t="s">
        <v>89</v>
      </c>
      <c r="E3303" t="s">
        <v>945</v>
      </c>
      <c r="F3303" t="s">
        <v>3</v>
      </c>
    </row>
    <row r="3304" spans="1:6" outlineLevel="3" x14ac:dyDescent="0.25">
      <c r="A3304" s="4" t="s">
        <v>0</v>
      </c>
      <c r="B3304" t="s">
        <v>449</v>
      </c>
      <c r="C3304" t="s">
        <v>1331</v>
      </c>
      <c r="D3304" t="s">
        <v>190</v>
      </c>
      <c r="E3304" t="s">
        <v>1225</v>
      </c>
      <c r="F3304" t="s">
        <v>3</v>
      </c>
    </row>
    <row r="3305" spans="1:6" outlineLevel="3" x14ac:dyDescent="0.25">
      <c r="A3305" s="4" t="s">
        <v>0</v>
      </c>
      <c r="B3305" t="s">
        <v>449</v>
      </c>
      <c r="C3305" t="s">
        <v>1336</v>
      </c>
      <c r="D3305" t="s">
        <v>1076</v>
      </c>
      <c r="E3305" t="s">
        <v>1098</v>
      </c>
      <c r="F3305" t="s">
        <v>3</v>
      </c>
    </row>
    <row r="3306" spans="1:6" outlineLevel="3" x14ac:dyDescent="0.25">
      <c r="A3306" s="4" t="s">
        <v>0</v>
      </c>
      <c r="B3306" t="s">
        <v>449</v>
      </c>
      <c r="C3306" t="s">
        <v>1317</v>
      </c>
      <c r="D3306" t="s">
        <v>182</v>
      </c>
      <c r="E3306" t="s">
        <v>183</v>
      </c>
      <c r="F3306" t="s">
        <v>3</v>
      </c>
    </row>
    <row r="3307" spans="1:6" outlineLevel="3" x14ac:dyDescent="0.25">
      <c r="A3307" s="4" t="s">
        <v>0</v>
      </c>
      <c r="B3307" t="s">
        <v>449</v>
      </c>
      <c r="C3307" t="s">
        <v>1316</v>
      </c>
      <c r="D3307" t="s">
        <v>180</v>
      </c>
      <c r="E3307" t="s">
        <v>181</v>
      </c>
      <c r="F3307" t="s">
        <v>3</v>
      </c>
    </row>
    <row r="3308" spans="1:6" outlineLevel="3" x14ac:dyDescent="0.25">
      <c r="A3308" s="4" t="s">
        <v>0</v>
      </c>
      <c r="B3308" t="s">
        <v>449</v>
      </c>
      <c r="C3308" t="s">
        <v>1330</v>
      </c>
      <c r="D3308" t="s">
        <v>280</v>
      </c>
      <c r="E3308" t="s">
        <v>281</v>
      </c>
      <c r="F3308" t="s">
        <v>3</v>
      </c>
    </row>
    <row r="3309" spans="1:6" outlineLevel="3" x14ac:dyDescent="0.25">
      <c r="A3309" s="4" t="s">
        <v>0</v>
      </c>
      <c r="B3309" t="s">
        <v>449</v>
      </c>
      <c r="C3309" t="s">
        <v>1332</v>
      </c>
      <c r="D3309" t="s">
        <v>395</v>
      </c>
      <c r="E3309" t="s">
        <v>396</v>
      </c>
      <c r="F3309" t="s">
        <v>3</v>
      </c>
    </row>
    <row r="3310" spans="1:6" outlineLevel="3" x14ac:dyDescent="0.25">
      <c r="A3310" s="4" t="s">
        <v>0</v>
      </c>
      <c r="B3310" t="s">
        <v>449</v>
      </c>
      <c r="C3310" t="s">
        <v>1329</v>
      </c>
      <c r="D3310" t="s">
        <v>103</v>
      </c>
      <c r="E3310" t="s">
        <v>279</v>
      </c>
      <c r="F3310" t="s">
        <v>3</v>
      </c>
    </row>
    <row r="3311" spans="1:6" outlineLevel="3" x14ac:dyDescent="0.25">
      <c r="A3311" s="4" t="s">
        <v>0</v>
      </c>
      <c r="B3311" t="s">
        <v>449</v>
      </c>
      <c r="C3311" t="s">
        <v>1333</v>
      </c>
      <c r="D3311" t="s">
        <v>306</v>
      </c>
      <c r="E3311" t="s">
        <v>400</v>
      </c>
      <c r="F3311" t="s">
        <v>3</v>
      </c>
    </row>
    <row r="3312" spans="1:6" outlineLevel="3" x14ac:dyDescent="0.25">
      <c r="A3312" s="4" t="s">
        <v>0</v>
      </c>
      <c r="B3312" t="s">
        <v>449</v>
      </c>
      <c r="C3312" t="s">
        <v>1328</v>
      </c>
      <c r="D3312" t="s">
        <v>187</v>
      </c>
      <c r="E3312" t="s">
        <v>188</v>
      </c>
      <c r="F3312" t="s">
        <v>3</v>
      </c>
    </row>
    <row r="3313" spans="1:6" outlineLevel="3" x14ac:dyDescent="0.25">
      <c r="A3313" s="4" t="s">
        <v>0</v>
      </c>
      <c r="B3313" t="s">
        <v>449</v>
      </c>
      <c r="C3313" t="s">
        <v>1339</v>
      </c>
      <c r="D3313" t="s">
        <v>275</v>
      </c>
      <c r="E3313" t="s">
        <v>346</v>
      </c>
      <c r="F3313" t="s">
        <v>3</v>
      </c>
    </row>
    <row r="3314" spans="1:6" outlineLevel="3" x14ac:dyDescent="0.25">
      <c r="A3314" s="4" t="s">
        <v>0</v>
      </c>
      <c r="B3314" t="s">
        <v>449</v>
      </c>
      <c r="C3314" t="s">
        <v>1342</v>
      </c>
      <c r="D3314" t="s">
        <v>153</v>
      </c>
      <c r="E3314" t="s">
        <v>345</v>
      </c>
      <c r="F3314" t="s">
        <v>3</v>
      </c>
    </row>
    <row r="3315" spans="1:6" outlineLevel="3" x14ac:dyDescent="0.25">
      <c r="A3315" s="4" t="s">
        <v>0</v>
      </c>
      <c r="B3315" t="s">
        <v>449</v>
      </c>
      <c r="C3315" t="s">
        <v>1345</v>
      </c>
      <c r="D3315" t="s">
        <v>381</v>
      </c>
      <c r="E3315" t="s">
        <v>382</v>
      </c>
      <c r="F3315" t="s">
        <v>3</v>
      </c>
    </row>
    <row r="3316" spans="1:6" outlineLevel="3" x14ac:dyDescent="0.25">
      <c r="A3316" s="4" t="s">
        <v>0</v>
      </c>
      <c r="B3316" t="s">
        <v>449</v>
      </c>
      <c r="C3316" t="s">
        <v>1344</v>
      </c>
      <c r="D3316" t="s">
        <v>194</v>
      </c>
      <c r="E3316" t="s">
        <v>348</v>
      </c>
      <c r="F3316" t="s">
        <v>3</v>
      </c>
    </row>
    <row r="3317" spans="1:6" outlineLevel="3" x14ac:dyDescent="0.25">
      <c r="A3317" s="4" t="s">
        <v>0</v>
      </c>
      <c r="B3317" t="s">
        <v>449</v>
      </c>
      <c r="C3317" t="s">
        <v>1343</v>
      </c>
      <c r="D3317" t="s">
        <v>225</v>
      </c>
      <c r="E3317" t="s">
        <v>347</v>
      </c>
      <c r="F3317" t="s">
        <v>3</v>
      </c>
    </row>
    <row r="3318" spans="1:6" outlineLevel="3" x14ac:dyDescent="0.25">
      <c r="A3318" s="4" t="s">
        <v>0</v>
      </c>
      <c r="B3318" t="s">
        <v>449</v>
      </c>
      <c r="C3318" t="s">
        <v>1338</v>
      </c>
      <c r="D3318" t="s">
        <v>1192</v>
      </c>
      <c r="E3318" t="s">
        <v>1227</v>
      </c>
      <c r="F3318" t="s">
        <v>3</v>
      </c>
    </row>
    <row r="3319" spans="1:6" outlineLevel="3" x14ac:dyDescent="0.25">
      <c r="A3319" s="4" t="s">
        <v>0</v>
      </c>
      <c r="B3319" t="s">
        <v>449</v>
      </c>
      <c r="C3319" t="s">
        <v>1337</v>
      </c>
      <c r="D3319" t="s">
        <v>482</v>
      </c>
      <c r="E3319" t="s">
        <v>1226</v>
      </c>
      <c r="F3319" t="s">
        <v>3</v>
      </c>
    </row>
    <row r="3320" spans="1:6" outlineLevel="3" x14ac:dyDescent="0.25">
      <c r="A3320" s="4" t="s">
        <v>0</v>
      </c>
      <c r="B3320" t="s">
        <v>449</v>
      </c>
      <c r="C3320" t="s">
        <v>1327</v>
      </c>
      <c r="D3320" t="s">
        <v>1296</v>
      </c>
      <c r="E3320" t="s">
        <v>186</v>
      </c>
      <c r="F3320" t="s">
        <v>3</v>
      </c>
    </row>
    <row r="3321" spans="1:6" outlineLevel="3" x14ac:dyDescent="0.25">
      <c r="A3321" s="4" t="s">
        <v>0</v>
      </c>
      <c r="B3321" t="s">
        <v>449</v>
      </c>
      <c r="C3321" t="s">
        <v>1350</v>
      </c>
      <c r="D3321" t="s">
        <v>387</v>
      </c>
      <c r="E3321" t="s">
        <v>1099</v>
      </c>
      <c r="F3321" t="s">
        <v>3</v>
      </c>
    </row>
    <row r="3322" spans="1:6" outlineLevel="3" x14ac:dyDescent="0.25">
      <c r="A3322" s="4" t="s">
        <v>0</v>
      </c>
      <c r="B3322" t="s">
        <v>449</v>
      </c>
      <c r="C3322" t="s">
        <v>1351</v>
      </c>
      <c r="D3322" t="s">
        <v>387</v>
      </c>
      <c r="E3322" t="s">
        <v>388</v>
      </c>
      <c r="F3322" t="s">
        <v>3</v>
      </c>
    </row>
    <row r="3323" spans="1:6" outlineLevel="2" x14ac:dyDescent="0.25">
      <c r="A3323" s="38" t="s">
        <v>1032</v>
      </c>
      <c r="F3323">
        <f>SUBTOTAL(3,F3281:F3322)</f>
        <v>42</v>
      </c>
    </row>
    <row r="3324" spans="1:6" outlineLevel="1" x14ac:dyDescent="0.25">
      <c r="E3324" s="37" t="s">
        <v>1026</v>
      </c>
      <c r="F3324">
        <f>SUBTOTAL(3,F3281:F3322)</f>
        <v>42</v>
      </c>
    </row>
    <row r="3325" spans="1:6" outlineLevel="3" x14ac:dyDescent="0.25">
      <c r="A3325" s="4" t="s">
        <v>0</v>
      </c>
      <c r="B3325" t="s">
        <v>449</v>
      </c>
      <c r="C3325" t="s">
        <v>1386</v>
      </c>
      <c r="D3325" t="s">
        <v>4</v>
      </c>
      <c r="E3325" t="s">
        <v>5</v>
      </c>
      <c r="F3325" t="s">
        <v>15</v>
      </c>
    </row>
    <row r="3326" spans="1:6" outlineLevel="3" x14ac:dyDescent="0.25">
      <c r="A3326" s="4" t="s">
        <v>0</v>
      </c>
      <c r="B3326" t="s">
        <v>449</v>
      </c>
      <c r="C3326" t="s">
        <v>1387</v>
      </c>
      <c r="D3326" t="s">
        <v>338</v>
      </c>
      <c r="E3326" t="s">
        <v>7</v>
      </c>
      <c r="F3326" t="s">
        <v>15</v>
      </c>
    </row>
    <row r="3327" spans="1:6" outlineLevel="3" x14ac:dyDescent="0.25">
      <c r="A3327" s="4" t="s">
        <v>0</v>
      </c>
      <c r="B3327" t="s">
        <v>449</v>
      </c>
      <c r="C3327" t="s">
        <v>1425</v>
      </c>
      <c r="D3327" t="s">
        <v>124</v>
      </c>
      <c r="E3327" t="s">
        <v>394</v>
      </c>
      <c r="F3327" t="s">
        <v>15</v>
      </c>
    </row>
    <row r="3328" spans="1:6" outlineLevel="3" x14ac:dyDescent="0.25">
      <c r="A3328" s="4" t="s">
        <v>0</v>
      </c>
      <c r="B3328" t="s">
        <v>449</v>
      </c>
      <c r="C3328" t="s">
        <v>1426</v>
      </c>
      <c r="D3328" t="s">
        <v>141</v>
      </c>
      <c r="E3328" t="s">
        <v>412</v>
      </c>
      <c r="F3328" t="s">
        <v>15</v>
      </c>
    </row>
    <row r="3329" spans="1:6" outlineLevel="3" x14ac:dyDescent="0.25">
      <c r="A3329" s="4" t="s">
        <v>0</v>
      </c>
      <c r="B3329" t="s">
        <v>449</v>
      </c>
      <c r="C3329" t="s">
        <v>1389</v>
      </c>
      <c r="D3329" t="s">
        <v>19</v>
      </c>
      <c r="E3329" t="s">
        <v>20</v>
      </c>
      <c r="F3329" t="s">
        <v>15</v>
      </c>
    </row>
    <row r="3330" spans="1:6" outlineLevel="3" x14ac:dyDescent="0.25">
      <c r="A3330" s="4" t="s">
        <v>0</v>
      </c>
      <c r="B3330" t="s">
        <v>449</v>
      </c>
      <c r="C3330" t="s">
        <v>1278</v>
      </c>
      <c r="D3330" t="s">
        <v>202</v>
      </c>
      <c r="E3330" t="s">
        <v>350</v>
      </c>
      <c r="F3330" t="s">
        <v>15</v>
      </c>
    </row>
    <row r="3331" spans="1:6" outlineLevel="3" x14ac:dyDescent="0.25">
      <c r="A3331" s="4" t="s">
        <v>0</v>
      </c>
      <c r="B3331" t="s">
        <v>449</v>
      </c>
      <c r="C3331" t="s">
        <v>1277</v>
      </c>
      <c r="D3331" t="s">
        <v>202</v>
      </c>
      <c r="E3331" t="s">
        <v>266</v>
      </c>
      <c r="F3331" t="s">
        <v>15</v>
      </c>
    </row>
    <row r="3332" spans="1:6" outlineLevel="3" x14ac:dyDescent="0.25">
      <c r="A3332" s="4" t="s">
        <v>0</v>
      </c>
      <c r="B3332" t="s">
        <v>449</v>
      </c>
      <c r="C3332" t="s">
        <v>1427</v>
      </c>
      <c r="D3332" t="s">
        <v>413</v>
      </c>
      <c r="E3332" t="s">
        <v>414</v>
      </c>
      <c r="F3332" t="s">
        <v>15</v>
      </c>
    </row>
    <row r="3333" spans="1:6" outlineLevel="3" x14ac:dyDescent="0.25">
      <c r="A3333" s="4" t="s">
        <v>0</v>
      </c>
      <c r="B3333" t="s">
        <v>449</v>
      </c>
      <c r="C3333" t="s">
        <v>1414</v>
      </c>
      <c r="D3333" t="s">
        <v>101</v>
      </c>
      <c r="E3333" t="s">
        <v>102</v>
      </c>
      <c r="F3333" t="s">
        <v>15</v>
      </c>
    </row>
    <row r="3334" spans="1:6" outlineLevel="3" x14ac:dyDescent="0.25">
      <c r="A3334" s="4" t="s">
        <v>0</v>
      </c>
      <c r="B3334" t="s">
        <v>449</v>
      </c>
      <c r="C3334" t="s">
        <v>1801</v>
      </c>
      <c r="D3334" t="s">
        <v>48</v>
      </c>
      <c r="E3334" t="s">
        <v>305</v>
      </c>
      <c r="F3334" t="s">
        <v>15</v>
      </c>
    </row>
    <row r="3335" spans="1:6" outlineLevel="3" x14ac:dyDescent="0.25">
      <c r="A3335" s="4" t="s">
        <v>0</v>
      </c>
      <c r="B3335" t="s">
        <v>449</v>
      </c>
      <c r="C3335" t="s">
        <v>1802</v>
      </c>
      <c r="D3335" t="s">
        <v>190</v>
      </c>
      <c r="E3335" t="s">
        <v>191</v>
      </c>
      <c r="F3335" t="s">
        <v>15</v>
      </c>
    </row>
    <row r="3336" spans="1:6" outlineLevel="3" x14ac:dyDescent="0.25">
      <c r="A3336" s="4" t="s">
        <v>0</v>
      </c>
      <c r="B3336" t="s">
        <v>449</v>
      </c>
      <c r="C3336" t="s">
        <v>1809</v>
      </c>
      <c r="D3336" t="s">
        <v>169</v>
      </c>
      <c r="E3336" t="s">
        <v>361</v>
      </c>
      <c r="F3336" t="s">
        <v>15</v>
      </c>
    </row>
    <row r="3337" spans="1:6" outlineLevel="3" x14ac:dyDescent="0.25">
      <c r="A3337" s="4" t="s">
        <v>0</v>
      </c>
      <c r="B3337" t="s">
        <v>449</v>
      </c>
      <c r="C3337" t="s">
        <v>1808</v>
      </c>
      <c r="D3337" t="s">
        <v>84</v>
      </c>
      <c r="E3337" t="s">
        <v>282</v>
      </c>
      <c r="F3337" t="s">
        <v>15</v>
      </c>
    </row>
    <row r="3338" spans="1:6" outlineLevel="3" x14ac:dyDescent="0.25">
      <c r="A3338" s="4" t="s">
        <v>0</v>
      </c>
      <c r="B3338" t="s">
        <v>449</v>
      </c>
      <c r="C3338" t="s">
        <v>1807</v>
      </c>
      <c r="D3338" t="s">
        <v>65</v>
      </c>
      <c r="E3338" t="s">
        <v>189</v>
      </c>
      <c r="F3338" t="s">
        <v>15</v>
      </c>
    </row>
    <row r="3339" spans="1:6" outlineLevel="3" x14ac:dyDescent="0.25">
      <c r="A3339" s="4" t="s">
        <v>0</v>
      </c>
      <c r="B3339" t="s">
        <v>449</v>
      </c>
      <c r="C3339" t="s">
        <v>1419</v>
      </c>
      <c r="D3339" t="s">
        <v>250</v>
      </c>
      <c r="E3339" t="s">
        <v>303</v>
      </c>
      <c r="F3339" t="s">
        <v>15</v>
      </c>
    </row>
    <row r="3340" spans="1:6" outlineLevel="3" x14ac:dyDescent="0.25">
      <c r="A3340" s="4" t="s">
        <v>0</v>
      </c>
      <c r="B3340" t="s">
        <v>449</v>
      </c>
      <c r="C3340" t="s">
        <v>1423</v>
      </c>
      <c r="D3340" t="s">
        <v>65</v>
      </c>
      <c r="E3340" t="s">
        <v>314</v>
      </c>
      <c r="F3340" t="s">
        <v>15</v>
      </c>
    </row>
    <row r="3341" spans="1:6" outlineLevel="3" x14ac:dyDescent="0.25">
      <c r="A3341" s="4" t="s">
        <v>0</v>
      </c>
      <c r="B3341" t="s">
        <v>449</v>
      </c>
      <c r="C3341" t="s">
        <v>1806</v>
      </c>
      <c r="D3341" t="s">
        <v>67</v>
      </c>
      <c r="E3341" t="s">
        <v>323</v>
      </c>
      <c r="F3341" t="s">
        <v>15</v>
      </c>
    </row>
    <row r="3342" spans="1:6" outlineLevel="3" x14ac:dyDescent="0.25">
      <c r="A3342" s="4" t="s">
        <v>0</v>
      </c>
      <c r="B3342" t="s">
        <v>449</v>
      </c>
      <c r="C3342" t="s">
        <v>1799</v>
      </c>
      <c r="D3342" t="s">
        <v>119</v>
      </c>
      <c r="E3342" t="s">
        <v>120</v>
      </c>
      <c r="F3342" t="s">
        <v>15</v>
      </c>
    </row>
    <row r="3343" spans="1:6" outlineLevel="3" x14ac:dyDescent="0.25">
      <c r="A3343" s="4" t="s">
        <v>0</v>
      </c>
      <c r="B3343" t="s">
        <v>449</v>
      </c>
      <c r="C3343" t="s">
        <v>1803</v>
      </c>
      <c r="D3343" t="s">
        <v>283</v>
      </c>
      <c r="E3343" t="s">
        <v>284</v>
      </c>
      <c r="F3343" t="s">
        <v>15</v>
      </c>
    </row>
    <row r="3344" spans="1:6" outlineLevel="3" x14ac:dyDescent="0.25">
      <c r="A3344" s="4" t="s">
        <v>0</v>
      </c>
      <c r="B3344" t="s">
        <v>449</v>
      </c>
      <c r="C3344" t="s">
        <v>1810</v>
      </c>
      <c r="D3344" t="s">
        <v>153</v>
      </c>
      <c r="E3344" t="s">
        <v>362</v>
      </c>
      <c r="F3344" t="s">
        <v>15</v>
      </c>
    </row>
    <row r="3345" spans="1:6" outlineLevel="3" x14ac:dyDescent="0.25">
      <c r="A3345" s="4" t="s">
        <v>0</v>
      </c>
      <c r="B3345" t="s">
        <v>449</v>
      </c>
      <c r="C3345" t="s">
        <v>1416</v>
      </c>
      <c r="D3345" t="s">
        <v>124</v>
      </c>
      <c r="E3345" t="s">
        <v>104</v>
      </c>
      <c r="F3345" t="s">
        <v>15</v>
      </c>
    </row>
    <row r="3346" spans="1:6" outlineLevel="3" x14ac:dyDescent="0.25">
      <c r="A3346" s="4" t="s">
        <v>0</v>
      </c>
      <c r="B3346" t="s">
        <v>449</v>
      </c>
      <c r="C3346" t="s">
        <v>1424</v>
      </c>
      <c r="D3346" t="s">
        <v>76</v>
      </c>
      <c r="E3346" t="s">
        <v>269</v>
      </c>
      <c r="F3346" t="s">
        <v>15</v>
      </c>
    </row>
    <row r="3347" spans="1:6" outlineLevel="3" x14ac:dyDescent="0.25">
      <c r="A3347" s="4" t="s">
        <v>0</v>
      </c>
      <c r="B3347" t="s">
        <v>449</v>
      </c>
      <c r="C3347" t="s">
        <v>1434</v>
      </c>
      <c r="D3347" t="s">
        <v>76</v>
      </c>
      <c r="E3347" t="s">
        <v>355</v>
      </c>
      <c r="F3347" t="s">
        <v>15</v>
      </c>
    </row>
    <row r="3348" spans="1:6" outlineLevel="3" x14ac:dyDescent="0.25">
      <c r="A3348" s="4" t="s">
        <v>0</v>
      </c>
      <c r="B3348" t="s">
        <v>449</v>
      </c>
      <c r="C3348" t="s">
        <v>1430</v>
      </c>
      <c r="D3348" t="s">
        <v>383</v>
      </c>
      <c r="E3348" t="s">
        <v>384</v>
      </c>
      <c r="F3348" t="s">
        <v>15</v>
      </c>
    </row>
    <row r="3349" spans="1:6" outlineLevel="3" x14ac:dyDescent="0.25">
      <c r="A3349" s="4" t="s">
        <v>0</v>
      </c>
      <c r="B3349" t="s">
        <v>449</v>
      </c>
      <c r="C3349" t="s">
        <v>1804</v>
      </c>
      <c r="D3349" t="s">
        <v>190</v>
      </c>
      <c r="E3349" t="s">
        <v>304</v>
      </c>
      <c r="F3349" t="s">
        <v>15</v>
      </c>
    </row>
    <row r="3350" spans="1:6" outlineLevel="3" x14ac:dyDescent="0.25">
      <c r="A3350" s="4" t="s">
        <v>0</v>
      </c>
      <c r="B3350" t="s">
        <v>449</v>
      </c>
      <c r="C3350" t="s">
        <v>1415</v>
      </c>
      <c r="D3350" t="s">
        <v>65</v>
      </c>
      <c r="E3350" t="s">
        <v>66</v>
      </c>
      <c r="F3350" t="s">
        <v>15</v>
      </c>
    </row>
    <row r="3351" spans="1:6" outlineLevel="3" x14ac:dyDescent="0.25">
      <c r="A3351" s="4" t="s">
        <v>0</v>
      </c>
      <c r="B3351" t="s">
        <v>449</v>
      </c>
      <c r="C3351" t="s">
        <v>1805</v>
      </c>
      <c r="D3351" t="s">
        <v>306</v>
      </c>
      <c r="E3351" t="s">
        <v>307</v>
      </c>
      <c r="F3351" t="s">
        <v>15</v>
      </c>
    </row>
    <row r="3352" spans="1:6" outlineLevel="3" x14ac:dyDescent="0.25">
      <c r="A3352" s="4" t="s">
        <v>0</v>
      </c>
      <c r="B3352" t="s">
        <v>449</v>
      </c>
      <c r="C3352" t="s">
        <v>1798</v>
      </c>
      <c r="D3352" t="s">
        <v>933</v>
      </c>
      <c r="E3352" t="s">
        <v>297</v>
      </c>
      <c r="F3352" t="s">
        <v>15</v>
      </c>
    </row>
    <row r="3353" spans="1:6" outlineLevel="3" x14ac:dyDescent="0.25">
      <c r="A3353" s="4" t="s">
        <v>0</v>
      </c>
      <c r="B3353" t="s">
        <v>449</v>
      </c>
      <c r="C3353" t="s">
        <v>1422</v>
      </c>
      <c r="D3353" t="s">
        <v>398</v>
      </c>
      <c r="E3353" t="s">
        <v>337</v>
      </c>
      <c r="F3353" t="s">
        <v>15</v>
      </c>
    </row>
    <row r="3354" spans="1:6" outlineLevel="3" x14ac:dyDescent="0.25">
      <c r="A3354" s="4" t="s">
        <v>0</v>
      </c>
      <c r="B3354" t="s">
        <v>449</v>
      </c>
      <c r="C3354" t="s">
        <v>1413</v>
      </c>
      <c r="D3354" t="s">
        <v>54</v>
      </c>
      <c r="E3354" t="s">
        <v>55</v>
      </c>
      <c r="F3354" t="s">
        <v>15</v>
      </c>
    </row>
    <row r="3355" spans="1:6" outlineLevel="3" x14ac:dyDescent="0.25">
      <c r="A3355" s="4" t="s">
        <v>0</v>
      </c>
      <c r="B3355" t="s">
        <v>449</v>
      </c>
      <c r="C3355" t="s">
        <v>1431</v>
      </c>
      <c r="D3355" t="s">
        <v>202</v>
      </c>
      <c r="E3355" t="s">
        <v>203</v>
      </c>
      <c r="F3355" t="s">
        <v>15</v>
      </c>
    </row>
    <row r="3356" spans="1:6" outlineLevel="3" x14ac:dyDescent="0.25">
      <c r="A3356" s="4" t="s">
        <v>0</v>
      </c>
      <c r="B3356" t="s">
        <v>449</v>
      </c>
      <c r="C3356" t="s">
        <v>1417</v>
      </c>
      <c r="D3356" t="s">
        <v>76</v>
      </c>
      <c r="E3356" t="s">
        <v>121</v>
      </c>
      <c r="F3356" t="s">
        <v>15</v>
      </c>
    </row>
    <row r="3357" spans="1:6" outlineLevel="3" x14ac:dyDescent="0.25">
      <c r="A3357" s="4" t="s">
        <v>0</v>
      </c>
      <c r="B3357" t="s">
        <v>449</v>
      </c>
      <c r="C3357" t="s">
        <v>1800</v>
      </c>
      <c r="D3357" t="s">
        <v>6</v>
      </c>
      <c r="E3357" t="s">
        <v>179</v>
      </c>
      <c r="F3357" t="s">
        <v>15</v>
      </c>
    </row>
    <row r="3358" spans="1:6" outlineLevel="3" x14ac:dyDescent="0.25">
      <c r="A3358" s="4" t="s">
        <v>0</v>
      </c>
      <c r="B3358" t="s">
        <v>449</v>
      </c>
      <c r="C3358" t="s">
        <v>1420</v>
      </c>
      <c r="D3358" t="s">
        <v>44</v>
      </c>
      <c r="E3358" t="s">
        <v>45</v>
      </c>
      <c r="F3358" t="s">
        <v>15</v>
      </c>
    </row>
    <row r="3359" spans="1:6" outlineLevel="3" x14ac:dyDescent="0.25">
      <c r="A3359" s="4" t="s">
        <v>0</v>
      </c>
      <c r="B3359" t="s">
        <v>449</v>
      </c>
      <c r="C3359" t="s">
        <v>1390</v>
      </c>
      <c r="D3359" t="s">
        <v>1236</v>
      </c>
      <c r="E3359" t="s">
        <v>28</v>
      </c>
      <c r="F3359" t="s">
        <v>15</v>
      </c>
    </row>
    <row r="3360" spans="1:6" outlineLevel="3" x14ac:dyDescent="0.25">
      <c r="A3360" s="4" t="s">
        <v>0</v>
      </c>
      <c r="B3360" t="s">
        <v>449</v>
      </c>
      <c r="C3360" t="s">
        <v>1421</v>
      </c>
      <c r="D3360" t="s">
        <v>327</v>
      </c>
      <c r="E3360" t="s">
        <v>328</v>
      </c>
      <c r="F3360" t="s">
        <v>15</v>
      </c>
    </row>
    <row r="3361" spans="1:6" outlineLevel="3" x14ac:dyDescent="0.25">
      <c r="A3361" s="4" t="s">
        <v>0</v>
      </c>
      <c r="B3361" t="s">
        <v>449</v>
      </c>
      <c r="C3361" t="s">
        <v>1391</v>
      </c>
      <c r="D3361" t="s">
        <v>73</v>
      </c>
      <c r="E3361" t="s">
        <v>74</v>
      </c>
      <c r="F3361" t="s">
        <v>15</v>
      </c>
    </row>
    <row r="3362" spans="1:6" outlineLevel="3" x14ac:dyDescent="0.25">
      <c r="A3362" s="4" t="s">
        <v>0</v>
      </c>
      <c r="B3362" t="s">
        <v>449</v>
      </c>
      <c r="C3362" t="s">
        <v>1388</v>
      </c>
      <c r="D3362" t="s">
        <v>1103</v>
      </c>
      <c r="E3362" t="s">
        <v>1105</v>
      </c>
      <c r="F3362" t="s">
        <v>15</v>
      </c>
    </row>
    <row r="3363" spans="1:6" outlineLevel="3" x14ac:dyDescent="0.25">
      <c r="A3363" s="4" t="s">
        <v>0</v>
      </c>
      <c r="B3363" t="s">
        <v>449</v>
      </c>
      <c r="C3363" t="s">
        <v>1412</v>
      </c>
      <c r="D3363" t="s">
        <v>42</v>
      </c>
      <c r="E3363" t="s">
        <v>43</v>
      </c>
      <c r="F3363" t="s">
        <v>15</v>
      </c>
    </row>
    <row r="3364" spans="1:6" outlineLevel="3" x14ac:dyDescent="0.25">
      <c r="A3364" s="4" t="s">
        <v>0</v>
      </c>
      <c r="B3364" t="s">
        <v>449</v>
      </c>
      <c r="C3364" t="s">
        <v>1410</v>
      </c>
      <c r="D3364" t="s">
        <v>1097</v>
      </c>
      <c r="E3364" t="s">
        <v>106</v>
      </c>
      <c r="F3364" t="s">
        <v>15</v>
      </c>
    </row>
    <row r="3365" spans="1:6" outlineLevel="3" x14ac:dyDescent="0.25">
      <c r="A3365" s="4" t="s">
        <v>0</v>
      </c>
      <c r="B3365" t="s">
        <v>449</v>
      </c>
      <c r="C3365" t="s">
        <v>1435</v>
      </c>
      <c r="D3365" t="s">
        <v>16</v>
      </c>
      <c r="E3365" t="s">
        <v>176</v>
      </c>
      <c r="F3365" t="s">
        <v>15</v>
      </c>
    </row>
    <row r="3366" spans="1:6" outlineLevel="3" x14ac:dyDescent="0.25">
      <c r="A3366" s="4" t="s">
        <v>0</v>
      </c>
      <c r="B3366" t="s">
        <v>449</v>
      </c>
      <c r="C3366" t="s">
        <v>1418</v>
      </c>
      <c r="D3366" t="s">
        <v>250</v>
      </c>
      <c r="E3366" t="s">
        <v>293</v>
      </c>
      <c r="F3366" t="s">
        <v>15</v>
      </c>
    </row>
    <row r="3367" spans="1:6" outlineLevel="3" x14ac:dyDescent="0.25">
      <c r="A3367" s="4" t="s">
        <v>0</v>
      </c>
      <c r="B3367" t="s">
        <v>449</v>
      </c>
      <c r="C3367" t="s">
        <v>1432</v>
      </c>
      <c r="D3367" t="s">
        <v>212</v>
      </c>
      <c r="E3367" t="s">
        <v>265</v>
      </c>
      <c r="F3367" t="s">
        <v>15</v>
      </c>
    </row>
    <row r="3368" spans="1:6" outlineLevel="3" x14ac:dyDescent="0.25">
      <c r="A3368" s="4" t="s">
        <v>0</v>
      </c>
      <c r="B3368" t="s">
        <v>449</v>
      </c>
      <c r="C3368" t="s">
        <v>1406</v>
      </c>
      <c r="D3368" t="s">
        <v>250</v>
      </c>
      <c r="E3368" t="s">
        <v>251</v>
      </c>
      <c r="F3368" t="s">
        <v>15</v>
      </c>
    </row>
    <row r="3369" spans="1:6" outlineLevel="3" x14ac:dyDescent="0.25">
      <c r="A3369" s="4" t="s">
        <v>0</v>
      </c>
      <c r="B3369" t="s">
        <v>449</v>
      </c>
      <c r="C3369" t="s">
        <v>1408</v>
      </c>
      <c r="D3369" t="s">
        <v>253</v>
      </c>
      <c r="E3369" t="s">
        <v>254</v>
      </c>
      <c r="F3369" t="s">
        <v>15</v>
      </c>
    </row>
    <row r="3370" spans="1:6" outlineLevel="3" x14ac:dyDescent="0.25">
      <c r="A3370" s="4" t="s">
        <v>0</v>
      </c>
      <c r="B3370" t="s">
        <v>449</v>
      </c>
      <c r="C3370" t="s">
        <v>1407</v>
      </c>
      <c r="D3370" t="s">
        <v>44</v>
      </c>
      <c r="E3370" t="s">
        <v>252</v>
      </c>
      <c r="F3370" t="s">
        <v>15</v>
      </c>
    </row>
    <row r="3371" spans="1:6" outlineLevel="3" x14ac:dyDescent="0.25">
      <c r="A3371" s="4" t="s">
        <v>0</v>
      </c>
      <c r="B3371" t="s">
        <v>449</v>
      </c>
      <c r="C3371" t="s">
        <v>1394</v>
      </c>
      <c r="D3371" t="s">
        <v>139</v>
      </c>
      <c r="E3371" t="s">
        <v>140</v>
      </c>
      <c r="F3371" t="s">
        <v>15</v>
      </c>
    </row>
    <row r="3372" spans="1:6" outlineLevel="3" x14ac:dyDescent="0.25">
      <c r="A3372" s="4" t="s">
        <v>0</v>
      </c>
      <c r="B3372" t="s">
        <v>449</v>
      </c>
      <c r="C3372" t="s">
        <v>1396</v>
      </c>
      <c r="D3372" t="s">
        <v>141</v>
      </c>
      <c r="E3372" t="s">
        <v>142</v>
      </c>
      <c r="F3372" t="s">
        <v>15</v>
      </c>
    </row>
    <row r="3373" spans="1:6" outlineLevel="3" x14ac:dyDescent="0.25">
      <c r="A3373" s="4" t="s">
        <v>0</v>
      </c>
      <c r="B3373" t="s">
        <v>449</v>
      </c>
      <c r="C3373" t="s">
        <v>1409</v>
      </c>
      <c r="D3373" t="s">
        <v>6</v>
      </c>
      <c r="E3373" t="s">
        <v>255</v>
      </c>
      <c r="F3373" t="s">
        <v>15</v>
      </c>
    </row>
    <row r="3374" spans="1:6" outlineLevel="3" x14ac:dyDescent="0.25">
      <c r="A3374" s="4" t="s">
        <v>0</v>
      </c>
      <c r="B3374" t="s">
        <v>449</v>
      </c>
      <c r="C3374" t="s">
        <v>1393</v>
      </c>
      <c r="D3374" t="s">
        <v>103</v>
      </c>
      <c r="E3374" t="s">
        <v>105</v>
      </c>
      <c r="F3374" t="s">
        <v>15</v>
      </c>
    </row>
    <row r="3375" spans="1:6" outlineLevel="3" x14ac:dyDescent="0.25">
      <c r="A3375" s="4" t="s">
        <v>0</v>
      </c>
      <c r="B3375" t="s">
        <v>449</v>
      </c>
      <c r="C3375" t="s">
        <v>1398</v>
      </c>
      <c r="D3375" t="s">
        <v>275</v>
      </c>
      <c r="E3375" t="s">
        <v>1069</v>
      </c>
      <c r="F3375" t="s">
        <v>15</v>
      </c>
    </row>
    <row r="3376" spans="1:6" outlineLevel="3" x14ac:dyDescent="0.25">
      <c r="A3376" s="4" t="s">
        <v>0</v>
      </c>
      <c r="B3376" t="s">
        <v>449</v>
      </c>
      <c r="C3376" t="s">
        <v>1399</v>
      </c>
      <c r="D3376" t="s">
        <v>275</v>
      </c>
      <c r="E3376" t="s">
        <v>1040</v>
      </c>
      <c r="F3376" t="s">
        <v>15</v>
      </c>
    </row>
    <row r="3377" spans="1:6" outlineLevel="3" x14ac:dyDescent="0.25">
      <c r="A3377" s="4" t="s">
        <v>0</v>
      </c>
      <c r="B3377" t="s">
        <v>449</v>
      </c>
      <c r="C3377" t="s">
        <v>1400</v>
      </c>
      <c r="D3377" t="s">
        <v>71</v>
      </c>
      <c r="E3377" t="s">
        <v>146</v>
      </c>
      <c r="F3377" t="s">
        <v>15</v>
      </c>
    </row>
    <row r="3378" spans="1:6" outlineLevel="3" x14ac:dyDescent="0.25">
      <c r="A3378" s="4" t="s">
        <v>0</v>
      </c>
      <c r="B3378" t="s">
        <v>449</v>
      </c>
      <c r="C3378" t="s">
        <v>1404</v>
      </c>
      <c r="D3378" t="s">
        <v>67</v>
      </c>
      <c r="E3378" t="s">
        <v>152</v>
      </c>
      <c r="F3378" t="s">
        <v>15</v>
      </c>
    </row>
    <row r="3379" spans="1:6" outlineLevel="3" x14ac:dyDescent="0.25">
      <c r="A3379" s="4" t="s">
        <v>0</v>
      </c>
      <c r="B3379" t="s">
        <v>449</v>
      </c>
      <c r="C3379" t="s">
        <v>1405</v>
      </c>
      <c r="D3379" t="s">
        <v>153</v>
      </c>
      <c r="E3379" t="s">
        <v>154</v>
      </c>
      <c r="F3379" t="s">
        <v>15</v>
      </c>
    </row>
    <row r="3380" spans="1:6" outlineLevel="3" x14ac:dyDescent="0.25">
      <c r="A3380" s="4" t="s">
        <v>0</v>
      </c>
      <c r="B3380" t="s">
        <v>449</v>
      </c>
      <c r="C3380" t="s">
        <v>1401</v>
      </c>
      <c r="D3380" t="s">
        <v>147</v>
      </c>
      <c r="E3380" t="s">
        <v>148</v>
      </c>
      <c r="F3380" t="s">
        <v>15</v>
      </c>
    </row>
    <row r="3381" spans="1:6" outlineLevel="3" x14ac:dyDescent="0.25">
      <c r="A3381" s="4" t="s">
        <v>0</v>
      </c>
      <c r="B3381" t="s">
        <v>449</v>
      </c>
      <c r="C3381" t="s">
        <v>1397</v>
      </c>
      <c r="D3381" t="s">
        <v>144</v>
      </c>
      <c r="E3381" t="s">
        <v>145</v>
      </c>
      <c r="F3381" t="s">
        <v>15</v>
      </c>
    </row>
    <row r="3382" spans="1:6" outlineLevel="3" x14ac:dyDescent="0.25">
      <c r="A3382" s="4" t="s">
        <v>0</v>
      </c>
      <c r="B3382" t="s">
        <v>449</v>
      </c>
      <c r="C3382" t="s">
        <v>1402</v>
      </c>
      <c r="D3382" t="s">
        <v>71</v>
      </c>
      <c r="E3382" t="s">
        <v>149</v>
      </c>
      <c r="F3382" t="s">
        <v>15</v>
      </c>
    </row>
    <row r="3383" spans="1:6" outlineLevel="3" x14ac:dyDescent="0.25">
      <c r="A3383" s="4" t="s">
        <v>0</v>
      </c>
      <c r="B3383" t="s">
        <v>449</v>
      </c>
      <c r="C3383" t="s">
        <v>1403</v>
      </c>
      <c r="D3383" t="s">
        <v>150</v>
      </c>
      <c r="E3383" t="s">
        <v>151</v>
      </c>
      <c r="F3383" t="s">
        <v>15</v>
      </c>
    </row>
    <row r="3384" spans="1:6" outlineLevel="3" x14ac:dyDescent="0.25">
      <c r="A3384" s="4" t="s">
        <v>0</v>
      </c>
      <c r="B3384" t="s">
        <v>449</v>
      </c>
      <c r="C3384" t="s">
        <v>1436</v>
      </c>
      <c r="D3384" t="s">
        <v>29</v>
      </c>
      <c r="E3384" t="s">
        <v>30</v>
      </c>
      <c r="F3384" t="s">
        <v>15</v>
      </c>
    </row>
    <row r="3385" spans="1:6" outlineLevel="3" x14ac:dyDescent="0.25">
      <c r="A3385" s="4" t="s">
        <v>0</v>
      </c>
      <c r="B3385" t="s">
        <v>449</v>
      </c>
      <c r="C3385" t="s">
        <v>1411</v>
      </c>
      <c r="D3385" t="s">
        <v>171</v>
      </c>
      <c r="E3385" t="s">
        <v>172</v>
      </c>
      <c r="F3385" t="s">
        <v>15</v>
      </c>
    </row>
    <row r="3386" spans="1:6" outlineLevel="3" x14ac:dyDescent="0.25">
      <c r="A3386" s="4" t="s">
        <v>0</v>
      </c>
      <c r="B3386" t="s">
        <v>449</v>
      </c>
      <c r="C3386" t="s">
        <v>1395</v>
      </c>
      <c r="D3386" t="s">
        <v>50</v>
      </c>
      <c r="E3386" t="s">
        <v>51</v>
      </c>
      <c r="F3386" t="s">
        <v>15</v>
      </c>
    </row>
    <row r="3387" spans="1:6" outlineLevel="3" x14ac:dyDescent="0.25">
      <c r="A3387" s="4" t="s">
        <v>0</v>
      </c>
      <c r="B3387" t="s">
        <v>449</v>
      </c>
      <c r="C3387" t="s">
        <v>1428</v>
      </c>
      <c r="D3387" t="s">
        <v>52</v>
      </c>
      <c r="E3387" t="s">
        <v>53</v>
      </c>
      <c r="F3387" t="s">
        <v>15</v>
      </c>
    </row>
    <row r="3388" spans="1:6" outlineLevel="3" x14ac:dyDescent="0.25">
      <c r="A3388" s="4" t="s">
        <v>0</v>
      </c>
      <c r="B3388" t="s">
        <v>449</v>
      </c>
      <c r="C3388" t="s">
        <v>1433</v>
      </c>
      <c r="D3388" t="s">
        <v>46</v>
      </c>
      <c r="E3388" t="s">
        <v>47</v>
      </c>
      <c r="F3388" t="s">
        <v>15</v>
      </c>
    </row>
    <row r="3389" spans="1:6" outlineLevel="3" x14ac:dyDescent="0.25">
      <c r="A3389" s="4" t="s">
        <v>0</v>
      </c>
      <c r="B3389" t="s">
        <v>449</v>
      </c>
      <c r="C3389" t="s">
        <v>1385</v>
      </c>
      <c r="D3389" t="s">
        <v>1</v>
      </c>
      <c r="E3389" t="s">
        <v>2</v>
      </c>
      <c r="F3389" t="s">
        <v>15</v>
      </c>
    </row>
    <row r="3390" spans="1:6" outlineLevel="3" x14ac:dyDescent="0.25">
      <c r="A3390" s="4" t="s">
        <v>0</v>
      </c>
      <c r="B3390" t="s">
        <v>449</v>
      </c>
      <c r="C3390" t="s">
        <v>1437</v>
      </c>
      <c r="D3390" t="s">
        <v>1259</v>
      </c>
      <c r="E3390" t="s">
        <v>25</v>
      </c>
      <c r="F3390" t="s">
        <v>15</v>
      </c>
    </row>
    <row r="3391" spans="1:6" outlineLevel="3" x14ac:dyDescent="0.25">
      <c r="A3391" s="4" t="s">
        <v>0</v>
      </c>
      <c r="B3391" t="s">
        <v>449</v>
      </c>
      <c r="C3391" t="s">
        <v>1429</v>
      </c>
      <c r="D3391" t="s">
        <v>209</v>
      </c>
      <c r="E3391" t="s">
        <v>380</v>
      </c>
      <c r="F3391" t="s">
        <v>15</v>
      </c>
    </row>
    <row r="3392" spans="1:6" outlineLevel="3" x14ac:dyDescent="0.25">
      <c r="A3392" s="4" t="s">
        <v>0</v>
      </c>
      <c r="B3392" t="s">
        <v>449</v>
      </c>
      <c r="C3392" t="s">
        <v>1392</v>
      </c>
      <c r="D3392" t="s">
        <v>1068</v>
      </c>
      <c r="E3392" t="s">
        <v>88</v>
      </c>
      <c r="F3392" t="s">
        <v>15</v>
      </c>
    </row>
    <row r="3393" spans="1:6" outlineLevel="2" x14ac:dyDescent="0.25">
      <c r="A3393" s="38" t="s">
        <v>1032</v>
      </c>
      <c r="F3393">
        <f>SUBTOTAL(3,F3325:F3392)</f>
        <v>68</v>
      </c>
    </row>
    <row r="3394" spans="1:6" outlineLevel="1" x14ac:dyDescent="0.25">
      <c r="E3394" s="37" t="s">
        <v>1023</v>
      </c>
      <c r="F3394">
        <f>SUBTOTAL(3,F3325:F3392)</f>
        <v>68</v>
      </c>
    </row>
    <row r="3395" spans="1:6" outlineLevel="3" x14ac:dyDescent="0.25">
      <c r="A3395" s="4" t="s">
        <v>0</v>
      </c>
      <c r="B3395" t="s">
        <v>449</v>
      </c>
      <c r="C3395" t="s">
        <v>1370</v>
      </c>
      <c r="D3395" t="s">
        <v>21</v>
      </c>
      <c r="E3395" t="s">
        <v>22</v>
      </c>
      <c r="F3395" t="s">
        <v>174</v>
      </c>
    </row>
    <row r="3396" spans="1:6" outlineLevel="3" x14ac:dyDescent="0.25">
      <c r="A3396" s="4" t="s">
        <v>0</v>
      </c>
      <c r="B3396" t="s">
        <v>449</v>
      </c>
      <c r="C3396" t="s">
        <v>1357</v>
      </c>
      <c r="D3396" t="s">
        <v>21</v>
      </c>
      <c r="E3396" t="s">
        <v>100</v>
      </c>
      <c r="F3396" t="s">
        <v>174</v>
      </c>
    </row>
    <row r="3397" spans="1:6" outlineLevel="3" x14ac:dyDescent="0.25">
      <c r="A3397" s="4" t="s">
        <v>0</v>
      </c>
      <c r="B3397" t="s">
        <v>449</v>
      </c>
      <c r="C3397" t="s">
        <v>1360</v>
      </c>
      <c r="D3397" t="s">
        <v>122</v>
      </c>
      <c r="E3397" t="s">
        <v>123</v>
      </c>
      <c r="F3397" t="s">
        <v>174</v>
      </c>
    </row>
    <row r="3398" spans="1:6" outlineLevel="3" x14ac:dyDescent="0.25">
      <c r="A3398" s="4" t="s">
        <v>0</v>
      </c>
      <c r="B3398" t="s">
        <v>449</v>
      </c>
      <c r="C3398" t="s">
        <v>1365</v>
      </c>
      <c r="D3398" t="s">
        <v>150</v>
      </c>
      <c r="E3398" t="s">
        <v>260</v>
      </c>
      <c r="F3398" t="s">
        <v>174</v>
      </c>
    </row>
    <row r="3399" spans="1:6" outlineLevel="3" x14ac:dyDescent="0.25">
      <c r="A3399" s="4" t="s">
        <v>0</v>
      </c>
      <c r="B3399" t="s">
        <v>449</v>
      </c>
      <c r="C3399" t="s">
        <v>1361</v>
      </c>
      <c r="D3399" t="s">
        <v>40</v>
      </c>
      <c r="E3399" t="s">
        <v>41</v>
      </c>
      <c r="F3399" t="s">
        <v>174</v>
      </c>
    </row>
    <row r="3400" spans="1:6" outlineLevel="3" x14ac:dyDescent="0.25">
      <c r="A3400" s="4" t="s">
        <v>0</v>
      </c>
      <c r="B3400" t="s">
        <v>449</v>
      </c>
      <c r="C3400" t="s">
        <v>1359</v>
      </c>
      <c r="D3400" t="s">
        <v>169</v>
      </c>
      <c r="E3400" t="s">
        <v>170</v>
      </c>
      <c r="F3400" t="s">
        <v>174</v>
      </c>
    </row>
    <row r="3401" spans="1:6" outlineLevel="3" x14ac:dyDescent="0.25">
      <c r="A3401" s="4" t="s">
        <v>0</v>
      </c>
      <c r="B3401" t="s">
        <v>449</v>
      </c>
      <c r="C3401" t="s">
        <v>1377</v>
      </c>
      <c r="D3401" t="s">
        <v>23</v>
      </c>
      <c r="E3401" t="s">
        <v>107</v>
      </c>
      <c r="F3401" t="s">
        <v>174</v>
      </c>
    </row>
    <row r="3402" spans="1:6" outlineLevel="3" x14ac:dyDescent="0.25">
      <c r="A3402" s="4" t="s">
        <v>0</v>
      </c>
      <c r="B3402" t="s">
        <v>449</v>
      </c>
      <c r="C3402" t="s">
        <v>1372</v>
      </c>
      <c r="D3402" t="s">
        <v>10</v>
      </c>
      <c r="E3402" t="s">
        <v>35</v>
      </c>
      <c r="F3402" t="s">
        <v>174</v>
      </c>
    </row>
    <row r="3403" spans="1:6" outlineLevel="3" x14ac:dyDescent="0.25">
      <c r="A3403" s="4" t="s">
        <v>0</v>
      </c>
      <c r="B3403" t="s">
        <v>449</v>
      </c>
      <c r="C3403" t="s">
        <v>1378</v>
      </c>
      <c r="D3403" t="s">
        <v>13</v>
      </c>
      <c r="E3403" t="s">
        <v>14</v>
      </c>
      <c r="F3403" t="s">
        <v>174</v>
      </c>
    </row>
    <row r="3404" spans="1:6" outlineLevel="3" x14ac:dyDescent="0.25">
      <c r="A3404" s="4" t="s">
        <v>0</v>
      </c>
      <c r="B3404" t="s">
        <v>449</v>
      </c>
      <c r="C3404" t="s">
        <v>1373</v>
      </c>
      <c r="D3404" t="s">
        <v>65</v>
      </c>
      <c r="E3404" t="s">
        <v>75</v>
      </c>
      <c r="F3404" t="s">
        <v>174</v>
      </c>
    </row>
    <row r="3405" spans="1:6" outlineLevel="3" x14ac:dyDescent="0.25">
      <c r="A3405" s="4" t="s">
        <v>0</v>
      </c>
      <c r="B3405" t="s">
        <v>449</v>
      </c>
      <c r="C3405" t="s">
        <v>1362</v>
      </c>
      <c r="D3405" t="s">
        <v>94</v>
      </c>
      <c r="E3405" t="s">
        <v>95</v>
      </c>
      <c r="F3405" t="s">
        <v>174</v>
      </c>
    </row>
    <row r="3406" spans="1:6" outlineLevel="3" x14ac:dyDescent="0.25">
      <c r="A3406" s="4" t="s">
        <v>0</v>
      </c>
      <c r="B3406" t="s">
        <v>449</v>
      </c>
      <c r="C3406" t="s">
        <v>1363</v>
      </c>
      <c r="D3406" t="s">
        <v>46</v>
      </c>
      <c r="E3406" t="s">
        <v>164</v>
      </c>
      <c r="F3406" t="s">
        <v>174</v>
      </c>
    </row>
    <row r="3407" spans="1:6" outlineLevel="3" x14ac:dyDescent="0.25">
      <c r="A3407" s="4" t="s">
        <v>0</v>
      </c>
      <c r="B3407" t="s">
        <v>449</v>
      </c>
      <c r="C3407" t="s">
        <v>1369</v>
      </c>
      <c r="D3407" t="s">
        <v>31</v>
      </c>
      <c r="E3407" t="s">
        <v>310</v>
      </c>
      <c r="F3407" t="s">
        <v>174</v>
      </c>
    </row>
    <row r="3408" spans="1:6" outlineLevel="3" x14ac:dyDescent="0.25">
      <c r="A3408" s="4" t="s">
        <v>0</v>
      </c>
      <c r="B3408" t="s">
        <v>449</v>
      </c>
      <c r="C3408" t="s">
        <v>1374</v>
      </c>
      <c r="D3408" t="s">
        <v>13</v>
      </c>
      <c r="E3408" t="s">
        <v>1101</v>
      </c>
      <c r="F3408" t="s">
        <v>174</v>
      </c>
    </row>
    <row r="3409" spans="1:6" outlineLevel="3" x14ac:dyDescent="0.25">
      <c r="A3409" s="4" t="s">
        <v>0</v>
      </c>
      <c r="B3409" t="s">
        <v>449</v>
      </c>
      <c r="C3409" t="s">
        <v>1376</v>
      </c>
      <c r="D3409" t="s">
        <v>63</v>
      </c>
      <c r="E3409" t="s">
        <v>365</v>
      </c>
      <c r="F3409" t="s">
        <v>174</v>
      </c>
    </row>
    <row r="3410" spans="1:6" outlineLevel="3" x14ac:dyDescent="0.25">
      <c r="A3410" s="4" t="s">
        <v>0</v>
      </c>
      <c r="B3410" t="s">
        <v>449</v>
      </c>
      <c r="C3410" t="s">
        <v>1364</v>
      </c>
      <c r="D3410" t="s">
        <v>155</v>
      </c>
      <c r="E3410" t="s">
        <v>156</v>
      </c>
      <c r="F3410" t="s">
        <v>174</v>
      </c>
    </row>
    <row r="3411" spans="1:6" outlineLevel="3" x14ac:dyDescent="0.25">
      <c r="A3411" s="4" t="s">
        <v>0</v>
      </c>
      <c r="B3411" t="s">
        <v>449</v>
      </c>
      <c r="C3411" t="s">
        <v>1379</v>
      </c>
      <c r="D3411" t="s">
        <v>431</v>
      </c>
      <c r="E3411" t="s">
        <v>1189</v>
      </c>
      <c r="F3411" t="s">
        <v>174</v>
      </c>
    </row>
    <row r="3412" spans="1:6" outlineLevel="3" x14ac:dyDescent="0.25">
      <c r="A3412" s="4" t="s">
        <v>0</v>
      </c>
      <c r="B3412" t="s">
        <v>449</v>
      </c>
      <c r="C3412" t="s">
        <v>1375</v>
      </c>
      <c r="D3412" t="s">
        <v>338</v>
      </c>
      <c r="E3412" t="s">
        <v>368</v>
      </c>
      <c r="F3412" t="s">
        <v>174</v>
      </c>
    </row>
    <row r="3413" spans="1:6" outlineLevel="3" x14ac:dyDescent="0.25">
      <c r="A3413" s="4" t="s">
        <v>0</v>
      </c>
      <c r="B3413" t="s">
        <v>449</v>
      </c>
      <c r="C3413" t="s">
        <v>1366</v>
      </c>
      <c r="D3413" t="s">
        <v>180</v>
      </c>
      <c r="E3413" t="s">
        <v>207</v>
      </c>
      <c r="F3413" t="s">
        <v>174</v>
      </c>
    </row>
    <row r="3414" spans="1:6" outlineLevel="3" x14ac:dyDescent="0.25">
      <c r="A3414" s="4" t="s">
        <v>0</v>
      </c>
      <c r="B3414" t="s">
        <v>449</v>
      </c>
      <c r="C3414" t="s">
        <v>1371</v>
      </c>
      <c r="D3414" t="s">
        <v>124</v>
      </c>
      <c r="E3414" t="s">
        <v>125</v>
      </c>
      <c r="F3414" t="s">
        <v>174</v>
      </c>
    </row>
    <row r="3415" spans="1:6" outlineLevel="3" x14ac:dyDescent="0.25">
      <c r="A3415" s="4" t="s">
        <v>0</v>
      </c>
      <c r="B3415" t="s">
        <v>449</v>
      </c>
      <c r="C3415" t="s">
        <v>1367</v>
      </c>
      <c r="D3415" t="s">
        <v>57</v>
      </c>
      <c r="E3415" t="s">
        <v>58</v>
      </c>
      <c r="F3415" t="s">
        <v>174</v>
      </c>
    </row>
    <row r="3416" spans="1:6" outlineLevel="3" x14ac:dyDescent="0.25">
      <c r="A3416" s="4" t="s">
        <v>0</v>
      </c>
      <c r="B3416" t="s">
        <v>449</v>
      </c>
      <c r="C3416" t="s">
        <v>1368</v>
      </c>
      <c r="D3416" t="s">
        <v>200</v>
      </c>
      <c r="E3416" t="s">
        <v>201</v>
      </c>
      <c r="F3416" t="s">
        <v>174</v>
      </c>
    </row>
    <row r="3417" spans="1:6" outlineLevel="3" x14ac:dyDescent="0.25">
      <c r="A3417" s="4" t="s">
        <v>0</v>
      </c>
      <c r="B3417" t="s">
        <v>449</v>
      </c>
      <c r="C3417" t="s">
        <v>1358</v>
      </c>
      <c r="D3417" t="s">
        <v>31</v>
      </c>
      <c r="E3417" t="s">
        <v>32</v>
      </c>
      <c r="F3417" t="s">
        <v>174</v>
      </c>
    </row>
    <row r="3418" spans="1:6" outlineLevel="2" x14ac:dyDescent="0.25">
      <c r="A3418" s="38" t="s">
        <v>1032</v>
      </c>
      <c r="F3418">
        <f>SUBTOTAL(3,F3395:F3417)</f>
        <v>23</v>
      </c>
    </row>
    <row r="3419" spans="1:6" outlineLevel="1" x14ac:dyDescent="0.25">
      <c r="E3419" s="37" t="s">
        <v>1024</v>
      </c>
      <c r="F3419">
        <f>SUBTOTAL(3,F3395:F3417)</f>
        <v>23</v>
      </c>
    </row>
    <row r="3420" spans="1:6" outlineLevel="3" x14ac:dyDescent="0.25">
      <c r="A3420" s="4" t="s">
        <v>0</v>
      </c>
      <c r="B3420" t="s">
        <v>449</v>
      </c>
      <c r="C3420" t="s">
        <v>1380</v>
      </c>
      <c r="D3420" t="s">
        <v>76</v>
      </c>
      <c r="E3420" t="s">
        <v>263</v>
      </c>
      <c r="F3420" t="s">
        <v>241</v>
      </c>
    </row>
    <row r="3421" spans="1:6" outlineLevel="3" x14ac:dyDescent="0.25">
      <c r="A3421" s="4" t="s">
        <v>0</v>
      </c>
      <c r="B3421" t="s">
        <v>449</v>
      </c>
      <c r="C3421" t="s">
        <v>1381</v>
      </c>
      <c r="D3421" t="s">
        <v>165</v>
      </c>
      <c r="E3421" t="s">
        <v>79</v>
      </c>
      <c r="F3421" t="s">
        <v>241</v>
      </c>
    </row>
    <row r="3422" spans="1:6" outlineLevel="2" x14ac:dyDescent="0.25">
      <c r="A3422" s="38" t="s">
        <v>1032</v>
      </c>
      <c r="F3422">
        <f>SUBTOTAL(3,F3420:F3421)</f>
        <v>2</v>
      </c>
    </row>
    <row r="3423" spans="1:6" outlineLevel="1" x14ac:dyDescent="0.25">
      <c r="E3423" s="37" t="s">
        <v>1027</v>
      </c>
      <c r="F3423">
        <f>SUBTOTAL(3,F3420:F3421)</f>
        <v>2</v>
      </c>
    </row>
    <row r="3424" spans="1:6" outlineLevel="3" x14ac:dyDescent="0.25">
      <c r="A3424" s="4" t="s">
        <v>934</v>
      </c>
      <c r="B3424" t="s">
        <v>476</v>
      </c>
      <c r="C3424" t="s">
        <v>4450</v>
      </c>
      <c r="D3424" t="s">
        <v>124</v>
      </c>
      <c r="E3424" t="s">
        <v>406</v>
      </c>
      <c r="F3424" t="s">
        <v>37</v>
      </c>
    </row>
    <row r="3425" spans="1:6" outlineLevel="2" x14ac:dyDescent="0.25">
      <c r="A3425" s="38" t="s">
        <v>1033</v>
      </c>
      <c r="F3425">
        <f>SUBTOTAL(3,F3424:F3424)</f>
        <v>1</v>
      </c>
    </row>
    <row r="3426" spans="1:6" outlineLevel="1" x14ac:dyDescent="0.25">
      <c r="E3426" s="37" t="s">
        <v>1020</v>
      </c>
      <c r="F3426">
        <f>SUBTOTAL(3,F3424:F3424)</f>
        <v>1</v>
      </c>
    </row>
    <row r="3427" spans="1:6" outlineLevel="3" x14ac:dyDescent="0.25">
      <c r="A3427" s="4" t="s">
        <v>471</v>
      </c>
      <c r="B3427" t="s">
        <v>476</v>
      </c>
      <c r="C3427" t="s">
        <v>1048</v>
      </c>
      <c r="D3427" t="s">
        <v>78</v>
      </c>
      <c r="E3427" t="s">
        <v>185</v>
      </c>
      <c r="F3427" t="s">
        <v>34</v>
      </c>
    </row>
    <row r="3428" spans="1:6" outlineLevel="3" x14ac:dyDescent="0.25">
      <c r="A3428" s="4" t="s">
        <v>471</v>
      </c>
      <c r="B3428" t="s">
        <v>476</v>
      </c>
      <c r="C3428" t="s">
        <v>953</v>
      </c>
      <c r="D3428" t="s">
        <v>78</v>
      </c>
      <c r="E3428" t="s">
        <v>234</v>
      </c>
      <c r="F3428" t="s">
        <v>34</v>
      </c>
    </row>
    <row r="3429" spans="1:6" outlineLevel="2" x14ac:dyDescent="0.25">
      <c r="A3429" s="38" t="s">
        <v>1067</v>
      </c>
      <c r="F3429">
        <f>SUBTOTAL(3,F3427:F3428)</f>
        <v>2</v>
      </c>
    </row>
    <row r="3430" spans="1:6" outlineLevel="1" x14ac:dyDescent="0.25">
      <c r="E3430" s="37" t="s">
        <v>1025</v>
      </c>
      <c r="F3430">
        <f>SUBTOTAL(3,F3427:F3428)</f>
        <v>2</v>
      </c>
    </row>
    <row r="3431" spans="1:6" outlineLevel="3" x14ac:dyDescent="0.25">
      <c r="A3431" s="4" t="s">
        <v>941</v>
      </c>
      <c r="B3431" t="s">
        <v>422</v>
      </c>
      <c r="C3431" t="s">
        <v>2075</v>
      </c>
      <c r="D3431" t="s">
        <v>1194</v>
      </c>
      <c r="E3431" t="s">
        <v>406</v>
      </c>
      <c r="F3431" t="s">
        <v>37</v>
      </c>
    </row>
    <row r="3432" spans="1:6" outlineLevel="2" x14ac:dyDescent="0.25">
      <c r="A3432" s="38" t="s">
        <v>1191</v>
      </c>
      <c r="F3432">
        <f>SUBTOTAL(3,F3431:F3431)</f>
        <v>1</v>
      </c>
    </row>
    <row r="3433" spans="1:6" outlineLevel="3" x14ac:dyDescent="0.25">
      <c r="A3433" s="4" t="s">
        <v>448</v>
      </c>
      <c r="B3433" t="s">
        <v>422</v>
      </c>
      <c r="C3433" t="s">
        <v>2086</v>
      </c>
      <c r="D3433" t="s">
        <v>46</v>
      </c>
      <c r="E3433" t="s">
        <v>82</v>
      </c>
      <c r="F3433" t="s">
        <v>37</v>
      </c>
    </row>
    <row r="3434" spans="1:6" outlineLevel="3" x14ac:dyDescent="0.25">
      <c r="A3434" s="4" t="s">
        <v>448</v>
      </c>
      <c r="B3434" t="s">
        <v>422</v>
      </c>
      <c r="C3434" t="s">
        <v>2072</v>
      </c>
      <c r="D3434" t="s">
        <v>46</v>
      </c>
      <c r="E3434" t="s">
        <v>228</v>
      </c>
      <c r="F3434" t="s">
        <v>37</v>
      </c>
    </row>
    <row r="3435" spans="1:6" outlineLevel="3" x14ac:dyDescent="0.25">
      <c r="A3435" s="4" t="s">
        <v>448</v>
      </c>
      <c r="B3435" t="s">
        <v>422</v>
      </c>
      <c r="C3435" t="s">
        <v>2077</v>
      </c>
      <c r="D3435" t="s">
        <v>1181</v>
      </c>
      <c r="E3435" t="s">
        <v>137</v>
      </c>
      <c r="F3435" t="s">
        <v>37</v>
      </c>
    </row>
    <row r="3436" spans="1:6" outlineLevel="3" x14ac:dyDescent="0.25">
      <c r="A3436" s="4" t="s">
        <v>448</v>
      </c>
      <c r="B3436" t="s">
        <v>422</v>
      </c>
      <c r="C3436" t="s">
        <v>2073</v>
      </c>
      <c r="D3436" t="s">
        <v>126</v>
      </c>
      <c r="E3436" t="s">
        <v>199</v>
      </c>
      <c r="F3436" t="s">
        <v>37</v>
      </c>
    </row>
    <row r="3437" spans="1:6" outlineLevel="3" x14ac:dyDescent="0.25">
      <c r="A3437" s="4" t="s">
        <v>448</v>
      </c>
      <c r="B3437" t="s">
        <v>422</v>
      </c>
      <c r="C3437" t="s">
        <v>2084</v>
      </c>
      <c r="D3437" t="s">
        <v>46</v>
      </c>
      <c r="E3437" t="s">
        <v>134</v>
      </c>
      <c r="F3437" t="s">
        <v>37</v>
      </c>
    </row>
    <row r="3438" spans="1:6" outlineLevel="3" x14ac:dyDescent="0.25">
      <c r="A3438" s="4" t="s">
        <v>448</v>
      </c>
      <c r="B3438" t="s">
        <v>422</v>
      </c>
      <c r="C3438" t="s">
        <v>2080</v>
      </c>
      <c r="D3438" t="s">
        <v>153</v>
      </c>
      <c r="E3438" t="s">
        <v>91</v>
      </c>
      <c r="F3438" t="s">
        <v>37</v>
      </c>
    </row>
    <row r="3439" spans="1:6" outlineLevel="3" x14ac:dyDescent="0.25">
      <c r="A3439" s="4" t="s">
        <v>448</v>
      </c>
      <c r="B3439" t="s">
        <v>422</v>
      </c>
      <c r="C3439" t="s">
        <v>2081</v>
      </c>
      <c r="D3439" t="s">
        <v>444</v>
      </c>
      <c r="E3439" t="s">
        <v>158</v>
      </c>
      <c r="F3439" t="s">
        <v>37</v>
      </c>
    </row>
    <row r="3440" spans="1:6" outlineLevel="3" x14ac:dyDescent="0.25">
      <c r="A3440" s="4" t="s">
        <v>448</v>
      </c>
      <c r="B3440" t="s">
        <v>422</v>
      </c>
      <c r="C3440" t="s">
        <v>2078</v>
      </c>
      <c r="D3440" t="s">
        <v>153</v>
      </c>
      <c r="E3440" t="s">
        <v>1046</v>
      </c>
      <c r="F3440" t="s">
        <v>37</v>
      </c>
    </row>
    <row r="3441" spans="1:6" outlineLevel="3" x14ac:dyDescent="0.25">
      <c r="A3441" s="4" t="s">
        <v>448</v>
      </c>
      <c r="B3441" t="s">
        <v>422</v>
      </c>
      <c r="C3441" t="s">
        <v>2087</v>
      </c>
      <c r="D3441" t="s">
        <v>1</v>
      </c>
      <c r="E3441" t="s">
        <v>177</v>
      </c>
      <c r="F3441" t="s">
        <v>37</v>
      </c>
    </row>
    <row r="3442" spans="1:6" outlineLevel="3" x14ac:dyDescent="0.25">
      <c r="A3442" s="4" t="s">
        <v>448</v>
      </c>
      <c r="B3442" t="s">
        <v>422</v>
      </c>
      <c r="C3442" t="s">
        <v>2082</v>
      </c>
      <c r="D3442" t="s">
        <v>1268</v>
      </c>
      <c r="E3442" t="s">
        <v>159</v>
      </c>
      <c r="F3442" t="s">
        <v>37</v>
      </c>
    </row>
    <row r="3443" spans="1:6" outlineLevel="3" x14ac:dyDescent="0.25">
      <c r="A3443" s="4" t="s">
        <v>448</v>
      </c>
      <c r="B3443" t="s">
        <v>422</v>
      </c>
      <c r="C3443" t="s">
        <v>2089</v>
      </c>
      <c r="D3443" t="s">
        <v>1184</v>
      </c>
      <c r="E3443" t="s">
        <v>220</v>
      </c>
      <c r="F3443" t="s">
        <v>37</v>
      </c>
    </row>
    <row r="3444" spans="1:6" outlineLevel="3" x14ac:dyDescent="0.25">
      <c r="A3444" s="4" t="s">
        <v>448</v>
      </c>
      <c r="B3444" t="s">
        <v>422</v>
      </c>
      <c r="C3444" t="s">
        <v>2083</v>
      </c>
      <c r="D3444" t="s">
        <v>1183</v>
      </c>
      <c r="E3444" t="s">
        <v>235</v>
      </c>
      <c r="F3444" t="s">
        <v>37</v>
      </c>
    </row>
    <row r="3445" spans="1:6" outlineLevel="3" x14ac:dyDescent="0.25">
      <c r="A3445" s="4" t="s">
        <v>448</v>
      </c>
      <c r="B3445" t="s">
        <v>422</v>
      </c>
      <c r="C3445" t="s">
        <v>2085</v>
      </c>
      <c r="D3445" t="s">
        <v>1184</v>
      </c>
      <c r="E3445" t="s">
        <v>315</v>
      </c>
      <c r="F3445" t="s">
        <v>37</v>
      </c>
    </row>
    <row r="3446" spans="1:6" outlineLevel="3" x14ac:dyDescent="0.25">
      <c r="A3446" s="4" t="s">
        <v>448</v>
      </c>
      <c r="B3446" t="s">
        <v>422</v>
      </c>
      <c r="C3446" t="s">
        <v>2070</v>
      </c>
      <c r="D3446" t="s">
        <v>1180</v>
      </c>
      <c r="E3446" t="s">
        <v>81</v>
      </c>
      <c r="F3446" t="s">
        <v>37</v>
      </c>
    </row>
    <row r="3447" spans="1:6" outlineLevel="3" x14ac:dyDescent="0.25">
      <c r="A3447" s="4" t="s">
        <v>448</v>
      </c>
      <c r="B3447" t="s">
        <v>422</v>
      </c>
      <c r="C3447" t="s">
        <v>1673</v>
      </c>
      <c r="D3447" t="s">
        <v>1672</v>
      </c>
      <c r="E3447" t="s">
        <v>223</v>
      </c>
      <c r="F3447" t="s">
        <v>37</v>
      </c>
    </row>
    <row r="3448" spans="1:6" outlineLevel="3" x14ac:dyDescent="0.25">
      <c r="A3448" s="4" t="s">
        <v>448</v>
      </c>
      <c r="B3448" t="s">
        <v>422</v>
      </c>
      <c r="C3448" t="s">
        <v>2076</v>
      </c>
      <c r="D3448" t="s">
        <v>369</v>
      </c>
      <c r="E3448" t="s">
        <v>233</v>
      </c>
      <c r="F3448" t="s">
        <v>37</v>
      </c>
    </row>
    <row r="3449" spans="1:6" outlineLevel="3" x14ac:dyDescent="0.25">
      <c r="A3449" s="4" t="s">
        <v>448</v>
      </c>
      <c r="B3449" t="s">
        <v>422</v>
      </c>
      <c r="C3449" t="s">
        <v>2074</v>
      </c>
      <c r="D3449" t="s">
        <v>46</v>
      </c>
      <c r="E3449" t="s">
        <v>294</v>
      </c>
      <c r="F3449" t="s">
        <v>37</v>
      </c>
    </row>
    <row r="3450" spans="1:6" outlineLevel="3" x14ac:dyDescent="0.25">
      <c r="A3450" s="4" t="s">
        <v>448</v>
      </c>
      <c r="B3450" t="s">
        <v>422</v>
      </c>
      <c r="C3450" t="s">
        <v>2079</v>
      </c>
      <c r="D3450" t="s">
        <v>1182</v>
      </c>
      <c r="E3450" t="s">
        <v>138</v>
      </c>
      <c r="F3450" t="s">
        <v>37</v>
      </c>
    </row>
    <row r="3451" spans="1:6" outlineLevel="3" x14ac:dyDescent="0.25">
      <c r="A3451" s="4" t="s">
        <v>448</v>
      </c>
      <c r="B3451" t="s">
        <v>422</v>
      </c>
      <c r="C3451" t="s">
        <v>2090</v>
      </c>
      <c r="D3451" t="s">
        <v>444</v>
      </c>
      <c r="E3451" t="s">
        <v>198</v>
      </c>
      <c r="F3451" t="s">
        <v>37</v>
      </c>
    </row>
    <row r="3452" spans="1:6" outlineLevel="3" x14ac:dyDescent="0.25">
      <c r="A3452" s="4" t="s">
        <v>448</v>
      </c>
      <c r="B3452" t="s">
        <v>422</v>
      </c>
      <c r="C3452" t="s">
        <v>2091</v>
      </c>
      <c r="D3452" t="s">
        <v>46</v>
      </c>
      <c r="E3452" t="s">
        <v>83</v>
      </c>
      <c r="F3452" t="s">
        <v>37</v>
      </c>
    </row>
    <row r="3453" spans="1:6" outlineLevel="3" x14ac:dyDescent="0.25">
      <c r="A3453" s="4" t="s">
        <v>448</v>
      </c>
      <c r="B3453" t="s">
        <v>422</v>
      </c>
      <c r="C3453" t="s">
        <v>2088</v>
      </c>
      <c r="D3453" t="s">
        <v>46</v>
      </c>
      <c r="E3453" t="s">
        <v>1038</v>
      </c>
      <c r="F3453" t="s">
        <v>37</v>
      </c>
    </row>
    <row r="3454" spans="1:6" outlineLevel="3" x14ac:dyDescent="0.25">
      <c r="A3454" s="4" t="s">
        <v>448</v>
      </c>
      <c r="B3454" t="s">
        <v>422</v>
      </c>
      <c r="C3454" t="s">
        <v>2071</v>
      </c>
      <c r="D3454" t="s">
        <v>444</v>
      </c>
      <c r="E3454" t="s">
        <v>130</v>
      </c>
      <c r="F3454" t="s">
        <v>37</v>
      </c>
    </row>
    <row r="3455" spans="1:6" outlineLevel="2" x14ac:dyDescent="0.25">
      <c r="A3455" s="38" t="s">
        <v>1054</v>
      </c>
      <c r="F3455">
        <f>SUBTOTAL(3,F3433:F3454)</f>
        <v>22</v>
      </c>
    </row>
    <row r="3456" spans="1:6" outlineLevel="1" x14ac:dyDescent="0.25">
      <c r="E3456" s="37" t="s">
        <v>1020</v>
      </c>
      <c r="F3456">
        <f>SUBTOTAL(3,F3431:F3454)</f>
        <v>23</v>
      </c>
    </row>
    <row r="3457" spans="1:6" outlineLevel="3" x14ac:dyDescent="0.25">
      <c r="A3457" s="4" t="s">
        <v>448</v>
      </c>
      <c r="B3457" t="s">
        <v>422</v>
      </c>
      <c r="C3457" t="s">
        <v>1469</v>
      </c>
      <c r="D3457" t="s">
        <v>46</v>
      </c>
      <c r="E3457" t="s">
        <v>936</v>
      </c>
      <c r="F3457" t="s">
        <v>950</v>
      </c>
    </row>
    <row r="3458" spans="1:6" outlineLevel="2" x14ac:dyDescent="0.25">
      <c r="A3458" s="38" t="s">
        <v>1054</v>
      </c>
      <c r="F3458">
        <f>SUBTOTAL(3,F3457:F3457)</f>
        <v>1</v>
      </c>
    </row>
    <row r="3459" spans="1:6" outlineLevel="1" x14ac:dyDescent="0.25">
      <c r="E3459" s="37" t="s">
        <v>1021</v>
      </c>
      <c r="F3459">
        <f>SUBTOTAL(3,F3457:F3457)</f>
        <v>1</v>
      </c>
    </row>
    <row r="3460" spans="1:6" outlineLevel="3" x14ac:dyDescent="0.25">
      <c r="A3460" s="4" t="s">
        <v>448</v>
      </c>
      <c r="B3460" t="s">
        <v>422</v>
      </c>
      <c r="C3460" t="s">
        <v>1439</v>
      </c>
      <c r="D3460" t="s">
        <v>1749</v>
      </c>
      <c r="E3460" t="s">
        <v>519</v>
      </c>
      <c r="F3460" t="s">
        <v>12</v>
      </c>
    </row>
    <row r="3461" spans="1:6" outlineLevel="2" x14ac:dyDescent="0.25">
      <c r="A3461" s="38" t="s">
        <v>1054</v>
      </c>
      <c r="F3461">
        <f>SUBTOTAL(3,F3460:F3460)</f>
        <v>1</v>
      </c>
    </row>
    <row r="3462" spans="1:6" outlineLevel="1" x14ac:dyDescent="0.25">
      <c r="E3462" s="37" t="s">
        <v>1022</v>
      </c>
      <c r="F3462">
        <f>SUBTOTAL(3,F3460:F3460)</f>
        <v>1</v>
      </c>
    </row>
    <row r="3463" spans="1:6" outlineLevel="3" x14ac:dyDescent="0.25">
      <c r="A3463" s="4" t="s">
        <v>448</v>
      </c>
      <c r="B3463" t="s">
        <v>422</v>
      </c>
      <c r="C3463" t="s">
        <v>2069</v>
      </c>
      <c r="D3463" t="s">
        <v>46</v>
      </c>
      <c r="E3463" t="s">
        <v>1017</v>
      </c>
      <c r="F3463" t="s">
        <v>34</v>
      </c>
    </row>
    <row r="3464" spans="1:6" outlineLevel="2" x14ac:dyDescent="0.25">
      <c r="A3464" s="38" t="s">
        <v>1054</v>
      </c>
      <c r="F3464">
        <f>SUBTOTAL(3,F3463:F3463)</f>
        <v>1</v>
      </c>
    </row>
    <row r="3465" spans="1:6" outlineLevel="1" x14ac:dyDescent="0.25">
      <c r="E3465" s="37" t="s">
        <v>1025</v>
      </c>
      <c r="F3465">
        <f>SUBTOTAL(3,F3463:F3463)</f>
        <v>1</v>
      </c>
    </row>
    <row r="3466" spans="1:6" outlineLevel="3" x14ac:dyDescent="0.25">
      <c r="A3466" s="4" t="s">
        <v>448</v>
      </c>
      <c r="B3466" t="s">
        <v>422</v>
      </c>
      <c r="C3466" t="s">
        <v>1383</v>
      </c>
      <c r="D3466" t="s">
        <v>46</v>
      </c>
      <c r="E3466" t="s">
        <v>1190</v>
      </c>
      <c r="F3466" t="s">
        <v>15</v>
      </c>
    </row>
    <row r="3467" spans="1:6" outlineLevel="3" x14ac:dyDescent="0.25">
      <c r="A3467" s="4" t="s">
        <v>448</v>
      </c>
      <c r="B3467" t="s">
        <v>422</v>
      </c>
      <c r="C3467" t="s">
        <v>1382</v>
      </c>
      <c r="D3467" t="s">
        <v>78</v>
      </c>
      <c r="E3467" t="s">
        <v>522</v>
      </c>
      <c r="F3467" t="s">
        <v>15</v>
      </c>
    </row>
    <row r="3468" spans="1:6" outlineLevel="2" x14ac:dyDescent="0.25">
      <c r="A3468" s="38" t="s">
        <v>1054</v>
      </c>
      <c r="F3468">
        <f>SUBTOTAL(3,F3466:F3467)</f>
        <v>2</v>
      </c>
    </row>
    <row r="3469" spans="1:6" outlineLevel="3" x14ac:dyDescent="0.25">
      <c r="A3469" s="4" t="s">
        <v>419</v>
      </c>
      <c r="B3469" t="s">
        <v>449</v>
      </c>
      <c r="C3469" t="s">
        <v>1438</v>
      </c>
      <c r="D3469" t="s">
        <v>1260</v>
      </c>
      <c r="E3469" t="s">
        <v>420</v>
      </c>
      <c r="F3469" t="s">
        <v>15</v>
      </c>
    </row>
    <row r="3470" spans="1:6" outlineLevel="2" x14ac:dyDescent="0.25">
      <c r="A3470" s="38" t="s">
        <v>1045</v>
      </c>
      <c r="F3470">
        <f>SUBTOTAL(3,F3469:F3469)</f>
        <v>1</v>
      </c>
    </row>
    <row r="3471" spans="1:6" outlineLevel="1" x14ac:dyDescent="0.25">
      <c r="E3471" s="37" t="s">
        <v>1023</v>
      </c>
      <c r="F3471">
        <f>SUBTOTAL(3,F3466:F3469)</f>
        <v>3</v>
      </c>
    </row>
    <row r="3472" spans="1:6" x14ac:dyDescent="0.25">
      <c r="E3472" s="37" t="s">
        <v>1028</v>
      </c>
      <c r="F3472">
        <f>SUBTOTAL(3,F2:F3469)</f>
        <v>3403</v>
      </c>
    </row>
  </sheetData>
  <sortState xmlns:xlrd2="http://schemas.microsoft.com/office/spreadsheetml/2017/richdata2" ref="A1:F3472">
    <sortCondition ref="A1:A3472"/>
    <sortCondition ref="F1:F3472"/>
    <sortCondition ref="E1:E3472"/>
  </sortState>
  <dataConsolidate link="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FD2931"/>
  <sheetViews>
    <sheetView topLeftCell="A73" zoomScaleNormal="100" workbookViewId="0"/>
  </sheetViews>
  <sheetFormatPr defaultRowHeight="15" x14ac:dyDescent="0.25"/>
  <cols>
    <col min="1" max="1" width="13.85546875" bestFit="1" customWidth="1"/>
    <col min="2" max="2" width="8.140625" bestFit="1" customWidth="1"/>
    <col min="3" max="3" width="11.42578125" bestFit="1" customWidth="1"/>
    <col min="4" max="4" width="7.28515625" bestFit="1" customWidth="1"/>
    <col min="5" max="5" width="26.28515625" bestFit="1" customWidth="1"/>
    <col min="6" max="6" width="4" bestFit="1" customWidth="1"/>
    <col min="7" max="7" width="7" bestFit="1" customWidth="1"/>
    <col min="8" max="8" width="26.5703125" bestFit="1" customWidth="1"/>
    <col min="9" max="9" width="7" bestFit="1" customWidth="1"/>
    <col min="11" max="11" width="14.85546875" bestFit="1" customWidth="1"/>
    <col min="12" max="12" width="8.42578125" bestFit="1" customWidth="1"/>
    <col min="13" max="13" width="11.42578125" bestFit="1" customWidth="1"/>
    <col min="14" max="14" width="7" bestFit="1" customWidth="1"/>
    <col min="15" max="15" width="26" bestFit="1" customWidth="1"/>
    <col min="16" max="16" width="5.5703125" bestFit="1" customWidth="1"/>
    <col min="17" max="17" width="7" bestFit="1" customWidth="1"/>
    <col min="18" max="18" width="28.140625" bestFit="1" customWidth="1"/>
    <col min="21" max="21" width="9.28515625" bestFit="1" customWidth="1"/>
    <col min="22" max="22" width="7.5703125" bestFit="1" customWidth="1"/>
    <col min="23" max="23" width="11.28515625" bestFit="1" customWidth="1"/>
    <col min="24" max="24" width="7" bestFit="1" customWidth="1"/>
    <col min="25" max="25" width="18.42578125" bestFit="1" customWidth="1"/>
    <col min="26" max="26" width="4.28515625" customWidth="1"/>
    <col min="27" max="27" width="5" bestFit="1" customWidth="1"/>
    <col min="28" max="28" width="18.42578125" bestFit="1" customWidth="1"/>
    <col min="29" max="29" width="5" bestFit="1" customWidth="1"/>
    <col min="31" max="31" width="18.42578125" bestFit="1" customWidth="1"/>
    <col min="32" max="32" width="6.28515625" bestFit="1" customWidth="1"/>
    <col min="33" max="33" width="10.28515625" bestFit="1" customWidth="1"/>
    <col min="34" max="34" width="5.140625" bestFit="1" customWidth="1"/>
    <col min="35" max="35" width="18.42578125" bestFit="1" customWidth="1"/>
    <col min="36" max="36" width="4.42578125" bestFit="1" customWidth="1"/>
    <col min="38" max="38" width="18.42578125" bestFit="1" customWidth="1"/>
    <col min="39" max="39" width="5" customWidth="1"/>
    <col min="42" max="42" width="15.28515625" bestFit="1" customWidth="1"/>
    <col min="43" max="43" width="6.28515625" bestFit="1" customWidth="1"/>
    <col min="44" max="44" width="10.42578125" bestFit="1" customWidth="1"/>
    <col min="45" max="45" width="6.140625" bestFit="1" customWidth="1"/>
    <col min="46" max="46" width="26" bestFit="1" customWidth="1"/>
    <col min="47" max="47" width="4.42578125" bestFit="1" customWidth="1"/>
    <col min="49" max="49" width="26" bestFit="1" customWidth="1"/>
    <col min="50" max="50" width="6.42578125" customWidth="1"/>
  </cols>
  <sheetData>
    <row r="1" spans="1:49" x14ac:dyDescent="0.25">
      <c r="A1" t="s">
        <v>789</v>
      </c>
      <c r="B1" t="str">
        <f ca="1">"'.map data'!"&amp;VLOOKUP(A1&amp;"_start",$A$29:$B$2635,2,FALSE)&amp;":"&amp;VLOOKUP(A1&amp;"_end",$A$29:$B$2635,2,FALSE)</f>
        <v>'.map data'!$H$31:$I$174</v>
      </c>
      <c r="D1" s="5"/>
      <c r="E1" s="33" t="s">
        <v>538</v>
      </c>
      <c r="F1" t="str">
        <f>VLOOKUP(E1,Overall!$C$10:$D$20,2,FALSE)</f>
        <v>[1]</v>
      </c>
      <c r="H1" t="s">
        <v>815</v>
      </c>
    </row>
    <row r="2" spans="1:49" x14ac:dyDescent="0.25">
      <c r="A2" t="s">
        <v>794</v>
      </c>
      <c r="B2" t="str">
        <f ca="1">"'.map data'!"&amp;VLOOKUP(A2&amp;"_start",$A$29:$B$2635,2,FALSE)&amp;":"&amp;VLOOKUP(A2&amp;"_end",$A$29:$B$2635,2,FALSE)</f>
        <v>'.map data'!$H$179:$I$447</v>
      </c>
      <c r="E2" s="33" t="s">
        <v>539</v>
      </c>
      <c r="F2" t="str">
        <f>VLOOKUP(E2,Overall!$C$10:$D$20,2,FALSE)</f>
        <v>[4]</v>
      </c>
      <c r="H2" t="s">
        <v>815</v>
      </c>
    </row>
    <row r="3" spans="1:49" x14ac:dyDescent="0.25">
      <c r="A3" t="s">
        <v>802</v>
      </c>
      <c r="B3" t="str">
        <f ca="1">"'.map data'!"&amp;VLOOKUP(A3&amp;"_start",$A$29:$B$2635,2,FALSE)&amp;":"&amp;VLOOKUP(A3&amp;"_end",$A$29:$B$2635,2,FALSE)</f>
        <v>'.map data'!$H$451:$I$452</v>
      </c>
      <c r="E3" s="33" t="s">
        <v>802</v>
      </c>
      <c r="F3" t="str">
        <f>VLOOKUP(E3,Overall!$C$10:$D$20,2,FALSE)</f>
        <v>[3]</v>
      </c>
      <c r="H3" t="s">
        <v>815</v>
      </c>
    </row>
    <row r="4" spans="1:49" x14ac:dyDescent="0.25">
      <c r="A4" t="s">
        <v>791</v>
      </c>
      <c r="B4" t="str">
        <f ca="1">"'.map data'!"&amp;VLOOKUP(A4&amp;"_start",$K$29:$L$2987,2,FALSE)&amp;":"&amp;VLOOKUP(A4&amp;"_end",$K$29:$L$2987,2,FALSE)</f>
        <v>'.map data'!$R$31:$S$2861</v>
      </c>
      <c r="E4" s="33" t="s">
        <v>538</v>
      </c>
      <c r="F4" t="str">
        <f>VLOOKUP(E4,Overall!$C$10:$D$20,2,FALSE)</f>
        <v>[1]</v>
      </c>
      <c r="R4" t="s">
        <v>815</v>
      </c>
    </row>
    <row r="5" spans="1:49" x14ac:dyDescent="0.25">
      <c r="A5" t="s">
        <v>795</v>
      </c>
      <c r="B5" t="str">
        <f ca="1">"'.map data'!"&amp;VLOOKUP(A5&amp;"_start",$K$29:$L$2987,2,FALSE)&amp;":"&amp;VLOOKUP(A5&amp;"_end",$K$29:$L$2987,2,FALSE)</f>
        <v>'.map data'!$R$2866:$S$2925</v>
      </c>
      <c r="E5" s="33" t="s">
        <v>539</v>
      </c>
      <c r="F5" t="str">
        <f>VLOOKUP(E5,Overall!$C$10:$D$20,2,FALSE)</f>
        <v>[4]</v>
      </c>
      <c r="R5" t="s">
        <v>815</v>
      </c>
    </row>
    <row r="6" spans="1:49" x14ac:dyDescent="0.25">
      <c r="A6" t="s">
        <v>802</v>
      </c>
      <c r="B6" t="str">
        <f ca="1">"'.map data'!"&amp;VLOOKUP(A6&amp;"_start",$K$29:$L$2987,2,FALSE)&amp;":"&amp;VLOOKUP(A6&amp;"_end",$K$29:$L$2987,2,FALSE)</f>
        <v>'.map data'!$R$2930:$S$2931</v>
      </c>
      <c r="E6" s="33" t="s">
        <v>802</v>
      </c>
      <c r="F6" t="str">
        <f>VLOOKUP(E6,Overall!$C$10:$D$20,2,FALSE)</f>
        <v>[3]</v>
      </c>
      <c r="R6" t="s">
        <v>815</v>
      </c>
    </row>
    <row r="7" spans="1:49" x14ac:dyDescent="0.25">
      <c r="A7" t="s">
        <v>793</v>
      </c>
      <c r="B7" t="str">
        <f ca="1">"'.map data'!"&amp;VLOOKUP(A7&amp;"_start",$U$29:$V$2614,2,FALSE)&amp;":"&amp;VLOOKUP(A7&amp;"_end",$U$29:$V$2614,2,FALSE)</f>
        <v>'.map data'!$AB$31:$AC$95</v>
      </c>
      <c r="E7" s="33" t="s">
        <v>538</v>
      </c>
      <c r="F7" t="str">
        <f>VLOOKUP(E7,Overall!$C$10:$D$20,2,FALSE)</f>
        <v>[1]</v>
      </c>
      <c r="AB7" t="s">
        <v>815</v>
      </c>
    </row>
    <row r="8" spans="1:49" x14ac:dyDescent="0.25">
      <c r="A8" t="s">
        <v>774</v>
      </c>
      <c r="B8" t="str">
        <f ca="1">"'.map data'!"&amp;VLOOKUP(A8&amp;"_start",$U$29:$V$2614,2,FALSE)&amp;":"&amp;VLOOKUP(A8&amp;"_end",$U$29:$V$2614,2,FALSE)</f>
        <v>'.map data'!$AB$100:$AC$101</v>
      </c>
      <c r="E8" s="33" t="s">
        <v>538</v>
      </c>
      <c r="F8" t="str">
        <f>VLOOKUP(E8,Overall!$C$10:$D$20,2,FALSE)</f>
        <v>[1]</v>
      </c>
      <c r="I8" t="s">
        <v>840</v>
      </c>
      <c r="AB8" t="s">
        <v>815</v>
      </c>
    </row>
    <row r="9" spans="1:49" x14ac:dyDescent="0.25">
      <c r="A9" t="s">
        <v>792</v>
      </c>
      <c r="B9" t="str">
        <f ca="1">"'.map data'!"&amp;VLOOKUP(A9&amp;"_start",$U$29:$V$2614,2,FALSE)&amp;":"&amp;VLOOKUP(A9&amp;"_end",$U$29:$V$2614,2,FALSE)</f>
        <v>'.map data'!$AB$106:$AC$145</v>
      </c>
      <c r="E9" s="33" t="s">
        <v>539</v>
      </c>
      <c r="F9" t="str">
        <f>VLOOKUP(E9,Overall!$C$10:$D$20,2,FALSE)</f>
        <v>[4]</v>
      </c>
      <c r="AB9" t="s">
        <v>815</v>
      </c>
    </row>
    <row r="10" spans="1:49" x14ac:dyDescent="0.25">
      <c r="A10" t="s">
        <v>802</v>
      </c>
      <c r="B10" t="str">
        <f ca="1">"'.map data'!"&amp;VLOOKUP(A10&amp;"_start",$U$29:$V$2614,2,FALSE)&amp;":"&amp;VLOOKUP(A10&amp;"_end",$U$29:$V$2614,2,FALSE)</f>
        <v>'.map data'!$AB$150:$AC$151</v>
      </c>
      <c r="E10" s="33" t="s">
        <v>802</v>
      </c>
      <c r="F10" t="str">
        <f>VLOOKUP(E10,Overall!$C$10:$D$20,2,FALSE)</f>
        <v>[3]</v>
      </c>
      <c r="AB10" t="s">
        <v>815</v>
      </c>
    </row>
    <row r="11" spans="1:49" x14ac:dyDescent="0.25">
      <c r="A11" t="s">
        <v>849</v>
      </c>
      <c r="B11" t="str">
        <f ca="1">"'.map data'!"&amp;VLOOKUP(A11&amp;"_start",$U$29:$V$2614,2,FALSE)&amp;":"&amp;VLOOKUP(A11&amp;"_end",$U$29:$V$2614,2,FALSE)</f>
        <v>'.map data'!$AB$156:$AC$157</v>
      </c>
      <c r="E11" s="33" t="s">
        <v>849</v>
      </c>
      <c r="F11" t="str">
        <f>VLOOKUP(E11,Overall!$C$10:$D$20,2,FALSE)</f>
        <v>[xx]</v>
      </c>
      <c r="AB11" t="s">
        <v>815</v>
      </c>
    </row>
    <row r="12" spans="1:49" x14ac:dyDescent="0.25">
      <c r="A12" t="s">
        <v>790</v>
      </c>
      <c r="B12" t="str">
        <f ca="1">"'.map data'!"&amp;VLOOKUP(A12&amp;"_start",$AE$29:$AF$2614,2,FALSE)&amp;":"&amp;VLOOKUP(A12&amp;"_end",$AE$29:$AF$2614,2,FALSE)</f>
        <v>'.map data'!$AL$31:$AM$122</v>
      </c>
      <c r="E12" s="33" t="s">
        <v>538</v>
      </c>
      <c r="F12" t="str">
        <f>VLOOKUP(E12,Overall!$C$10:$D$20,2,FALSE)</f>
        <v>[1]</v>
      </c>
      <c r="AL12" t="s">
        <v>815</v>
      </c>
    </row>
    <row r="13" spans="1:49" x14ac:dyDescent="0.25">
      <c r="A13" t="s">
        <v>775</v>
      </c>
      <c r="B13" t="str">
        <f ca="1">"'.map data'!"&amp;VLOOKUP(A13&amp;"_start",$AE$29:$AF$2614,2,FALSE)&amp;":"&amp;VLOOKUP(A13&amp;"_end",$AE$29:$AF$2614,2,FALSE)</f>
        <v>'.map data'!$AL$127:$AM$128</v>
      </c>
      <c r="E13" s="33" t="s">
        <v>538</v>
      </c>
      <c r="F13" t="str">
        <f>VLOOKUP(E13,Overall!$C$10:$D$20,2,FALSE)</f>
        <v>[1]</v>
      </c>
      <c r="I13" t="s">
        <v>841</v>
      </c>
      <c r="AL13" t="s">
        <v>815</v>
      </c>
    </row>
    <row r="14" spans="1:49" x14ac:dyDescent="0.25">
      <c r="A14" t="s">
        <v>796</v>
      </c>
      <c r="B14" t="str">
        <f ca="1">"'.map data'!"&amp;VLOOKUP(A14&amp;"_start",$AE$29:$AF$2614,2,FALSE)&amp;":"&amp;VLOOKUP(A14&amp;"_end",$AE$29:$AF$2614,2,FALSE)</f>
        <v>'.map data'!$AL$133:$AM$185</v>
      </c>
      <c r="E14" s="33" t="s">
        <v>539</v>
      </c>
      <c r="F14" t="str">
        <f>VLOOKUP(E14,Overall!$C$10:$D$20,2,FALSE)</f>
        <v>[4]</v>
      </c>
      <c r="AL14" t="s">
        <v>815</v>
      </c>
    </row>
    <row r="15" spans="1:49" x14ac:dyDescent="0.25">
      <c r="A15" t="s">
        <v>802</v>
      </c>
      <c r="B15" t="str">
        <f ca="1">"'.map data'!"&amp;VLOOKUP(A15&amp;"_start",$AE$29:$AF$2614,2,FALSE)&amp;":"&amp;VLOOKUP(A15&amp;"_end",$AE$29:$AF$2614,2,FALSE)</f>
        <v>'.map data'!$AL$190:$AM$191</v>
      </c>
      <c r="E15" s="33" t="s">
        <v>802</v>
      </c>
      <c r="F15" t="str">
        <f>VLOOKUP(E15,Overall!$C$10:$D$20,2,FALSE)</f>
        <v>[3]</v>
      </c>
      <c r="AL15" t="s">
        <v>815</v>
      </c>
    </row>
    <row r="16" spans="1:49" x14ac:dyDescent="0.25">
      <c r="A16" t="s">
        <v>797</v>
      </c>
      <c r="B16" t="str">
        <f ca="1">"'.map data'!"&amp;VLOOKUP(A16&amp;"_start",$AP$29:$AQ$2731,2,FALSE)&amp;":"&amp;VLOOKUP(A16&amp;"_end",$AP$29:$AQ$2731,2,FALSE)</f>
        <v>'.map data'!$AW$31:$AX$652</v>
      </c>
      <c r="E16" s="33" t="s">
        <v>538</v>
      </c>
      <c r="F16" t="str">
        <f>VLOOKUP(E16,Overall!$C$10:$D$20,2,FALSE)</f>
        <v>[1]</v>
      </c>
      <c r="AW16" t="s">
        <v>815</v>
      </c>
    </row>
    <row r="17" spans="1:50" x14ac:dyDescent="0.25">
      <c r="A17" t="s">
        <v>839</v>
      </c>
      <c r="B17" t="str">
        <f ca="1">"'.map data'!"&amp;VLOOKUP(A17&amp;"_start",$AP$29:$AQ$2731,2,FALSE)&amp;":"&amp;VLOOKUP(A17&amp;"_end",$AP$29:$AQ$2731,2,FALSE)</f>
        <v>'.map data'!$AW$657:$AX$658</v>
      </c>
      <c r="E17" s="33" t="s">
        <v>539</v>
      </c>
      <c r="F17" t="str">
        <f>VLOOKUP(E17,Overall!$C$10:$D$20,2,FALSE)</f>
        <v>[4]</v>
      </c>
      <c r="I17" t="s">
        <v>842</v>
      </c>
      <c r="AW17" t="s">
        <v>815</v>
      </c>
    </row>
    <row r="18" spans="1:50" x14ac:dyDescent="0.25">
      <c r="A18" t="s">
        <v>798</v>
      </c>
      <c r="B18" t="str">
        <f ca="1">"'.map data'!"&amp;VLOOKUP(A18&amp;"_start",$AP$29:$AQ$2731,2,FALSE)&amp;":"&amp;VLOOKUP(A18&amp;"_end",$AP$29:$AQ$2731,2,FALSE)</f>
        <v>'.map data'!$AW$663:$AX$709</v>
      </c>
      <c r="E18" s="33" t="s">
        <v>539</v>
      </c>
      <c r="F18" t="str">
        <f>VLOOKUP(E18,Overall!$C$10:$D$20,2,FALSE)</f>
        <v>[4]</v>
      </c>
      <c r="AW18" t="s">
        <v>815</v>
      </c>
    </row>
    <row r="19" spans="1:50" x14ac:dyDescent="0.25">
      <c r="A19" t="s">
        <v>802</v>
      </c>
      <c r="B19" t="str">
        <f ca="1">"'.map data'!"&amp;VLOOKUP(A19&amp;"_start",$AP$29:$AQ$2731,2,FALSE)&amp;":"&amp;VLOOKUP(A19&amp;"_end",$AP$29:$AQ$2731,2,FALSE)</f>
        <v>'.map data'!$AW$714:$AX$715</v>
      </c>
      <c r="E19" s="33" t="s">
        <v>802</v>
      </c>
      <c r="F19" t="str">
        <f>VLOOKUP(E19,Overall!$C$10:$D$20,2,FALSE)</f>
        <v>[3]</v>
      </c>
      <c r="AW19" t="s">
        <v>815</v>
      </c>
    </row>
    <row r="20" spans="1:50" x14ac:dyDescent="0.25">
      <c r="A20" s="33" t="s">
        <v>948</v>
      </c>
      <c r="B20" t="s">
        <v>794</v>
      </c>
      <c r="E20" s="33" t="s">
        <v>947</v>
      </c>
      <c r="F20" t="str">
        <f>VLOOKUP(E20,Overall!$C$10:$D$20,2,FALSE)</f>
        <v>[2]</v>
      </c>
    </row>
    <row r="21" spans="1:50" x14ac:dyDescent="0.25">
      <c r="A21" s="33" t="s">
        <v>520</v>
      </c>
      <c r="E21" s="33" t="s">
        <v>758</v>
      </c>
      <c r="F21" t="str">
        <f>VLOOKUP(E21,Overall!$C$10:$D$20,2,FALSE)</f>
        <v>[5]</v>
      </c>
    </row>
    <row r="22" spans="1:50" x14ac:dyDescent="0.25">
      <c r="A22" s="33" t="s">
        <v>521</v>
      </c>
      <c r="E22" s="33" t="s">
        <v>757</v>
      </c>
      <c r="F22" t="str">
        <f>VLOOKUP(E22,Overall!$C$10:$D$20,2,FALSE)</f>
        <v>[6]</v>
      </c>
    </row>
    <row r="23" spans="1:50" x14ac:dyDescent="0.25">
      <c r="A23" s="33" t="s">
        <v>522</v>
      </c>
      <c r="E23" s="33" t="s">
        <v>540</v>
      </c>
      <c r="F23" t="str">
        <f>VLOOKUP(E23,Overall!$C$10:$D$20,2,FALSE)</f>
        <v>[7]</v>
      </c>
    </row>
    <row r="24" spans="1:50" x14ac:dyDescent="0.25">
      <c r="A24" s="33" t="s">
        <v>523</v>
      </c>
      <c r="E24" s="33" t="s">
        <v>756</v>
      </c>
      <c r="F24" t="str">
        <f>VLOOKUP(E24,Overall!$C$10:$D$20,2,FALSE)</f>
        <v>[8]</v>
      </c>
    </row>
    <row r="25" spans="1:50" x14ac:dyDescent="0.25">
      <c r="A25" s="33" t="s">
        <v>524</v>
      </c>
      <c r="E25" s="33" t="s">
        <v>759</v>
      </c>
      <c r="F25" t="str">
        <f>VLOOKUP(E25,Overall!$C$10:$D$20,2,FALSE)</f>
        <v>[9]</v>
      </c>
    </row>
    <row r="26" spans="1:50" x14ac:dyDescent="0.25">
      <c r="A26" s="33" t="s">
        <v>781</v>
      </c>
      <c r="E26" s="33" t="s">
        <v>760</v>
      </c>
      <c r="F26" t="str">
        <f>VLOOKUP(E26,Overall!$C$10:$D$20,2,FALSE)</f>
        <v>[10]</v>
      </c>
    </row>
    <row r="28" spans="1:50" x14ac:dyDescent="0.25">
      <c r="A28" s="47" t="s">
        <v>1016</v>
      </c>
      <c r="B28" s="47"/>
      <c r="C28" s="47"/>
      <c r="D28" s="47"/>
      <c r="E28" s="47"/>
      <c r="F28" s="47"/>
      <c r="G28" s="47"/>
      <c r="H28" s="47"/>
      <c r="I28" s="47"/>
      <c r="K28" s="47" t="s">
        <v>1081</v>
      </c>
      <c r="L28" s="47"/>
      <c r="M28" s="47"/>
      <c r="N28" s="47"/>
      <c r="O28" s="47"/>
      <c r="P28" s="47"/>
      <c r="Q28" s="47"/>
      <c r="R28" s="47"/>
      <c r="S28" s="47"/>
      <c r="U28" s="47" t="s">
        <v>1082</v>
      </c>
      <c r="V28" s="47"/>
      <c r="W28" s="47"/>
      <c r="X28" s="47"/>
      <c r="Y28" s="47"/>
      <c r="Z28" s="47"/>
      <c r="AA28" s="47"/>
      <c r="AB28" s="47"/>
      <c r="AC28" s="47"/>
      <c r="AE28" s="47" t="s">
        <v>1083</v>
      </c>
      <c r="AF28" s="47"/>
      <c r="AG28" s="47"/>
      <c r="AH28" s="47"/>
      <c r="AI28" s="47"/>
      <c r="AJ28" s="47"/>
      <c r="AK28" s="47"/>
      <c r="AL28" s="47"/>
      <c r="AM28" s="47"/>
      <c r="AP28" s="47" t="s">
        <v>1084</v>
      </c>
      <c r="AQ28" s="47"/>
      <c r="AR28" s="47"/>
      <c r="AS28" s="47"/>
      <c r="AT28" s="47"/>
      <c r="AU28" s="47"/>
      <c r="AV28" s="47"/>
      <c r="AW28" s="47"/>
      <c r="AX28" s="47"/>
    </row>
    <row r="29" spans="1:50" x14ac:dyDescent="0.25">
      <c r="A29" t="s">
        <v>814</v>
      </c>
      <c r="B29" t="str">
        <f ca="1">CELL("address",H31)</f>
        <v>$H$31</v>
      </c>
      <c r="K29" t="s">
        <v>821</v>
      </c>
      <c r="L29" t="str">
        <f ca="1">CELL("address",R31)</f>
        <v>$R$31</v>
      </c>
      <c r="U29" t="s">
        <v>825</v>
      </c>
      <c r="V29" t="str">
        <f ca="1">CELL("address",AB31)</f>
        <v>$AB$31</v>
      </c>
      <c r="AE29" t="s">
        <v>824</v>
      </c>
      <c r="AF29" t="str">
        <f ca="1">CELL("address",AL31)</f>
        <v>$AL$31</v>
      </c>
      <c r="AP29" t="s">
        <v>833</v>
      </c>
      <c r="AQ29" t="str">
        <f ca="1">CELL("address",AW31)</f>
        <v>$AW$31</v>
      </c>
    </row>
    <row r="30" spans="1:50" x14ac:dyDescent="0.25">
      <c r="A30" s="47" t="s">
        <v>538</v>
      </c>
      <c r="B30" s="47"/>
      <c r="C30" s="47"/>
      <c r="D30" s="47"/>
      <c r="E30" s="47"/>
      <c r="F30" s="47"/>
      <c r="G30" s="47"/>
      <c r="H30" s="47"/>
      <c r="I30" s="47"/>
      <c r="K30" s="50" t="s">
        <v>538</v>
      </c>
      <c r="L30" s="50"/>
      <c r="M30" s="50"/>
      <c r="N30" s="50"/>
      <c r="O30" s="50"/>
      <c r="P30" s="50"/>
      <c r="Q30" s="50"/>
      <c r="R30" s="50"/>
      <c r="S30" s="50"/>
      <c r="U30" s="47" t="s">
        <v>538</v>
      </c>
      <c r="V30" s="47"/>
      <c r="W30" s="47"/>
      <c r="X30" s="47"/>
      <c r="Y30" s="47"/>
      <c r="Z30" s="47"/>
      <c r="AA30" s="47"/>
      <c r="AB30" s="47"/>
      <c r="AC30" s="47"/>
      <c r="AE30" s="47" t="s">
        <v>538</v>
      </c>
      <c r="AF30" s="47"/>
      <c r="AG30" s="47"/>
      <c r="AH30" s="47"/>
      <c r="AI30" s="47"/>
      <c r="AJ30" s="47"/>
      <c r="AK30" s="47"/>
      <c r="AL30" s="47"/>
      <c r="AM30" s="47"/>
      <c r="AP30" s="47" t="s">
        <v>538</v>
      </c>
      <c r="AQ30" s="47"/>
      <c r="AR30" s="47"/>
      <c r="AS30" s="47"/>
      <c r="AT30" s="47"/>
      <c r="AU30" s="47"/>
      <c r="AV30" s="47"/>
      <c r="AW30" s="47"/>
      <c r="AX30" s="47"/>
    </row>
    <row r="31" spans="1:50" x14ac:dyDescent="0.25">
      <c r="A31" s="4" t="s">
        <v>0</v>
      </c>
      <c r="B31" t="s">
        <v>449</v>
      </c>
      <c r="C31" t="s">
        <v>4389</v>
      </c>
      <c r="D31" t="s">
        <v>1198</v>
      </c>
      <c r="E31" t="s">
        <v>99</v>
      </c>
      <c r="F31" t="str">
        <f t="shared" ref="F31:F63" si="0">VLOOKUP($A$30,$E$1:$F$26,2,FALSE)</f>
        <v>[1]</v>
      </c>
      <c r="G31">
        <f>HEX2DEC(MID(D31,3,LEN(D31)-2))</f>
        <v>1048</v>
      </c>
      <c r="H31" t="str">
        <f>IF(E31&lt;&gt;E30,E31,"")</f>
        <v>ADC.o</v>
      </c>
      <c r="I31">
        <f>SUMIF(E31:$E$173,H31,G31:$G$173)</f>
        <v>1048</v>
      </c>
      <c r="K31" s="4" t="s">
        <v>421</v>
      </c>
      <c r="L31" t="s">
        <v>422</v>
      </c>
      <c r="M31" t="s">
        <v>2865</v>
      </c>
      <c r="N31" t="s">
        <v>126</v>
      </c>
      <c r="O31" t="s">
        <v>99</v>
      </c>
      <c r="P31" t="str">
        <f t="shared" ref="P31:P257" si="1">VLOOKUP($K$30,$E$1:$F$26,2,FALSE)</f>
        <v>[1]</v>
      </c>
      <c r="Q31">
        <f t="shared" ref="Q31:Q257" si="2">HEX2DEC(MID(N31,3,LEN(N31)-2))</f>
        <v>8</v>
      </c>
      <c r="R31" t="str">
        <f>IF(O31&lt;&gt;O30,O31,"")</f>
        <v>ADC.o</v>
      </c>
      <c r="S31">
        <f>SUMIF(O31:$O$2855,R31,Q31:$Q$2855)</f>
        <v>8</v>
      </c>
      <c r="U31" s="4" t="s">
        <v>448</v>
      </c>
      <c r="V31" t="s">
        <v>422</v>
      </c>
      <c r="W31" t="s">
        <v>2086</v>
      </c>
      <c r="X31" t="s">
        <v>46</v>
      </c>
      <c r="Y31" t="s">
        <v>82</v>
      </c>
      <c r="Z31" t="str">
        <f t="shared" ref="Z31:Z62" si="3">VLOOKUP($U$30,$E$1:$F$26,2,FALSE)</f>
        <v>[1]</v>
      </c>
      <c r="AA31">
        <f t="shared" ref="AA31:AA75" si="4">HEX2DEC(MID(X31,3,LEN(X31)-2))</f>
        <v>2</v>
      </c>
      <c r="AB31" t="str">
        <f>IF(Y31&lt;&gt;Y30,Y31,"")</f>
        <v>DBG_SerialDebug.o</v>
      </c>
      <c r="AC31">
        <f>SUMIF(Y31:$Y$94,AB31,AA31:$AA$94)</f>
        <v>2</v>
      </c>
      <c r="AE31" s="4" t="s">
        <v>470</v>
      </c>
      <c r="AF31" t="s">
        <v>476</v>
      </c>
      <c r="AG31" t="s">
        <v>1552</v>
      </c>
      <c r="AH31" t="s">
        <v>442</v>
      </c>
      <c r="AI31" t="s">
        <v>82</v>
      </c>
      <c r="AJ31" t="str">
        <f t="shared" ref="AJ31:AJ62" si="5">VLOOKUP($AE$30,$E$1:$F$26,2,FALSE)</f>
        <v>[1]</v>
      </c>
      <c r="AK31">
        <f t="shared" ref="AK31:AK75" si="6">HEX2DEC(MID(AH31,3,LEN(AH31)-2))</f>
        <v>1</v>
      </c>
      <c r="AL31" t="str">
        <f>IF(AI31&lt;&gt;AI30,AI31,"")</f>
        <v>DBG_SerialDebug.o</v>
      </c>
      <c r="AM31">
        <f>SUMIF(AI31:$AI$121,AL31,AK31:$AK$121)</f>
        <v>1</v>
      </c>
      <c r="AP31" s="4" t="s">
        <v>472</v>
      </c>
      <c r="AQ31" t="s">
        <v>479</v>
      </c>
      <c r="AR31" t="s">
        <v>4504</v>
      </c>
      <c r="AS31" t="s">
        <v>67</v>
      </c>
      <c r="AT31" t="s">
        <v>99</v>
      </c>
      <c r="AU31" t="str">
        <f t="shared" ref="AU31:AU138" si="7">VLOOKUP($AP$30,$E$1:$F$26,2,FALSE)</f>
        <v>[1]</v>
      </c>
      <c r="AV31">
        <f>HEX2DEC(MID(AS31,3,LEN(AS31)-2))</f>
        <v>48</v>
      </c>
      <c r="AW31" t="str">
        <f>IF(AT31&lt;&gt;AT30,AT31,"")</f>
        <v>ADC.o</v>
      </c>
      <c r="AX31">
        <f>SUMIF(AT31:$AT$651,AW31,AV31:$AV$651)</f>
        <v>49</v>
      </c>
    </row>
    <row r="32" spans="1:50" x14ac:dyDescent="0.25">
      <c r="A32" s="4" t="s">
        <v>0</v>
      </c>
      <c r="B32" t="s">
        <v>449</v>
      </c>
      <c r="C32" t="s">
        <v>548</v>
      </c>
      <c r="D32" t="s">
        <v>1212</v>
      </c>
      <c r="E32" t="s">
        <v>135</v>
      </c>
      <c r="F32" t="str">
        <f t="shared" si="0"/>
        <v>[1]</v>
      </c>
      <c r="G32">
        <f>HEX2DEC(MID(D32,3,LEN(D32)-2))</f>
        <v>358</v>
      </c>
      <c r="H32" t="str">
        <f t="shared" ref="H32:H95" si="8">IF(E32&lt;&gt;E31,E32,"")</f>
        <v>ALRM_Handler.o</v>
      </c>
      <c r="I32">
        <f>SUMIF(E32:$E$173,H32,G32:$G$173)</f>
        <v>358</v>
      </c>
      <c r="K32" s="4" t="s">
        <v>421</v>
      </c>
      <c r="L32" t="s">
        <v>422</v>
      </c>
      <c r="M32" t="s">
        <v>2887</v>
      </c>
      <c r="N32" t="s">
        <v>202</v>
      </c>
      <c r="O32" t="s">
        <v>135</v>
      </c>
      <c r="P32" t="str">
        <f t="shared" si="1"/>
        <v>[1]</v>
      </c>
      <c r="Q32">
        <f t="shared" ref="Q32:Q40" si="9">HEX2DEC(MID(N32,3,LEN(N32)-2))</f>
        <v>16</v>
      </c>
      <c r="R32" t="str">
        <f t="shared" ref="R32:R95" si="10">IF(O32&lt;&gt;O31,O32,"")</f>
        <v>ALRM_Handler.o</v>
      </c>
      <c r="S32">
        <f>SUMIF(O32:$O$2855,R32,Q32:$Q$2855)</f>
        <v>16</v>
      </c>
      <c r="U32" s="4" t="s">
        <v>448</v>
      </c>
      <c r="V32" t="s">
        <v>422</v>
      </c>
      <c r="W32" t="s">
        <v>2072</v>
      </c>
      <c r="X32" t="s">
        <v>46</v>
      </c>
      <c r="Y32" t="s">
        <v>228</v>
      </c>
      <c r="Z32" t="str">
        <f t="shared" si="3"/>
        <v>[1]</v>
      </c>
      <c r="AA32">
        <f t="shared" si="4"/>
        <v>2</v>
      </c>
      <c r="AB32" t="str">
        <f>IF(Y32&lt;&gt;Y31,Y32,"")</f>
        <v>dfw_app.o</v>
      </c>
      <c r="AC32">
        <f>SUMIF(Y32:$Y$94,AB32,AA32:$AA$94)</f>
        <v>2</v>
      </c>
      <c r="AE32" s="4" t="s">
        <v>470</v>
      </c>
      <c r="AF32" t="s">
        <v>476</v>
      </c>
      <c r="AG32" t="s">
        <v>1528</v>
      </c>
      <c r="AH32" t="s">
        <v>442</v>
      </c>
      <c r="AI32" t="s">
        <v>228</v>
      </c>
      <c r="AJ32" t="str">
        <f t="shared" si="5"/>
        <v>[1]</v>
      </c>
      <c r="AK32">
        <f t="shared" si="6"/>
        <v>1</v>
      </c>
      <c r="AL32" t="str">
        <f t="shared" ref="AL32:AL75" si="11">IF(AI32&lt;&gt;AI31,AI32,"")</f>
        <v>dfw_app.o</v>
      </c>
      <c r="AM32">
        <f>SUMIF(AI32:$AI$121,AL32,AK32:$AK$121)</f>
        <v>1</v>
      </c>
      <c r="AP32" s="4" t="s">
        <v>472</v>
      </c>
      <c r="AQ32" t="s">
        <v>479</v>
      </c>
      <c r="AR32" t="s">
        <v>4511</v>
      </c>
      <c r="AS32" t="s">
        <v>442</v>
      </c>
      <c r="AT32" t="s">
        <v>99</v>
      </c>
      <c r="AU32" t="str">
        <f t="shared" si="7"/>
        <v>[1]</v>
      </c>
      <c r="AV32">
        <f t="shared" ref="AV32:AV52" si="12">HEX2DEC(MID(AS32,3,LEN(AS32)-2))</f>
        <v>1</v>
      </c>
      <c r="AW32" t="str">
        <f t="shared" ref="AW32:AW95" si="13">IF(AT32&lt;&gt;AT31,AT32,"")</f>
        <v/>
      </c>
      <c r="AX32">
        <f>SUMIF(AT32:$AT$651,AW32,AV32:$AV$651)</f>
        <v>0</v>
      </c>
    </row>
    <row r="33" spans="1:50" x14ac:dyDescent="0.25">
      <c r="A33" s="4" t="s">
        <v>0</v>
      </c>
      <c r="B33" t="s">
        <v>449</v>
      </c>
      <c r="C33" t="s">
        <v>4427</v>
      </c>
      <c r="D33" t="s">
        <v>4428</v>
      </c>
      <c r="E33" t="s">
        <v>221</v>
      </c>
      <c r="F33" t="str">
        <f t="shared" si="0"/>
        <v>[1]</v>
      </c>
      <c r="G33">
        <f t="shared" ref="G33:G97" si="14">HEX2DEC(MID(D33,3,LEN(D33)-2))</f>
        <v>2488</v>
      </c>
      <c r="H33" t="str">
        <f t="shared" si="8"/>
        <v>APP_MSG_Handler.o</v>
      </c>
      <c r="I33">
        <f>SUMIF(E33:$E$173,H33,G33:$G$173)</f>
        <v>2488</v>
      </c>
      <c r="K33" s="4" t="s">
        <v>421</v>
      </c>
      <c r="L33" t="s">
        <v>422</v>
      </c>
      <c r="M33" t="s">
        <v>4103</v>
      </c>
      <c r="N33" t="s">
        <v>165</v>
      </c>
      <c r="O33" t="s">
        <v>221</v>
      </c>
      <c r="P33" t="str">
        <f t="shared" si="1"/>
        <v>[1]</v>
      </c>
      <c r="Q33">
        <f t="shared" si="9"/>
        <v>20</v>
      </c>
      <c r="R33" t="str">
        <f t="shared" si="10"/>
        <v>APP_MSG_Handler.o</v>
      </c>
      <c r="S33">
        <f>SUMIF(O33:$O$2855,R33,Q33:$Q$2855)</f>
        <v>476</v>
      </c>
      <c r="U33" s="4" t="s">
        <v>448</v>
      </c>
      <c r="V33" t="s">
        <v>422</v>
      </c>
      <c r="W33" t="s">
        <v>2077</v>
      </c>
      <c r="X33" t="s">
        <v>1181</v>
      </c>
      <c r="Y33" t="s">
        <v>137</v>
      </c>
      <c r="Z33" t="str">
        <f t="shared" si="3"/>
        <v>[1]</v>
      </c>
      <c r="AA33">
        <f t="shared" si="4"/>
        <v>45</v>
      </c>
      <c r="AB33" t="str">
        <f t="shared" ref="AB33:AB75" si="15">IF(Y33&lt;&gt;Y32,Y33,"")</f>
        <v>dtls.o</v>
      </c>
      <c r="AC33">
        <f>SUMIF(Y33:$Y$94,AB33,AA33:$AA$94)</f>
        <v>45</v>
      </c>
      <c r="AE33" s="4" t="s">
        <v>470</v>
      </c>
      <c r="AF33" t="s">
        <v>476</v>
      </c>
      <c r="AG33" t="s">
        <v>1285</v>
      </c>
      <c r="AH33" t="s">
        <v>78</v>
      </c>
      <c r="AI33" t="s">
        <v>137</v>
      </c>
      <c r="AJ33" t="str">
        <f t="shared" si="5"/>
        <v>[1]</v>
      </c>
      <c r="AK33">
        <f t="shared" si="6"/>
        <v>4</v>
      </c>
      <c r="AL33" t="str">
        <f t="shared" si="11"/>
        <v>dtls.o</v>
      </c>
      <c r="AM33">
        <f>SUMIF(AI33:$AI$121,AL33,AK33:$AK$121)</f>
        <v>80</v>
      </c>
      <c r="AP33" s="4" t="s">
        <v>472</v>
      </c>
      <c r="AQ33" t="s">
        <v>479</v>
      </c>
      <c r="AR33" t="s">
        <v>4517</v>
      </c>
      <c r="AS33" t="s">
        <v>13</v>
      </c>
      <c r="AT33" t="s">
        <v>135</v>
      </c>
      <c r="AU33" t="str">
        <f t="shared" si="7"/>
        <v>[1]</v>
      </c>
      <c r="AV33">
        <f t="shared" si="12"/>
        <v>12</v>
      </c>
      <c r="AW33" t="str">
        <f t="shared" si="13"/>
        <v>ALRM_Handler.o</v>
      </c>
      <c r="AX33">
        <f>SUMIF(AT33:$AT$651,AW33,AV33:$AV$651)</f>
        <v>12</v>
      </c>
    </row>
    <row r="34" spans="1:50" x14ac:dyDescent="0.25">
      <c r="A34" s="4" t="s">
        <v>0</v>
      </c>
      <c r="B34" t="s">
        <v>449</v>
      </c>
      <c r="C34" t="s">
        <v>4313</v>
      </c>
      <c r="D34" t="s">
        <v>65</v>
      </c>
      <c r="E34" t="s">
        <v>322</v>
      </c>
      <c r="F34" t="str">
        <f t="shared" si="0"/>
        <v>[1]</v>
      </c>
      <c r="G34">
        <f t="shared" si="14"/>
        <v>40</v>
      </c>
      <c r="H34" t="str">
        <f t="shared" si="8"/>
        <v>ascii.o</v>
      </c>
      <c r="I34">
        <f>SUMIF(E34:$E$173,H34,G34:$G$173)</f>
        <v>40</v>
      </c>
      <c r="K34" s="4" t="s">
        <v>421</v>
      </c>
      <c r="L34" t="s">
        <v>422</v>
      </c>
      <c r="M34" t="s">
        <v>4104</v>
      </c>
      <c r="N34" t="s">
        <v>76</v>
      </c>
      <c r="O34" t="s">
        <v>221</v>
      </c>
      <c r="P34" t="str">
        <f t="shared" si="1"/>
        <v>[1]</v>
      </c>
      <c r="Q34">
        <f t="shared" si="9"/>
        <v>36</v>
      </c>
      <c r="R34" t="str">
        <f t="shared" si="10"/>
        <v/>
      </c>
      <c r="S34">
        <f>SUMIF(O34:$O$2855,R34,Q34:$Q$2855)</f>
        <v>0</v>
      </c>
      <c r="U34" s="4" t="s">
        <v>448</v>
      </c>
      <c r="V34" t="s">
        <v>422</v>
      </c>
      <c r="W34" t="s">
        <v>2073</v>
      </c>
      <c r="X34" t="s">
        <v>126</v>
      </c>
      <c r="Y34" t="s">
        <v>199</v>
      </c>
      <c r="Z34" t="str">
        <f t="shared" si="3"/>
        <v>[1]</v>
      </c>
      <c r="AA34">
        <f t="shared" si="4"/>
        <v>8</v>
      </c>
      <c r="AB34" t="str">
        <f t="shared" si="15"/>
        <v>dvr_extflash.o</v>
      </c>
      <c r="AC34">
        <f>SUMIF(Y34:$Y$94,AB34,AA34:$AA$94)</f>
        <v>8</v>
      </c>
      <c r="AE34" s="4" t="s">
        <v>470</v>
      </c>
      <c r="AF34" t="s">
        <v>476</v>
      </c>
      <c r="AG34" t="s">
        <v>1534</v>
      </c>
      <c r="AH34" t="s">
        <v>78</v>
      </c>
      <c r="AI34" t="s">
        <v>137</v>
      </c>
      <c r="AJ34" t="str">
        <f t="shared" si="5"/>
        <v>[1]</v>
      </c>
      <c r="AK34">
        <f t="shared" si="6"/>
        <v>4</v>
      </c>
      <c r="AL34" t="str">
        <f t="shared" si="11"/>
        <v/>
      </c>
      <c r="AM34">
        <f>SUMIF(AI34:$AI$121,AL34,AK34:$AK$121)</f>
        <v>0</v>
      </c>
      <c r="AP34" s="4" t="s">
        <v>472</v>
      </c>
      <c r="AQ34" t="s">
        <v>479</v>
      </c>
      <c r="AR34" t="s">
        <v>1796</v>
      </c>
      <c r="AS34" t="s">
        <v>65</v>
      </c>
      <c r="AT34" t="s">
        <v>221</v>
      </c>
      <c r="AU34" t="str">
        <f t="shared" si="7"/>
        <v>[1]</v>
      </c>
      <c r="AV34">
        <f t="shared" si="12"/>
        <v>40</v>
      </c>
      <c r="AW34" t="str">
        <f t="shared" si="13"/>
        <v>APP_MSG_Handler.o</v>
      </c>
      <c r="AX34">
        <f>SUMIF(AT34:$AT$651,AW34,AV34:$AV$651)</f>
        <v>268</v>
      </c>
    </row>
    <row r="35" spans="1:50" x14ac:dyDescent="0.25">
      <c r="A35" s="4" t="s">
        <v>0</v>
      </c>
      <c r="B35" t="s">
        <v>449</v>
      </c>
      <c r="C35" t="s">
        <v>4418</v>
      </c>
      <c r="D35" t="s">
        <v>1217</v>
      </c>
      <c r="E35" t="s">
        <v>1130</v>
      </c>
      <c r="F35" t="str">
        <f t="shared" si="0"/>
        <v>[1]</v>
      </c>
      <c r="G35">
        <f t="shared" si="14"/>
        <v>830</v>
      </c>
      <c r="H35" t="str">
        <f t="shared" si="8"/>
        <v>b2b.o</v>
      </c>
      <c r="I35">
        <f>SUMIF(E35:$E$173,H35,G35:$G$173)</f>
        <v>830</v>
      </c>
      <c r="K35" s="4" t="s">
        <v>421</v>
      </c>
      <c r="L35" t="s">
        <v>422</v>
      </c>
      <c r="M35" t="s">
        <v>4105</v>
      </c>
      <c r="N35" t="s">
        <v>165</v>
      </c>
      <c r="O35" t="s">
        <v>221</v>
      </c>
      <c r="P35" t="str">
        <f t="shared" si="1"/>
        <v>[1]</v>
      </c>
      <c r="Q35">
        <f t="shared" si="9"/>
        <v>20</v>
      </c>
      <c r="R35" t="str">
        <f t="shared" si="10"/>
        <v/>
      </c>
      <c r="S35">
        <f>SUMIF(O35:$O$2855,R35,Q35:$Q$2855)</f>
        <v>0</v>
      </c>
      <c r="U35" s="4" t="s">
        <v>448</v>
      </c>
      <c r="V35" t="s">
        <v>422</v>
      </c>
      <c r="W35" t="s">
        <v>2084</v>
      </c>
      <c r="X35" t="s">
        <v>46</v>
      </c>
      <c r="Y35" t="s">
        <v>134</v>
      </c>
      <c r="Z35" t="str">
        <f t="shared" si="3"/>
        <v>[1]</v>
      </c>
      <c r="AA35">
        <f t="shared" si="4"/>
        <v>2</v>
      </c>
      <c r="AB35" t="str">
        <f t="shared" si="15"/>
        <v>LED.o</v>
      </c>
      <c r="AC35">
        <f>SUMIF(Y35:$Y$94,AB35,AA35:$AA$94)</f>
        <v>2</v>
      </c>
      <c r="AE35" s="4" t="s">
        <v>470</v>
      </c>
      <c r="AF35" t="s">
        <v>476</v>
      </c>
      <c r="AG35" t="s">
        <v>1535</v>
      </c>
      <c r="AH35" t="s">
        <v>76</v>
      </c>
      <c r="AI35" t="s">
        <v>137</v>
      </c>
      <c r="AJ35" t="str">
        <f t="shared" si="5"/>
        <v>[1]</v>
      </c>
      <c r="AK35">
        <f t="shared" si="6"/>
        <v>36</v>
      </c>
      <c r="AL35" t="str">
        <f t="shared" si="11"/>
        <v/>
      </c>
      <c r="AM35">
        <f>SUMIF(AI35:$AI$121,AL35,AK35:$AK$121)</f>
        <v>0</v>
      </c>
      <c r="AP35" s="4" t="s">
        <v>472</v>
      </c>
      <c r="AQ35" t="s">
        <v>479</v>
      </c>
      <c r="AR35" t="s">
        <v>4660</v>
      </c>
      <c r="AS35" t="s">
        <v>13</v>
      </c>
      <c r="AT35" t="s">
        <v>221</v>
      </c>
      <c r="AU35" t="str">
        <f t="shared" si="7"/>
        <v>[1]</v>
      </c>
      <c r="AV35">
        <f t="shared" si="12"/>
        <v>12</v>
      </c>
      <c r="AW35" t="str">
        <f t="shared" si="13"/>
        <v/>
      </c>
      <c r="AX35">
        <f>SUMIF(AT35:$AT$651,AW35,AV35:$AV$651)</f>
        <v>0</v>
      </c>
    </row>
    <row r="36" spans="1:50" x14ac:dyDescent="0.25">
      <c r="A36" s="4" t="s">
        <v>0</v>
      </c>
      <c r="B36" t="s">
        <v>449</v>
      </c>
      <c r="C36" t="s">
        <v>4419</v>
      </c>
      <c r="D36" t="s">
        <v>1218</v>
      </c>
      <c r="E36" t="s">
        <v>1131</v>
      </c>
      <c r="F36" t="str">
        <f t="shared" si="0"/>
        <v>[1]</v>
      </c>
      <c r="G36">
        <f t="shared" si="14"/>
        <v>2024</v>
      </c>
      <c r="H36" t="str">
        <f t="shared" si="8"/>
        <v>b2b_req_handler.o</v>
      </c>
      <c r="I36">
        <f>SUMIF(E36:$E$173,H36,G36:$G$173)</f>
        <v>2024</v>
      </c>
      <c r="K36" s="4" t="s">
        <v>421</v>
      </c>
      <c r="L36" t="s">
        <v>422</v>
      </c>
      <c r="M36" t="s">
        <v>4106</v>
      </c>
      <c r="N36" t="s">
        <v>237</v>
      </c>
      <c r="O36" t="s">
        <v>221</v>
      </c>
      <c r="P36" t="str">
        <f t="shared" si="1"/>
        <v>[1]</v>
      </c>
      <c r="Q36">
        <f t="shared" si="9"/>
        <v>52</v>
      </c>
      <c r="R36" t="str">
        <f t="shared" si="10"/>
        <v/>
      </c>
      <c r="S36">
        <f>SUMIF(O36:$O$2855,R36,Q36:$Q$2855)</f>
        <v>0</v>
      </c>
      <c r="U36" s="4" t="s">
        <v>448</v>
      </c>
      <c r="V36" t="s">
        <v>422</v>
      </c>
      <c r="W36" t="s">
        <v>2080</v>
      </c>
      <c r="X36" t="s">
        <v>153</v>
      </c>
      <c r="Y36" t="s">
        <v>91</v>
      </c>
      <c r="Z36" t="str">
        <f t="shared" si="3"/>
        <v>[1]</v>
      </c>
      <c r="AA36">
        <f t="shared" si="4"/>
        <v>38</v>
      </c>
      <c r="AB36" t="str">
        <f t="shared" si="15"/>
        <v>MAC.o</v>
      </c>
      <c r="AC36">
        <f>SUMIF(Y36:$Y$94,AB36,AA36:$AA$94)</f>
        <v>38</v>
      </c>
      <c r="AE36" s="4" t="s">
        <v>470</v>
      </c>
      <c r="AF36" t="s">
        <v>476</v>
      </c>
      <c r="AG36" t="s">
        <v>1536</v>
      </c>
      <c r="AH36" t="s">
        <v>76</v>
      </c>
      <c r="AI36" t="s">
        <v>137</v>
      </c>
      <c r="AJ36" t="str">
        <f t="shared" si="5"/>
        <v>[1]</v>
      </c>
      <c r="AK36">
        <f t="shared" si="6"/>
        <v>36</v>
      </c>
      <c r="AL36" t="str">
        <f t="shared" si="11"/>
        <v/>
      </c>
      <c r="AM36">
        <f>SUMIF(AI36:$AI$121,AL36,AK36:$AK$121)</f>
        <v>0</v>
      </c>
      <c r="AP36" s="4" t="s">
        <v>472</v>
      </c>
      <c r="AQ36" t="s">
        <v>479</v>
      </c>
      <c r="AR36" t="s">
        <v>4661</v>
      </c>
      <c r="AS36" t="s">
        <v>13</v>
      </c>
      <c r="AT36" t="s">
        <v>221</v>
      </c>
      <c r="AU36" t="str">
        <f t="shared" si="7"/>
        <v>[1]</v>
      </c>
      <c r="AV36">
        <f t="shared" si="12"/>
        <v>12</v>
      </c>
      <c r="AW36" t="str">
        <f t="shared" si="13"/>
        <v/>
      </c>
      <c r="AX36">
        <f>SUMIF(AT36:$AT$651,AW36,AV36:$AV$651)</f>
        <v>0</v>
      </c>
    </row>
    <row r="37" spans="1:50" x14ac:dyDescent="0.25">
      <c r="A37" s="4" t="s">
        <v>0</v>
      </c>
      <c r="B37" t="s">
        <v>449</v>
      </c>
      <c r="C37" t="s">
        <v>4420</v>
      </c>
      <c r="D37" t="s">
        <v>1219</v>
      </c>
      <c r="E37" t="s">
        <v>1132</v>
      </c>
      <c r="F37" t="str">
        <f t="shared" si="0"/>
        <v>[1]</v>
      </c>
      <c r="G37">
        <f t="shared" si="14"/>
        <v>1204</v>
      </c>
      <c r="H37" t="str">
        <f t="shared" si="8"/>
        <v>b2bMessage.o</v>
      </c>
      <c r="I37">
        <f>SUMIF(E37:$E$173,H37,G37:$G$173)</f>
        <v>1204</v>
      </c>
      <c r="K37" s="4" t="s">
        <v>421</v>
      </c>
      <c r="L37" t="s">
        <v>422</v>
      </c>
      <c r="M37" t="s">
        <v>4107</v>
      </c>
      <c r="N37" t="s">
        <v>44</v>
      </c>
      <c r="O37" t="s">
        <v>221</v>
      </c>
      <c r="P37" t="str">
        <f t="shared" si="1"/>
        <v>[1]</v>
      </c>
      <c r="Q37">
        <f t="shared" si="9"/>
        <v>44</v>
      </c>
      <c r="R37" t="str">
        <f t="shared" si="10"/>
        <v/>
      </c>
      <c r="S37">
        <f>SUMIF(O37:$O$2855,R37,Q37:$Q$2855)</f>
        <v>0</v>
      </c>
      <c r="U37" s="4" t="s">
        <v>448</v>
      </c>
      <c r="V37" t="s">
        <v>422</v>
      </c>
      <c r="W37" t="s">
        <v>2081</v>
      </c>
      <c r="X37" t="s">
        <v>444</v>
      </c>
      <c r="Y37" t="s">
        <v>158</v>
      </c>
      <c r="Z37" t="str">
        <f t="shared" si="3"/>
        <v>[1]</v>
      </c>
      <c r="AA37">
        <f t="shared" si="4"/>
        <v>3</v>
      </c>
      <c r="AB37" t="str">
        <f t="shared" si="15"/>
        <v>MAC_PacketManagement.o</v>
      </c>
      <c r="AC37">
        <f>SUMIF(Y37:$Y$94,AB37,AA37:$AA$94)</f>
        <v>3</v>
      </c>
      <c r="AE37" s="4" t="s">
        <v>470</v>
      </c>
      <c r="AF37" t="s">
        <v>476</v>
      </c>
      <c r="AG37" t="s">
        <v>1529</v>
      </c>
      <c r="AH37" t="s">
        <v>442</v>
      </c>
      <c r="AI37" t="s">
        <v>199</v>
      </c>
      <c r="AJ37" t="str">
        <f t="shared" si="5"/>
        <v>[1]</v>
      </c>
      <c r="AK37">
        <f t="shared" si="6"/>
        <v>1</v>
      </c>
      <c r="AL37" t="str">
        <f t="shared" si="11"/>
        <v>dvr_extflash.o</v>
      </c>
      <c r="AM37">
        <f>SUMIF(AI37:$AI$121,AL37,AK37:$AK$121)</f>
        <v>7</v>
      </c>
      <c r="AP37" s="4" t="s">
        <v>472</v>
      </c>
      <c r="AQ37" t="s">
        <v>479</v>
      </c>
      <c r="AR37" t="s">
        <v>4662</v>
      </c>
      <c r="AS37" t="s">
        <v>13</v>
      </c>
      <c r="AT37" t="s">
        <v>221</v>
      </c>
      <c r="AU37" t="str">
        <f t="shared" si="7"/>
        <v>[1]</v>
      </c>
      <c r="AV37">
        <f t="shared" si="12"/>
        <v>12</v>
      </c>
      <c r="AW37" t="str">
        <f t="shared" si="13"/>
        <v/>
      </c>
      <c r="AX37">
        <f>SUMIF(AT37:$AT$651,AW37,AV37:$AV$651)</f>
        <v>0</v>
      </c>
    </row>
    <row r="38" spans="1:50" x14ac:dyDescent="0.25">
      <c r="A38" s="4" t="s">
        <v>0</v>
      </c>
      <c r="B38" t="s">
        <v>449</v>
      </c>
      <c r="C38" t="s">
        <v>4390</v>
      </c>
      <c r="D38" t="s">
        <v>71</v>
      </c>
      <c r="E38" t="s">
        <v>231</v>
      </c>
      <c r="F38" t="str">
        <f t="shared" si="0"/>
        <v>[1]</v>
      </c>
      <c r="G38">
        <f t="shared" si="14"/>
        <v>144</v>
      </c>
      <c r="H38" t="str">
        <f t="shared" si="8"/>
        <v>BSP_aclara.o</v>
      </c>
      <c r="I38">
        <f>SUMIF(E38:$E$173,H38,G38:$G$173)</f>
        <v>144</v>
      </c>
      <c r="K38" s="4" t="s">
        <v>421</v>
      </c>
      <c r="L38" t="s">
        <v>422</v>
      </c>
      <c r="M38" t="s">
        <v>4108</v>
      </c>
      <c r="N38" t="s">
        <v>6</v>
      </c>
      <c r="O38" s="1" t="s">
        <v>221</v>
      </c>
      <c r="P38" t="str">
        <f t="shared" si="1"/>
        <v>[1]</v>
      </c>
      <c r="Q38">
        <f t="shared" si="9"/>
        <v>28</v>
      </c>
      <c r="R38" t="str">
        <f t="shared" si="10"/>
        <v/>
      </c>
      <c r="S38">
        <f>SUMIF(O38:$O$2855,R38,Q38:$Q$2855)</f>
        <v>0</v>
      </c>
      <c r="U38" s="4" t="s">
        <v>448</v>
      </c>
      <c r="V38" t="s">
        <v>422</v>
      </c>
      <c r="W38" t="s">
        <v>2078</v>
      </c>
      <c r="X38" t="s">
        <v>153</v>
      </c>
      <c r="Y38" t="s">
        <v>1046</v>
      </c>
      <c r="Z38" t="str">
        <f t="shared" si="3"/>
        <v>[1]</v>
      </c>
      <c r="AA38">
        <f t="shared" si="4"/>
        <v>38</v>
      </c>
      <c r="AB38" t="str">
        <f t="shared" si="15"/>
        <v>mtls.o</v>
      </c>
      <c r="AC38">
        <f>SUMIF(Y38:$Y$94,AB38,AA38:$AA$94)</f>
        <v>38</v>
      </c>
      <c r="AE38" s="4" t="s">
        <v>470</v>
      </c>
      <c r="AF38" t="s">
        <v>476</v>
      </c>
      <c r="AG38" t="s">
        <v>1530</v>
      </c>
      <c r="AH38" t="s">
        <v>442</v>
      </c>
      <c r="AI38" t="s">
        <v>199</v>
      </c>
      <c r="AJ38" t="str">
        <f t="shared" si="5"/>
        <v>[1]</v>
      </c>
      <c r="AK38">
        <f t="shared" si="6"/>
        <v>1</v>
      </c>
      <c r="AL38" t="str">
        <f t="shared" si="11"/>
        <v/>
      </c>
      <c r="AM38">
        <f>SUMIF(AI38:$AI$121,AL38,AK38:$AK$121)</f>
        <v>0</v>
      </c>
      <c r="AP38" s="4" t="s">
        <v>472</v>
      </c>
      <c r="AQ38" t="s">
        <v>479</v>
      </c>
      <c r="AR38" t="s">
        <v>4663</v>
      </c>
      <c r="AS38" t="s">
        <v>202</v>
      </c>
      <c r="AT38" t="s">
        <v>221</v>
      </c>
      <c r="AU38" t="str">
        <f t="shared" si="7"/>
        <v>[1]</v>
      </c>
      <c r="AV38">
        <f t="shared" si="12"/>
        <v>16</v>
      </c>
      <c r="AW38" t="str">
        <f t="shared" si="13"/>
        <v/>
      </c>
      <c r="AX38">
        <f>SUMIF(AT38:$AT$651,AW38,AV38:$AV$651)</f>
        <v>0</v>
      </c>
    </row>
    <row r="39" spans="1:50" x14ac:dyDescent="0.25">
      <c r="A39" s="4" t="s">
        <v>0</v>
      </c>
      <c r="B39" t="s">
        <v>449</v>
      </c>
      <c r="C39" t="s">
        <v>1283</v>
      </c>
      <c r="D39" t="s">
        <v>432</v>
      </c>
      <c r="E39" t="s">
        <v>256</v>
      </c>
      <c r="F39" t="str">
        <f t="shared" si="0"/>
        <v>[1]</v>
      </c>
      <c r="G39">
        <f t="shared" si="14"/>
        <v>180</v>
      </c>
      <c r="H39" t="str">
        <f t="shared" si="8"/>
        <v>BUF_MemoryBuffers.o</v>
      </c>
      <c r="I39">
        <f>SUMIF(E39:$E$173,H39,G39:$G$173)</f>
        <v>180</v>
      </c>
      <c r="K39" s="4" t="s">
        <v>421</v>
      </c>
      <c r="L39" t="s">
        <v>422</v>
      </c>
      <c r="M39" t="s">
        <v>4109</v>
      </c>
      <c r="N39" t="s">
        <v>165</v>
      </c>
      <c r="O39" t="s">
        <v>221</v>
      </c>
      <c r="P39" t="str">
        <f t="shared" si="1"/>
        <v>[1]</v>
      </c>
      <c r="Q39">
        <f t="shared" si="9"/>
        <v>20</v>
      </c>
      <c r="R39" t="str">
        <f t="shared" si="10"/>
        <v/>
      </c>
      <c r="S39">
        <f>SUMIF(O39:$O$2855,R39,Q39:$Q$2855)</f>
        <v>0</v>
      </c>
      <c r="U39" s="4" t="s">
        <v>448</v>
      </c>
      <c r="V39" t="s">
        <v>422</v>
      </c>
      <c r="W39" t="s">
        <v>2087</v>
      </c>
      <c r="X39" t="s">
        <v>1</v>
      </c>
      <c r="Y39" t="s">
        <v>177</v>
      </c>
      <c r="Z39" t="str">
        <f t="shared" si="3"/>
        <v>[1]</v>
      </c>
      <c r="AA39">
        <f t="shared" si="4"/>
        <v>46</v>
      </c>
      <c r="AB39" t="str">
        <f t="shared" si="15"/>
        <v>partitions.o</v>
      </c>
      <c r="AC39">
        <f>SUMIF(Y39:$Y$94,AB39,AA39:$AA$94)</f>
        <v>46</v>
      </c>
      <c r="AE39" s="4" t="s">
        <v>470</v>
      </c>
      <c r="AF39" t="s">
        <v>476</v>
      </c>
      <c r="AG39" t="s">
        <v>1531</v>
      </c>
      <c r="AH39" t="s">
        <v>442</v>
      </c>
      <c r="AI39" t="s">
        <v>199</v>
      </c>
      <c r="AJ39" t="str">
        <f t="shared" si="5"/>
        <v>[1]</v>
      </c>
      <c r="AK39">
        <f t="shared" si="6"/>
        <v>1</v>
      </c>
      <c r="AL39" t="str">
        <f t="shared" si="11"/>
        <v/>
      </c>
      <c r="AM39">
        <f>SUMIF(AI39:$AI$121,AL39,AK39:$AK$121)</f>
        <v>0</v>
      </c>
      <c r="AP39" s="4" t="s">
        <v>472</v>
      </c>
      <c r="AQ39" t="s">
        <v>479</v>
      </c>
      <c r="AR39" t="s">
        <v>4664</v>
      </c>
      <c r="AS39" t="s">
        <v>71</v>
      </c>
      <c r="AT39" t="s">
        <v>221</v>
      </c>
      <c r="AU39" t="str">
        <f t="shared" si="7"/>
        <v>[1]</v>
      </c>
      <c r="AV39">
        <f t="shared" si="12"/>
        <v>144</v>
      </c>
      <c r="AW39" t="str">
        <f t="shared" si="13"/>
        <v/>
      </c>
      <c r="AX39">
        <f>SUMIF(AT39:$AT$651,AW39,AV39:$AV$651)</f>
        <v>0</v>
      </c>
    </row>
    <row r="40" spans="1:50" x14ac:dyDescent="0.25">
      <c r="A40" s="4" t="s">
        <v>0</v>
      </c>
      <c r="B40" t="s">
        <v>449</v>
      </c>
      <c r="C40" t="s">
        <v>1284</v>
      </c>
      <c r="D40" t="s">
        <v>1681</v>
      </c>
      <c r="E40" t="s">
        <v>92</v>
      </c>
      <c r="F40" t="str">
        <f t="shared" si="0"/>
        <v>[1]</v>
      </c>
      <c r="G40">
        <f t="shared" si="14"/>
        <v>1816</v>
      </c>
      <c r="H40" t="str">
        <f t="shared" si="8"/>
        <v>buffer.o</v>
      </c>
      <c r="I40">
        <f>SUMIF(E40:$E$173,H40,G40:$G$173)</f>
        <v>1816</v>
      </c>
      <c r="K40" s="4" t="s">
        <v>421</v>
      </c>
      <c r="L40" t="s">
        <v>422</v>
      </c>
      <c r="M40" t="s">
        <v>4110</v>
      </c>
      <c r="N40" t="s">
        <v>190</v>
      </c>
      <c r="O40" t="s">
        <v>221</v>
      </c>
      <c r="P40" t="str">
        <f t="shared" si="1"/>
        <v>[1]</v>
      </c>
      <c r="Q40">
        <f t="shared" si="9"/>
        <v>56</v>
      </c>
      <c r="R40" t="str">
        <f t="shared" si="10"/>
        <v/>
      </c>
      <c r="S40">
        <f>SUMIF(O40:$O$2855,R40,Q40:$Q$2855)</f>
        <v>0</v>
      </c>
      <c r="U40" s="4" t="s">
        <v>448</v>
      </c>
      <c r="V40" t="s">
        <v>422</v>
      </c>
      <c r="W40" t="s">
        <v>2082</v>
      </c>
      <c r="X40" t="s">
        <v>1268</v>
      </c>
      <c r="Y40" t="s">
        <v>159</v>
      </c>
      <c r="Z40" t="str">
        <f t="shared" si="3"/>
        <v>[1]</v>
      </c>
      <c r="AA40">
        <f t="shared" si="4"/>
        <v>171</v>
      </c>
      <c r="AB40" t="str">
        <f t="shared" si="15"/>
        <v>PHY.o</v>
      </c>
      <c r="AC40">
        <f>SUMIF(Y40:$Y$94,AB40,AA40:$AA$94)</f>
        <v>171</v>
      </c>
      <c r="AE40" s="4" t="s">
        <v>470</v>
      </c>
      <c r="AF40" t="s">
        <v>476</v>
      </c>
      <c r="AG40" t="s">
        <v>1532</v>
      </c>
      <c r="AH40" t="s">
        <v>78</v>
      </c>
      <c r="AI40" t="s">
        <v>199</v>
      </c>
      <c r="AJ40" t="str">
        <f t="shared" si="5"/>
        <v>[1]</v>
      </c>
      <c r="AK40">
        <f t="shared" si="6"/>
        <v>4</v>
      </c>
      <c r="AL40" t="str">
        <f t="shared" si="11"/>
        <v/>
      </c>
      <c r="AM40">
        <f>SUMIF(AI40:$AI$121,AL40,AK40:$AK$121)</f>
        <v>0</v>
      </c>
      <c r="AP40" s="4" t="s">
        <v>472</v>
      </c>
      <c r="AQ40" t="s">
        <v>479</v>
      </c>
      <c r="AR40" t="s">
        <v>1797</v>
      </c>
      <c r="AS40" t="s">
        <v>6</v>
      </c>
      <c r="AT40" t="s">
        <v>221</v>
      </c>
      <c r="AU40" t="str">
        <f t="shared" si="7"/>
        <v>[1]</v>
      </c>
      <c r="AV40">
        <f t="shared" si="12"/>
        <v>28</v>
      </c>
      <c r="AW40" t="str">
        <f t="shared" si="13"/>
        <v/>
      </c>
      <c r="AX40">
        <f>SUMIF(AT40:$AT$651,AW40,AV40:$AV$651)</f>
        <v>0</v>
      </c>
    </row>
    <row r="41" spans="1:50" x14ac:dyDescent="0.25">
      <c r="A41" s="4" t="s">
        <v>0</v>
      </c>
      <c r="B41" t="s">
        <v>449</v>
      </c>
      <c r="C41" t="s">
        <v>4314</v>
      </c>
      <c r="D41" t="s">
        <v>153</v>
      </c>
      <c r="E41" t="s">
        <v>96</v>
      </c>
      <c r="F41" t="str">
        <f t="shared" si="0"/>
        <v>[1]</v>
      </c>
      <c r="G41">
        <f t="shared" si="14"/>
        <v>38</v>
      </c>
      <c r="H41" t="str">
        <f t="shared" si="8"/>
        <v>byteswap.o</v>
      </c>
      <c r="I41">
        <f>SUMIF(E41:$E$173,H41,G41:$G$173)</f>
        <v>38</v>
      </c>
      <c r="K41" s="4" t="s">
        <v>421</v>
      </c>
      <c r="L41" t="s">
        <v>422</v>
      </c>
      <c r="M41" t="s">
        <v>4111</v>
      </c>
      <c r="N41" t="s">
        <v>44</v>
      </c>
      <c r="O41" t="s">
        <v>221</v>
      </c>
      <c r="P41" t="str">
        <f t="shared" si="1"/>
        <v>[1]</v>
      </c>
      <c r="Q41">
        <f t="shared" ref="Q41:Q52" si="16">HEX2DEC(MID(N41,3,LEN(N41)-2))</f>
        <v>44</v>
      </c>
      <c r="R41" t="str">
        <f t="shared" si="10"/>
        <v/>
      </c>
      <c r="S41">
        <f>SUMIF(O41:$O$2855,R41,Q41:$Q$2855)</f>
        <v>0</v>
      </c>
      <c r="U41" s="4" t="s">
        <v>448</v>
      </c>
      <c r="V41" t="s">
        <v>422</v>
      </c>
      <c r="W41" t="s">
        <v>2089</v>
      </c>
      <c r="X41" t="s">
        <v>1184</v>
      </c>
      <c r="Y41" t="s">
        <v>220</v>
      </c>
      <c r="Z41" t="str">
        <f t="shared" si="3"/>
        <v>[1]</v>
      </c>
      <c r="AA41">
        <f t="shared" si="4"/>
        <v>5</v>
      </c>
      <c r="AB41" t="str">
        <f t="shared" si="15"/>
        <v>pwr_task.o</v>
      </c>
      <c r="AC41">
        <f>SUMIF(Y41:$Y$94,AB41,AA41:$AA$94)</f>
        <v>5</v>
      </c>
      <c r="AE41" s="4" t="s">
        <v>470</v>
      </c>
      <c r="AF41" t="s">
        <v>476</v>
      </c>
      <c r="AG41" t="s">
        <v>1550</v>
      </c>
      <c r="AH41" t="s">
        <v>442</v>
      </c>
      <c r="AI41" t="s">
        <v>134</v>
      </c>
      <c r="AJ41" t="str">
        <f t="shared" si="5"/>
        <v>[1]</v>
      </c>
      <c r="AK41">
        <f t="shared" si="6"/>
        <v>1</v>
      </c>
      <c r="AL41" t="str">
        <f t="shared" si="11"/>
        <v>LED.o</v>
      </c>
      <c r="AM41">
        <f>SUMIF(AI41:$AI$121,AL41,AK41:$AK$121)</f>
        <v>1</v>
      </c>
      <c r="AP41" s="4" t="s">
        <v>472</v>
      </c>
      <c r="AQ41" t="s">
        <v>479</v>
      </c>
      <c r="AR41" t="s">
        <v>4690</v>
      </c>
      <c r="AS41" t="s">
        <v>46</v>
      </c>
      <c r="AT41" t="s">
        <v>221</v>
      </c>
      <c r="AU41" t="str">
        <f t="shared" si="7"/>
        <v>[1]</v>
      </c>
      <c r="AV41">
        <f t="shared" si="12"/>
        <v>2</v>
      </c>
      <c r="AW41" t="str">
        <f t="shared" si="13"/>
        <v/>
      </c>
      <c r="AX41">
        <f>SUMIF(AT41:$AT$651,AW41,AV41:$AV$651)</f>
        <v>0</v>
      </c>
    </row>
    <row r="42" spans="1:50" x14ac:dyDescent="0.25">
      <c r="A42" s="4" t="s">
        <v>0</v>
      </c>
      <c r="B42" t="s">
        <v>449</v>
      </c>
      <c r="C42" t="s">
        <v>4383</v>
      </c>
      <c r="D42" t="s">
        <v>1209</v>
      </c>
      <c r="E42" t="s">
        <v>302</v>
      </c>
      <c r="F42" t="str">
        <f t="shared" si="0"/>
        <v>[1]</v>
      </c>
      <c r="G42">
        <f t="shared" si="14"/>
        <v>1410</v>
      </c>
      <c r="H42" t="str">
        <f t="shared" si="8"/>
        <v>cert-builder.o</v>
      </c>
      <c r="I42">
        <f>SUMIF(E42:$E$173,H42,G42:$G$173)</f>
        <v>1410</v>
      </c>
      <c r="K42" s="4" t="s">
        <v>421</v>
      </c>
      <c r="L42" t="s">
        <v>422</v>
      </c>
      <c r="M42" t="s">
        <v>4112</v>
      </c>
      <c r="N42" t="s">
        <v>398</v>
      </c>
      <c r="O42" t="s">
        <v>221</v>
      </c>
      <c r="P42" t="str">
        <f t="shared" si="1"/>
        <v>[1]</v>
      </c>
      <c r="Q42">
        <f t="shared" si="16"/>
        <v>132</v>
      </c>
      <c r="R42" t="str">
        <f t="shared" si="10"/>
        <v/>
      </c>
      <c r="S42">
        <f>SUMIF(O42:$O$2855,R42,Q42:$Q$2855)</f>
        <v>0</v>
      </c>
      <c r="U42" s="4" t="s">
        <v>448</v>
      </c>
      <c r="V42" t="s">
        <v>422</v>
      </c>
      <c r="W42" t="s">
        <v>2083</v>
      </c>
      <c r="X42" t="s">
        <v>1183</v>
      </c>
      <c r="Y42" t="s">
        <v>235</v>
      </c>
      <c r="Z42" t="str">
        <f t="shared" si="3"/>
        <v>[1]</v>
      </c>
      <c r="AA42">
        <f t="shared" si="4"/>
        <v>57</v>
      </c>
      <c r="AB42" t="str">
        <f t="shared" si="15"/>
        <v>radio.o</v>
      </c>
      <c r="AC42">
        <f>SUMIF(Y42:$Y$94,AB42,AA42:$AA$94)</f>
        <v>57</v>
      </c>
      <c r="AE42" s="4" t="s">
        <v>470</v>
      </c>
      <c r="AF42" t="s">
        <v>476</v>
      </c>
      <c r="AG42" t="s">
        <v>1543</v>
      </c>
      <c r="AH42" t="s">
        <v>76</v>
      </c>
      <c r="AI42" t="s">
        <v>91</v>
      </c>
      <c r="AJ42" t="str">
        <f t="shared" si="5"/>
        <v>[1]</v>
      </c>
      <c r="AK42">
        <f t="shared" si="6"/>
        <v>36</v>
      </c>
      <c r="AL42" t="str">
        <f t="shared" si="11"/>
        <v>MAC.o</v>
      </c>
      <c r="AM42">
        <f>SUMIF(AI42:$AI$121,AL42,AK42:$AK$121)</f>
        <v>72</v>
      </c>
      <c r="AP42" s="4" t="s">
        <v>472</v>
      </c>
      <c r="AQ42" t="s">
        <v>479</v>
      </c>
      <c r="AR42" t="s">
        <v>4692</v>
      </c>
      <c r="AS42" t="s">
        <v>442</v>
      </c>
      <c r="AT42" t="s">
        <v>221</v>
      </c>
      <c r="AU42" t="str">
        <f t="shared" si="7"/>
        <v>[1]</v>
      </c>
      <c r="AV42">
        <f t="shared" si="12"/>
        <v>1</v>
      </c>
      <c r="AW42" t="str">
        <f t="shared" si="13"/>
        <v/>
      </c>
      <c r="AX42">
        <f>SUMIF(AT42:$AT$651,AW42,AV42:$AV$651)</f>
        <v>0</v>
      </c>
    </row>
    <row r="43" spans="1:50" x14ac:dyDescent="0.25">
      <c r="A43" s="4" t="s">
        <v>0</v>
      </c>
      <c r="B43" t="s">
        <v>449</v>
      </c>
      <c r="C43" t="s">
        <v>4335</v>
      </c>
      <c r="D43" t="s">
        <v>52</v>
      </c>
      <c r="E43" t="s">
        <v>232</v>
      </c>
      <c r="F43" t="str">
        <f t="shared" si="0"/>
        <v>[1]</v>
      </c>
      <c r="G43">
        <f t="shared" si="14"/>
        <v>164</v>
      </c>
      <c r="H43" t="str">
        <f t="shared" si="8"/>
        <v>COMM.o</v>
      </c>
      <c r="I43">
        <f>SUMIF(E43:$E$173,H43,G43:$G$173)</f>
        <v>164</v>
      </c>
      <c r="K43" s="4" t="s">
        <v>421</v>
      </c>
      <c r="L43" t="s">
        <v>422</v>
      </c>
      <c r="M43" t="s">
        <v>4113</v>
      </c>
      <c r="N43" t="s">
        <v>165</v>
      </c>
      <c r="O43" t="s">
        <v>221</v>
      </c>
      <c r="P43" t="str">
        <f t="shared" si="1"/>
        <v>[1]</v>
      </c>
      <c r="Q43">
        <f t="shared" si="16"/>
        <v>20</v>
      </c>
      <c r="R43" t="str">
        <f t="shared" si="10"/>
        <v/>
      </c>
      <c r="S43">
        <f>SUMIF(O43:$O$2855,R43,Q43:$Q$2855)</f>
        <v>0</v>
      </c>
      <c r="U43" s="4" t="s">
        <v>448</v>
      </c>
      <c r="V43" t="s">
        <v>422</v>
      </c>
      <c r="W43" t="s">
        <v>2085</v>
      </c>
      <c r="X43" t="s">
        <v>1184</v>
      </c>
      <c r="Y43" t="s">
        <v>315</v>
      </c>
      <c r="Z43" t="str">
        <f t="shared" si="3"/>
        <v>[1]</v>
      </c>
      <c r="AA43">
        <f t="shared" si="4"/>
        <v>5</v>
      </c>
      <c r="AB43" t="str">
        <f t="shared" si="15"/>
        <v>radio_hal.o</v>
      </c>
      <c r="AC43">
        <f>SUMIF(Y43:$Y$94,AB43,AA43:$AA$94)</f>
        <v>5</v>
      </c>
      <c r="AE43" s="4" t="s">
        <v>470</v>
      </c>
      <c r="AF43" t="s">
        <v>476</v>
      </c>
      <c r="AG43" t="s">
        <v>1544</v>
      </c>
      <c r="AH43" t="s">
        <v>76</v>
      </c>
      <c r="AI43" t="s">
        <v>91</v>
      </c>
      <c r="AJ43" t="str">
        <f t="shared" si="5"/>
        <v>[1]</v>
      </c>
      <c r="AK43">
        <f t="shared" si="6"/>
        <v>36</v>
      </c>
      <c r="AL43" t="str">
        <f t="shared" si="11"/>
        <v/>
      </c>
      <c r="AM43">
        <f>SUMIF(AI43:$AI$121,AL43,AK43:$AK$121)</f>
        <v>0</v>
      </c>
      <c r="AP43" s="4" t="s">
        <v>472</v>
      </c>
      <c r="AQ43" t="s">
        <v>479</v>
      </c>
      <c r="AR43" t="s">
        <v>4693</v>
      </c>
      <c r="AS43" t="s">
        <v>442</v>
      </c>
      <c r="AT43" t="s">
        <v>221</v>
      </c>
      <c r="AU43" t="str">
        <f t="shared" si="7"/>
        <v>[1]</v>
      </c>
      <c r="AV43">
        <f t="shared" si="12"/>
        <v>1</v>
      </c>
      <c r="AW43" t="str">
        <f t="shared" si="13"/>
        <v/>
      </c>
      <c r="AX43">
        <f>SUMIF(AT43:$AT$651,AW43,AV43:$AV$651)</f>
        <v>0</v>
      </c>
    </row>
    <row r="44" spans="1:50" x14ac:dyDescent="0.25">
      <c r="A44" s="4" t="s">
        <v>0</v>
      </c>
      <c r="B44" t="s">
        <v>449</v>
      </c>
      <c r="C44" t="s">
        <v>4391</v>
      </c>
      <c r="D44" t="s">
        <v>1145</v>
      </c>
      <c r="E44" t="s">
        <v>161</v>
      </c>
      <c r="F44" t="str">
        <f t="shared" si="0"/>
        <v>[1]</v>
      </c>
      <c r="G44">
        <f t="shared" si="14"/>
        <v>332</v>
      </c>
      <c r="H44" t="str">
        <f t="shared" si="8"/>
        <v>CRC.o</v>
      </c>
      <c r="I44">
        <f>SUMIF(E44:$E$173,H44,G44:$G$173)</f>
        <v>332</v>
      </c>
      <c r="K44" s="4" t="s">
        <v>421</v>
      </c>
      <c r="L44" t="s">
        <v>422</v>
      </c>
      <c r="M44" t="s">
        <v>4114</v>
      </c>
      <c r="N44" t="s">
        <v>46</v>
      </c>
      <c r="O44" t="s">
        <v>221</v>
      </c>
      <c r="P44" t="str">
        <f t="shared" si="1"/>
        <v>[1]</v>
      </c>
      <c r="Q44">
        <f t="shared" si="16"/>
        <v>2</v>
      </c>
      <c r="R44" t="str">
        <f t="shared" si="10"/>
        <v/>
      </c>
      <c r="S44">
        <f>SUMIF(O44:$O$2855,R44,Q44:$Q$2855)</f>
        <v>0</v>
      </c>
      <c r="U44" s="4" t="s">
        <v>448</v>
      </c>
      <c r="V44" t="s">
        <v>422</v>
      </c>
      <c r="W44" t="s">
        <v>2070</v>
      </c>
      <c r="X44" t="s">
        <v>1180</v>
      </c>
      <c r="Y44" t="s">
        <v>81</v>
      </c>
      <c r="Z44" t="str">
        <f t="shared" si="3"/>
        <v>[1]</v>
      </c>
      <c r="AA44">
        <f t="shared" si="4"/>
        <v>65</v>
      </c>
      <c r="AB44" t="str">
        <f t="shared" si="15"/>
        <v>rand.o</v>
      </c>
      <c r="AC44">
        <f>SUMIF(Y44:$Y$94,AB44,AA44:$AA$94)</f>
        <v>65</v>
      </c>
      <c r="AE44" s="4" t="s">
        <v>470</v>
      </c>
      <c r="AF44" t="s">
        <v>476</v>
      </c>
      <c r="AG44" t="s">
        <v>1545</v>
      </c>
      <c r="AH44" t="s">
        <v>46</v>
      </c>
      <c r="AI44" t="s">
        <v>158</v>
      </c>
      <c r="AJ44" t="str">
        <f t="shared" si="5"/>
        <v>[1]</v>
      </c>
      <c r="AK44">
        <f t="shared" si="6"/>
        <v>2</v>
      </c>
      <c r="AL44" t="str">
        <f t="shared" si="11"/>
        <v>MAC_PacketManagement.o</v>
      </c>
      <c r="AM44">
        <f>SUMIF(AI44:$AI$121,AL44,AK44:$AK$121)</f>
        <v>2</v>
      </c>
      <c r="AP44" s="4" t="s">
        <v>472</v>
      </c>
      <c r="AQ44" t="s">
        <v>479</v>
      </c>
      <c r="AR44" t="s">
        <v>4642</v>
      </c>
      <c r="AS44" t="s">
        <v>67</v>
      </c>
      <c r="AT44" t="s">
        <v>1130</v>
      </c>
      <c r="AU44" t="str">
        <f t="shared" si="7"/>
        <v>[1]</v>
      </c>
      <c r="AV44">
        <f t="shared" si="12"/>
        <v>48</v>
      </c>
      <c r="AW44" t="str">
        <f t="shared" si="13"/>
        <v>b2b.o</v>
      </c>
      <c r="AX44">
        <f>SUMIF(AT44:$AT$651,AW44,AV44:$AV$651)</f>
        <v>142</v>
      </c>
    </row>
    <row r="45" spans="1:50" x14ac:dyDescent="0.25">
      <c r="A45" s="4" t="s">
        <v>0</v>
      </c>
      <c r="B45" t="s">
        <v>449</v>
      </c>
      <c r="C45" t="s">
        <v>4315</v>
      </c>
      <c r="D45" t="s">
        <v>267</v>
      </c>
      <c r="E45" t="s">
        <v>399</v>
      </c>
      <c r="F45" t="str">
        <f t="shared" si="0"/>
        <v>[1]</v>
      </c>
      <c r="G45">
        <f t="shared" si="14"/>
        <v>116</v>
      </c>
      <c r="H45" t="str">
        <f t="shared" si="8"/>
        <v>crc16_m.o</v>
      </c>
      <c r="I45">
        <f>SUMIF(E45:$E$173,H45,G45:$G$173)</f>
        <v>116</v>
      </c>
      <c r="K45" s="4" t="s">
        <v>421</v>
      </c>
      <c r="L45" t="s">
        <v>422</v>
      </c>
      <c r="M45" t="s">
        <v>4115</v>
      </c>
      <c r="N45" t="s">
        <v>46</v>
      </c>
      <c r="O45" t="s">
        <v>221</v>
      </c>
      <c r="P45" t="str">
        <f t="shared" si="1"/>
        <v>[1]</v>
      </c>
      <c r="Q45">
        <f t="shared" si="16"/>
        <v>2</v>
      </c>
      <c r="R45" t="str">
        <f t="shared" si="10"/>
        <v/>
      </c>
      <c r="S45">
        <f>SUMIF(O45:$O$2855,R45,Q45:$Q$2855)</f>
        <v>0</v>
      </c>
      <c r="U45" s="4" t="s">
        <v>448</v>
      </c>
      <c r="V45" t="s">
        <v>422</v>
      </c>
      <c r="W45" t="s">
        <v>1673</v>
      </c>
      <c r="X45" t="s">
        <v>1672</v>
      </c>
      <c r="Y45" t="s">
        <v>223</v>
      </c>
      <c r="Z45" t="str">
        <f t="shared" si="3"/>
        <v>[1]</v>
      </c>
      <c r="AA45">
        <f t="shared" si="4"/>
        <v>23</v>
      </c>
      <c r="AB45" t="str">
        <f t="shared" si="15"/>
        <v>SELF_test.o</v>
      </c>
      <c r="AC45">
        <f>SUMIF(Y45:$Y$94,AB45,AA45:$AA$94)</f>
        <v>23</v>
      </c>
      <c r="AE45" s="4" t="s">
        <v>470</v>
      </c>
      <c r="AF45" t="s">
        <v>476</v>
      </c>
      <c r="AG45" t="s">
        <v>1537</v>
      </c>
      <c r="AH45" t="s">
        <v>76</v>
      </c>
      <c r="AI45" t="s">
        <v>1046</v>
      </c>
      <c r="AJ45" t="str">
        <f t="shared" si="5"/>
        <v>[1]</v>
      </c>
      <c r="AK45">
        <f t="shared" si="6"/>
        <v>36</v>
      </c>
      <c r="AL45" t="str">
        <f t="shared" si="11"/>
        <v>mtls.o</v>
      </c>
      <c r="AM45">
        <f>SUMIF(AI45:$AI$121,AL45,AK45:$AK$121)</f>
        <v>72</v>
      </c>
      <c r="AP45" s="4" t="s">
        <v>472</v>
      </c>
      <c r="AQ45" t="s">
        <v>479</v>
      </c>
      <c r="AR45" t="s">
        <v>1726</v>
      </c>
      <c r="AS45" t="s">
        <v>67</v>
      </c>
      <c r="AT45" t="s">
        <v>1130</v>
      </c>
      <c r="AU45" t="str">
        <f t="shared" si="7"/>
        <v>[1]</v>
      </c>
      <c r="AV45">
        <f t="shared" si="12"/>
        <v>48</v>
      </c>
      <c r="AW45" t="str">
        <f t="shared" si="13"/>
        <v/>
      </c>
      <c r="AX45">
        <f>SUMIF(AT45:$AT$651,AW45,AV45:$AV$651)</f>
        <v>0</v>
      </c>
    </row>
    <row r="46" spans="1:50" x14ac:dyDescent="0.25">
      <c r="A46" s="4" t="s">
        <v>0</v>
      </c>
      <c r="B46" t="s">
        <v>449</v>
      </c>
      <c r="C46" t="s">
        <v>4316</v>
      </c>
      <c r="D46" t="s">
        <v>143</v>
      </c>
      <c r="E46" t="s">
        <v>178</v>
      </c>
      <c r="F46" t="str">
        <f t="shared" si="0"/>
        <v>[1]</v>
      </c>
      <c r="G46">
        <f t="shared" si="14"/>
        <v>84</v>
      </c>
      <c r="H46" t="str">
        <f t="shared" si="8"/>
        <v>crc32.o</v>
      </c>
      <c r="I46">
        <f>SUMIF(E46:$E$173,H46,G46:$G$173)</f>
        <v>84</v>
      </c>
      <c r="K46" s="4" t="s">
        <v>421</v>
      </c>
      <c r="L46" t="s">
        <v>422</v>
      </c>
      <c r="M46" t="s">
        <v>1990</v>
      </c>
      <c r="N46" t="s">
        <v>67</v>
      </c>
      <c r="O46" t="s">
        <v>1130</v>
      </c>
      <c r="P46" t="str">
        <f t="shared" si="1"/>
        <v>[1]</v>
      </c>
      <c r="Q46">
        <f t="shared" si="16"/>
        <v>48</v>
      </c>
      <c r="R46" t="str">
        <f t="shared" si="10"/>
        <v>b2b.o</v>
      </c>
      <c r="S46">
        <f>SUMIF(O46:$O$2855,R46,Q46:$Q$2855)</f>
        <v>404</v>
      </c>
      <c r="U46" s="4" t="s">
        <v>448</v>
      </c>
      <c r="V46" t="s">
        <v>422</v>
      </c>
      <c r="W46" t="s">
        <v>2076</v>
      </c>
      <c r="X46" t="s">
        <v>369</v>
      </c>
      <c r="Y46" t="s">
        <v>233</v>
      </c>
      <c r="Z46" t="str">
        <f t="shared" si="3"/>
        <v>[1]</v>
      </c>
      <c r="AA46">
        <f t="shared" si="4"/>
        <v>14</v>
      </c>
      <c r="AB46" t="str">
        <f t="shared" si="15"/>
        <v>SM.o</v>
      </c>
      <c r="AC46">
        <f>SUMIF(Y46:$Y$94,AB46,AA46:$AA$94)</f>
        <v>14</v>
      </c>
      <c r="AE46" s="4" t="s">
        <v>470</v>
      </c>
      <c r="AF46" t="s">
        <v>476</v>
      </c>
      <c r="AG46" t="s">
        <v>1538</v>
      </c>
      <c r="AH46" t="s">
        <v>76</v>
      </c>
      <c r="AI46" t="s">
        <v>1046</v>
      </c>
      <c r="AJ46" t="str">
        <f t="shared" si="5"/>
        <v>[1]</v>
      </c>
      <c r="AK46">
        <f t="shared" si="6"/>
        <v>36</v>
      </c>
      <c r="AL46" t="str">
        <f t="shared" si="11"/>
        <v/>
      </c>
      <c r="AM46">
        <f>SUMIF(AI46:$AI$121,AL46,AK46:$AK$121)</f>
        <v>0</v>
      </c>
      <c r="AP46" s="4" t="s">
        <v>472</v>
      </c>
      <c r="AQ46" t="s">
        <v>479</v>
      </c>
      <c r="AR46" t="s">
        <v>4643</v>
      </c>
      <c r="AS46" t="s">
        <v>65</v>
      </c>
      <c r="AT46" t="s">
        <v>1130</v>
      </c>
      <c r="AU46" t="str">
        <f t="shared" si="7"/>
        <v>[1]</v>
      </c>
      <c r="AV46">
        <f t="shared" si="12"/>
        <v>40</v>
      </c>
      <c r="AW46" t="str">
        <f t="shared" si="13"/>
        <v/>
      </c>
      <c r="AX46">
        <f>SUMIF(AT46:$AT$651,AW46,AV46:$AV$651)</f>
        <v>0</v>
      </c>
    </row>
    <row r="47" spans="1:50" x14ac:dyDescent="0.25">
      <c r="A47" s="4" t="s">
        <v>0</v>
      </c>
      <c r="B47" t="s">
        <v>449</v>
      </c>
      <c r="C47" t="s">
        <v>4421</v>
      </c>
      <c r="D47" t="s">
        <v>1795</v>
      </c>
      <c r="E47" t="s">
        <v>1133</v>
      </c>
      <c r="F47" t="str">
        <f t="shared" si="0"/>
        <v>[1]</v>
      </c>
      <c r="G47">
        <f t="shared" si="14"/>
        <v>294</v>
      </c>
      <c r="H47" t="str">
        <f t="shared" si="8"/>
        <v>da_srfn_reg.o</v>
      </c>
      <c r="I47">
        <f>SUMIF(E47:$E$173,H47,G47:$G$173)</f>
        <v>294</v>
      </c>
      <c r="K47" s="4" t="s">
        <v>421</v>
      </c>
      <c r="L47" t="s">
        <v>422</v>
      </c>
      <c r="M47" t="s">
        <v>4065</v>
      </c>
      <c r="N47" t="s">
        <v>119</v>
      </c>
      <c r="O47" t="s">
        <v>1130</v>
      </c>
      <c r="P47" t="str">
        <f t="shared" si="1"/>
        <v>[1]</v>
      </c>
      <c r="Q47">
        <f t="shared" si="16"/>
        <v>32</v>
      </c>
      <c r="R47" t="str">
        <f t="shared" si="10"/>
        <v/>
      </c>
      <c r="S47">
        <f>SUMIF(O47:$O$2855,R47,Q47:$Q$2855)</f>
        <v>0</v>
      </c>
      <c r="U47" s="4" t="s">
        <v>448</v>
      </c>
      <c r="V47" t="s">
        <v>422</v>
      </c>
      <c r="W47" t="s">
        <v>2074</v>
      </c>
      <c r="X47" t="s">
        <v>46</v>
      </c>
      <c r="Y47" t="s">
        <v>294</v>
      </c>
      <c r="Z47" t="str">
        <f t="shared" si="3"/>
        <v>[1]</v>
      </c>
      <c r="AA47">
        <f t="shared" si="4"/>
        <v>2</v>
      </c>
      <c r="AB47" t="str">
        <f t="shared" si="15"/>
        <v>spi_mstr.o</v>
      </c>
      <c r="AC47">
        <f>SUMIF(Y47:$Y$94,AB47,AA47:$AA$94)</f>
        <v>2</v>
      </c>
      <c r="AE47" s="4" t="s">
        <v>470</v>
      </c>
      <c r="AF47" t="s">
        <v>476</v>
      </c>
      <c r="AG47" t="s">
        <v>1553</v>
      </c>
      <c r="AH47" t="s">
        <v>202</v>
      </c>
      <c r="AI47" t="s">
        <v>177</v>
      </c>
      <c r="AJ47" t="str">
        <f t="shared" si="5"/>
        <v>[1]</v>
      </c>
      <c r="AK47">
        <f t="shared" si="6"/>
        <v>16</v>
      </c>
      <c r="AL47" t="str">
        <f t="shared" si="11"/>
        <v>partitions.o</v>
      </c>
      <c r="AM47">
        <f>SUMIF(AI47:$AI$121,AL47,AK47:$AK$121)</f>
        <v>56</v>
      </c>
      <c r="AP47" s="4" t="s">
        <v>472</v>
      </c>
      <c r="AQ47" t="s">
        <v>479</v>
      </c>
      <c r="AR47" t="s">
        <v>4650</v>
      </c>
      <c r="AS47" t="s">
        <v>46</v>
      </c>
      <c r="AT47" t="s">
        <v>1130</v>
      </c>
      <c r="AU47" t="str">
        <f t="shared" si="7"/>
        <v>[1]</v>
      </c>
      <c r="AV47">
        <f t="shared" si="12"/>
        <v>2</v>
      </c>
      <c r="AW47" t="str">
        <f t="shared" si="13"/>
        <v/>
      </c>
      <c r="AX47">
        <f>SUMIF(AT47:$AT$651,AW47,AV47:$AV$651)</f>
        <v>0</v>
      </c>
    </row>
    <row r="48" spans="1:50" x14ac:dyDescent="0.25">
      <c r="A48" s="4" t="s">
        <v>0</v>
      </c>
      <c r="B48" t="s">
        <v>449</v>
      </c>
      <c r="C48" t="s">
        <v>1682</v>
      </c>
      <c r="D48" t="s">
        <v>2026</v>
      </c>
      <c r="E48" t="s">
        <v>131</v>
      </c>
      <c r="F48" t="str">
        <f t="shared" si="0"/>
        <v>[1]</v>
      </c>
      <c r="G48">
        <f t="shared" si="14"/>
        <v>20892</v>
      </c>
      <c r="H48" t="str">
        <f t="shared" si="8"/>
        <v>DBG_CommandLine.o</v>
      </c>
      <c r="I48">
        <f>SUMIF(E48:$E$173,H48,G48:$G$173)</f>
        <v>20892</v>
      </c>
      <c r="K48" s="4" t="s">
        <v>421</v>
      </c>
      <c r="L48" t="s">
        <v>422</v>
      </c>
      <c r="M48" t="s">
        <v>4066</v>
      </c>
      <c r="N48" t="s">
        <v>76</v>
      </c>
      <c r="O48" t="s">
        <v>1130</v>
      </c>
      <c r="P48" t="str">
        <f t="shared" si="1"/>
        <v>[1]</v>
      </c>
      <c r="Q48">
        <f t="shared" si="16"/>
        <v>36</v>
      </c>
      <c r="R48" t="str">
        <f t="shared" si="10"/>
        <v/>
      </c>
      <c r="S48">
        <f>SUMIF(O48:$O$2855,R48,Q48:$Q$2855)</f>
        <v>0</v>
      </c>
      <c r="U48" s="4" t="s">
        <v>448</v>
      </c>
      <c r="V48" t="s">
        <v>422</v>
      </c>
      <c r="W48" t="s">
        <v>2079</v>
      </c>
      <c r="X48" t="s">
        <v>1182</v>
      </c>
      <c r="Y48" t="s">
        <v>138</v>
      </c>
      <c r="Z48" t="str">
        <f t="shared" si="3"/>
        <v>[1]</v>
      </c>
      <c r="AA48">
        <f t="shared" si="4"/>
        <v>49</v>
      </c>
      <c r="AB48" t="str">
        <f t="shared" si="15"/>
        <v>STACK.o</v>
      </c>
      <c r="AC48">
        <f>SUMIF(Y48:$Y$94,AB48,AA48:$AA$94)</f>
        <v>49</v>
      </c>
      <c r="AE48" s="4" t="s">
        <v>470</v>
      </c>
      <c r="AF48" t="s">
        <v>476</v>
      </c>
      <c r="AG48" t="s">
        <v>1286</v>
      </c>
      <c r="AH48" t="s">
        <v>13</v>
      </c>
      <c r="AI48" t="s">
        <v>177</v>
      </c>
      <c r="AJ48" t="str">
        <f t="shared" si="5"/>
        <v>[1]</v>
      </c>
      <c r="AK48">
        <f t="shared" si="6"/>
        <v>12</v>
      </c>
      <c r="AL48" t="str">
        <f t="shared" si="11"/>
        <v/>
      </c>
      <c r="AM48">
        <f>SUMIF(AI48:$AI$121,AL48,AK48:$AK$121)</f>
        <v>0</v>
      </c>
      <c r="AP48" s="4" t="s">
        <v>472</v>
      </c>
      <c r="AQ48" t="s">
        <v>479</v>
      </c>
      <c r="AR48" t="s">
        <v>4651</v>
      </c>
      <c r="AS48" t="s">
        <v>46</v>
      </c>
      <c r="AT48" t="s">
        <v>1130</v>
      </c>
      <c r="AU48" t="str">
        <f t="shared" si="7"/>
        <v>[1]</v>
      </c>
      <c r="AV48">
        <f t="shared" si="12"/>
        <v>2</v>
      </c>
      <c r="AW48" t="str">
        <f t="shared" si="13"/>
        <v/>
      </c>
      <c r="AX48">
        <f>SUMIF(AT48:$AT$651,AW48,AV48:$AV$651)</f>
        <v>0</v>
      </c>
    </row>
    <row r="49" spans="1:50" x14ac:dyDescent="0.25">
      <c r="A49" s="4" t="s">
        <v>0</v>
      </c>
      <c r="B49" t="s">
        <v>449</v>
      </c>
      <c r="C49" t="s">
        <v>2027</v>
      </c>
      <c r="D49" t="s">
        <v>2028</v>
      </c>
      <c r="E49" t="s">
        <v>82</v>
      </c>
      <c r="F49" t="str">
        <f t="shared" si="0"/>
        <v>[1]</v>
      </c>
      <c r="G49">
        <f t="shared" si="14"/>
        <v>1624</v>
      </c>
      <c r="H49" t="str">
        <f t="shared" si="8"/>
        <v>DBG_SerialDebug.o</v>
      </c>
      <c r="I49">
        <f>SUMIF(E49:$E$173,H49,G49:$G$173)</f>
        <v>1624</v>
      </c>
      <c r="K49" s="4" t="s">
        <v>421</v>
      </c>
      <c r="L49" t="s">
        <v>422</v>
      </c>
      <c r="M49" t="s">
        <v>4067</v>
      </c>
      <c r="N49" t="s">
        <v>126</v>
      </c>
      <c r="O49" t="s">
        <v>1130</v>
      </c>
      <c r="P49" t="str">
        <f t="shared" si="1"/>
        <v>[1]</v>
      </c>
      <c r="Q49">
        <f t="shared" si="16"/>
        <v>8</v>
      </c>
      <c r="R49" t="str">
        <f t="shared" si="10"/>
        <v/>
      </c>
      <c r="S49">
        <f>SUMIF(O49:$O$2855,R49,Q49:$Q$2855)</f>
        <v>0</v>
      </c>
      <c r="U49" s="4" t="s">
        <v>448</v>
      </c>
      <c r="V49" t="s">
        <v>422</v>
      </c>
      <c r="W49" t="s">
        <v>2090</v>
      </c>
      <c r="X49" t="s">
        <v>444</v>
      </c>
      <c r="Y49" t="s">
        <v>198</v>
      </c>
      <c r="Z49" t="str">
        <f t="shared" si="3"/>
        <v>[1]</v>
      </c>
      <c r="AA49">
        <f t="shared" si="4"/>
        <v>3</v>
      </c>
      <c r="AB49" t="str">
        <f t="shared" si="15"/>
        <v>STRT_Startup.o</v>
      </c>
      <c r="AC49">
        <f>SUMIF(Y49:$Y$94,AB49,AA49:$AA$94)</f>
        <v>3</v>
      </c>
      <c r="AE49" s="4" t="s">
        <v>470</v>
      </c>
      <c r="AF49" t="s">
        <v>476</v>
      </c>
      <c r="AG49" t="s">
        <v>1287</v>
      </c>
      <c r="AH49" t="s">
        <v>13</v>
      </c>
      <c r="AI49" t="s">
        <v>177</v>
      </c>
      <c r="AJ49" t="str">
        <f t="shared" si="5"/>
        <v>[1]</v>
      </c>
      <c r="AK49">
        <f t="shared" si="6"/>
        <v>12</v>
      </c>
      <c r="AL49" t="str">
        <f t="shared" si="11"/>
        <v/>
      </c>
      <c r="AM49">
        <f>SUMIF(AI49:$AI$121,AL49,AK49:$AK$121)</f>
        <v>0</v>
      </c>
      <c r="AP49" s="4" t="s">
        <v>472</v>
      </c>
      <c r="AQ49" t="s">
        <v>479</v>
      </c>
      <c r="AR49" t="s">
        <v>4654</v>
      </c>
      <c r="AS49" t="s">
        <v>442</v>
      </c>
      <c r="AT49" t="s">
        <v>1130</v>
      </c>
      <c r="AU49" t="str">
        <f t="shared" si="7"/>
        <v>[1]</v>
      </c>
      <c r="AV49">
        <f t="shared" si="12"/>
        <v>1</v>
      </c>
      <c r="AW49" t="str">
        <f t="shared" si="13"/>
        <v/>
      </c>
      <c r="AX49">
        <f>SUMIF(AT49:$AT$651,AW49,AV49:$AV$651)</f>
        <v>0</v>
      </c>
    </row>
    <row r="50" spans="1:50" x14ac:dyDescent="0.25">
      <c r="A50" s="4" t="s">
        <v>0</v>
      </c>
      <c r="B50" t="s">
        <v>449</v>
      </c>
      <c r="C50" t="s">
        <v>4322</v>
      </c>
      <c r="D50" t="s">
        <v>2019</v>
      </c>
      <c r="E50" t="s">
        <v>228</v>
      </c>
      <c r="F50" t="str">
        <f t="shared" si="0"/>
        <v>[1]</v>
      </c>
      <c r="G50">
        <f t="shared" si="14"/>
        <v>8804</v>
      </c>
      <c r="H50" t="str">
        <f t="shared" si="8"/>
        <v>dfw_app.o</v>
      </c>
      <c r="I50">
        <f>SUMIF(E50:$E$173,H50,G50:$G$173)</f>
        <v>8804</v>
      </c>
      <c r="K50" s="4" t="s">
        <v>421</v>
      </c>
      <c r="L50" t="s">
        <v>422</v>
      </c>
      <c r="M50" t="s">
        <v>4068</v>
      </c>
      <c r="N50" t="s">
        <v>76</v>
      </c>
      <c r="O50" t="s">
        <v>1130</v>
      </c>
      <c r="P50" t="str">
        <f t="shared" si="1"/>
        <v>[1]</v>
      </c>
      <c r="Q50">
        <f t="shared" si="16"/>
        <v>36</v>
      </c>
      <c r="R50" t="str">
        <f t="shared" si="10"/>
        <v/>
      </c>
      <c r="S50">
        <f>SUMIF(O50:$O$2855,R50,Q50:$Q$2855)</f>
        <v>0</v>
      </c>
      <c r="U50" s="4" t="s">
        <v>448</v>
      </c>
      <c r="V50" t="s">
        <v>422</v>
      </c>
      <c r="W50" t="s">
        <v>2091</v>
      </c>
      <c r="X50" t="s">
        <v>46</v>
      </c>
      <c r="Y50" t="s">
        <v>83</v>
      </c>
      <c r="Z50" t="str">
        <f t="shared" si="3"/>
        <v>[1]</v>
      </c>
      <c r="AA50">
        <f t="shared" si="4"/>
        <v>2</v>
      </c>
      <c r="AB50" t="str">
        <f t="shared" si="15"/>
        <v>Task.o</v>
      </c>
      <c r="AC50">
        <f>SUMIF(Y50:$Y$94,AB50,AA50:$AA$94)</f>
        <v>2</v>
      </c>
      <c r="AE50" s="4" t="s">
        <v>470</v>
      </c>
      <c r="AF50" t="s">
        <v>476</v>
      </c>
      <c r="AG50" t="s">
        <v>1554</v>
      </c>
      <c r="AH50" t="s">
        <v>126</v>
      </c>
      <c r="AI50" t="s">
        <v>177</v>
      </c>
      <c r="AJ50" t="str">
        <f t="shared" si="5"/>
        <v>[1]</v>
      </c>
      <c r="AK50">
        <f t="shared" si="6"/>
        <v>8</v>
      </c>
      <c r="AL50" t="str">
        <f t="shared" si="11"/>
        <v/>
      </c>
      <c r="AM50">
        <f>SUMIF(AI50:$AI$121,AL50,AK50:$AK$121)</f>
        <v>0</v>
      </c>
      <c r="AP50" s="4" t="s">
        <v>472</v>
      </c>
      <c r="AQ50" t="s">
        <v>479</v>
      </c>
      <c r="AR50" t="s">
        <v>4655</v>
      </c>
      <c r="AS50" t="s">
        <v>442</v>
      </c>
      <c r="AT50" t="s">
        <v>1130</v>
      </c>
      <c r="AU50" t="str">
        <f t="shared" si="7"/>
        <v>[1]</v>
      </c>
      <c r="AV50">
        <f t="shared" si="12"/>
        <v>1</v>
      </c>
      <c r="AW50" t="str">
        <f t="shared" si="13"/>
        <v/>
      </c>
      <c r="AX50">
        <f>SUMIF(AT50:$AT$651,AW50,AV50:$AV$651)</f>
        <v>0</v>
      </c>
    </row>
    <row r="51" spans="1:50" x14ac:dyDescent="0.25">
      <c r="A51" s="4" t="s">
        <v>0</v>
      </c>
      <c r="B51" t="s">
        <v>449</v>
      </c>
      <c r="C51" t="s">
        <v>4323</v>
      </c>
      <c r="D51" t="s">
        <v>4324</v>
      </c>
      <c r="E51" t="s">
        <v>193</v>
      </c>
      <c r="F51" t="str">
        <f t="shared" si="0"/>
        <v>[1]</v>
      </c>
      <c r="G51">
        <f t="shared" si="14"/>
        <v>11404</v>
      </c>
      <c r="H51" t="str">
        <f t="shared" si="8"/>
        <v>dfw_interface.o</v>
      </c>
      <c r="I51">
        <f>SUMIF(E51:$E$173,H51,G51:$G$173)</f>
        <v>11404</v>
      </c>
      <c r="K51" s="4" t="s">
        <v>421</v>
      </c>
      <c r="L51" t="s">
        <v>422</v>
      </c>
      <c r="M51" t="s">
        <v>4069</v>
      </c>
      <c r="N51" t="s">
        <v>65</v>
      </c>
      <c r="O51" t="s">
        <v>1130</v>
      </c>
      <c r="P51" t="str">
        <f t="shared" si="1"/>
        <v>[1]</v>
      </c>
      <c r="Q51">
        <f t="shared" si="16"/>
        <v>40</v>
      </c>
      <c r="R51" t="str">
        <f t="shared" si="10"/>
        <v/>
      </c>
      <c r="S51">
        <f>SUMIF(O51:$O$2855,R51,Q51:$Q$2855)</f>
        <v>0</v>
      </c>
      <c r="U51" s="4" t="s">
        <v>448</v>
      </c>
      <c r="V51" t="s">
        <v>422</v>
      </c>
      <c r="W51" t="s">
        <v>2088</v>
      </c>
      <c r="X51" t="s">
        <v>46</v>
      </c>
      <c r="Y51" t="s">
        <v>1038</v>
      </c>
      <c r="Z51" t="str">
        <f t="shared" si="3"/>
        <v>[1]</v>
      </c>
      <c r="AA51">
        <f t="shared" si="4"/>
        <v>2</v>
      </c>
      <c r="AB51" t="str">
        <f t="shared" si="15"/>
        <v>time_sync.o</v>
      </c>
      <c r="AC51">
        <f>SUMIF(Y51:$Y$94,AB51,AA51:$AA$94)</f>
        <v>2</v>
      </c>
      <c r="AE51" s="4" t="s">
        <v>470</v>
      </c>
      <c r="AF51" t="s">
        <v>476</v>
      </c>
      <c r="AG51" t="s">
        <v>1248</v>
      </c>
      <c r="AH51" t="s">
        <v>126</v>
      </c>
      <c r="AI51" t="s">
        <v>177</v>
      </c>
      <c r="AJ51" t="str">
        <f t="shared" si="5"/>
        <v>[1]</v>
      </c>
      <c r="AK51">
        <f t="shared" si="6"/>
        <v>8</v>
      </c>
      <c r="AL51" t="str">
        <f t="shared" si="11"/>
        <v/>
      </c>
      <c r="AM51">
        <f>SUMIF(AI51:$AI$121,AL51,AK51:$AK$121)</f>
        <v>0</v>
      </c>
      <c r="AP51" s="4" t="s">
        <v>472</v>
      </c>
      <c r="AQ51" t="s">
        <v>479</v>
      </c>
      <c r="AR51" t="s">
        <v>4518</v>
      </c>
      <c r="AS51" t="s">
        <v>1077</v>
      </c>
      <c r="AT51" t="s">
        <v>92</v>
      </c>
      <c r="AU51" t="str">
        <f t="shared" si="7"/>
        <v>[1]</v>
      </c>
      <c r="AV51">
        <f t="shared" si="12"/>
        <v>356</v>
      </c>
      <c r="AW51" t="str">
        <f t="shared" si="13"/>
        <v>buffer.o</v>
      </c>
      <c r="AX51">
        <f>SUMIF(AT51:$AT$651,AW51,AV51:$AV$651)</f>
        <v>1001</v>
      </c>
    </row>
    <row r="52" spans="1:50" x14ac:dyDescent="0.25">
      <c r="A52" s="4" t="s">
        <v>0</v>
      </c>
      <c r="B52" t="s">
        <v>449</v>
      </c>
      <c r="C52" t="s">
        <v>4325</v>
      </c>
      <c r="D52" t="s">
        <v>1147</v>
      </c>
      <c r="E52" t="s">
        <v>286</v>
      </c>
      <c r="F52" t="str">
        <f t="shared" si="0"/>
        <v>[1]</v>
      </c>
      <c r="G52">
        <f t="shared" si="14"/>
        <v>600</v>
      </c>
      <c r="H52" t="str">
        <f t="shared" si="8"/>
        <v>dfw_pckt.o</v>
      </c>
      <c r="I52">
        <f>SUMIF(E52:$E$173,H52,G52:$G$173)</f>
        <v>600</v>
      </c>
      <c r="K52" s="4" t="s">
        <v>421</v>
      </c>
      <c r="L52" t="s">
        <v>422</v>
      </c>
      <c r="M52" t="s">
        <v>4070</v>
      </c>
      <c r="N52" t="s">
        <v>6</v>
      </c>
      <c r="O52" t="s">
        <v>1130</v>
      </c>
      <c r="P52" t="str">
        <f t="shared" si="1"/>
        <v>[1]</v>
      </c>
      <c r="Q52">
        <f t="shared" si="16"/>
        <v>28</v>
      </c>
      <c r="R52" t="str">
        <f t="shared" si="10"/>
        <v/>
      </c>
      <c r="S52">
        <f>SUMIF(O52:$O$2855,R52,Q52:$Q$2855)</f>
        <v>0</v>
      </c>
      <c r="U52" s="4" t="s">
        <v>448</v>
      </c>
      <c r="V52" t="s">
        <v>422</v>
      </c>
      <c r="W52" t="s">
        <v>2071</v>
      </c>
      <c r="X52" t="s">
        <v>444</v>
      </c>
      <c r="Y52" t="s">
        <v>130</v>
      </c>
      <c r="Z52" t="str">
        <f t="shared" si="3"/>
        <v>[1]</v>
      </c>
      <c r="AA52">
        <f t="shared" si="4"/>
        <v>3</v>
      </c>
      <c r="AB52" t="str">
        <f t="shared" si="15"/>
        <v>timer_util.o</v>
      </c>
      <c r="AC52">
        <f>SUMIF(Y52:$Y$94,AB52,AA52:$AA$94)</f>
        <v>3</v>
      </c>
      <c r="AE52" s="4" t="s">
        <v>470</v>
      </c>
      <c r="AF52" t="s">
        <v>476</v>
      </c>
      <c r="AG52" t="s">
        <v>1546</v>
      </c>
      <c r="AH52" t="s">
        <v>126</v>
      </c>
      <c r="AI52" t="s">
        <v>159</v>
      </c>
      <c r="AJ52" t="str">
        <f t="shared" si="5"/>
        <v>[1]</v>
      </c>
      <c r="AK52">
        <f t="shared" si="6"/>
        <v>8</v>
      </c>
      <c r="AL52" t="str">
        <f t="shared" si="11"/>
        <v>PHY.o</v>
      </c>
      <c r="AM52">
        <f>SUMIF(AI52:$AI$121,AL52,AK52:$AK$121)</f>
        <v>176</v>
      </c>
      <c r="AP52" s="4" t="s">
        <v>472</v>
      </c>
      <c r="AQ52" t="s">
        <v>479</v>
      </c>
      <c r="AR52" t="s">
        <v>4519</v>
      </c>
      <c r="AS52" t="s">
        <v>1080</v>
      </c>
      <c r="AT52" t="s">
        <v>92</v>
      </c>
      <c r="AU52" t="str">
        <f t="shared" si="7"/>
        <v>[1]</v>
      </c>
      <c r="AV52">
        <f t="shared" si="12"/>
        <v>560</v>
      </c>
      <c r="AW52" t="str">
        <f t="shared" si="13"/>
        <v/>
      </c>
      <c r="AX52">
        <f>SUMIF(AT52:$AT$651,AW52,AV52:$AV$651)</f>
        <v>0</v>
      </c>
    </row>
    <row r="53" spans="1:50" x14ac:dyDescent="0.25">
      <c r="A53" s="4" t="s">
        <v>0</v>
      </c>
      <c r="B53" t="s">
        <v>449</v>
      </c>
      <c r="C53" t="s">
        <v>4326</v>
      </c>
      <c r="D53" t="s">
        <v>1199</v>
      </c>
      <c r="E53" t="s">
        <v>195</v>
      </c>
      <c r="F53" t="str">
        <f t="shared" si="0"/>
        <v>[1]</v>
      </c>
      <c r="G53">
        <f t="shared" si="14"/>
        <v>492</v>
      </c>
      <c r="H53" t="str">
        <f t="shared" si="8"/>
        <v>dfwtd_config.o</v>
      </c>
      <c r="I53">
        <f>SUMIF(E53:$E$173,H53,G53:$G$173)</f>
        <v>492</v>
      </c>
      <c r="K53" s="4" t="s">
        <v>421</v>
      </c>
      <c r="L53" t="s">
        <v>422</v>
      </c>
      <c r="M53" t="s">
        <v>4071</v>
      </c>
      <c r="N53" t="s">
        <v>202</v>
      </c>
      <c r="O53" t="s">
        <v>1130</v>
      </c>
      <c r="P53" t="str">
        <f t="shared" si="1"/>
        <v>[1]</v>
      </c>
      <c r="Q53">
        <f t="shared" ref="Q53:Q64" si="17">HEX2DEC(MID(N53,3,LEN(N53)-2))</f>
        <v>16</v>
      </c>
      <c r="R53" t="str">
        <f t="shared" si="10"/>
        <v/>
      </c>
      <c r="S53">
        <f>SUMIF(O53:$O$2855,R53,Q53:$Q$2855)</f>
        <v>0</v>
      </c>
      <c r="U53" s="4" t="s">
        <v>448</v>
      </c>
      <c r="V53" t="s">
        <v>422</v>
      </c>
      <c r="W53" t="s">
        <v>443</v>
      </c>
      <c r="X53" t="s">
        <v>443</v>
      </c>
      <c r="Y53" t="s">
        <v>612</v>
      </c>
      <c r="Z53" t="str">
        <f t="shared" si="3"/>
        <v>[1]</v>
      </c>
      <c r="AA53">
        <f t="shared" si="4"/>
        <v>0</v>
      </c>
      <c r="AB53" t="str">
        <f t="shared" si="15"/>
        <v>placeholder</v>
      </c>
      <c r="AC53">
        <f>SUMIF(Y53:$Y$94,AB53,AA53:$AA$94)</f>
        <v>0</v>
      </c>
      <c r="AE53" s="4" t="s">
        <v>470</v>
      </c>
      <c r="AF53" t="s">
        <v>476</v>
      </c>
      <c r="AG53" t="s">
        <v>1547</v>
      </c>
      <c r="AH53" t="s">
        <v>230</v>
      </c>
      <c r="AI53" t="s">
        <v>159</v>
      </c>
      <c r="AJ53" t="str">
        <f t="shared" si="5"/>
        <v>[1]</v>
      </c>
      <c r="AK53">
        <f t="shared" si="6"/>
        <v>168</v>
      </c>
      <c r="AL53" t="str">
        <f t="shared" si="11"/>
        <v/>
      </c>
      <c r="AM53">
        <f>SUMIF(AI53:$AI$121,AL53,AK53:$AK$121)</f>
        <v>0</v>
      </c>
      <c r="AP53" s="4" t="s">
        <v>472</v>
      </c>
      <c r="AQ53" t="s">
        <v>479</v>
      </c>
      <c r="AR53" t="s">
        <v>4520</v>
      </c>
      <c r="AS53" t="s">
        <v>67</v>
      </c>
      <c r="AT53" t="s">
        <v>92</v>
      </c>
      <c r="AU53" t="str">
        <f t="shared" si="7"/>
        <v>[1]</v>
      </c>
      <c r="AV53">
        <f t="shared" ref="AV53:AV54" si="18">HEX2DEC(MID(AS53,3,LEN(AS53)-2))</f>
        <v>48</v>
      </c>
      <c r="AW53" t="str">
        <f t="shared" si="13"/>
        <v/>
      </c>
      <c r="AX53">
        <f>SUMIF(AT53:$AT$651,AW53,AV53:$AV$651)</f>
        <v>0</v>
      </c>
    </row>
    <row r="54" spans="1:50" x14ac:dyDescent="0.25">
      <c r="A54" s="4" t="s">
        <v>0</v>
      </c>
      <c r="B54" t="s">
        <v>449</v>
      </c>
      <c r="C54" t="s">
        <v>4338</v>
      </c>
      <c r="D54" t="s">
        <v>4339</v>
      </c>
      <c r="E54" t="s">
        <v>137</v>
      </c>
      <c r="F54" t="str">
        <f t="shared" si="0"/>
        <v>[1]</v>
      </c>
      <c r="G54">
        <f t="shared" si="14"/>
        <v>9844</v>
      </c>
      <c r="H54" t="str">
        <f t="shared" si="8"/>
        <v>dtls.o</v>
      </c>
      <c r="I54">
        <f>SUMIF(E54:$E$173,H54,G54:$G$173)</f>
        <v>9844</v>
      </c>
      <c r="K54" s="4" t="s">
        <v>421</v>
      </c>
      <c r="L54" t="s">
        <v>422</v>
      </c>
      <c r="M54" t="s">
        <v>1991</v>
      </c>
      <c r="N54" t="s">
        <v>237</v>
      </c>
      <c r="O54" t="s">
        <v>1130</v>
      </c>
      <c r="P54" t="str">
        <f t="shared" si="1"/>
        <v>[1]</v>
      </c>
      <c r="Q54">
        <f t="shared" si="17"/>
        <v>52</v>
      </c>
      <c r="R54" t="str">
        <f t="shared" si="10"/>
        <v/>
      </c>
      <c r="S54">
        <f>SUMIF(O54:$O$2855,R54,Q54:$Q$2855)</f>
        <v>0</v>
      </c>
      <c r="U54" s="4" t="s">
        <v>448</v>
      </c>
      <c r="V54" t="s">
        <v>422</v>
      </c>
      <c r="W54" t="s">
        <v>443</v>
      </c>
      <c r="X54" t="s">
        <v>443</v>
      </c>
      <c r="Y54" t="s">
        <v>612</v>
      </c>
      <c r="Z54" t="str">
        <f t="shared" si="3"/>
        <v>[1]</v>
      </c>
      <c r="AA54">
        <f t="shared" si="4"/>
        <v>0</v>
      </c>
      <c r="AB54" t="str">
        <f t="shared" si="15"/>
        <v/>
      </c>
      <c r="AC54">
        <f>SUMIF(Y54:$Y$94,AB54,AA54:$AA$94)</f>
        <v>0</v>
      </c>
      <c r="AE54" s="4" t="s">
        <v>470</v>
      </c>
      <c r="AF54" t="s">
        <v>476</v>
      </c>
      <c r="AG54" t="s">
        <v>4446</v>
      </c>
      <c r="AH54" t="s">
        <v>78</v>
      </c>
      <c r="AI54" t="s">
        <v>220</v>
      </c>
      <c r="AJ54" t="str">
        <f t="shared" si="5"/>
        <v>[1]</v>
      </c>
      <c r="AK54">
        <f t="shared" si="6"/>
        <v>4</v>
      </c>
      <c r="AL54" t="str">
        <f t="shared" si="11"/>
        <v>pwr_task.o</v>
      </c>
      <c r="AM54">
        <f>SUMIF(AI54:$AI$121,AL54,AK54:$AK$121)</f>
        <v>4</v>
      </c>
      <c r="AP54" s="4" t="s">
        <v>472</v>
      </c>
      <c r="AQ54" t="s">
        <v>479</v>
      </c>
      <c r="AR54" t="s">
        <v>4521</v>
      </c>
      <c r="AS54" t="s">
        <v>78</v>
      </c>
      <c r="AT54" t="s">
        <v>92</v>
      </c>
      <c r="AU54" t="str">
        <f t="shared" si="7"/>
        <v>[1]</v>
      </c>
      <c r="AV54">
        <f t="shared" si="18"/>
        <v>4</v>
      </c>
      <c r="AW54" t="str">
        <f t="shared" si="13"/>
        <v/>
      </c>
      <c r="AX54">
        <f>SUMIF(AT54:$AT$651,AW54,AV54:$AV$651)</f>
        <v>0</v>
      </c>
    </row>
    <row r="55" spans="1:50" x14ac:dyDescent="0.25">
      <c r="A55" s="4" t="s">
        <v>0</v>
      </c>
      <c r="B55" t="s">
        <v>449</v>
      </c>
      <c r="C55" t="s">
        <v>4327</v>
      </c>
      <c r="D55" t="s">
        <v>1271</v>
      </c>
      <c r="E55" t="s">
        <v>401</v>
      </c>
      <c r="F55" t="str">
        <f t="shared" si="0"/>
        <v>[1]</v>
      </c>
      <c r="G55">
        <f t="shared" si="14"/>
        <v>858</v>
      </c>
      <c r="H55" t="str">
        <f t="shared" si="8"/>
        <v>dvr_banked.o</v>
      </c>
      <c r="I55">
        <f>SUMIF(E55:$E$173,H55,G55:$G$173)</f>
        <v>858</v>
      </c>
      <c r="K55" s="4" t="s">
        <v>421</v>
      </c>
      <c r="L55" t="s">
        <v>422</v>
      </c>
      <c r="M55" t="s">
        <v>4072</v>
      </c>
      <c r="N55" t="s">
        <v>237</v>
      </c>
      <c r="O55" t="s">
        <v>1130</v>
      </c>
      <c r="P55" t="str">
        <f t="shared" si="1"/>
        <v>[1]</v>
      </c>
      <c r="Q55">
        <f t="shared" si="17"/>
        <v>52</v>
      </c>
      <c r="R55" t="str">
        <f t="shared" si="10"/>
        <v/>
      </c>
      <c r="S55">
        <f>SUMIF(O55:$O$2855,R55,Q55:$Q$2855)</f>
        <v>0</v>
      </c>
      <c r="U55" s="4" t="s">
        <v>448</v>
      </c>
      <c r="V55" t="s">
        <v>422</v>
      </c>
      <c r="W55" t="s">
        <v>443</v>
      </c>
      <c r="X55" t="s">
        <v>443</v>
      </c>
      <c r="Y55" t="s">
        <v>612</v>
      </c>
      <c r="Z55" t="str">
        <f t="shared" si="3"/>
        <v>[1]</v>
      </c>
      <c r="AA55">
        <f t="shared" si="4"/>
        <v>0</v>
      </c>
      <c r="AB55" t="str">
        <f t="shared" si="15"/>
        <v/>
      </c>
      <c r="AC55">
        <f>SUMIF(Y55:$Y$94,AB55,AA55:$AA$94)</f>
        <v>0</v>
      </c>
      <c r="AE55" s="4" t="s">
        <v>470</v>
      </c>
      <c r="AF55" t="s">
        <v>476</v>
      </c>
      <c r="AG55" t="s">
        <v>1548</v>
      </c>
      <c r="AH55" t="s">
        <v>78</v>
      </c>
      <c r="AI55" t="s">
        <v>235</v>
      </c>
      <c r="AJ55" t="str">
        <f t="shared" si="5"/>
        <v>[1]</v>
      </c>
      <c r="AK55">
        <f t="shared" si="6"/>
        <v>4</v>
      </c>
      <c r="AL55" t="str">
        <f t="shared" si="11"/>
        <v>radio.o</v>
      </c>
      <c r="AM55">
        <f>SUMIF(AI55:$AI$121,AL55,AK55:$AK$121)</f>
        <v>56</v>
      </c>
      <c r="AP55" s="4" t="s">
        <v>472</v>
      </c>
      <c r="AQ55" t="s">
        <v>479</v>
      </c>
      <c r="AR55" t="s">
        <v>4522</v>
      </c>
      <c r="AS55" t="s">
        <v>78</v>
      </c>
      <c r="AT55" t="s">
        <v>92</v>
      </c>
      <c r="AU55" t="str">
        <f t="shared" si="7"/>
        <v>[1]</v>
      </c>
      <c r="AV55">
        <f>HEX2DEC(MID(AS55,3,LEN(AS55)-2))</f>
        <v>4</v>
      </c>
      <c r="AW55" t="str">
        <f t="shared" si="13"/>
        <v/>
      </c>
      <c r="AX55">
        <f>SUMIF(AT55:$AT$651,AW55,AV55:$AV$651)</f>
        <v>0</v>
      </c>
    </row>
    <row r="56" spans="1:50" x14ac:dyDescent="0.25">
      <c r="A56" s="4" t="s">
        <v>0</v>
      </c>
      <c r="B56" t="s">
        <v>449</v>
      </c>
      <c r="C56" t="s">
        <v>4328</v>
      </c>
      <c r="D56" t="s">
        <v>50</v>
      </c>
      <c r="E56" t="s">
        <v>402</v>
      </c>
      <c r="F56" t="str">
        <f t="shared" si="0"/>
        <v>[1]</v>
      </c>
      <c r="G56">
        <f t="shared" si="14"/>
        <v>476</v>
      </c>
      <c r="H56" t="str">
        <f t="shared" si="8"/>
        <v>dvr_cache.o</v>
      </c>
      <c r="I56">
        <f>SUMIF(E56:$E$173,H56,G56:$G$173)</f>
        <v>476</v>
      </c>
      <c r="K56" s="4" t="s">
        <v>421</v>
      </c>
      <c r="L56" t="s">
        <v>422</v>
      </c>
      <c r="M56" t="s">
        <v>4073</v>
      </c>
      <c r="N56" t="s">
        <v>165</v>
      </c>
      <c r="O56" t="s">
        <v>1130</v>
      </c>
      <c r="P56" t="str">
        <f t="shared" si="1"/>
        <v>[1]</v>
      </c>
      <c r="Q56">
        <f t="shared" si="17"/>
        <v>20</v>
      </c>
      <c r="R56" t="str">
        <f t="shared" si="10"/>
        <v/>
      </c>
      <c r="S56">
        <f>SUMIF(O56:$O$2855,R56,Q56:$Q$2855)</f>
        <v>0</v>
      </c>
      <c r="U56" s="4" t="s">
        <v>448</v>
      </c>
      <c r="V56" t="s">
        <v>422</v>
      </c>
      <c r="W56" t="s">
        <v>443</v>
      </c>
      <c r="X56" t="s">
        <v>443</v>
      </c>
      <c r="Y56" t="s">
        <v>612</v>
      </c>
      <c r="Z56" t="str">
        <f t="shared" si="3"/>
        <v>[1]</v>
      </c>
      <c r="AA56">
        <f t="shared" si="4"/>
        <v>0</v>
      </c>
      <c r="AB56" t="str">
        <f t="shared" si="15"/>
        <v/>
      </c>
      <c r="AC56">
        <f>SUMIF(Y56:$Y$94,AB56,AA56:$AA$94)</f>
        <v>0</v>
      </c>
      <c r="AE56" s="4" t="s">
        <v>470</v>
      </c>
      <c r="AF56" t="s">
        <v>476</v>
      </c>
      <c r="AG56" t="s">
        <v>1549</v>
      </c>
      <c r="AH56" t="s">
        <v>237</v>
      </c>
      <c r="AI56" t="s">
        <v>235</v>
      </c>
      <c r="AJ56" t="str">
        <f t="shared" si="5"/>
        <v>[1]</v>
      </c>
      <c r="AK56">
        <f t="shared" si="6"/>
        <v>52</v>
      </c>
      <c r="AL56" t="str">
        <f t="shared" si="11"/>
        <v/>
      </c>
      <c r="AM56">
        <f>SUMIF(AI56:$AI$121,AL56,AK56:$AK$121)</f>
        <v>0</v>
      </c>
      <c r="AP56" s="4" t="s">
        <v>472</v>
      </c>
      <c r="AQ56" t="s">
        <v>479</v>
      </c>
      <c r="AR56" t="s">
        <v>4523</v>
      </c>
      <c r="AS56" t="s">
        <v>78</v>
      </c>
      <c r="AT56" t="s">
        <v>92</v>
      </c>
      <c r="AU56" t="str">
        <f t="shared" si="7"/>
        <v>[1]</v>
      </c>
      <c r="AV56">
        <f t="shared" ref="AV56:AV57" si="19">HEX2DEC(MID(AS56,3,LEN(AS56)-2))</f>
        <v>4</v>
      </c>
      <c r="AW56" t="str">
        <f t="shared" si="13"/>
        <v/>
      </c>
      <c r="AX56">
        <f>SUMIF(AT56:$AT$651,AW56,AV56:$AV$651)</f>
        <v>0</v>
      </c>
    </row>
    <row r="57" spans="1:50" x14ac:dyDescent="0.25">
      <c r="A57" s="4" t="s">
        <v>0</v>
      </c>
      <c r="B57" t="s">
        <v>449</v>
      </c>
      <c r="C57" t="s">
        <v>4329</v>
      </c>
      <c r="D57" t="s">
        <v>2020</v>
      </c>
      <c r="E57" t="s">
        <v>199</v>
      </c>
      <c r="F57" t="str">
        <f t="shared" si="0"/>
        <v>[1]</v>
      </c>
      <c r="G57">
        <f t="shared" si="14"/>
        <v>4004</v>
      </c>
      <c r="H57" t="str">
        <f t="shared" si="8"/>
        <v>dvr_extflash.o</v>
      </c>
      <c r="I57">
        <f>SUMIF(E57:$E$173,H57,G57:$G$173)</f>
        <v>4004</v>
      </c>
      <c r="K57" s="4" t="s">
        <v>421</v>
      </c>
      <c r="L57" t="s">
        <v>422</v>
      </c>
      <c r="M57" t="s">
        <v>4074</v>
      </c>
      <c r="N57" t="s">
        <v>76</v>
      </c>
      <c r="O57" t="s">
        <v>1130</v>
      </c>
      <c r="P57" t="str">
        <f t="shared" si="1"/>
        <v>[1]</v>
      </c>
      <c r="Q57">
        <f t="shared" si="17"/>
        <v>36</v>
      </c>
      <c r="R57" t="str">
        <f t="shared" si="10"/>
        <v/>
      </c>
      <c r="S57">
        <f>SUMIF(O57:$O$2855,R57,Q57:$Q$2855)</f>
        <v>0</v>
      </c>
      <c r="U57" t="s">
        <v>448</v>
      </c>
      <c r="V57" t="s">
        <v>422</v>
      </c>
      <c r="W57" t="s">
        <v>443</v>
      </c>
      <c r="X57" t="s">
        <v>443</v>
      </c>
      <c r="Y57" t="s">
        <v>612</v>
      </c>
      <c r="Z57" t="str">
        <f t="shared" si="3"/>
        <v>[1]</v>
      </c>
      <c r="AA57">
        <f t="shared" si="4"/>
        <v>0</v>
      </c>
      <c r="AB57" t="str">
        <f t="shared" si="15"/>
        <v/>
      </c>
      <c r="AC57">
        <f>SUMIF(Y57:$Y$94,AB57,AA57:$AA$94)</f>
        <v>0</v>
      </c>
      <c r="AE57" s="4" t="s">
        <v>470</v>
      </c>
      <c r="AF57" t="s">
        <v>476</v>
      </c>
      <c r="AG57" t="s">
        <v>1551</v>
      </c>
      <c r="AH57" t="s">
        <v>78</v>
      </c>
      <c r="AI57" t="s">
        <v>315</v>
      </c>
      <c r="AJ57" t="str">
        <f t="shared" si="5"/>
        <v>[1]</v>
      </c>
      <c r="AK57">
        <f t="shared" si="6"/>
        <v>4</v>
      </c>
      <c r="AL57" t="str">
        <f t="shared" si="11"/>
        <v>radio_hal.o</v>
      </c>
      <c r="AM57">
        <f>SUMIF(AI57:$AI$121,AL57,AK57:$AK$121)</f>
        <v>4</v>
      </c>
      <c r="AP57" s="4" t="s">
        <v>472</v>
      </c>
      <c r="AQ57" t="s">
        <v>479</v>
      </c>
      <c r="AR57" t="s">
        <v>4524</v>
      </c>
      <c r="AS57" t="s">
        <v>437</v>
      </c>
      <c r="AT57" t="s">
        <v>92</v>
      </c>
      <c r="AU57" t="str">
        <f t="shared" si="7"/>
        <v>[1]</v>
      </c>
      <c r="AV57">
        <f t="shared" si="19"/>
        <v>24</v>
      </c>
      <c r="AW57" t="str">
        <f t="shared" si="13"/>
        <v/>
      </c>
      <c r="AX57">
        <f>SUMIF(AT57:$AT$651,AW57,AV57:$AV$651)</f>
        <v>0</v>
      </c>
    </row>
    <row r="58" spans="1:50" x14ac:dyDescent="0.25">
      <c r="A58" s="4" t="s">
        <v>0</v>
      </c>
      <c r="B58" t="s">
        <v>449</v>
      </c>
      <c r="C58" t="s">
        <v>4330</v>
      </c>
      <c r="D58" t="s">
        <v>2021</v>
      </c>
      <c r="E58" t="s">
        <v>403</v>
      </c>
      <c r="F58" t="str">
        <f t="shared" si="0"/>
        <v>[1]</v>
      </c>
      <c r="G58">
        <f t="shared" si="14"/>
        <v>362</v>
      </c>
      <c r="H58" t="str">
        <f t="shared" si="8"/>
        <v>dvr_sectPreErase.o</v>
      </c>
      <c r="I58">
        <f>SUMIF(E58:$E$173,H58,G58:$G$173)</f>
        <v>362</v>
      </c>
      <c r="K58" s="4" t="s">
        <v>421</v>
      </c>
      <c r="L58" t="s">
        <v>422</v>
      </c>
      <c r="M58" t="s">
        <v>1992</v>
      </c>
      <c r="N58" t="s">
        <v>6</v>
      </c>
      <c r="O58" t="s">
        <v>1131</v>
      </c>
      <c r="P58" t="str">
        <f t="shared" si="1"/>
        <v>[1]</v>
      </c>
      <c r="Q58">
        <f t="shared" si="17"/>
        <v>28</v>
      </c>
      <c r="R58" t="str">
        <f t="shared" si="10"/>
        <v>b2b_req_handler.o</v>
      </c>
      <c r="S58">
        <f>SUMIF(O58:$O$2855,R58,Q58:$Q$2855)</f>
        <v>380</v>
      </c>
      <c r="U58" t="s">
        <v>448</v>
      </c>
      <c r="V58" t="s">
        <v>422</v>
      </c>
      <c r="W58" t="s">
        <v>443</v>
      </c>
      <c r="X58" t="s">
        <v>443</v>
      </c>
      <c r="Y58" t="s">
        <v>612</v>
      </c>
      <c r="Z58" t="str">
        <f t="shared" si="3"/>
        <v>[1]</v>
      </c>
      <c r="AA58">
        <f t="shared" si="4"/>
        <v>0</v>
      </c>
      <c r="AB58" t="str">
        <f t="shared" si="15"/>
        <v/>
      </c>
      <c r="AC58">
        <f>SUMIF(Y58:$Y$94,AB58,AA58:$AA$94)</f>
        <v>0</v>
      </c>
      <c r="AE58" s="4" t="s">
        <v>470</v>
      </c>
      <c r="AF58" t="s">
        <v>476</v>
      </c>
      <c r="AG58" t="s">
        <v>1526</v>
      </c>
      <c r="AH58" t="s">
        <v>103</v>
      </c>
      <c r="AI58" t="s">
        <v>81</v>
      </c>
      <c r="AJ58" t="str">
        <f t="shared" si="5"/>
        <v>[1]</v>
      </c>
      <c r="AK58">
        <f t="shared" si="6"/>
        <v>64</v>
      </c>
      <c r="AL58" t="str">
        <f t="shared" si="11"/>
        <v>rand.o</v>
      </c>
      <c r="AM58">
        <f>SUMIF(AI58:$AI$121,AL58,AK58:$AK$121)</f>
        <v>64</v>
      </c>
      <c r="AP58" s="4" t="s">
        <v>472</v>
      </c>
      <c r="AQ58" t="s">
        <v>479</v>
      </c>
      <c r="AR58" t="s">
        <v>4618</v>
      </c>
      <c r="AS58" t="s">
        <v>442</v>
      </c>
      <c r="AT58" t="s">
        <v>92</v>
      </c>
      <c r="AU58" t="str">
        <f t="shared" si="7"/>
        <v>[1]</v>
      </c>
      <c r="AV58">
        <f t="shared" ref="AV58:AV59" si="20">HEX2DEC(MID(AS58,3,LEN(AS58)-2))</f>
        <v>1</v>
      </c>
      <c r="AW58" t="str">
        <f t="shared" si="13"/>
        <v/>
      </c>
      <c r="AX58">
        <f>SUMIF(AT58:$AT$651,AW58,AV58:$AV$651)</f>
        <v>0</v>
      </c>
    </row>
    <row r="59" spans="1:50" x14ac:dyDescent="0.25">
      <c r="A59" s="4" t="s">
        <v>0</v>
      </c>
      <c r="B59" t="s">
        <v>449</v>
      </c>
      <c r="C59" t="s">
        <v>4331</v>
      </c>
      <c r="D59" t="s">
        <v>275</v>
      </c>
      <c r="E59" t="s">
        <v>90</v>
      </c>
      <c r="F59" t="str">
        <f t="shared" si="0"/>
        <v>[1]</v>
      </c>
      <c r="G59">
        <f t="shared" si="14"/>
        <v>80</v>
      </c>
      <c r="H59" t="str">
        <f t="shared" si="8"/>
        <v>dvr_sharedMem.o</v>
      </c>
      <c r="I59">
        <f>SUMIF(E59:$E$173,H59,G59:$G$173)</f>
        <v>80</v>
      </c>
      <c r="K59" s="4" t="s">
        <v>421</v>
      </c>
      <c r="L59" t="s">
        <v>422</v>
      </c>
      <c r="M59" t="s">
        <v>4075</v>
      </c>
      <c r="N59" t="s">
        <v>165</v>
      </c>
      <c r="O59" t="s">
        <v>1131</v>
      </c>
      <c r="P59" t="str">
        <f t="shared" si="1"/>
        <v>[1]</v>
      </c>
      <c r="Q59">
        <f t="shared" si="17"/>
        <v>20</v>
      </c>
      <c r="R59" t="str">
        <f t="shared" si="10"/>
        <v/>
      </c>
      <c r="S59">
        <f>SUMIF(O59:$O$2855,R59,Q59:$Q$2855)</f>
        <v>0</v>
      </c>
      <c r="U59" t="s">
        <v>448</v>
      </c>
      <c r="V59" t="s">
        <v>422</v>
      </c>
      <c r="W59" t="s">
        <v>443</v>
      </c>
      <c r="X59" t="s">
        <v>443</v>
      </c>
      <c r="Y59" t="s">
        <v>612</v>
      </c>
      <c r="Z59" t="str">
        <f t="shared" si="3"/>
        <v>[1]</v>
      </c>
      <c r="AA59">
        <f t="shared" si="4"/>
        <v>0</v>
      </c>
      <c r="AB59" t="str">
        <f t="shared" si="15"/>
        <v/>
      </c>
      <c r="AC59">
        <f>SUMIF(Y59:$Y$94,AB59,AA59:$AA$94)</f>
        <v>0</v>
      </c>
      <c r="AE59" s="4" t="s">
        <v>470</v>
      </c>
      <c r="AF59" t="s">
        <v>476</v>
      </c>
      <c r="AG59" t="s">
        <v>1555</v>
      </c>
      <c r="AH59" t="s">
        <v>76</v>
      </c>
      <c r="AI59" t="s">
        <v>223</v>
      </c>
      <c r="AJ59" t="str">
        <f t="shared" si="5"/>
        <v>[1]</v>
      </c>
      <c r="AK59">
        <f t="shared" si="6"/>
        <v>36</v>
      </c>
      <c r="AL59" t="str">
        <f t="shared" si="11"/>
        <v>SELF_test.o</v>
      </c>
      <c r="AM59">
        <f>SUMIF(AI59:$AI$121,AL59,AK59:$AK$121)</f>
        <v>36</v>
      </c>
      <c r="AP59" s="4" t="s">
        <v>472</v>
      </c>
      <c r="AQ59" t="s">
        <v>479</v>
      </c>
      <c r="AR59" t="s">
        <v>4505</v>
      </c>
      <c r="AS59" t="s">
        <v>67</v>
      </c>
      <c r="AT59" t="s">
        <v>161</v>
      </c>
      <c r="AU59" t="str">
        <f t="shared" si="7"/>
        <v>[1]</v>
      </c>
      <c r="AV59">
        <f t="shared" si="20"/>
        <v>48</v>
      </c>
      <c r="AW59" t="str">
        <f t="shared" si="13"/>
        <v>CRC.o</v>
      </c>
      <c r="AX59">
        <f>SUMIF(AT59:$AT$651,AW59,AV59:$AV$651)</f>
        <v>49</v>
      </c>
    </row>
    <row r="60" spans="1:50" x14ac:dyDescent="0.25">
      <c r="A60" s="4" t="s">
        <v>0</v>
      </c>
      <c r="B60" t="s">
        <v>449</v>
      </c>
      <c r="C60" t="s">
        <v>4384</v>
      </c>
      <c r="D60" t="s">
        <v>1679</v>
      </c>
      <c r="E60" t="s">
        <v>204</v>
      </c>
      <c r="F60" t="str">
        <f t="shared" si="0"/>
        <v>[1]</v>
      </c>
      <c r="G60">
        <f t="shared" si="14"/>
        <v>8768</v>
      </c>
      <c r="H60" t="str">
        <f t="shared" si="8"/>
        <v>ecc108_apps.o</v>
      </c>
      <c r="I60">
        <f>SUMIF(E60:$E$173,H60,G60:$G$173)</f>
        <v>8768</v>
      </c>
      <c r="K60" s="4" t="s">
        <v>421</v>
      </c>
      <c r="L60" t="s">
        <v>422</v>
      </c>
      <c r="M60" t="s">
        <v>4076</v>
      </c>
      <c r="N60" t="s">
        <v>165</v>
      </c>
      <c r="O60" t="s">
        <v>1131</v>
      </c>
      <c r="P60" t="str">
        <f t="shared" si="1"/>
        <v>[1]</v>
      </c>
      <c r="Q60">
        <f t="shared" si="17"/>
        <v>20</v>
      </c>
      <c r="R60" t="str">
        <f t="shared" si="10"/>
        <v/>
      </c>
      <c r="S60">
        <f>SUMIF(O60:$O$2855,R60,Q60:$Q$2855)</f>
        <v>0</v>
      </c>
      <c r="U60" t="s">
        <v>448</v>
      </c>
      <c r="V60" t="s">
        <v>422</v>
      </c>
      <c r="W60" t="s">
        <v>443</v>
      </c>
      <c r="X60" t="s">
        <v>443</v>
      </c>
      <c r="Y60" t="s">
        <v>612</v>
      </c>
      <c r="Z60" t="str">
        <f t="shared" si="3"/>
        <v>[1]</v>
      </c>
      <c r="AA60">
        <f t="shared" si="4"/>
        <v>0</v>
      </c>
      <c r="AB60" t="str">
        <f t="shared" si="15"/>
        <v/>
      </c>
      <c r="AC60">
        <f>SUMIF(Y60:$Y$94,AB60,AA60:$AA$94)</f>
        <v>0</v>
      </c>
      <c r="AE60" s="4" t="s">
        <v>470</v>
      </c>
      <c r="AF60" t="s">
        <v>476</v>
      </c>
      <c r="AG60" t="s">
        <v>1187</v>
      </c>
      <c r="AH60" t="s">
        <v>119</v>
      </c>
      <c r="AI60" t="s">
        <v>233</v>
      </c>
      <c r="AJ60" t="str">
        <f t="shared" si="5"/>
        <v>[1]</v>
      </c>
      <c r="AK60">
        <f t="shared" si="6"/>
        <v>32</v>
      </c>
      <c r="AL60" t="str">
        <f t="shared" si="11"/>
        <v>SM.o</v>
      </c>
      <c r="AM60">
        <f>SUMIF(AI60:$AI$121,AL60,AK60:$AK$121)</f>
        <v>32</v>
      </c>
      <c r="AP60" s="4" t="s">
        <v>472</v>
      </c>
      <c r="AQ60" t="s">
        <v>479</v>
      </c>
      <c r="AR60" t="s">
        <v>4512</v>
      </c>
      <c r="AS60" t="s">
        <v>442</v>
      </c>
      <c r="AT60" t="s">
        <v>161</v>
      </c>
      <c r="AU60" t="str">
        <f t="shared" si="7"/>
        <v>[1]</v>
      </c>
      <c r="AV60">
        <f t="shared" ref="AV60:AV61" si="21">HEX2DEC(MID(AS60,3,LEN(AS60)-2))</f>
        <v>1</v>
      </c>
      <c r="AW60" t="str">
        <f t="shared" si="13"/>
        <v/>
      </c>
      <c r="AX60">
        <f>SUMIF(AT60:$AT$651,AW60,AV60:$AV$651)</f>
        <v>0</v>
      </c>
    </row>
    <row r="61" spans="1:50" x14ac:dyDescent="0.25">
      <c r="A61" s="4" t="s">
        <v>0</v>
      </c>
      <c r="B61" t="s">
        <v>449</v>
      </c>
      <c r="C61" t="s">
        <v>4385</v>
      </c>
      <c r="D61" t="s">
        <v>1210</v>
      </c>
      <c r="E61" t="s">
        <v>299</v>
      </c>
      <c r="F61" t="str">
        <f t="shared" si="0"/>
        <v>[1]</v>
      </c>
      <c r="G61">
        <f t="shared" si="14"/>
        <v>478</v>
      </c>
      <c r="H61" t="str">
        <f t="shared" si="8"/>
        <v>ecc108_comm.o</v>
      </c>
      <c r="I61">
        <f>SUMIF(E61:$E$173,H61,G61:$G$173)</f>
        <v>478</v>
      </c>
      <c r="K61" s="4" t="s">
        <v>421</v>
      </c>
      <c r="L61" t="s">
        <v>422</v>
      </c>
      <c r="M61" t="s">
        <v>4077</v>
      </c>
      <c r="N61" t="s">
        <v>768</v>
      </c>
      <c r="O61" t="s">
        <v>1131</v>
      </c>
      <c r="P61" t="str">
        <f t="shared" si="1"/>
        <v>[1]</v>
      </c>
      <c r="Q61">
        <f t="shared" si="17"/>
        <v>160</v>
      </c>
      <c r="R61" t="str">
        <f t="shared" si="10"/>
        <v/>
      </c>
      <c r="S61">
        <f>SUMIF(O61:$O$2855,R61,Q61:$Q$2855)</f>
        <v>0</v>
      </c>
      <c r="U61" t="s">
        <v>448</v>
      </c>
      <c r="V61" t="s">
        <v>422</v>
      </c>
      <c r="W61" t="s">
        <v>443</v>
      </c>
      <c r="X61" t="s">
        <v>443</v>
      </c>
      <c r="Y61" t="s">
        <v>612</v>
      </c>
      <c r="Z61" t="str">
        <f t="shared" si="3"/>
        <v>[1]</v>
      </c>
      <c r="AA61">
        <f t="shared" si="4"/>
        <v>0</v>
      </c>
      <c r="AB61" t="str">
        <f t="shared" si="15"/>
        <v/>
      </c>
      <c r="AC61">
        <f>SUMIF(Y61:$Y$94,AB61,AA61:$AA$94)</f>
        <v>0</v>
      </c>
      <c r="AE61" s="4" t="s">
        <v>470</v>
      </c>
      <c r="AF61" t="s">
        <v>476</v>
      </c>
      <c r="AG61" t="s">
        <v>1533</v>
      </c>
      <c r="AH61" t="s">
        <v>442</v>
      </c>
      <c r="AI61" t="s">
        <v>294</v>
      </c>
      <c r="AJ61" t="str">
        <f t="shared" si="5"/>
        <v>[1]</v>
      </c>
      <c r="AK61">
        <f t="shared" si="6"/>
        <v>1</v>
      </c>
      <c r="AL61" t="str">
        <f t="shared" si="11"/>
        <v>spi_mstr.o</v>
      </c>
      <c r="AM61">
        <f>SUMIF(AI61:$AI$121,AL61,AK61:$AK$121)</f>
        <v>1</v>
      </c>
      <c r="AP61" s="4" t="s">
        <v>472</v>
      </c>
      <c r="AQ61" t="s">
        <v>479</v>
      </c>
      <c r="AR61" t="s">
        <v>1689</v>
      </c>
      <c r="AS61" t="s">
        <v>78</v>
      </c>
      <c r="AT61" t="s">
        <v>399</v>
      </c>
      <c r="AU61" t="str">
        <f t="shared" si="7"/>
        <v>[1]</v>
      </c>
      <c r="AV61">
        <f t="shared" si="21"/>
        <v>4</v>
      </c>
      <c r="AW61" t="str">
        <f t="shared" si="13"/>
        <v>crc16_m.o</v>
      </c>
      <c r="AX61">
        <f>SUMIF(AT61:$AT$651,AW61,AV61:$AV$651)</f>
        <v>4</v>
      </c>
    </row>
    <row r="62" spans="1:50" x14ac:dyDescent="0.25">
      <c r="A62" s="4" t="s">
        <v>0</v>
      </c>
      <c r="B62" t="s">
        <v>449</v>
      </c>
      <c r="C62" t="s">
        <v>4386</v>
      </c>
      <c r="D62" t="s">
        <v>1211</v>
      </c>
      <c r="E62" t="s">
        <v>300</v>
      </c>
      <c r="F62" t="str">
        <f t="shared" si="0"/>
        <v>[1]</v>
      </c>
      <c r="G62">
        <f t="shared" si="14"/>
        <v>564</v>
      </c>
      <c r="H62" t="str">
        <f t="shared" si="8"/>
        <v>ecc108_comm_marshaling.o</v>
      </c>
      <c r="I62">
        <f>SUMIF(E62:$E$173,H62,G62:$G$173)</f>
        <v>564</v>
      </c>
      <c r="K62" s="4" t="s">
        <v>421</v>
      </c>
      <c r="L62" t="s">
        <v>422</v>
      </c>
      <c r="M62" t="s">
        <v>1993</v>
      </c>
      <c r="N62" t="s">
        <v>253</v>
      </c>
      <c r="O62" t="s">
        <v>1131</v>
      </c>
      <c r="P62" t="str">
        <f t="shared" si="1"/>
        <v>[1]</v>
      </c>
      <c r="Q62">
        <f t="shared" si="17"/>
        <v>152</v>
      </c>
      <c r="R62" t="str">
        <f t="shared" si="10"/>
        <v/>
      </c>
      <c r="S62">
        <f>SUMIF(O62:$O$2855,R62,Q62:$Q$2855)</f>
        <v>0</v>
      </c>
      <c r="U62" t="s">
        <v>448</v>
      </c>
      <c r="V62" t="s">
        <v>422</v>
      </c>
      <c r="W62" t="s">
        <v>443</v>
      </c>
      <c r="X62" t="s">
        <v>443</v>
      </c>
      <c r="Y62" t="s">
        <v>612</v>
      </c>
      <c r="Z62" t="str">
        <f t="shared" si="3"/>
        <v>[1]</v>
      </c>
      <c r="AA62">
        <f t="shared" si="4"/>
        <v>0</v>
      </c>
      <c r="AB62" t="str">
        <f t="shared" si="15"/>
        <v/>
      </c>
      <c r="AC62">
        <f>SUMIF(Y62:$Y$94,AB62,AA62:$AA$94)</f>
        <v>0</v>
      </c>
      <c r="AE62" s="4" t="s">
        <v>470</v>
      </c>
      <c r="AF62" t="s">
        <v>476</v>
      </c>
      <c r="AG62" t="s">
        <v>1539</v>
      </c>
      <c r="AH62" t="s">
        <v>202</v>
      </c>
      <c r="AI62" t="s">
        <v>138</v>
      </c>
      <c r="AJ62" t="str">
        <f t="shared" si="5"/>
        <v>[1]</v>
      </c>
      <c r="AK62">
        <f t="shared" si="6"/>
        <v>16</v>
      </c>
      <c r="AL62" t="str">
        <f t="shared" si="11"/>
        <v>STACK.o</v>
      </c>
      <c r="AM62">
        <f>SUMIF(AI62:$AI$121,AL62,AK62:$AK$121)</f>
        <v>92</v>
      </c>
      <c r="AP62" s="4" t="s">
        <v>472</v>
      </c>
      <c r="AQ62" t="s">
        <v>479</v>
      </c>
      <c r="AR62" t="s">
        <v>4644</v>
      </c>
      <c r="AS62" t="s">
        <v>1037</v>
      </c>
      <c r="AT62" t="s">
        <v>1133</v>
      </c>
      <c r="AU62" t="str">
        <f t="shared" si="7"/>
        <v>[1]</v>
      </c>
      <c r="AV62">
        <f t="shared" ref="AV62:AV63" si="22">HEX2DEC(MID(AS62,3,LEN(AS62)-2))</f>
        <v>212</v>
      </c>
      <c r="AW62" t="str">
        <f t="shared" si="13"/>
        <v>da_srfn_reg.o</v>
      </c>
      <c r="AX62">
        <f>SUMIF(AT62:$AT$651,AW62,AV62:$AV$651)</f>
        <v>212</v>
      </c>
    </row>
    <row r="63" spans="1:50" x14ac:dyDescent="0.25">
      <c r="A63" s="4" t="s">
        <v>0</v>
      </c>
      <c r="B63" t="s">
        <v>449</v>
      </c>
      <c r="C63" t="s">
        <v>4387</v>
      </c>
      <c r="D63" t="s">
        <v>437</v>
      </c>
      <c r="E63" t="s">
        <v>298</v>
      </c>
      <c r="F63" t="str">
        <f t="shared" si="0"/>
        <v>[1]</v>
      </c>
      <c r="G63">
        <f t="shared" si="14"/>
        <v>24</v>
      </c>
      <c r="H63" t="str">
        <f t="shared" si="8"/>
        <v>ecc108_i2c.o</v>
      </c>
      <c r="I63">
        <f>SUMIF(E63:$E$173,H63,G63:$G$173)</f>
        <v>24</v>
      </c>
      <c r="K63" s="4" t="s">
        <v>421</v>
      </c>
      <c r="L63" t="s">
        <v>422</v>
      </c>
      <c r="M63" t="s">
        <v>4078</v>
      </c>
      <c r="N63" t="s">
        <v>202</v>
      </c>
      <c r="O63" t="s">
        <v>1132</v>
      </c>
      <c r="P63" t="str">
        <f t="shared" si="1"/>
        <v>[1]</v>
      </c>
      <c r="Q63">
        <f t="shared" si="17"/>
        <v>16</v>
      </c>
      <c r="R63" t="str">
        <f t="shared" si="10"/>
        <v>b2bMessage.o</v>
      </c>
      <c r="S63">
        <f>SUMIF(O63:$O$2855,R63,Q63:$Q$2855)</f>
        <v>284</v>
      </c>
      <c r="U63" t="s">
        <v>448</v>
      </c>
      <c r="V63" t="s">
        <v>422</v>
      </c>
      <c r="W63" t="s">
        <v>443</v>
      </c>
      <c r="X63" t="s">
        <v>443</v>
      </c>
      <c r="Y63" t="s">
        <v>612</v>
      </c>
      <c r="Z63" t="str">
        <f t="shared" ref="Z63:Z94" si="23">VLOOKUP($U$30,$E$1:$F$26,2,FALSE)</f>
        <v>[1]</v>
      </c>
      <c r="AA63">
        <f t="shared" si="4"/>
        <v>0</v>
      </c>
      <c r="AB63" t="str">
        <f t="shared" si="15"/>
        <v/>
      </c>
      <c r="AC63">
        <f>SUMIF(Y63:$Y$94,AB63,AA63:$AA$94)</f>
        <v>0</v>
      </c>
      <c r="AE63" s="4" t="s">
        <v>470</v>
      </c>
      <c r="AF63" t="s">
        <v>476</v>
      </c>
      <c r="AG63" t="s">
        <v>1540</v>
      </c>
      <c r="AH63" t="s">
        <v>76</v>
      </c>
      <c r="AI63" t="s">
        <v>138</v>
      </c>
      <c r="AJ63" t="str">
        <f t="shared" ref="AJ63:AJ94" si="24">VLOOKUP($AE$30,$E$1:$F$26,2,FALSE)</f>
        <v>[1]</v>
      </c>
      <c r="AK63">
        <f t="shared" si="6"/>
        <v>36</v>
      </c>
      <c r="AL63" t="str">
        <f t="shared" si="11"/>
        <v/>
      </c>
      <c r="AM63">
        <f>SUMIF(AI63:$AI$121,AL63,AK63:$AK$121)</f>
        <v>0</v>
      </c>
      <c r="AP63" s="4" t="s">
        <v>472</v>
      </c>
      <c r="AQ63" t="s">
        <v>479</v>
      </c>
      <c r="AR63" t="s">
        <v>4525</v>
      </c>
      <c r="AS63" t="s">
        <v>481</v>
      </c>
      <c r="AT63" t="s">
        <v>131</v>
      </c>
      <c r="AU63" t="str">
        <f t="shared" si="7"/>
        <v>[1]</v>
      </c>
      <c r="AV63">
        <f t="shared" si="22"/>
        <v>1604</v>
      </c>
      <c r="AW63" t="str">
        <f t="shared" si="13"/>
        <v>DBG_CommandLine.o</v>
      </c>
      <c r="AX63">
        <f>SUMIF(AT63:$AT$651,AW63,AV63:$AV$651)</f>
        <v>1930</v>
      </c>
    </row>
    <row r="64" spans="1:50" x14ac:dyDescent="0.25">
      <c r="A64" s="4" t="s">
        <v>0</v>
      </c>
      <c r="B64" t="s">
        <v>449</v>
      </c>
      <c r="C64" t="s">
        <v>4388</v>
      </c>
      <c r="D64" t="s">
        <v>1680</v>
      </c>
      <c r="E64" t="s">
        <v>205</v>
      </c>
      <c r="F64" t="str">
        <f t="shared" ref="F64:F95" si="25">VLOOKUP($A$30,$E$1:$F$26,2,FALSE)</f>
        <v>[1]</v>
      </c>
      <c r="G64">
        <f t="shared" si="14"/>
        <v>856</v>
      </c>
      <c r="H64" t="str">
        <f t="shared" si="8"/>
        <v>ecc108_mqx.o</v>
      </c>
      <c r="I64">
        <f>SUMIF(E64:$E$173,H64,G64:$G$173)</f>
        <v>856</v>
      </c>
      <c r="K64" s="4" t="s">
        <v>421</v>
      </c>
      <c r="L64" t="s">
        <v>422</v>
      </c>
      <c r="M64" t="s">
        <v>4079</v>
      </c>
      <c r="N64" t="s">
        <v>165</v>
      </c>
      <c r="O64" t="s">
        <v>1132</v>
      </c>
      <c r="P64" t="str">
        <f t="shared" si="1"/>
        <v>[1]</v>
      </c>
      <c r="Q64">
        <f t="shared" si="17"/>
        <v>20</v>
      </c>
      <c r="R64" t="str">
        <f t="shared" si="10"/>
        <v/>
      </c>
      <c r="S64">
        <f>SUMIF(O64:$O$2855,R64,Q64:$Q$2855)</f>
        <v>0</v>
      </c>
      <c r="U64" t="s">
        <v>743</v>
      </c>
      <c r="V64" t="s">
        <v>422</v>
      </c>
      <c r="W64" t="s">
        <v>443</v>
      </c>
      <c r="X64" t="s">
        <v>443</v>
      </c>
      <c r="Y64" t="s">
        <v>612</v>
      </c>
      <c r="Z64" t="str">
        <f t="shared" si="23"/>
        <v>[1]</v>
      </c>
      <c r="AA64">
        <f t="shared" si="4"/>
        <v>0</v>
      </c>
      <c r="AB64" t="str">
        <f t="shared" si="15"/>
        <v/>
      </c>
      <c r="AC64">
        <f>SUMIF(Y64:$Y$94,AB64,AA64:$AA$94)</f>
        <v>0</v>
      </c>
      <c r="AE64" s="4" t="s">
        <v>470</v>
      </c>
      <c r="AF64" t="s">
        <v>476</v>
      </c>
      <c r="AG64" t="s">
        <v>1541</v>
      </c>
      <c r="AH64" t="s">
        <v>76</v>
      </c>
      <c r="AI64" t="s">
        <v>138</v>
      </c>
      <c r="AJ64" t="str">
        <f t="shared" si="24"/>
        <v>[1]</v>
      </c>
      <c r="AK64">
        <f t="shared" si="6"/>
        <v>36</v>
      </c>
      <c r="AL64" t="str">
        <f t="shared" si="11"/>
        <v/>
      </c>
      <c r="AM64">
        <f>SUMIF(AI64:$AI$121,AL64,AK64:$AK$121)</f>
        <v>0</v>
      </c>
      <c r="AP64" s="4" t="s">
        <v>472</v>
      </c>
      <c r="AQ64" t="s">
        <v>479</v>
      </c>
      <c r="AR64" t="s">
        <v>4526</v>
      </c>
      <c r="AS64" t="s">
        <v>250</v>
      </c>
      <c r="AT64" t="s">
        <v>131</v>
      </c>
      <c r="AU64" t="str">
        <f t="shared" si="7"/>
        <v>[1]</v>
      </c>
      <c r="AV64">
        <f>HEX2DEC(MID(AS64,3,LEN(AS64)-2))</f>
        <v>140</v>
      </c>
      <c r="AW64" t="str">
        <f t="shared" si="13"/>
        <v/>
      </c>
      <c r="AX64">
        <f>SUMIF(AT64:$AT$651,AW64,AV64:$AV$651)</f>
        <v>0</v>
      </c>
    </row>
    <row r="65" spans="1:50" x14ac:dyDescent="0.25">
      <c r="A65" s="4" t="s">
        <v>0</v>
      </c>
      <c r="B65" t="s">
        <v>449</v>
      </c>
      <c r="C65" t="s">
        <v>4429</v>
      </c>
      <c r="D65" t="s">
        <v>1732</v>
      </c>
      <c r="E65" t="s">
        <v>227</v>
      </c>
      <c r="F65" t="str">
        <f t="shared" si="25"/>
        <v>[1]</v>
      </c>
      <c r="G65">
        <f t="shared" si="14"/>
        <v>742</v>
      </c>
      <c r="H65" t="str">
        <f t="shared" si="8"/>
        <v>ed_config.o</v>
      </c>
      <c r="I65">
        <f>SUMIF(E65:$E$173,H65,G65:$G$173)</f>
        <v>742</v>
      </c>
      <c r="K65" s="4" t="s">
        <v>421</v>
      </c>
      <c r="L65" t="s">
        <v>422</v>
      </c>
      <c r="M65" t="s">
        <v>4080</v>
      </c>
      <c r="N65" t="s">
        <v>165</v>
      </c>
      <c r="O65" t="s">
        <v>1132</v>
      </c>
      <c r="P65" t="str">
        <f t="shared" si="1"/>
        <v>[1]</v>
      </c>
      <c r="Q65">
        <f t="shared" ref="Q65:Q68" si="26">HEX2DEC(MID(N65,3,LEN(N65)-2))</f>
        <v>20</v>
      </c>
      <c r="R65" t="str">
        <f t="shared" si="10"/>
        <v/>
      </c>
      <c r="S65">
        <f>SUMIF(O65:$O$2855,R65,Q65:$Q$2855)</f>
        <v>0</v>
      </c>
      <c r="U65" t="s">
        <v>743</v>
      </c>
      <c r="V65" t="s">
        <v>422</v>
      </c>
      <c r="W65" t="s">
        <v>443</v>
      </c>
      <c r="X65" t="s">
        <v>443</v>
      </c>
      <c r="Y65" t="s">
        <v>612</v>
      </c>
      <c r="Z65" t="str">
        <f t="shared" si="23"/>
        <v>[1]</v>
      </c>
      <c r="AA65">
        <f t="shared" si="4"/>
        <v>0</v>
      </c>
      <c r="AB65" t="str">
        <f t="shared" ref="AB65:AB72" si="27">IF(Y65&lt;&gt;Y64,Y65,"")</f>
        <v/>
      </c>
      <c r="AC65">
        <f>SUMIF(Y65:$Y$94,AB65,AA65:$AA$94)</f>
        <v>0</v>
      </c>
      <c r="AE65" s="4" t="s">
        <v>470</v>
      </c>
      <c r="AF65" t="s">
        <v>476</v>
      </c>
      <c r="AG65" t="s">
        <v>1542</v>
      </c>
      <c r="AH65" t="s">
        <v>78</v>
      </c>
      <c r="AI65" t="s">
        <v>138</v>
      </c>
      <c r="AJ65" t="str">
        <f t="shared" si="24"/>
        <v>[1]</v>
      </c>
      <c r="AK65">
        <f t="shared" si="6"/>
        <v>4</v>
      </c>
      <c r="AL65" t="str">
        <f t="shared" si="11"/>
        <v/>
      </c>
      <c r="AM65">
        <f>SUMIF(AI65:$AI$121,AL65,AK65:$AK$121)</f>
        <v>0</v>
      </c>
      <c r="AP65" s="4" t="s">
        <v>472</v>
      </c>
      <c r="AQ65" t="s">
        <v>479</v>
      </c>
      <c r="AR65" t="s">
        <v>2055</v>
      </c>
      <c r="AS65" t="s">
        <v>78</v>
      </c>
      <c r="AT65" t="s">
        <v>131</v>
      </c>
      <c r="AU65" t="str">
        <f t="shared" si="7"/>
        <v>[1]</v>
      </c>
      <c r="AV65">
        <f>HEX2DEC(MID(AS65,3,LEN(AS65)-2))</f>
        <v>4</v>
      </c>
      <c r="AW65" t="str">
        <f t="shared" si="13"/>
        <v/>
      </c>
      <c r="AX65">
        <f>SUMIF(AT65:$AT$651,AW65,AV65:$AV$651)</f>
        <v>0</v>
      </c>
    </row>
    <row r="66" spans="1:50" x14ac:dyDescent="0.25">
      <c r="A66" s="4" t="s">
        <v>0</v>
      </c>
      <c r="B66" t="s">
        <v>449</v>
      </c>
      <c r="C66" t="s">
        <v>4430</v>
      </c>
      <c r="D66" t="s">
        <v>1733</v>
      </c>
      <c r="E66" t="s">
        <v>367</v>
      </c>
      <c r="F66" t="str">
        <f t="shared" si="25"/>
        <v>[1]</v>
      </c>
      <c r="G66">
        <f t="shared" si="14"/>
        <v>1000</v>
      </c>
      <c r="H66" t="str">
        <f t="shared" si="8"/>
        <v>endpt_cim_cmd.o</v>
      </c>
      <c r="I66">
        <f>SUMIF(E66:$E$173,H66,G66:$G$173)</f>
        <v>1000</v>
      </c>
      <c r="K66" s="4" t="s">
        <v>421</v>
      </c>
      <c r="L66" t="s">
        <v>422</v>
      </c>
      <c r="M66" t="s">
        <v>1788</v>
      </c>
      <c r="N66" t="s">
        <v>165</v>
      </c>
      <c r="O66" t="s">
        <v>1132</v>
      </c>
      <c r="P66" t="str">
        <f t="shared" si="1"/>
        <v>[1]</v>
      </c>
      <c r="Q66">
        <f t="shared" si="26"/>
        <v>20</v>
      </c>
      <c r="R66" t="str">
        <f t="shared" si="10"/>
        <v/>
      </c>
      <c r="S66">
        <f>SUMIF(O66:$O$2855,R66,Q66:$Q$2855)</f>
        <v>0</v>
      </c>
      <c r="U66" t="s">
        <v>743</v>
      </c>
      <c r="V66" t="s">
        <v>422</v>
      </c>
      <c r="W66" t="s">
        <v>443</v>
      </c>
      <c r="X66" t="s">
        <v>443</v>
      </c>
      <c r="Y66" t="s">
        <v>612</v>
      </c>
      <c r="Z66" t="str">
        <f t="shared" si="23"/>
        <v>[1]</v>
      </c>
      <c r="AA66">
        <f t="shared" si="4"/>
        <v>0</v>
      </c>
      <c r="AB66" t="str">
        <f t="shared" si="27"/>
        <v/>
      </c>
      <c r="AC66">
        <f>SUMIF(Y66:$Y$94,AB66,AA66:$AA$94)</f>
        <v>0</v>
      </c>
      <c r="AE66" s="4" t="s">
        <v>470</v>
      </c>
      <c r="AF66" t="s">
        <v>476</v>
      </c>
      <c r="AG66" t="s">
        <v>4447</v>
      </c>
      <c r="AH66" t="s">
        <v>442</v>
      </c>
      <c r="AI66" t="s">
        <v>198</v>
      </c>
      <c r="AJ66" t="str">
        <f t="shared" si="24"/>
        <v>[1]</v>
      </c>
      <c r="AK66">
        <f t="shared" si="6"/>
        <v>1</v>
      </c>
      <c r="AL66" t="str">
        <f t="shared" si="11"/>
        <v>STRT_Startup.o</v>
      </c>
      <c r="AM66">
        <f>SUMIF(AI66:$AI$121,AL66,AK66:$AK$121)</f>
        <v>2</v>
      </c>
      <c r="AP66" s="4" t="s">
        <v>472</v>
      </c>
      <c r="AQ66" t="s">
        <v>479</v>
      </c>
      <c r="AR66" t="s">
        <v>4527</v>
      </c>
      <c r="AS66" t="s">
        <v>171</v>
      </c>
      <c r="AT66" t="s">
        <v>131</v>
      </c>
      <c r="AU66" t="str">
        <f t="shared" si="7"/>
        <v>[1]</v>
      </c>
      <c r="AV66">
        <f t="shared" ref="AV66:AV67" si="28">HEX2DEC(MID(AS66,3,LEN(AS66)-2))</f>
        <v>172</v>
      </c>
      <c r="AW66" t="str">
        <f t="shared" si="13"/>
        <v/>
      </c>
      <c r="AX66">
        <f>SUMIF(AT66:$AT$651,AW66,AV66:$AV$651)</f>
        <v>0</v>
      </c>
    </row>
    <row r="67" spans="1:50" x14ac:dyDescent="0.25">
      <c r="A67" s="4" t="s">
        <v>0</v>
      </c>
      <c r="B67" t="s">
        <v>449</v>
      </c>
      <c r="C67" t="s">
        <v>2029</v>
      </c>
      <c r="D67" t="s">
        <v>1213</v>
      </c>
      <c r="E67" t="s">
        <v>249</v>
      </c>
      <c r="F67" t="str">
        <f t="shared" si="25"/>
        <v>[1]</v>
      </c>
      <c r="G67">
        <f t="shared" si="14"/>
        <v>3164</v>
      </c>
      <c r="H67" t="str">
        <f t="shared" si="8"/>
        <v>eng_res.o</v>
      </c>
      <c r="I67">
        <f>SUMIF(E67:$E$173,H67,G67:$G$173)</f>
        <v>3164</v>
      </c>
      <c r="K67" s="4" t="s">
        <v>421</v>
      </c>
      <c r="L67" t="s">
        <v>422</v>
      </c>
      <c r="M67" t="s">
        <v>4081</v>
      </c>
      <c r="N67" t="s">
        <v>165</v>
      </c>
      <c r="O67" t="s">
        <v>1132</v>
      </c>
      <c r="P67" t="str">
        <f t="shared" si="1"/>
        <v>[1]</v>
      </c>
      <c r="Q67">
        <f t="shared" si="26"/>
        <v>20</v>
      </c>
      <c r="R67" t="str">
        <f t="shared" si="10"/>
        <v/>
      </c>
      <c r="S67">
        <f>SUMIF(O67:$O$2855,R67,Q67:$Q$2855)</f>
        <v>0</v>
      </c>
      <c r="U67" t="s">
        <v>743</v>
      </c>
      <c r="V67" t="s">
        <v>422</v>
      </c>
      <c r="W67" t="s">
        <v>443</v>
      </c>
      <c r="X67" t="s">
        <v>443</v>
      </c>
      <c r="Y67" t="s">
        <v>612</v>
      </c>
      <c r="Z67" t="str">
        <f t="shared" si="23"/>
        <v>[1]</v>
      </c>
      <c r="AA67">
        <f t="shared" si="4"/>
        <v>0</v>
      </c>
      <c r="AB67" t="str">
        <f t="shared" si="27"/>
        <v/>
      </c>
      <c r="AC67">
        <f>SUMIF(Y67:$Y$94,AB67,AA67:$AA$94)</f>
        <v>0</v>
      </c>
      <c r="AE67" s="4" t="s">
        <v>470</v>
      </c>
      <c r="AF67" t="s">
        <v>476</v>
      </c>
      <c r="AG67" t="s">
        <v>4448</v>
      </c>
      <c r="AH67" t="s">
        <v>442</v>
      </c>
      <c r="AI67" t="s">
        <v>198</v>
      </c>
      <c r="AJ67" t="str">
        <f t="shared" si="24"/>
        <v>[1]</v>
      </c>
      <c r="AK67">
        <f t="shared" si="6"/>
        <v>1</v>
      </c>
      <c r="AL67" t="str">
        <f t="shared" si="11"/>
        <v/>
      </c>
      <c r="AM67">
        <f>SUMIF(AI67:$AI$121,AL67,AK67:$AK$121)</f>
        <v>0</v>
      </c>
      <c r="AP67" s="4" t="s">
        <v>472</v>
      </c>
      <c r="AQ67" t="s">
        <v>479</v>
      </c>
      <c r="AR67" t="s">
        <v>4606</v>
      </c>
      <c r="AS67" t="s">
        <v>46</v>
      </c>
      <c r="AT67" t="s">
        <v>131</v>
      </c>
      <c r="AU67" t="str">
        <f t="shared" si="7"/>
        <v>[1]</v>
      </c>
      <c r="AV67">
        <f t="shared" si="28"/>
        <v>2</v>
      </c>
      <c r="AW67" t="str">
        <f t="shared" si="13"/>
        <v/>
      </c>
      <c r="AX67">
        <f>SUMIF(AT67:$AT$651,AW67,AV67:$AV$651)</f>
        <v>0</v>
      </c>
    </row>
    <row r="68" spans="1:50" x14ac:dyDescent="0.25">
      <c r="A68" s="4" t="s">
        <v>0</v>
      </c>
      <c r="B68" t="s">
        <v>449</v>
      </c>
      <c r="C68" t="s">
        <v>4350</v>
      </c>
      <c r="D68" t="s">
        <v>1513</v>
      </c>
      <c r="E68" s="1" t="s">
        <v>1106</v>
      </c>
      <c r="F68" t="str">
        <f t="shared" si="25"/>
        <v>[1]</v>
      </c>
      <c r="G68">
        <f t="shared" si="14"/>
        <v>268</v>
      </c>
      <c r="H68" t="str">
        <f t="shared" si="8"/>
        <v>EstimateCarrierFrequencyOffset.o</v>
      </c>
      <c r="I68">
        <f>SUMIF(E68:$E$173,H68,G68:$G$173)</f>
        <v>268</v>
      </c>
      <c r="K68" s="4" t="s">
        <v>421</v>
      </c>
      <c r="L68" t="s">
        <v>422</v>
      </c>
      <c r="M68" t="s">
        <v>4082</v>
      </c>
      <c r="N68" t="s">
        <v>437</v>
      </c>
      <c r="O68" t="s">
        <v>1132</v>
      </c>
      <c r="P68" t="str">
        <f t="shared" si="1"/>
        <v>[1]</v>
      </c>
      <c r="Q68">
        <f t="shared" si="26"/>
        <v>24</v>
      </c>
      <c r="R68" t="str">
        <f t="shared" si="10"/>
        <v/>
      </c>
      <c r="S68">
        <f>SUMIF(O68:$O$2855,R68,Q68:$Q$2855)</f>
        <v>0</v>
      </c>
      <c r="U68" t="s">
        <v>743</v>
      </c>
      <c r="V68" t="s">
        <v>422</v>
      </c>
      <c r="W68" t="s">
        <v>443</v>
      </c>
      <c r="X68" t="s">
        <v>443</v>
      </c>
      <c r="Y68" t="s">
        <v>612</v>
      </c>
      <c r="Z68" t="str">
        <f t="shared" si="23"/>
        <v>[1]</v>
      </c>
      <c r="AA68">
        <f t="shared" si="4"/>
        <v>0</v>
      </c>
      <c r="AB68" t="str">
        <f t="shared" si="27"/>
        <v/>
      </c>
      <c r="AC68">
        <f>SUMIF(Y68:$Y$94,AB68,AA68:$AA$94)</f>
        <v>0</v>
      </c>
      <c r="AE68" s="4" t="s">
        <v>470</v>
      </c>
      <c r="AF68" t="s">
        <v>476</v>
      </c>
      <c r="AG68" t="s">
        <v>4449</v>
      </c>
      <c r="AH68" t="s">
        <v>442</v>
      </c>
      <c r="AI68" t="s">
        <v>83</v>
      </c>
      <c r="AJ68" t="str">
        <f t="shared" si="24"/>
        <v>[1]</v>
      </c>
      <c r="AK68">
        <f t="shared" si="6"/>
        <v>1</v>
      </c>
      <c r="AL68" t="str">
        <f t="shared" si="11"/>
        <v>Task.o</v>
      </c>
      <c r="AM68">
        <f>SUMIF(AI68:$AI$121,AL68,AK68:$AK$121)</f>
        <v>1</v>
      </c>
      <c r="AP68" s="4" t="s">
        <v>472</v>
      </c>
      <c r="AQ68" t="s">
        <v>479</v>
      </c>
      <c r="AR68" t="s">
        <v>4607</v>
      </c>
      <c r="AS68" t="s">
        <v>46</v>
      </c>
      <c r="AT68" t="s">
        <v>131</v>
      </c>
      <c r="AU68" t="str">
        <f t="shared" si="7"/>
        <v>[1]</v>
      </c>
      <c r="AV68">
        <f t="shared" ref="AV68:AV70" si="29">HEX2DEC(MID(AS68,3,LEN(AS68)-2))</f>
        <v>2</v>
      </c>
      <c r="AW68" t="str">
        <f t="shared" si="13"/>
        <v/>
      </c>
      <c r="AX68">
        <f>SUMIF(AT68:$AT$651,AW68,AV68:$AV$651)</f>
        <v>0</v>
      </c>
    </row>
    <row r="69" spans="1:50" x14ac:dyDescent="0.25">
      <c r="A69" s="4" t="s">
        <v>0</v>
      </c>
      <c r="B69" t="s">
        <v>449</v>
      </c>
      <c r="C69" t="s">
        <v>4372</v>
      </c>
      <c r="D69" t="s">
        <v>1037</v>
      </c>
      <c r="E69" t="s">
        <v>239</v>
      </c>
      <c r="F69" t="str">
        <f t="shared" si="25"/>
        <v>[1]</v>
      </c>
      <c r="G69">
        <f t="shared" si="14"/>
        <v>212</v>
      </c>
      <c r="H69" t="str">
        <f t="shared" si="8"/>
        <v>Event.o</v>
      </c>
      <c r="I69">
        <f>SUMIF(E69:$E$173,H69,G69:$G$173)</f>
        <v>212</v>
      </c>
      <c r="K69" s="4" t="s">
        <v>421</v>
      </c>
      <c r="L69" t="s">
        <v>422</v>
      </c>
      <c r="M69" t="s">
        <v>4083</v>
      </c>
      <c r="N69" t="s">
        <v>437</v>
      </c>
      <c r="O69" t="s">
        <v>1132</v>
      </c>
      <c r="P69" t="str">
        <f t="shared" si="1"/>
        <v>[1]</v>
      </c>
      <c r="Q69">
        <f t="shared" ref="Q69:Q71" si="30">HEX2DEC(MID(N69,3,LEN(N69)-2))</f>
        <v>24</v>
      </c>
      <c r="R69" t="str">
        <f t="shared" si="10"/>
        <v/>
      </c>
      <c r="S69">
        <f>SUMIF(O69:$O$2855,R69,Q69:$Q$2855)</f>
        <v>0</v>
      </c>
      <c r="U69" t="s">
        <v>743</v>
      </c>
      <c r="V69" t="s">
        <v>422</v>
      </c>
      <c r="W69" t="s">
        <v>443</v>
      </c>
      <c r="X69" t="s">
        <v>443</v>
      </c>
      <c r="Y69" t="s">
        <v>612</v>
      </c>
      <c r="Z69" t="str">
        <f t="shared" si="23"/>
        <v>[1]</v>
      </c>
      <c r="AA69">
        <f t="shared" si="4"/>
        <v>0</v>
      </c>
      <c r="AB69" t="str">
        <f t="shared" si="27"/>
        <v/>
      </c>
      <c r="AC69">
        <f>SUMIF(Y69:$Y$94,AB69,AA69:$AA$94)</f>
        <v>0</v>
      </c>
      <c r="AE69" s="4" t="s">
        <v>470</v>
      </c>
      <c r="AF69" t="s">
        <v>476</v>
      </c>
      <c r="AG69" t="s">
        <v>1556</v>
      </c>
      <c r="AH69" t="s">
        <v>442</v>
      </c>
      <c r="AI69" t="s">
        <v>1038</v>
      </c>
      <c r="AJ69" t="str">
        <f t="shared" si="24"/>
        <v>[1]</v>
      </c>
      <c r="AK69">
        <f t="shared" si="6"/>
        <v>1</v>
      </c>
      <c r="AL69" t="str">
        <f t="shared" si="11"/>
        <v>time_sync.o</v>
      </c>
      <c r="AM69">
        <f>SUMIF(AI69:$AI$121,AL69,AK69:$AK$121)</f>
        <v>1</v>
      </c>
      <c r="AP69" s="4" t="s">
        <v>472</v>
      </c>
      <c r="AQ69" t="s">
        <v>479</v>
      </c>
      <c r="AR69" t="s">
        <v>4608</v>
      </c>
      <c r="AS69" t="s">
        <v>46</v>
      </c>
      <c r="AT69" t="s">
        <v>131</v>
      </c>
      <c r="AU69" t="str">
        <f t="shared" si="7"/>
        <v>[1]</v>
      </c>
      <c r="AV69">
        <f t="shared" si="29"/>
        <v>2</v>
      </c>
      <c r="AW69" t="str">
        <f t="shared" si="13"/>
        <v/>
      </c>
      <c r="AX69">
        <f>SUMIF(AT69:$AT$651,AW69,AV69:$AV$651)</f>
        <v>0</v>
      </c>
    </row>
    <row r="70" spans="1:50" x14ac:dyDescent="0.25">
      <c r="A70" s="4" t="s">
        <v>0</v>
      </c>
      <c r="B70" t="s">
        <v>449</v>
      </c>
      <c r="C70" t="s">
        <v>2030</v>
      </c>
      <c r="D70" t="s">
        <v>1731</v>
      </c>
      <c r="E70" t="s">
        <v>136</v>
      </c>
      <c r="F70" t="str">
        <f t="shared" si="25"/>
        <v>[1]</v>
      </c>
      <c r="G70">
        <f t="shared" si="14"/>
        <v>8188</v>
      </c>
      <c r="H70" t="str">
        <f t="shared" si="8"/>
        <v>EVL_event_log.o</v>
      </c>
      <c r="I70">
        <f>SUMIF(E70:$E$173,H70,G70:$G$173)</f>
        <v>8188</v>
      </c>
      <c r="K70" s="4" t="s">
        <v>421</v>
      </c>
      <c r="L70" t="s">
        <v>422</v>
      </c>
      <c r="M70" t="s">
        <v>4084</v>
      </c>
      <c r="N70" t="s">
        <v>437</v>
      </c>
      <c r="O70" t="s">
        <v>1132</v>
      </c>
      <c r="P70" t="str">
        <f t="shared" si="1"/>
        <v>[1]</v>
      </c>
      <c r="Q70">
        <f t="shared" si="30"/>
        <v>24</v>
      </c>
      <c r="R70" t="str">
        <f t="shared" si="10"/>
        <v/>
      </c>
      <c r="S70">
        <f>SUMIF(O70:$O$2855,R70,Q70:$Q$2855)</f>
        <v>0</v>
      </c>
      <c r="U70" t="s">
        <v>743</v>
      </c>
      <c r="V70" t="s">
        <v>422</v>
      </c>
      <c r="W70" t="s">
        <v>443</v>
      </c>
      <c r="X70" t="s">
        <v>443</v>
      </c>
      <c r="Y70" t="s">
        <v>612</v>
      </c>
      <c r="Z70" t="str">
        <f t="shared" si="23"/>
        <v>[1]</v>
      </c>
      <c r="AA70">
        <f t="shared" si="4"/>
        <v>0</v>
      </c>
      <c r="AB70" t="str">
        <f t="shared" si="27"/>
        <v/>
      </c>
      <c r="AC70">
        <f>SUMIF(Y70:$Y$94,AB70,AA70:$AA$94)</f>
        <v>0</v>
      </c>
      <c r="AE70" s="4" t="s">
        <v>470</v>
      </c>
      <c r="AF70" t="s">
        <v>476</v>
      </c>
      <c r="AG70" t="s">
        <v>1527</v>
      </c>
      <c r="AH70" t="s">
        <v>46</v>
      </c>
      <c r="AI70" t="s">
        <v>130</v>
      </c>
      <c r="AJ70" t="str">
        <f t="shared" si="24"/>
        <v>[1]</v>
      </c>
      <c r="AK70">
        <f t="shared" si="6"/>
        <v>2</v>
      </c>
      <c r="AL70" t="str">
        <f t="shared" si="11"/>
        <v>timer_util.o</v>
      </c>
      <c r="AM70">
        <f>SUMIF(AI70:$AI$121,AL70,AK70:$AK$121)</f>
        <v>2</v>
      </c>
      <c r="AP70" s="4" t="s">
        <v>472</v>
      </c>
      <c r="AQ70" t="s">
        <v>479</v>
      </c>
      <c r="AR70" t="s">
        <v>4609</v>
      </c>
      <c r="AS70" t="s">
        <v>46</v>
      </c>
      <c r="AT70" t="s">
        <v>131</v>
      </c>
      <c r="AU70" t="str">
        <f t="shared" si="7"/>
        <v>[1]</v>
      </c>
      <c r="AV70">
        <f t="shared" si="29"/>
        <v>2</v>
      </c>
      <c r="AW70" t="str">
        <f t="shared" si="13"/>
        <v/>
      </c>
      <c r="AX70">
        <f>SUMIF(AT70:$AT$651,AW70,AV70:$AV$651)</f>
        <v>0</v>
      </c>
    </row>
    <row r="71" spans="1:50" x14ac:dyDescent="0.25">
      <c r="A71" s="4" t="s">
        <v>0</v>
      </c>
      <c r="B71" t="s">
        <v>449</v>
      </c>
      <c r="C71" t="s">
        <v>2031</v>
      </c>
      <c r="D71" t="s">
        <v>1254</v>
      </c>
      <c r="E71" t="s">
        <v>118</v>
      </c>
      <c r="F71" t="str">
        <f t="shared" si="25"/>
        <v>[1]</v>
      </c>
      <c r="G71">
        <f t="shared" si="14"/>
        <v>2424</v>
      </c>
      <c r="H71" t="str">
        <f t="shared" si="8"/>
        <v>file_io.o</v>
      </c>
      <c r="I71">
        <f>SUMIF(E71:$E$173,H71,G71:$G$173)</f>
        <v>2424</v>
      </c>
      <c r="K71" s="4" t="s">
        <v>421</v>
      </c>
      <c r="L71" t="s">
        <v>422</v>
      </c>
      <c r="M71" t="s">
        <v>4085</v>
      </c>
      <c r="N71" t="s">
        <v>165</v>
      </c>
      <c r="O71" t="s">
        <v>1132</v>
      </c>
      <c r="P71" t="str">
        <f t="shared" si="1"/>
        <v>[1]</v>
      </c>
      <c r="Q71">
        <f t="shared" si="30"/>
        <v>20</v>
      </c>
      <c r="R71" t="str">
        <f t="shared" si="10"/>
        <v/>
      </c>
      <c r="S71">
        <f>SUMIF(O71:$O$2855,R71,Q71:$Q$2855)</f>
        <v>0</v>
      </c>
      <c r="U71" t="s">
        <v>743</v>
      </c>
      <c r="V71" t="s">
        <v>422</v>
      </c>
      <c r="W71" t="s">
        <v>443</v>
      </c>
      <c r="X71" t="s">
        <v>443</v>
      </c>
      <c r="Y71" t="s">
        <v>612</v>
      </c>
      <c r="Z71" t="str">
        <f t="shared" si="23"/>
        <v>[1]</v>
      </c>
      <c r="AA71">
        <f t="shared" ref="AA71:AA72" si="31">HEX2DEC(MID(X71,3,LEN(X71)-2))</f>
        <v>0</v>
      </c>
      <c r="AB71" t="str">
        <f t="shared" si="27"/>
        <v/>
      </c>
      <c r="AC71">
        <f>SUMIF(Y71:$Y$94,AB71,AA71:$AA$94)</f>
        <v>0</v>
      </c>
      <c r="AE71" s="4" t="s">
        <v>470</v>
      </c>
      <c r="AF71" t="s">
        <v>476</v>
      </c>
      <c r="AG71" t="s">
        <v>443</v>
      </c>
      <c r="AH71" t="s">
        <v>443</v>
      </c>
      <c r="AI71" t="s">
        <v>612</v>
      </c>
      <c r="AJ71" t="str">
        <f t="shared" si="24"/>
        <v>[1]</v>
      </c>
      <c r="AK71">
        <f t="shared" si="6"/>
        <v>0</v>
      </c>
      <c r="AL71" t="str">
        <f t="shared" si="11"/>
        <v>placeholder</v>
      </c>
      <c r="AM71">
        <f>SUMIF(AI71:$AI$121,AL71,AK71:$AK$121)</f>
        <v>0</v>
      </c>
      <c r="AP71" s="4" t="s">
        <v>472</v>
      </c>
      <c r="AQ71" t="s">
        <v>479</v>
      </c>
      <c r="AR71" t="s">
        <v>4619</v>
      </c>
      <c r="AS71" t="s">
        <v>442</v>
      </c>
      <c r="AT71" t="s">
        <v>131</v>
      </c>
      <c r="AU71" t="str">
        <f t="shared" si="7"/>
        <v>[1]</v>
      </c>
      <c r="AV71">
        <f t="shared" ref="AV71:AV72" si="32">HEX2DEC(MID(AS71,3,LEN(AS71)-2))</f>
        <v>1</v>
      </c>
      <c r="AW71" t="str">
        <f t="shared" si="13"/>
        <v/>
      </c>
      <c r="AX71">
        <f>SUMIF(AT71:$AT$651,AW71,AV71:$AV$651)</f>
        <v>0</v>
      </c>
    </row>
    <row r="72" spans="1:50" x14ac:dyDescent="0.25">
      <c r="A72" s="4" t="s">
        <v>0</v>
      </c>
      <c r="B72" t="s">
        <v>449</v>
      </c>
      <c r="C72" t="s">
        <v>4361</v>
      </c>
      <c r="D72" t="s">
        <v>253</v>
      </c>
      <c r="E72" t="s">
        <v>1118</v>
      </c>
      <c r="F72" t="str">
        <f t="shared" si="25"/>
        <v>[1]</v>
      </c>
      <c r="G72">
        <f t="shared" si="14"/>
        <v>152</v>
      </c>
      <c r="H72" t="str">
        <f t="shared" si="8"/>
        <v>findSYNC.o</v>
      </c>
      <c r="I72">
        <f>SUMIF(E72:$E$173,H72,G72:$G$173)</f>
        <v>152</v>
      </c>
      <c r="K72" s="4" t="s">
        <v>421</v>
      </c>
      <c r="L72" t="s">
        <v>422</v>
      </c>
      <c r="M72" t="s">
        <v>1994</v>
      </c>
      <c r="N72" t="s">
        <v>13</v>
      </c>
      <c r="O72" t="s">
        <v>1132</v>
      </c>
      <c r="P72" t="str">
        <f t="shared" si="1"/>
        <v>[1]</v>
      </c>
      <c r="Q72">
        <f t="shared" ref="Q72:Q93" si="33">HEX2DEC(MID(N72,3,LEN(N72)-2))</f>
        <v>12</v>
      </c>
      <c r="R72" t="str">
        <f t="shared" si="10"/>
        <v/>
      </c>
      <c r="S72">
        <f>SUMIF(O72:$O$2855,R72,Q72:$Q$2855)</f>
        <v>0</v>
      </c>
      <c r="U72" t="s">
        <v>743</v>
      </c>
      <c r="V72" t="s">
        <v>422</v>
      </c>
      <c r="W72" t="s">
        <v>443</v>
      </c>
      <c r="X72" t="s">
        <v>443</v>
      </c>
      <c r="Y72" t="s">
        <v>612</v>
      </c>
      <c r="Z72" t="str">
        <f t="shared" si="23"/>
        <v>[1]</v>
      </c>
      <c r="AA72">
        <f t="shared" si="31"/>
        <v>0</v>
      </c>
      <c r="AB72" t="str">
        <f t="shared" si="27"/>
        <v/>
      </c>
      <c r="AC72">
        <f>SUMIF(Y72:$Y$94,AB72,AA72:$AA$94)</f>
        <v>0</v>
      </c>
      <c r="AE72" s="4" t="s">
        <v>470</v>
      </c>
      <c r="AF72" t="s">
        <v>476</v>
      </c>
      <c r="AG72" t="s">
        <v>443</v>
      </c>
      <c r="AH72" t="s">
        <v>443</v>
      </c>
      <c r="AI72" t="s">
        <v>612</v>
      </c>
      <c r="AJ72" t="str">
        <f t="shared" si="24"/>
        <v>[1]</v>
      </c>
      <c r="AK72">
        <f t="shared" si="6"/>
        <v>0</v>
      </c>
      <c r="AL72" t="str">
        <f t="shared" si="11"/>
        <v/>
      </c>
      <c r="AM72">
        <f>SUMIF(AI72:$AI$121,AL72,AK72:$AK$121)</f>
        <v>0</v>
      </c>
      <c r="AP72" s="4" t="s">
        <v>472</v>
      </c>
      <c r="AQ72" t="s">
        <v>479</v>
      </c>
      <c r="AR72" t="s">
        <v>4620</v>
      </c>
      <c r="AS72" t="s">
        <v>442</v>
      </c>
      <c r="AT72" t="s">
        <v>131</v>
      </c>
      <c r="AU72" t="str">
        <f t="shared" si="7"/>
        <v>[1]</v>
      </c>
      <c r="AV72">
        <f t="shared" si="32"/>
        <v>1</v>
      </c>
      <c r="AW72" t="str">
        <f t="shared" si="13"/>
        <v/>
      </c>
      <c r="AX72">
        <f>SUMIF(AT72:$AT$651,AW72,AV72:$AV$651)</f>
        <v>0</v>
      </c>
    </row>
    <row r="73" spans="1:50" x14ac:dyDescent="0.25">
      <c r="A73" s="4" t="s">
        <v>0</v>
      </c>
      <c r="B73" t="s">
        <v>449</v>
      </c>
      <c r="C73" t="s">
        <v>4358</v>
      </c>
      <c r="D73" t="s">
        <v>1088</v>
      </c>
      <c r="E73" t="s">
        <v>1115</v>
      </c>
      <c r="F73" t="str">
        <f t="shared" si="25"/>
        <v>[1]</v>
      </c>
      <c r="G73">
        <f t="shared" si="14"/>
        <v>344</v>
      </c>
      <c r="H73" t="str">
        <f t="shared" si="8"/>
        <v>fir_filt_circ_buff.o</v>
      </c>
      <c r="I73">
        <f>SUMIF(E73:$E$173,H73,G73:$G$173)</f>
        <v>344</v>
      </c>
      <c r="K73" s="4" t="s">
        <v>421</v>
      </c>
      <c r="L73" t="s">
        <v>422</v>
      </c>
      <c r="M73" t="s">
        <v>4086</v>
      </c>
      <c r="N73" t="s">
        <v>13</v>
      </c>
      <c r="O73" t="s">
        <v>1132</v>
      </c>
      <c r="P73" t="str">
        <f t="shared" si="1"/>
        <v>[1]</v>
      </c>
      <c r="Q73">
        <f t="shared" si="33"/>
        <v>12</v>
      </c>
      <c r="R73" t="str">
        <f t="shared" si="10"/>
        <v/>
      </c>
      <c r="S73">
        <f>SUMIF(O73:$O$2855,R73,Q73:$Q$2855)</f>
        <v>0</v>
      </c>
      <c r="U73" t="s">
        <v>743</v>
      </c>
      <c r="V73" t="s">
        <v>422</v>
      </c>
      <c r="W73" t="s">
        <v>443</v>
      </c>
      <c r="X73" t="s">
        <v>443</v>
      </c>
      <c r="Y73" t="s">
        <v>612</v>
      </c>
      <c r="Z73" t="str">
        <f t="shared" si="23"/>
        <v>[1]</v>
      </c>
      <c r="AA73">
        <f t="shared" si="4"/>
        <v>0</v>
      </c>
      <c r="AB73" t="str">
        <f t="shared" si="15"/>
        <v/>
      </c>
      <c r="AC73">
        <f>SUMIF(Y73:$Y$94,AB73,AA73:$AA$94)</f>
        <v>0</v>
      </c>
      <c r="AE73" s="4" t="s">
        <v>470</v>
      </c>
      <c r="AF73" t="s">
        <v>476</v>
      </c>
      <c r="AG73" t="s">
        <v>443</v>
      </c>
      <c r="AH73" t="s">
        <v>443</v>
      </c>
      <c r="AI73" t="s">
        <v>612</v>
      </c>
      <c r="AJ73" t="str">
        <f t="shared" si="24"/>
        <v>[1]</v>
      </c>
      <c r="AK73">
        <f t="shared" si="6"/>
        <v>0</v>
      </c>
      <c r="AL73" t="str">
        <f t="shared" si="11"/>
        <v/>
      </c>
      <c r="AM73">
        <f>SUMIF(AI73:$AI$121,AL73,AK73:$AK$121)</f>
        <v>0</v>
      </c>
      <c r="AP73" s="4" t="s">
        <v>472</v>
      </c>
      <c r="AQ73" t="s">
        <v>479</v>
      </c>
      <c r="AR73" t="s">
        <v>4528</v>
      </c>
      <c r="AS73" t="s">
        <v>13</v>
      </c>
      <c r="AT73" t="s">
        <v>82</v>
      </c>
      <c r="AU73" t="str">
        <f t="shared" si="7"/>
        <v>[1]</v>
      </c>
      <c r="AV73">
        <f>HEX2DEC(MID(AS73,3,LEN(AS73)-2))</f>
        <v>12</v>
      </c>
      <c r="AW73" t="str">
        <f t="shared" si="13"/>
        <v>DBG_SerialDebug.o</v>
      </c>
      <c r="AX73">
        <f>SUMIF(AT73:$AT$651,AW73,AV73:$AV$651)</f>
        <v>2036</v>
      </c>
    </row>
    <row r="74" spans="1:50" x14ac:dyDescent="0.25">
      <c r="A74" s="4" t="s">
        <v>0</v>
      </c>
      <c r="B74" t="s">
        <v>449</v>
      </c>
      <c r="C74" t="s">
        <v>4362</v>
      </c>
      <c r="D74" t="s">
        <v>1253</v>
      </c>
      <c r="E74" t="s">
        <v>1120</v>
      </c>
      <c r="F74" t="str">
        <f t="shared" si="25"/>
        <v>[1]</v>
      </c>
      <c r="G74">
        <f t="shared" si="14"/>
        <v>580</v>
      </c>
      <c r="H74" t="str">
        <f t="shared" si="8"/>
        <v>FreqDomMlseP4GfskStruct2.o</v>
      </c>
      <c r="I74">
        <f>SUMIF(E74:$E$173,H74,G74:$G$173)</f>
        <v>580</v>
      </c>
      <c r="K74" s="4" t="s">
        <v>421</v>
      </c>
      <c r="L74" t="s">
        <v>422</v>
      </c>
      <c r="M74" t="s">
        <v>1995</v>
      </c>
      <c r="N74" t="s">
        <v>13</v>
      </c>
      <c r="O74" t="s">
        <v>1132</v>
      </c>
      <c r="P74" t="str">
        <f t="shared" si="1"/>
        <v>[1]</v>
      </c>
      <c r="Q74">
        <f t="shared" si="33"/>
        <v>12</v>
      </c>
      <c r="R74" t="str">
        <f t="shared" si="10"/>
        <v/>
      </c>
      <c r="S74">
        <f>SUMIF(O74:$O$2855,R74,Q74:$Q$2855)</f>
        <v>0</v>
      </c>
      <c r="U74" t="s">
        <v>743</v>
      </c>
      <c r="V74" t="s">
        <v>422</v>
      </c>
      <c r="W74" t="s">
        <v>443</v>
      </c>
      <c r="X74" t="s">
        <v>443</v>
      </c>
      <c r="Y74" t="s">
        <v>612</v>
      </c>
      <c r="Z74" t="str">
        <f t="shared" si="23"/>
        <v>[1]</v>
      </c>
      <c r="AA74">
        <f t="shared" si="4"/>
        <v>0</v>
      </c>
      <c r="AB74" t="str">
        <f t="shared" si="15"/>
        <v/>
      </c>
      <c r="AC74">
        <f>SUMIF(Y74:$Y$94,AB74,AA74:$AA$94)</f>
        <v>0</v>
      </c>
      <c r="AE74" s="4" t="s">
        <v>470</v>
      </c>
      <c r="AF74" t="s">
        <v>476</v>
      </c>
      <c r="AG74" t="s">
        <v>443</v>
      </c>
      <c r="AH74" t="s">
        <v>443</v>
      </c>
      <c r="AI74" t="s">
        <v>612</v>
      </c>
      <c r="AJ74" t="str">
        <f t="shared" si="24"/>
        <v>[1]</v>
      </c>
      <c r="AK74">
        <f t="shared" si="6"/>
        <v>0</v>
      </c>
      <c r="AL74" t="str">
        <f t="shared" si="11"/>
        <v/>
      </c>
      <c r="AM74">
        <f>SUMIF(AI74:$AI$121,AL74,AK74:$AK$121)</f>
        <v>0</v>
      </c>
      <c r="AP74" s="4" t="s">
        <v>472</v>
      </c>
      <c r="AQ74" t="s">
        <v>479</v>
      </c>
      <c r="AR74" t="s">
        <v>4529</v>
      </c>
      <c r="AS74" t="s">
        <v>67</v>
      </c>
      <c r="AT74" t="s">
        <v>82</v>
      </c>
      <c r="AU74" t="str">
        <f t="shared" si="7"/>
        <v>[1]</v>
      </c>
      <c r="AV74">
        <f t="shared" ref="AV74:AV75" si="34">HEX2DEC(MID(AS74,3,LEN(AS74)-2))</f>
        <v>48</v>
      </c>
      <c r="AW74" t="str">
        <f t="shared" si="13"/>
        <v/>
      </c>
      <c r="AX74">
        <f>SUMIF(AT74:$AT$651,AW74,AV74:$AV$651)</f>
        <v>0</v>
      </c>
    </row>
    <row r="75" spans="1:50" x14ac:dyDescent="0.25">
      <c r="A75" s="4" t="s">
        <v>0</v>
      </c>
      <c r="B75" t="s">
        <v>449</v>
      </c>
      <c r="C75" t="s">
        <v>4415</v>
      </c>
      <c r="D75" t="s">
        <v>4416</v>
      </c>
      <c r="E75" t="s">
        <v>1669</v>
      </c>
      <c r="F75" t="str">
        <f t="shared" si="25"/>
        <v>[1]</v>
      </c>
      <c r="G75">
        <f t="shared" si="14"/>
        <v>340</v>
      </c>
      <c r="H75" t="str">
        <f t="shared" si="8"/>
        <v>FTM1.o</v>
      </c>
      <c r="I75">
        <f>SUMIF(E75:$E$173,H75,G75:$G$173)</f>
        <v>340</v>
      </c>
      <c r="K75" s="4" t="s">
        <v>421</v>
      </c>
      <c r="L75" t="s">
        <v>422</v>
      </c>
      <c r="M75" t="s">
        <v>4087</v>
      </c>
      <c r="N75" t="s">
        <v>13</v>
      </c>
      <c r="O75" t="s">
        <v>1132</v>
      </c>
      <c r="P75" t="str">
        <f t="shared" si="1"/>
        <v>[1]</v>
      </c>
      <c r="Q75">
        <f t="shared" si="33"/>
        <v>12</v>
      </c>
      <c r="R75" t="str">
        <f t="shared" si="10"/>
        <v/>
      </c>
      <c r="S75">
        <f>SUMIF(O75:$O$2855,R75,Q75:$Q$2855)</f>
        <v>0</v>
      </c>
      <c r="U75" t="s">
        <v>743</v>
      </c>
      <c r="V75" t="s">
        <v>422</v>
      </c>
      <c r="W75" t="s">
        <v>443</v>
      </c>
      <c r="X75" t="s">
        <v>443</v>
      </c>
      <c r="Y75" t="s">
        <v>612</v>
      </c>
      <c r="Z75" t="str">
        <f t="shared" si="23"/>
        <v>[1]</v>
      </c>
      <c r="AA75">
        <f t="shared" si="4"/>
        <v>0</v>
      </c>
      <c r="AB75" t="str">
        <f t="shared" si="15"/>
        <v/>
      </c>
      <c r="AC75">
        <f>SUMIF(Y75:$Y$94,AB75,AA75:$AA$94)</f>
        <v>0</v>
      </c>
      <c r="AE75" s="4" t="s">
        <v>470</v>
      </c>
      <c r="AF75" t="s">
        <v>476</v>
      </c>
      <c r="AG75" t="s">
        <v>443</v>
      </c>
      <c r="AH75" t="s">
        <v>443</v>
      </c>
      <c r="AI75" t="s">
        <v>612</v>
      </c>
      <c r="AJ75" t="str">
        <f t="shared" si="24"/>
        <v>[1]</v>
      </c>
      <c r="AK75">
        <f t="shared" si="6"/>
        <v>0</v>
      </c>
      <c r="AL75" t="str">
        <f t="shared" si="11"/>
        <v/>
      </c>
      <c r="AM75">
        <f>SUMIF(AI75:$AI$121,AL75,AK75:$AK$121)</f>
        <v>0</v>
      </c>
      <c r="AP75" s="4" t="s">
        <v>472</v>
      </c>
      <c r="AQ75" t="s">
        <v>479</v>
      </c>
      <c r="AR75" t="s">
        <v>4530</v>
      </c>
      <c r="AS75" t="s">
        <v>67</v>
      </c>
      <c r="AT75" t="s">
        <v>82</v>
      </c>
      <c r="AU75" t="str">
        <f t="shared" si="7"/>
        <v>[1]</v>
      </c>
      <c r="AV75">
        <f t="shared" si="34"/>
        <v>48</v>
      </c>
      <c r="AW75" t="str">
        <f t="shared" si="13"/>
        <v/>
      </c>
      <c r="AX75">
        <f>SUMIF(AT75:$AT$651,AW75,AV75:$AV$651)</f>
        <v>0</v>
      </c>
    </row>
    <row r="76" spans="1:50" x14ac:dyDescent="0.25">
      <c r="A76" s="4" t="s">
        <v>0</v>
      </c>
      <c r="B76" t="s">
        <v>449</v>
      </c>
      <c r="C76" t="s">
        <v>4368</v>
      </c>
      <c r="D76" t="s">
        <v>413</v>
      </c>
      <c r="E76" t="s">
        <v>1071</v>
      </c>
      <c r="F76" t="str">
        <f t="shared" si="25"/>
        <v>[1]</v>
      </c>
      <c r="G76">
        <f t="shared" si="14"/>
        <v>136</v>
      </c>
      <c r="H76" t="str">
        <f t="shared" si="8"/>
        <v>galois.o</v>
      </c>
      <c r="I76">
        <f>SUMIF(E76:$E$173,H76,G76:$G$173)</f>
        <v>136</v>
      </c>
      <c r="K76" s="4" t="s">
        <v>421</v>
      </c>
      <c r="L76" t="s">
        <v>422</v>
      </c>
      <c r="M76" t="s">
        <v>4088</v>
      </c>
      <c r="N76" t="s">
        <v>13</v>
      </c>
      <c r="O76" t="s">
        <v>1132</v>
      </c>
      <c r="P76" t="str">
        <f t="shared" si="1"/>
        <v>[1]</v>
      </c>
      <c r="Q76">
        <f t="shared" si="33"/>
        <v>12</v>
      </c>
      <c r="R76" t="str">
        <f t="shared" si="10"/>
        <v/>
      </c>
      <c r="S76">
        <f>SUMIF(O76:$O$2855,R76,Q76:$Q$2855)</f>
        <v>0</v>
      </c>
      <c r="U76" t="s">
        <v>743</v>
      </c>
      <c r="V76" t="s">
        <v>422</v>
      </c>
      <c r="W76" t="s">
        <v>443</v>
      </c>
      <c r="X76" t="s">
        <v>443</v>
      </c>
      <c r="Y76" t="s">
        <v>612</v>
      </c>
      <c r="Z76" t="str">
        <f t="shared" si="23"/>
        <v>[1]</v>
      </c>
      <c r="AA76">
        <f t="shared" ref="AA76:AA94" si="35">HEX2DEC(MID(X76,3,LEN(X76)-2))</f>
        <v>0</v>
      </c>
      <c r="AB76" t="str">
        <f t="shared" ref="AB76:AB87" si="36">IF(Y76&lt;&gt;Y75,Y76,"")</f>
        <v/>
      </c>
      <c r="AC76">
        <f>SUMIF(Y76:$Y$94,AB76,AA76:$AA$94)</f>
        <v>0</v>
      </c>
      <c r="AE76" s="4" t="s">
        <v>470</v>
      </c>
      <c r="AF76" t="s">
        <v>476</v>
      </c>
      <c r="AG76" t="s">
        <v>443</v>
      </c>
      <c r="AH76" t="s">
        <v>443</v>
      </c>
      <c r="AI76" t="s">
        <v>612</v>
      </c>
      <c r="AJ76" t="str">
        <f t="shared" si="24"/>
        <v>[1]</v>
      </c>
      <c r="AK76">
        <f t="shared" ref="AK76:AK81" si="37">HEX2DEC(MID(AH76,3,LEN(AH76)-2))</f>
        <v>0</v>
      </c>
      <c r="AL76" t="str">
        <f t="shared" ref="AL76:AL81" si="38">IF(AI76&lt;&gt;AI75,AI76,"")</f>
        <v/>
      </c>
      <c r="AM76">
        <f>SUMIF(AI76:$AI$121,AL76,AK76:$AK$121)</f>
        <v>0</v>
      </c>
      <c r="AP76" s="4" t="s">
        <v>472</v>
      </c>
      <c r="AQ76" t="s">
        <v>479</v>
      </c>
      <c r="AR76" t="s">
        <v>4531</v>
      </c>
      <c r="AS76" t="s">
        <v>67</v>
      </c>
      <c r="AT76" t="s">
        <v>82</v>
      </c>
      <c r="AU76" t="str">
        <f t="shared" si="7"/>
        <v>[1]</v>
      </c>
      <c r="AV76">
        <f t="shared" ref="AV76:AV139" si="39">HEX2DEC(MID(AS76,3,LEN(AS76)-2))</f>
        <v>48</v>
      </c>
      <c r="AW76" t="str">
        <f t="shared" si="13"/>
        <v/>
      </c>
      <c r="AX76">
        <f>SUMIF(AT76:$AT$651,AW76,AV76:$AV$651)</f>
        <v>0</v>
      </c>
    </row>
    <row r="77" spans="1:50" x14ac:dyDescent="0.25">
      <c r="A77" s="4" t="s">
        <v>0</v>
      </c>
      <c r="B77" t="s">
        <v>449</v>
      </c>
      <c r="C77" t="s">
        <v>4359</v>
      </c>
      <c r="D77" t="s">
        <v>1517</v>
      </c>
      <c r="E77" t="s">
        <v>1116</v>
      </c>
      <c r="F77" t="str">
        <f t="shared" si="25"/>
        <v>[1]</v>
      </c>
      <c r="G77">
        <f t="shared" si="14"/>
        <v>284</v>
      </c>
      <c r="H77" t="str">
        <f t="shared" si="8"/>
        <v>gresample.o</v>
      </c>
      <c r="I77">
        <f>SUMIF(E77:$E$173,H77,G77:$G$173)</f>
        <v>284</v>
      </c>
      <c r="K77" s="4" t="s">
        <v>421</v>
      </c>
      <c r="L77" t="s">
        <v>422</v>
      </c>
      <c r="M77" t="s">
        <v>4089</v>
      </c>
      <c r="N77" t="s">
        <v>13</v>
      </c>
      <c r="O77" t="s">
        <v>1132</v>
      </c>
      <c r="P77" t="str">
        <f t="shared" si="1"/>
        <v>[1]</v>
      </c>
      <c r="Q77">
        <f t="shared" si="33"/>
        <v>12</v>
      </c>
      <c r="R77" t="str">
        <f t="shared" si="10"/>
        <v/>
      </c>
      <c r="S77">
        <f>SUMIF(O77:$O$2855,R77,Q77:$Q$2855)</f>
        <v>0</v>
      </c>
      <c r="U77" t="s">
        <v>743</v>
      </c>
      <c r="V77" t="s">
        <v>422</v>
      </c>
      <c r="W77" t="s">
        <v>443</v>
      </c>
      <c r="X77" t="s">
        <v>443</v>
      </c>
      <c r="Y77" t="s">
        <v>612</v>
      </c>
      <c r="Z77" t="str">
        <f t="shared" si="23"/>
        <v>[1]</v>
      </c>
      <c r="AA77">
        <f t="shared" si="35"/>
        <v>0</v>
      </c>
      <c r="AB77" t="str">
        <f t="shared" si="36"/>
        <v/>
      </c>
      <c r="AC77">
        <f>SUMIF(Y77:$Y$94,AB77,AA77:$AA$94)</f>
        <v>0</v>
      </c>
      <c r="AE77" s="4" t="s">
        <v>470</v>
      </c>
      <c r="AF77" t="s">
        <v>476</v>
      </c>
      <c r="AG77" t="s">
        <v>443</v>
      </c>
      <c r="AH77" t="s">
        <v>443</v>
      </c>
      <c r="AI77" t="s">
        <v>612</v>
      </c>
      <c r="AJ77" t="str">
        <f t="shared" si="24"/>
        <v>[1]</v>
      </c>
      <c r="AK77">
        <f t="shared" si="37"/>
        <v>0</v>
      </c>
      <c r="AL77" t="str">
        <f t="shared" si="38"/>
        <v/>
      </c>
      <c r="AM77">
        <f>SUMIF(AI77:$AI$121,AL77,AK77:$AK$121)</f>
        <v>0</v>
      </c>
      <c r="AP77" s="4" t="s">
        <v>472</v>
      </c>
      <c r="AQ77" t="s">
        <v>479</v>
      </c>
      <c r="AR77" t="s">
        <v>2056</v>
      </c>
      <c r="AS77" t="s">
        <v>65</v>
      </c>
      <c r="AT77" t="s">
        <v>82</v>
      </c>
      <c r="AU77" t="str">
        <f t="shared" si="7"/>
        <v>[1]</v>
      </c>
      <c r="AV77">
        <f t="shared" si="39"/>
        <v>40</v>
      </c>
      <c r="AW77" t="str">
        <f t="shared" si="13"/>
        <v/>
      </c>
      <c r="AX77">
        <f>SUMIF(AT77:$AT$651,AW77,AV77:$AV$651)</f>
        <v>0</v>
      </c>
    </row>
    <row r="78" spans="1:50" x14ac:dyDescent="0.25">
      <c r="A78" s="4" t="s">
        <v>0</v>
      </c>
      <c r="B78" t="s">
        <v>449</v>
      </c>
      <c r="C78" t="s">
        <v>4422</v>
      </c>
      <c r="D78" t="s">
        <v>1220</v>
      </c>
      <c r="E78" t="s">
        <v>1134</v>
      </c>
      <c r="F78" t="str">
        <f t="shared" si="25"/>
        <v>[1]</v>
      </c>
      <c r="G78">
        <f t="shared" si="14"/>
        <v>750</v>
      </c>
      <c r="H78" t="str">
        <f t="shared" si="8"/>
        <v>hdlc_frame.o</v>
      </c>
      <c r="I78">
        <f>SUMIF(E78:$E$173,H78,G78:$G$173)</f>
        <v>750</v>
      </c>
      <c r="K78" s="4" t="s">
        <v>421</v>
      </c>
      <c r="L78" t="s">
        <v>422</v>
      </c>
      <c r="M78" t="s">
        <v>4090</v>
      </c>
      <c r="N78" t="s">
        <v>13</v>
      </c>
      <c r="O78" t="s">
        <v>1132</v>
      </c>
      <c r="P78" t="str">
        <f t="shared" si="1"/>
        <v>[1]</v>
      </c>
      <c r="Q78">
        <f t="shared" si="33"/>
        <v>12</v>
      </c>
      <c r="R78" t="str">
        <f t="shared" si="10"/>
        <v/>
      </c>
      <c r="S78">
        <f>SUMIF(O78:$O$2855,R78,Q78:$Q$2855)</f>
        <v>0</v>
      </c>
      <c r="U78" t="s">
        <v>743</v>
      </c>
      <c r="V78" t="s">
        <v>422</v>
      </c>
      <c r="W78" t="s">
        <v>443</v>
      </c>
      <c r="X78" t="s">
        <v>443</v>
      </c>
      <c r="Y78" t="s">
        <v>612</v>
      </c>
      <c r="Z78" t="str">
        <f t="shared" si="23"/>
        <v>[1]</v>
      </c>
      <c r="AA78">
        <f t="shared" si="35"/>
        <v>0</v>
      </c>
      <c r="AB78" t="str">
        <f t="shared" si="36"/>
        <v/>
      </c>
      <c r="AC78">
        <f>SUMIF(Y78:$Y$94,AB78,AA78:$AA$94)</f>
        <v>0</v>
      </c>
      <c r="AE78" s="4" t="s">
        <v>470</v>
      </c>
      <c r="AF78" t="s">
        <v>476</v>
      </c>
      <c r="AG78" t="s">
        <v>443</v>
      </c>
      <c r="AH78" t="s">
        <v>443</v>
      </c>
      <c r="AI78" t="s">
        <v>612</v>
      </c>
      <c r="AJ78" t="str">
        <f t="shared" si="24"/>
        <v>[1]</v>
      </c>
      <c r="AK78">
        <f t="shared" si="37"/>
        <v>0</v>
      </c>
      <c r="AL78" t="str">
        <f t="shared" si="38"/>
        <v/>
      </c>
      <c r="AM78">
        <f>SUMIF(AI78:$AI$121,AL78,AK78:$AK$121)</f>
        <v>0</v>
      </c>
      <c r="AP78" s="4" t="s">
        <v>472</v>
      </c>
      <c r="AQ78" t="s">
        <v>479</v>
      </c>
      <c r="AR78" t="s">
        <v>4532</v>
      </c>
      <c r="AS78" t="s">
        <v>78</v>
      </c>
      <c r="AT78" t="s">
        <v>82</v>
      </c>
      <c r="AU78" t="str">
        <f t="shared" si="7"/>
        <v>[1]</v>
      </c>
      <c r="AV78">
        <f t="shared" si="39"/>
        <v>4</v>
      </c>
      <c r="AW78" t="str">
        <f t="shared" si="13"/>
        <v/>
      </c>
      <c r="AX78">
        <f>SUMIF(AT78:$AT$651,AW78,AV78:$AV$651)</f>
        <v>0</v>
      </c>
    </row>
    <row r="79" spans="1:50" x14ac:dyDescent="0.25">
      <c r="A79" s="4" t="s">
        <v>0</v>
      </c>
      <c r="B79" t="s">
        <v>449</v>
      </c>
      <c r="C79" t="s">
        <v>2032</v>
      </c>
      <c r="D79" t="s">
        <v>4398</v>
      </c>
      <c r="E79" t="s">
        <v>87</v>
      </c>
      <c r="F79" t="str">
        <f t="shared" si="25"/>
        <v>[1]</v>
      </c>
      <c r="G79">
        <f t="shared" si="14"/>
        <v>8884</v>
      </c>
      <c r="H79" t="str">
        <f t="shared" si="8"/>
        <v>HEEP_util.o</v>
      </c>
      <c r="I79">
        <f>SUMIF(E79:$E$173,H79,G79:$G$173)</f>
        <v>8884</v>
      </c>
      <c r="K79" s="4" t="s">
        <v>421</v>
      </c>
      <c r="L79" t="s">
        <v>422</v>
      </c>
      <c r="M79" t="s">
        <v>4091</v>
      </c>
      <c r="N79" t="s">
        <v>13</v>
      </c>
      <c r="O79" t="s">
        <v>1132</v>
      </c>
      <c r="P79" t="str">
        <f t="shared" si="1"/>
        <v>[1]</v>
      </c>
      <c r="Q79">
        <f t="shared" si="33"/>
        <v>12</v>
      </c>
      <c r="R79" t="str">
        <f t="shared" si="10"/>
        <v/>
      </c>
      <c r="S79">
        <f>SUMIF(O79:$O$2855,R79,Q79:$Q$2855)</f>
        <v>0</v>
      </c>
      <c r="U79" t="s">
        <v>743</v>
      </c>
      <c r="V79" t="s">
        <v>422</v>
      </c>
      <c r="W79" t="s">
        <v>443</v>
      </c>
      <c r="X79" t="s">
        <v>443</v>
      </c>
      <c r="Y79" t="s">
        <v>612</v>
      </c>
      <c r="Z79" t="str">
        <f t="shared" si="23"/>
        <v>[1]</v>
      </c>
      <c r="AA79">
        <f t="shared" si="35"/>
        <v>0</v>
      </c>
      <c r="AB79" t="str">
        <f t="shared" si="36"/>
        <v/>
      </c>
      <c r="AC79">
        <f>SUMIF(Y79:$Y$94,AB79,AA79:$AA$94)</f>
        <v>0</v>
      </c>
      <c r="AE79" s="4" t="s">
        <v>470</v>
      </c>
      <c r="AF79" t="s">
        <v>476</v>
      </c>
      <c r="AG79" t="s">
        <v>443</v>
      </c>
      <c r="AH79" t="s">
        <v>443</v>
      </c>
      <c r="AI79" t="s">
        <v>612</v>
      </c>
      <c r="AJ79" t="str">
        <f t="shared" si="24"/>
        <v>[1]</v>
      </c>
      <c r="AK79">
        <f t="shared" si="37"/>
        <v>0</v>
      </c>
      <c r="AL79" t="str">
        <f t="shared" si="38"/>
        <v/>
      </c>
      <c r="AM79">
        <f>SUMIF(AI79:$AI$121,AL79,AK79:$AK$121)</f>
        <v>0</v>
      </c>
      <c r="AP79" s="4" t="s">
        <v>472</v>
      </c>
      <c r="AQ79" t="s">
        <v>479</v>
      </c>
      <c r="AR79" t="s">
        <v>4533</v>
      </c>
      <c r="AS79" t="s">
        <v>119</v>
      </c>
      <c r="AT79" t="s">
        <v>82</v>
      </c>
      <c r="AU79" t="str">
        <f t="shared" si="7"/>
        <v>[1]</v>
      </c>
      <c r="AV79">
        <f t="shared" si="39"/>
        <v>32</v>
      </c>
      <c r="AW79" t="str">
        <f t="shared" si="13"/>
        <v/>
      </c>
      <c r="AX79">
        <f>SUMIF(AT79:$AT$651,AW79,AV79:$AV$651)</f>
        <v>0</v>
      </c>
    </row>
    <row r="80" spans="1:50" x14ac:dyDescent="0.25">
      <c r="A80" s="4" t="s">
        <v>0</v>
      </c>
      <c r="B80" t="s">
        <v>449</v>
      </c>
      <c r="C80" t="s">
        <v>4423</v>
      </c>
      <c r="D80" t="s">
        <v>1076</v>
      </c>
      <c r="E80" t="s">
        <v>1135</v>
      </c>
      <c r="F80" t="str">
        <f t="shared" si="25"/>
        <v>[1]</v>
      </c>
      <c r="G80">
        <f t="shared" si="14"/>
        <v>256</v>
      </c>
      <c r="H80" t="str">
        <f t="shared" si="8"/>
        <v>host_reset.o</v>
      </c>
      <c r="I80">
        <f>SUMIF(E80:$E$173,H80,G80:$G$173)</f>
        <v>256</v>
      </c>
      <c r="K80" s="4" t="s">
        <v>421</v>
      </c>
      <c r="L80" t="s">
        <v>422</v>
      </c>
      <c r="M80" t="s">
        <v>2888</v>
      </c>
      <c r="N80" t="s">
        <v>435</v>
      </c>
      <c r="O80" t="s">
        <v>92</v>
      </c>
      <c r="P80" t="str">
        <f t="shared" si="1"/>
        <v>[1]</v>
      </c>
      <c r="Q80">
        <f t="shared" si="33"/>
        <v>60</v>
      </c>
      <c r="R80" t="str">
        <f t="shared" si="10"/>
        <v>buffer.o</v>
      </c>
      <c r="S80">
        <f>SUMIF(O80:$O$2855,R80,Q80:$Q$2855)</f>
        <v>1120</v>
      </c>
      <c r="U80" t="s">
        <v>743</v>
      </c>
      <c r="V80" t="s">
        <v>422</v>
      </c>
      <c r="W80" t="s">
        <v>443</v>
      </c>
      <c r="X80" t="s">
        <v>443</v>
      </c>
      <c r="Y80" t="s">
        <v>612</v>
      </c>
      <c r="Z80" t="str">
        <f t="shared" si="23"/>
        <v>[1]</v>
      </c>
      <c r="AA80">
        <f t="shared" si="35"/>
        <v>0</v>
      </c>
      <c r="AB80" t="str">
        <f t="shared" si="36"/>
        <v/>
      </c>
      <c r="AC80">
        <f>SUMIF(Y80:$Y$94,AB80,AA80:$AA$94)</f>
        <v>0</v>
      </c>
      <c r="AE80" s="4" t="s">
        <v>470</v>
      </c>
      <c r="AF80" t="s">
        <v>476</v>
      </c>
      <c r="AG80" t="s">
        <v>443</v>
      </c>
      <c r="AH80" t="s">
        <v>443</v>
      </c>
      <c r="AI80" t="s">
        <v>612</v>
      </c>
      <c r="AJ80" t="str">
        <f t="shared" si="24"/>
        <v>[1]</v>
      </c>
      <c r="AK80">
        <f t="shared" si="37"/>
        <v>0</v>
      </c>
      <c r="AL80" t="str">
        <f t="shared" si="38"/>
        <v/>
      </c>
      <c r="AM80">
        <f>SUMIF(AI80:$AI$121,AL80,AK80:$AK$121)</f>
        <v>0</v>
      </c>
      <c r="AP80" s="4" t="s">
        <v>472</v>
      </c>
      <c r="AQ80" t="s">
        <v>479</v>
      </c>
      <c r="AR80" t="s">
        <v>4534</v>
      </c>
      <c r="AS80" t="s">
        <v>76</v>
      </c>
      <c r="AT80" t="s">
        <v>82</v>
      </c>
      <c r="AU80" t="str">
        <f t="shared" si="7"/>
        <v>[1]</v>
      </c>
      <c r="AV80">
        <f t="shared" si="39"/>
        <v>36</v>
      </c>
      <c r="AW80" t="str">
        <f t="shared" si="13"/>
        <v/>
      </c>
      <c r="AX80">
        <f>SUMIF(AT80:$AT$651,AW80,AV80:$AV$651)</f>
        <v>0</v>
      </c>
    </row>
    <row r="81" spans="1:50" x14ac:dyDescent="0.25">
      <c r="A81" s="4" t="s">
        <v>0</v>
      </c>
      <c r="B81" t="s">
        <v>449</v>
      </c>
      <c r="C81" t="s">
        <v>4431</v>
      </c>
      <c r="D81" t="s">
        <v>437</v>
      </c>
      <c r="E81" t="s">
        <v>292</v>
      </c>
      <c r="F81" t="str">
        <f t="shared" si="25"/>
        <v>[1]</v>
      </c>
      <c r="G81">
        <f t="shared" si="14"/>
        <v>24</v>
      </c>
      <c r="H81" t="str">
        <f t="shared" si="8"/>
        <v>IDL_IdleProcess.o</v>
      </c>
      <c r="I81">
        <f>SUMIF(E81:$E$173,H81,G81:$G$173)</f>
        <v>24</v>
      </c>
      <c r="K81" s="4" t="s">
        <v>421</v>
      </c>
      <c r="L81" t="s">
        <v>422</v>
      </c>
      <c r="M81" t="s">
        <v>2889</v>
      </c>
      <c r="N81" t="s">
        <v>13</v>
      </c>
      <c r="O81" t="s">
        <v>92</v>
      </c>
      <c r="P81" t="str">
        <f t="shared" si="1"/>
        <v>[1]</v>
      </c>
      <c r="Q81">
        <f t="shared" si="33"/>
        <v>12</v>
      </c>
      <c r="R81" t="str">
        <f t="shared" si="10"/>
        <v/>
      </c>
      <c r="S81">
        <f>SUMIF(O81:$O$2855,R81,Q81:$Q$2855)</f>
        <v>0</v>
      </c>
      <c r="U81" t="s">
        <v>743</v>
      </c>
      <c r="V81" t="s">
        <v>422</v>
      </c>
      <c r="W81" t="s">
        <v>443</v>
      </c>
      <c r="X81" t="s">
        <v>443</v>
      </c>
      <c r="Y81" t="s">
        <v>612</v>
      </c>
      <c r="Z81" t="str">
        <f t="shared" si="23"/>
        <v>[1]</v>
      </c>
      <c r="AA81">
        <f t="shared" si="35"/>
        <v>0</v>
      </c>
      <c r="AB81" t="str">
        <f t="shared" si="36"/>
        <v/>
      </c>
      <c r="AC81">
        <f>SUMIF(Y81:$Y$94,AB81,AA81:$AA$94)</f>
        <v>0</v>
      </c>
      <c r="AE81" t="s">
        <v>470</v>
      </c>
      <c r="AF81" t="s">
        <v>476</v>
      </c>
      <c r="AG81" t="s">
        <v>443</v>
      </c>
      <c r="AH81" t="s">
        <v>443</v>
      </c>
      <c r="AI81" t="s">
        <v>612</v>
      </c>
      <c r="AJ81" t="str">
        <f t="shared" si="24"/>
        <v>[1]</v>
      </c>
      <c r="AK81">
        <f t="shared" si="37"/>
        <v>0</v>
      </c>
      <c r="AL81" t="str">
        <f t="shared" si="38"/>
        <v/>
      </c>
      <c r="AM81">
        <f>SUMIF(AI81:$AI$121,AL81,AK81:$AK$121)</f>
        <v>0</v>
      </c>
      <c r="AP81" s="4" t="s">
        <v>472</v>
      </c>
      <c r="AQ81" t="s">
        <v>479</v>
      </c>
      <c r="AR81" t="s">
        <v>4535</v>
      </c>
      <c r="AS81" t="s">
        <v>1665</v>
      </c>
      <c r="AT81" t="s">
        <v>82</v>
      </c>
      <c r="AU81" t="str">
        <f t="shared" si="7"/>
        <v>[1]</v>
      </c>
      <c r="AV81">
        <f t="shared" si="39"/>
        <v>584</v>
      </c>
      <c r="AW81" t="str">
        <f t="shared" si="13"/>
        <v/>
      </c>
      <c r="AX81">
        <f>SUMIF(AT81:$AT$651,AW81,AV81:$AV$651)</f>
        <v>0</v>
      </c>
    </row>
    <row r="82" spans="1:50" x14ac:dyDescent="0.25">
      <c r="A82" s="4" t="s">
        <v>0</v>
      </c>
      <c r="B82" t="s">
        <v>449</v>
      </c>
      <c r="C82" t="s">
        <v>4332</v>
      </c>
      <c r="D82" t="s">
        <v>126</v>
      </c>
      <c r="E82" t="s">
        <v>1050</v>
      </c>
      <c r="F82" t="str">
        <f t="shared" si="25"/>
        <v>[1]</v>
      </c>
      <c r="G82">
        <f t="shared" si="14"/>
        <v>8</v>
      </c>
      <c r="H82" t="str">
        <f t="shared" si="8"/>
        <v>IF_intflash.o</v>
      </c>
      <c r="I82">
        <f>SUMIF(E82:$E$173,H82,G82:$G$173)</f>
        <v>756</v>
      </c>
      <c r="K82" s="4" t="s">
        <v>421</v>
      </c>
      <c r="L82" t="s">
        <v>422</v>
      </c>
      <c r="M82" t="s">
        <v>2890</v>
      </c>
      <c r="N82" t="s">
        <v>413</v>
      </c>
      <c r="O82" t="s">
        <v>92</v>
      </c>
      <c r="P82" t="str">
        <f t="shared" si="1"/>
        <v>[1]</v>
      </c>
      <c r="Q82">
        <f t="shared" si="33"/>
        <v>136</v>
      </c>
      <c r="R82" t="str">
        <f t="shared" si="10"/>
        <v/>
      </c>
      <c r="S82">
        <f>SUMIF(O82:$O$2855,R82,Q82:$Q$2855)</f>
        <v>0</v>
      </c>
      <c r="U82" t="s">
        <v>743</v>
      </c>
      <c r="V82" t="s">
        <v>422</v>
      </c>
      <c r="W82" t="s">
        <v>443</v>
      </c>
      <c r="X82" t="s">
        <v>443</v>
      </c>
      <c r="Y82" t="s">
        <v>612</v>
      </c>
      <c r="Z82" t="str">
        <f t="shared" si="23"/>
        <v>[1]</v>
      </c>
      <c r="AA82">
        <f t="shared" si="35"/>
        <v>0</v>
      </c>
      <c r="AB82" t="str">
        <f t="shared" si="36"/>
        <v/>
      </c>
      <c r="AC82">
        <f>SUMIF(Y82:$Y$94,AB82,AA82:$AA$94)</f>
        <v>0</v>
      </c>
      <c r="AE82" t="s">
        <v>470</v>
      </c>
      <c r="AF82" t="s">
        <v>476</v>
      </c>
      <c r="AG82" t="s">
        <v>443</v>
      </c>
      <c r="AH82" t="s">
        <v>443</v>
      </c>
      <c r="AI82" t="s">
        <v>612</v>
      </c>
      <c r="AJ82" t="str">
        <f t="shared" si="24"/>
        <v>[1]</v>
      </c>
      <c r="AK82">
        <f t="shared" ref="AK82:AK100" si="40">HEX2DEC(MID(AH82,3,LEN(AH82)-2))</f>
        <v>0</v>
      </c>
      <c r="AL82" t="str">
        <f t="shared" ref="AL82:AL100" si="41">IF(AI82&lt;&gt;AI81,AI82,"")</f>
        <v/>
      </c>
      <c r="AM82">
        <f>SUMIF(AI82:$AI$121,AL82,AK82:$AK$121)</f>
        <v>0</v>
      </c>
      <c r="AP82" s="4" t="s">
        <v>472</v>
      </c>
      <c r="AQ82" t="s">
        <v>479</v>
      </c>
      <c r="AR82" t="s">
        <v>4536</v>
      </c>
      <c r="AS82" t="s">
        <v>1665</v>
      </c>
      <c r="AT82" t="s">
        <v>82</v>
      </c>
      <c r="AU82" t="str">
        <f t="shared" si="7"/>
        <v>[1]</v>
      </c>
      <c r="AV82">
        <f t="shared" si="39"/>
        <v>584</v>
      </c>
      <c r="AW82" t="str">
        <f t="shared" si="13"/>
        <v/>
      </c>
      <c r="AX82">
        <f>SUMIF(AT82:$AT$651,AW82,AV82:$AV$651)</f>
        <v>0</v>
      </c>
    </row>
    <row r="83" spans="1:50" x14ac:dyDescent="0.25">
      <c r="A83" s="4" t="s">
        <v>0</v>
      </c>
      <c r="B83" t="s">
        <v>449</v>
      </c>
      <c r="C83" t="s">
        <v>4333</v>
      </c>
      <c r="D83" t="s">
        <v>1676</v>
      </c>
      <c r="E83" t="s">
        <v>406</v>
      </c>
      <c r="F83" t="str">
        <f t="shared" si="25"/>
        <v>[1]</v>
      </c>
      <c r="G83">
        <f t="shared" si="14"/>
        <v>748</v>
      </c>
      <c r="H83" t="str">
        <f t="shared" si="8"/>
        <v/>
      </c>
      <c r="I83">
        <f>SUMIF(E83:$E$173,H83,G83:$G$173)</f>
        <v>0</v>
      </c>
      <c r="K83" s="4" t="s">
        <v>421</v>
      </c>
      <c r="L83" t="s">
        <v>422</v>
      </c>
      <c r="M83" t="s">
        <v>2891</v>
      </c>
      <c r="N83" t="s">
        <v>124</v>
      </c>
      <c r="O83" t="s">
        <v>92</v>
      </c>
      <c r="P83" t="str">
        <f t="shared" si="1"/>
        <v>[1]</v>
      </c>
      <c r="Q83">
        <f t="shared" si="33"/>
        <v>68</v>
      </c>
      <c r="R83" t="str">
        <f t="shared" si="10"/>
        <v/>
      </c>
      <c r="S83">
        <f>SUMIF(O83:$O$2855,R83,Q83:$Q$2855)</f>
        <v>0</v>
      </c>
      <c r="U83" t="s">
        <v>743</v>
      </c>
      <c r="V83" t="s">
        <v>422</v>
      </c>
      <c r="W83" t="s">
        <v>443</v>
      </c>
      <c r="X83" t="s">
        <v>443</v>
      </c>
      <c r="Y83" t="s">
        <v>612</v>
      </c>
      <c r="Z83" t="str">
        <f t="shared" si="23"/>
        <v>[1]</v>
      </c>
      <c r="AA83">
        <f t="shared" si="35"/>
        <v>0</v>
      </c>
      <c r="AB83" t="str">
        <f t="shared" si="36"/>
        <v/>
      </c>
      <c r="AC83">
        <f>SUMIF(Y83:$Y$94,AB83,AA83:$AA$94)</f>
        <v>0</v>
      </c>
      <c r="AE83" t="s">
        <v>470</v>
      </c>
      <c r="AF83" t="s">
        <v>476</v>
      </c>
      <c r="AG83" t="s">
        <v>443</v>
      </c>
      <c r="AH83" t="s">
        <v>443</v>
      </c>
      <c r="AI83" t="s">
        <v>612</v>
      </c>
      <c r="AJ83" t="str">
        <f t="shared" si="24"/>
        <v>[1]</v>
      </c>
      <c r="AK83">
        <f t="shared" si="40"/>
        <v>0</v>
      </c>
      <c r="AL83" t="str">
        <f t="shared" si="41"/>
        <v/>
      </c>
      <c r="AM83">
        <f>SUMIF(AI83:$AI$121,AL83,AK83:$AK$121)</f>
        <v>0</v>
      </c>
      <c r="AP83" s="4" t="s">
        <v>472</v>
      </c>
      <c r="AQ83" t="s">
        <v>479</v>
      </c>
      <c r="AR83" t="s">
        <v>4537</v>
      </c>
      <c r="AS83" t="s">
        <v>1665</v>
      </c>
      <c r="AT83" t="s">
        <v>82</v>
      </c>
      <c r="AU83" t="str">
        <f t="shared" si="7"/>
        <v>[1]</v>
      </c>
      <c r="AV83">
        <f t="shared" si="39"/>
        <v>584</v>
      </c>
      <c r="AW83" t="str">
        <f t="shared" si="13"/>
        <v/>
      </c>
      <c r="AX83">
        <f>SUMIF(AT83:$AT$651,AW83,AV83:$AV$651)</f>
        <v>0</v>
      </c>
    </row>
    <row r="84" spans="1:50" x14ac:dyDescent="0.25">
      <c r="A84" s="4" t="s">
        <v>0</v>
      </c>
      <c r="B84" t="s">
        <v>449</v>
      </c>
      <c r="C84" t="s">
        <v>4371</v>
      </c>
      <c r="D84" t="s">
        <v>431</v>
      </c>
      <c r="E84" t="s">
        <v>1086</v>
      </c>
      <c r="F84" t="str">
        <f t="shared" si="25"/>
        <v>[1]</v>
      </c>
      <c r="G84">
        <f t="shared" si="14"/>
        <v>208</v>
      </c>
      <c r="H84" t="str">
        <f t="shared" si="8"/>
        <v>indication.o</v>
      </c>
      <c r="I84">
        <f>SUMIF(E84:$E$173,H84,G84:$G$173)</f>
        <v>208</v>
      </c>
      <c r="K84" s="4" t="s">
        <v>421</v>
      </c>
      <c r="L84" t="s">
        <v>422</v>
      </c>
      <c r="M84" t="s">
        <v>2892</v>
      </c>
      <c r="N84" t="s">
        <v>13</v>
      </c>
      <c r="O84" t="s">
        <v>92</v>
      </c>
      <c r="P84" t="str">
        <f t="shared" si="1"/>
        <v>[1]</v>
      </c>
      <c r="Q84">
        <f t="shared" si="33"/>
        <v>12</v>
      </c>
      <c r="R84" t="str">
        <f t="shared" si="10"/>
        <v/>
      </c>
      <c r="S84">
        <f>SUMIF(O84:$O$2855,R84,Q84:$Q$2855)</f>
        <v>0</v>
      </c>
      <c r="U84" t="s">
        <v>743</v>
      </c>
      <c r="V84" t="s">
        <v>422</v>
      </c>
      <c r="W84" t="s">
        <v>443</v>
      </c>
      <c r="X84" t="s">
        <v>443</v>
      </c>
      <c r="Y84" t="s">
        <v>612</v>
      </c>
      <c r="Z84" t="str">
        <f t="shared" si="23"/>
        <v>[1]</v>
      </c>
      <c r="AA84">
        <f t="shared" si="35"/>
        <v>0</v>
      </c>
      <c r="AB84" t="str">
        <f t="shared" si="36"/>
        <v/>
      </c>
      <c r="AC84">
        <f>SUMIF(Y84:$Y$94,AB84,AA84:$AA$94)</f>
        <v>0</v>
      </c>
      <c r="AE84" t="s">
        <v>470</v>
      </c>
      <c r="AF84" t="s">
        <v>476</v>
      </c>
      <c r="AG84" t="s">
        <v>443</v>
      </c>
      <c r="AH84" t="s">
        <v>443</v>
      </c>
      <c r="AI84" t="s">
        <v>612</v>
      </c>
      <c r="AJ84" t="str">
        <f t="shared" si="24"/>
        <v>[1]</v>
      </c>
      <c r="AK84">
        <f t="shared" si="40"/>
        <v>0</v>
      </c>
      <c r="AL84" t="str">
        <f t="shared" si="41"/>
        <v/>
      </c>
      <c r="AM84">
        <f>SUMIF(AI84:$AI$121,AL84,AK84:$AK$121)</f>
        <v>0</v>
      </c>
      <c r="AP84" s="4" t="s">
        <v>472</v>
      </c>
      <c r="AQ84" t="s">
        <v>479</v>
      </c>
      <c r="AR84" t="s">
        <v>4538</v>
      </c>
      <c r="AS84" t="s">
        <v>78</v>
      </c>
      <c r="AT84" t="s">
        <v>82</v>
      </c>
      <c r="AU84" t="str">
        <f t="shared" si="7"/>
        <v>[1]</v>
      </c>
      <c r="AV84">
        <f t="shared" si="39"/>
        <v>4</v>
      </c>
      <c r="AW84" t="str">
        <f t="shared" si="13"/>
        <v/>
      </c>
      <c r="AX84">
        <f>SUMIF(AT84:$AT$651,AW84,AV84:$AV$651)</f>
        <v>0</v>
      </c>
    </row>
    <row r="85" spans="1:50" x14ac:dyDescent="0.25">
      <c r="A85" s="4" t="s">
        <v>0</v>
      </c>
      <c r="B85" t="s">
        <v>449</v>
      </c>
      <c r="C85" t="s">
        <v>4417</v>
      </c>
      <c r="D85" t="s">
        <v>1749</v>
      </c>
      <c r="E85" t="s">
        <v>214</v>
      </c>
      <c r="F85" t="str">
        <f t="shared" si="25"/>
        <v>[1]</v>
      </c>
      <c r="G85">
        <f t="shared" si="14"/>
        <v>74</v>
      </c>
      <c r="H85" t="str">
        <f t="shared" si="8"/>
        <v>intf_cim_cmd.o</v>
      </c>
      <c r="I85">
        <f>SUMIF(E85:$E$173,H85,G85:$G$173)</f>
        <v>74</v>
      </c>
      <c r="K85" s="4" t="s">
        <v>421</v>
      </c>
      <c r="L85" t="s">
        <v>422</v>
      </c>
      <c r="M85" t="s">
        <v>2893</v>
      </c>
      <c r="N85" t="s">
        <v>413</v>
      </c>
      <c r="O85" t="s">
        <v>92</v>
      </c>
      <c r="P85" t="str">
        <f t="shared" si="1"/>
        <v>[1]</v>
      </c>
      <c r="Q85">
        <f t="shared" si="33"/>
        <v>136</v>
      </c>
      <c r="R85" t="str">
        <f t="shared" si="10"/>
        <v/>
      </c>
      <c r="S85">
        <f>SUMIF(O85:$O$2855,R85,Q85:$Q$2855)</f>
        <v>0</v>
      </c>
      <c r="U85" t="s">
        <v>743</v>
      </c>
      <c r="V85" t="s">
        <v>422</v>
      </c>
      <c r="W85" t="s">
        <v>443</v>
      </c>
      <c r="X85" t="s">
        <v>443</v>
      </c>
      <c r="Y85" t="s">
        <v>612</v>
      </c>
      <c r="Z85" t="str">
        <f t="shared" si="23"/>
        <v>[1]</v>
      </c>
      <c r="AA85">
        <f t="shared" si="35"/>
        <v>0</v>
      </c>
      <c r="AB85" t="str">
        <f t="shared" si="36"/>
        <v/>
      </c>
      <c r="AC85">
        <f>SUMIF(Y85:$Y$94,AB85,AA85:$AA$94)</f>
        <v>0</v>
      </c>
      <c r="AE85" t="s">
        <v>470</v>
      </c>
      <c r="AF85" t="s">
        <v>476</v>
      </c>
      <c r="AG85" t="s">
        <v>443</v>
      </c>
      <c r="AH85" t="s">
        <v>443</v>
      </c>
      <c r="AI85" t="s">
        <v>612</v>
      </c>
      <c r="AJ85" t="str">
        <f t="shared" si="24"/>
        <v>[1]</v>
      </c>
      <c r="AK85">
        <f t="shared" si="40"/>
        <v>0</v>
      </c>
      <c r="AL85" t="str">
        <f t="shared" si="41"/>
        <v/>
      </c>
      <c r="AM85">
        <f>SUMIF(AI85:$AI$121,AL85,AK85:$AK$121)</f>
        <v>0</v>
      </c>
      <c r="AP85" s="4" t="s">
        <v>472</v>
      </c>
      <c r="AQ85" t="s">
        <v>479</v>
      </c>
      <c r="AR85" t="s">
        <v>4539</v>
      </c>
      <c r="AS85" t="s">
        <v>78</v>
      </c>
      <c r="AT85" t="s">
        <v>82</v>
      </c>
      <c r="AU85" t="str">
        <f t="shared" si="7"/>
        <v>[1]</v>
      </c>
      <c r="AV85">
        <f t="shared" si="39"/>
        <v>4</v>
      </c>
      <c r="AW85" t="str">
        <f t="shared" si="13"/>
        <v/>
      </c>
      <c r="AX85">
        <f>SUMIF(AT85:$AT$651,AW85,AV85:$AV$651)</f>
        <v>0</v>
      </c>
    </row>
    <row r="86" spans="1:50" x14ac:dyDescent="0.25">
      <c r="A86" s="4" t="s">
        <v>0</v>
      </c>
      <c r="B86" t="s">
        <v>449</v>
      </c>
      <c r="C86" t="s">
        <v>4317</v>
      </c>
      <c r="D86" t="s">
        <v>1</v>
      </c>
      <c r="E86" t="s">
        <v>296</v>
      </c>
      <c r="F86" t="str">
        <f t="shared" si="25"/>
        <v>[1]</v>
      </c>
      <c r="G86">
        <f t="shared" si="14"/>
        <v>46</v>
      </c>
      <c r="H86" t="str">
        <f t="shared" si="8"/>
        <v>invert_bits.o</v>
      </c>
      <c r="I86">
        <f>SUMIF(E86:$E$173,H86,G86:$G$173)</f>
        <v>46</v>
      </c>
      <c r="K86" s="4" t="s">
        <v>421</v>
      </c>
      <c r="L86" t="s">
        <v>422</v>
      </c>
      <c r="M86" t="s">
        <v>2894</v>
      </c>
      <c r="N86" t="s">
        <v>150</v>
      </c>
      <c r="O86" t="s">
        <v>92</v>
      </c>
      <c r="P86" t="str">
        <f t="shared" si="1"/>
        <v>[1]</v>
      </c>
      <c r="Q86">
        <f t="shared" si="33"/>
        <v>120</v>
      </c>
      <c r="R86" t="str">
        <f t="shared" si="10"/>
        <v/>
      </c>
      <c r="S86">
        <f>SUMIF(O86:$O$2855,R86,Q86:$Q$2855)</f>
        <v>0</v>
      </c>
      <c r="U86" t="s">
        <v>743</v>
      </c>
      <c r="V86" t="s">
        <v>422</v>
      </c>
      <c r="W86" t="s">
        <v>443</v>
      </c>
      <c r="X86" t="s">
        <v>443</v>
      </c>
      <c r="Y86" t="s">
        <v>612</v>
      </c>
      <c r="Z86" t="str">
        <f t="shared" si="23"/>
        <v>[1]</v>
      </c>
      <c r="AA86">
        <f t="shared" si="35"/>
        <v>0</v>
      </c>
      <c r="AB86" t="str">
        <f t="shared" si="36"/>
        <v/>
      </c>
      <c r="AC86">
        <f>SUMIF(Y86:$Y$94,AB86,AA86:$AA$94)</f>
        <v>0</v>
      </c>
      <c r="AE86" t="s">
        <v>470</v>
      </c>
      <c r="AF86" t="s">
        <v>476</v>
      </c>
      <c r="AG86" t="s">
        <v>443</v>
      </c>
      <c r="AH86" t="s">
        <v>443</v>
      </c>
      <c r="AI86" t="s">
        <v>612</v>
      </c>
      <c r="AJ86" t="str">
        <f t="shared" si="24"/>
        <v>[1]</v>
      </c>
      <c r="AK86">
        <f t="shared" si="40"/>
        <v>0</v>
      </c>
      <c r="AL86" t="str">
        <f t="shared" si="41"/>
        <v/>
      </c>
      <c r="AM86">
        <f>SUMIF(AI86:$AI$121,AL86,AK86:$AK$121)</f>
        <v>0</v>
      </c>
      <c r="AP86" s="4" t="s">
        <v>472</v>
      </c>
      <c r="AQ86" t="s">
        <v>479</v>
      </c>
      <c r="AR86" t="s">
        <v>4540</v>
      </c>
      <c r="AS86" t="s">
        <v>78</v>
      </c>
      <c r="AT86" t="s">
        <v>82</v>
      </c>
      <c r="AU86" t="str">
        <f t="shared" si="7"/>
        <v>[1]</v>
      </c>
      <c r="AV86">
        <f t="shared" si="39"/>
        <v>4</v>
      </c>
      <c r="AW86" t="str">
        <f t="shared" si="13"/>
        <v/>
      </c>
      <c r="AX86">
        <f>SUMIF(AT86:$AT$651,AW86,AV86:$AV$651)</f>
        <v>0</v>
      </c>
    </row>
    <row r="87" spans="1:50" x14ac:dyDescent="0.25">
      <c r="A87" s="4" t="s">
        <v>0</v>
      </c>
      <c r="B87" t="s">
        <v>449</v>
      </c>
      <c r="C87" t="s">
        <v>4392</v>
      </c>
      <c r="D87" t="s">
        <v>1263</v>
      </c>
      <c r="E87" t="s">
        <v>134</v>
      </c>
      <c r="F87" t="str">
        <f t="shared" si="25"/>
        <v>[1]</v>
      </c>
      <c r="G87">
        <f t="shared" si="14"/>
        <v>1038</v>
      </c>
      <c r="H87" t="str">
        <f t="shared" si="8"/>
        <v>LED.o</v>
      </c>
      <c r="I87">
        <f>SUMIF(E87:$E$173,H87,G87:$G$173)</f>
        <v>1038</v>
      </c>
      <c r="K87" s="4" t="s">
        <v>421</v>
      </c>
      <c r="L87" t="s">
        <v>422</v>
      </c>
      <c r="M87" t="s">
        <v>2895</v>
      </c>
      <c r="N87" t="s">
        <v>250</v>
      </c>
      <c r="O87" t="s">
        <v>92</v>
      </c>
      <c r="P87" t="str">
        <f t="shared" si="1"/>
        <v>[1]</v>
      </c>
      <c r="Q87">
        <f t="shared" si="33"/>
        <v>140</v>
      </c>
      <c r="R87" t="str">
        <f t="shared" si="10"/>
        <v/>
      </c>
      <c r="S87">
        <f>SUMIF(O87:$O$2855,R87,Q87:$Q$2855)</f>
        <v>0</v>
      </c>
      <c r="U87" t="s">
        <v>743</v>
      </c>
      <c r="V87" t="s">
        <v>422</v>
      </c>
      <c r="W87" t="s">
        <v>443</v>
      </c>
      <c r="X87" t="s">
        <v>443</v>
      </c>
      <c r="Y87" t="s">
        <v>612</v>
      </c>
      <c r="Z87" t="str">
        <f t="shared" si="23"/>
        <v>[1]</v>
      </c>
      <c r="AA87">
        <f t="shared" si="35"/>
        <v>0</v>
      </c>
      <c r="AB87" t="str">
        <f t="shared" si="36"/>
        <v/>
      </c>
      <c r="AC87">
        <f>SUMIF(Y87:$Y$94,AB87,AA87:$AA$94)</f>
        <v>0</v>
      </c>
      <c r="AE87" t="s">
        <v>470</v>
      </c>
      <c r="AF87" t="s">
        <v>476</v>
      </c>
      <c r="AG87" t="s">
        <v>443</v>
      </c>
      <c r="AH87" t="s">
        <v>443</v>
      </c>
      <c r="AI87" t="s">
        <v>612</v>
      </c>
      <c r="AJ87" t="str">
        <f t="shared" si="24"/>
        <v>[1]</v>
      </c>
      <c r="AK87">
        <f t="shared" si="40"/>
        <v>0</v>
      </c>
      <c r="AL87" t="str">
        <f t="shared" si="41"/>
        <v/>
      </c>
      <c r="AM87">
        <f>SUMIF(AI87:$AI$121,AL87,AK87:$AK$121)</f>
        <v>0</v>
      </c>
      <c r="AP87" s="4" t="s">
        <v>472</v>
      </c>
      <c r="AQ87" t="s">
        <v>479</v>
      </c>
      <c r="AR87" t="s">
        <v>4610</v>
      </c>
      <c r="AS87" t="s">
        <v>46</v>
      </c>
      <c r="AT87" t="s">
        <v>82</v>
      </c>
      <c r="AU87" t="str">
        <f t="shared" si="7"/>
        <v>[1]</v>
      </c>
      <c r="AV87">
        <f t="shared" si="39"/>
        <v>2</v>
      </c>
      <c r="AW87" t="str">
        <f t="shared" si="13"/>
        <v/>
      </c>
      <c r="AX87">
        <f>SUMIF(AT87:$AT$651,AW87,AV87:$AV$651)</f>
        <v>0</v>
      </c>
    </row>
    <row r="88" spans="1:50" x14ac:dyDescent="0.25">
      <c r="A88" s="4" t="s">
        <v>0</v>
      </c>
      <c r="B88" t="s">
        <v>449</v>
      </c>
      <c r="C88" t="s">
        <v>4343</v>
      </c>
      <c r="D88" t="s">
        <v>4344</v>
      </c>
      <c r="E88" t="s">
        <v>91</v>
      </c>
      <c r="F88" t="str">
        <f t="shared" si="25"/>
        <v>[1]</v>
      </c>
      <c r="G88">
        <f t="shared" si="14"/>
        <v>13628</v>
      </c>
      <c r="H88" t="str">
        <f t="shared" si="8"/>
        <v>MAC.o</v>
      </c>
      <c r="I88">
        <f>SUMIF(E88:$E$173,H88,G88:$G$173)</f>
        <v>13628</v>
      </c>
      <c r="K88" s="4" t="s">
        <v>421</v>
      </c>
      <c r="L88" t="s">
        <v>422</v>
      </c>
      <c r="M88" t="s">
        <v>2896</v>
      </c>
      <c r="N88" t="s">
        <v>250</v>
      </c>
      <c r="O88" t="s">
        <v>92</v>
      </c>
      <c r="P88" t="str">
        <f t="shared" si="1"/>
        <v>[1]</v>
      </c>
      <c r="Q88">
        <f t="shared" si="33"/>
        <v>140</v>
      </c>
      <c r="R88" t="str">
        <f t="shared" si="10"/>
        <v/>
      </c>
      <c r="S88">
        <f>SUMIF(O88:$O$2855,R88,Q88:$Q$2855)</f>
        <v>0</v>
      </c>
      <c r="U88" t="s">
        <v>743</v>
      </c>
      <c r="V88" t="s">
        <v>422</v>
      </c>
      <c r="W88" t="s">
        <v>443</v>
      </c>
      <c r="X88" t="s">
        <v>443</v>
      </c>
      <c r="Y88" t="s">
        <v>612</v>
      </c>
      <c r="Z88" t="str">
        <f t="shared" si="23"/>
        <v>[1]</v>
      </c>
      <c r="AA88">
        <f t="shared" ref="AA88" si="42">HEX2DEC(MID(X88,3,LEN(X88)-2))</f>
        <v>0</v>
      </c>
      <c r="AB88" t="str">
        <f t="shared" ref="AB88" si="43">IF(Y88&lt;&gt;Y87,Y88,"")</f>
        <v/>
      </c>
      <c r="AC88">
        <f>SUMIF(Y88:$Y$94,AB88,AA88:$AA$94)</f>
        <v>0</v>
      </c>
      <c r="AE88" t="s">
        <v>470</v>
      </c>
      <c r="AF88" t="s">
        <v>476</v>
      </c>
      <c r="AG88" t="s">
        <v>443</v>
      </c>
      <c r="AH88" t="s">
        <v>443</v>
      </c>
      <c r="AI88" t="s">
        <v>612</v>
      </c>
      <c r="AJ88" t="str">
        <f t="shared" si="24"/>
        <v>[1]</v>
      </c>
      <c r="AK88">
        <f t="shared" si="40"/>
        <v>0</v>
      </c>
      <c r="AL88" t="str">
        <f t="shared" si="41"/>
        <v/>
      </c>
      <c r="AM88">
        <f>SUMIF(AI88:$AI$121,AL88,AK88:$AK$121)</f>
        <v>0</v>
      </c>
      <c r="AP88" s="4" t="s">
        <v>472</v>
      </c>
      <c r="AQ88" t="s">
        <v>479</v>
      </c>
      <c r="AR88" t="s">
        <v>4611</v>
      </c>
      <c r="AS88" t="s">
        <v>46</v>
      </c>
      <c r="AT88" t="s">
        <v>82</v>
      </c>
      <c r="AU88" t="str">
        <f t="shared" si="7"/>
        <v>[1]</v>
      </c>
      <c r="AV88">
        <f t="shared" si="39"/>
        <v>2</v>
      </c>
      <c r="AW88" t="str">
        <f t="shared" si="13"/>
        <v/>
      </c>
      <c r="AX88">
        <f>SUMIF(AT88:$AT$651,AW88,AV88:$AV$651)</f>
        <v>0</v>
      </c>
    </row>
    <row r="89" spans="1:50" x14ac:dyDescent="0.25">
      <c r="A89" s="4" t="s">
        <v>0</v>
      </c>
      <c r="B89" t="s">
        <v>449</v>
      </c>
      <c r="C89" t="s">
        <v>4345</v>
      </c>
      <c r="D89" t="s">
        <v>1202</v>
      </c>
      <c r="E89" t="s">
        <v>160</v>
      </c>
      <c r="F89" t="str">
        <f t="shared" si="25"/>
        <v>[1]</v>
      </c>
      <c r="G89">
        <f t="shared" si="14"/>
        <v>1486</v>
      </c>
      <c r="H89" t="str">
        <f t="shared" si="8"/>
        <v>MAC_FrameEncoder.o</v>
      </c>
      <c r="I89">
        <f>SUMIF(E89:$E$173,H89,G89:$G$173)</f>
        <v>1486</v>
      </c>
      <c r="K89" s="4" t="s">
        <v>421</v>
      </c>
      <c r="L89" t="s">
        <v>422</v>
      </c>
      <c r="M89" t="s">
        <v>2897</v>
      </c>
      <c r="N89" t="s">
        <v>211</v>
      </c>
      <c r="O89" t="s">
        <v>92</v>
      </c>
      <c r="P89" t="str">
        <f t="shared" si="1"/>
        <v>[1]</v>
      </c>
      <c r="Q89">
        <f t="shared" si="33"/>
        <v>92</v>
      </c>
      <c r="R89" t="str">
        <f t="shared" si="10"/>
        <v/>
      </c>
      <c r="S89">
        <f>SUMIF(O89:$O$2855,R89,Q89:$Q$2855)</f>
        <v>0</v>
      </c>
      <c r="U89" t="s">
        <v>743</v>
      </c>
      <c r="V89" t="s">
        <v>422</v>
      </c>
      <c r="W89" t="s">
        <v>443</v>
      </c>
      <c r="X89" t="s">
        <v>443</v>
      </c>
      <c r="Y89" t="s">
        <v>612</v>
      </c>
      <c r="Z89" t="str">
        <f t="shared" si="23"/>
        <v>[1]</v>
      </c>
      <c r="AA89">
        <f t="shared" ref="AA89" si="44">HEX2DEC(MID(X89,3,LEN(X89)-2))</f>
        <v>0</v>
      </c>
      <c r="AB89" t="str">
        <f t="shared" ref="AB89" si="45">IF(Y89&lt;&gt;Y88,Y89,"")</f>
        <v/>
      </c>
      <c r="AC89">
        <f>SUMIF(Y89:$Y$94,AB89,AA89:$AA$94)</f>
        <v>0</v>
      </c>
      <c r="AE89" t="s">
        <v>470</v>
      </c>
      <c r="AF89" t="s">
        <v>476</v>
      </c>
      <c r="AG89" t="s">
        <v>443</v>
      </c>
      <c r="AH89" t="s">
        <v>443</v>
      </c>
      <c r="AI89" t="s">
        <v>612</v>
      </c>
      <c r="AJ89" t="str">
        <f t="shared" si="24"/>
        <v>[1]</v>
      </c>
      <c r="AK89">
        <f t="shared" si="40"/>
        <v>0</v>
      </c>
      <c r="AL89" t="str">
        <f t="shared" si="41"/>
        <v/>
      </c>
      <c r="AM89">
        <f>SUMIF(AI89:$AI$121,AL89,AK89:$AK$121)</f>
        <v>0</v>
      </c>
      <c r="AP89" s="4" t="s">
        <v>472</v>
      </c>
      <c r="AQ89" t="s">
        <v>479</v>
      </c>
      <c r="AR89" t="s">
        <v>1696</v>
      </c>
      <c r="AS89" t="s">
        <v>65</v>
      </c>
      <c r="AT89" t="s">
        <v>228</v>
      </c>
      <c r="AU89" t="str">
        <f t="shared" si="7"/>
        <v>[1]</v>
      </c>
      <c r="AV89">
        <f t="shared" si="39"/>
        <v>40</v>
      </c>
      <c r="AW89" t="str">
        <f t="shared" si="13"/>
        <v>dfw_app.o</v>
      </c>
      <c r="AX89">
        <f>SUMIF(AT89:$AT$651,AW89,AV89:$AV$651)</f>
        <v>230</v>
      </c>
    </row>
    <row r="90" spans="1:50" x14ac:dyDescent="0.25">
      <c r="A90" s="4" t="s">
        <v>0</v>
      </c>
      <c r="B90" t="s">
        <v>449</v>
      </c>
      <c r="C90" t="s">
        <v>4346</v>
      </c>
      <c r="D90" t="s">
        <v>1252</v>
      </c>
      <c r="E90" t="s">
        <v>157</v>
      </c>
      <c r="F90" t="str">
        <f t="shared" si="25"/>
        <v>[1]</v>
      </c>
      <c r="G90">
        <f t="shared" si="14"/>
        <v>2828</v>
      </c>
      <c r="H90" t="str">
        <f t="shared" si="8"/>
        <v>MAC_FrameManagement.o</v>
      </c>
      <c r="I90">
        <f>SUMIF(E90:$E$173,H90,G90:$G$173)</f>
        <v>2828</v>
      </c>
      <c r="K90" s="4" t="s">
        <v>421</v>
      </c>
      <c r="L90" t="s">
        <v>422</v>
      </c>
      <c r="M90" t="s">
        <v>2898</v>
      </c>
      <c r="N90" t="s">
        <v>44</v>
      </c>
      <c r="O90" t="s">
        <v>92</v>
      </c>
      <c r="P90" t="str">
        <f t="shared" si="1"/>
        <v>[1]</v>
      </c>
      <c r="Q90">
        <f t="shared" si="33"/>
        <v>44</v>
      </c>
      <c r="R90" t="str">
        <f t="shared" si="10"/>
        <v/>
      </c>
      <c r="S90">
        <f>SUMIF(O90:$O$2855,R90,Q90:$Q$2855)</f>
        <v>0</v>
      </c>
      <c r="U90" t="s">
        <v>743</v>
      </c>
      <c r="V90" t="s">
        <v>422</v>
      </c>
      <c r="W90" t="s">
        <v>443</v>
      </c>
      <c r="X90" t="s">
        <v>443</v>
      </c>
      <c r="Y90" t="s">
        <v>612</v>
      </c>
      <c r="Z90" t="str">
        <f t="shared" si="23"/>
        <v>[1]</v>
      </c>
      <c r="AA90">
        <f t="shared" ref="AA90" si="46">HEX2DEC(MID(X90,3,LEN(X90)-2))</f>
        <v>0</v>
      </c>
      <c r="AB90" t="str">
        <f t="shared" ref="AB90" si="47">IF(Y90&lt;&gt;Y89,Y90,"")</f>
        <v/>
      </c>
      <c r="AC90">
        <f>SUMIF(Y90:$Y$94,AB90,AA90:$AA$94)</f>
        <v>0</v>
      </c>
      <c r="AE90" t="s">
        <v>470</v>
      </c>
      <c r="AF90" t="s">
        <v>476</v>
      </c>
      <c r="AG90" t="s">
        <v>443</v>
      </c>
      <c r="AH90" t="s">
        <v>443</v>
      </c>
      <c r="AI90" t="s">
        <v>612</v>
      </c>
      <c r="AJ90" t="str">
        <f t="shared" si="24"/>
        <v>[1]</v>
      </c>
      <c r="AK90">
        <f t="shared" si="40"/>
        <v>0</v>
      </c>
      <c r="AL90" t="str">
        <f t="shared" si="41"/>
        <v/>
      </c>
      <c r="AM90">
        <f>SUMIF(AI90:$AI$121,AL90,AK90:$AK$121)</f>
        <v>0</v>
      </c>
      <c r="AP90" s="4" t="s">
        <v>472</v>
      </c>
      <c r="AQ90" t="s">
        <v>479</v>
      </c>
      <c r="AR90" t="s">
        <v>1697</v>
      </c>
      <c r="AS90" t="s">
        <v>78</v>
      </c>
      <c r="AT90" t="s">
        <v>228</v>
      </c>
      <c r="AU90" t="str">
        <f t="shared" si="7"/>
        <v>[1]</v>
      </c>
      <c r="AV90">
        <f t="shared" si="39"/>
        <v>4</v>
      </c>
      <c r="AW90" t="str">
        <f t="shared" si="13"/>
        <v/>
      </c>
      <c r="AX90">
        <f>SUMIF(AT90:$AT$651,AW90,AV90:$AV$651)</f>
        <v>0</v>
      </c>
    </row>
    <row r="91" spans="1:50" x14ac:dyDescent="0.25">
      <c r="A91" s="4" t="s">
        <v>0</v>
      </c>
      <c r="B91" t="s">
        <v>449</v>
      </c>
      <c r="C91" t="s">
        <v>4347</v>
      </c>
      <c r="D91" t="s">
        <v>1272</v>
      </c>
      <c r="E91" t="s">
        <v>158</v>
      </c>
      <c r="F91" t="str">
        <f t="shared" si="25"/>
        <v>[1]</v>
      </c>
      <c r="G91">
        <f t="shared" si="14"/>
        <v>1854</v>
      </c>
      <c r="H91" t="str">
        <f t="shared" si="8"/>
        <v>MAC_PacketManagement.o</v>
      </c>
      <c r="I91">
        <f>SUMIF(E91:$E$173,H91,G91:$G$173)</f>
        <v>1854</v>
      </c>
      <c r="K91" s="4" t="s">
        <v>421</v>
      </c>
      <c r="L91" t="s">
        <v>422</v>
      </c>
      <c r="M91" t="s">
        <v>2899</v>
      </c>
      <c r="N91" t="s">
        <v>165</v>
      </c>
      <c r="O91" t="s">
        <v>92</v>
      </c>
      <c r="P91" t="str">
        <f t="shared" si="1"/>
        <v>[1]</v>
      </c>
      <c r="Q91">
        <f t="shared" si="33"/>
        <v>20</v>
      </c>
      <c r="R91" t="str">
        <f t="shared" si="10"/>
        <v/>
      </c>
      <c r="S91">
        <f>SUMIF(O91:$O$2855,R91,Q91:$Q$2855)</f>
        <v>0</v>
      </c>
      <c r="U91" t="s">
        <v>743</v>
      </c>
      <c r="V91" t="s">
        <v>422</v>
      </c>
      <c r="W91" t="s">
        <v>443</v>
      </c>
      <c r="X91" t="s">
        <v>443</v>
      </c>
      <c r="Y91" t="s">
        <v>612</v>
      </c>
      <c r="Z91" t="str">
        <f t="shared" si="23"/>
        <v>[1]</v>
      </c>
      <c r="AA91">
        <f t="shared" ref="AA91" si="48">HEX2DEC(MID(X91,3,LEN(X91)-2))</f>
        <v>0</v>
      </c>
      <c r="AB91" t="str">
        <f t="shared" ref="AB91" si="49">IF(Y91&lt;&gt;Y90,Y91,"")</f>
        <v/>
      </c>
      <c r="AC91">
        <f>SUMIF(Y91:$Y$94,AB91,AA91:$AA$94)</f>
        <v>0</v>
      </c>
      <c r="AE91" t="s">
        <v>470</v>
      </c>
      <c r="AF91" t="s">
        <v>476</v>
      </c>
      <c r="AG91" t="s">
        <v>443</v>
      </c>
      <c r="AH91" t="s">
        <v>443</v>
      </c>
      <c r="AI91" t="s">
        <v>612</v>
      </c>
      <c r="AJ91" t="str">
        <f t="shared" si="24"/>
        <v>[1]</v>
      </c>
      <c r="AK91">
        <f t="shared" si="40"/>
        <v>0</v>
      </c>
      <c r="AL91" t="str">
        <f t="shared" si="41"/>
        <v/>
      </c>
      <c r="AM91">
        <f>SUMIF(AI91:$AI$121,AL91,AK91:$AK$121)</f>
        <v>0</v>
      </c>
      <c r="AP91" s="4" t="s">
        <v>472</v>
      </c>
      <c r="AQ91" t="s">
        <v>479</v>
      </c>
      <c r="AR91" t="s">
        <v>1698</v>
      </c>
      <c r="AS91" t="s">
        <v>78</v>
      </c>
      <c r="AT91" t="s">
        <v>228</v>
      </c>
      <c r="AU91" t="str">
        <f t="shared" si="7"/>
        <v>[1]</v>
      </c>
      <c r="AV91">
        <f t="shared" si="39"/>
        <v>4</v>
      </c>
      <c r="AW91" t="str">
        <f t="shared" si="13"/>
        <v/>
      </c>
      <c r="AX91">
        <f>SUMIF(AT91:$AT$651,AW91,AV91:$AV$651)</f>
        <v>0</v>
      </c>
    </row>
    <row r="92" spans="1:50" x14ac:dyDescent="0.25">
      <c r="A92" s="4" t="s">
        <v>0</v>
      </c>
      <c r="B92" t="s">
        <v>449</v>
      </c>
      <c r="C92" t="s">
        <v>4351</v>
      </c>
      <c r="D92" t="s">
        <v>1076</v>
      </c>
      <c r="E92" t="s">
        <v>1107</v>
      </c>
      <c r="F92" t="str">
        <f t="shared" si="25"/>
        <v>[1]</v>
      </c>
      <c r="G92">
        <f t="shared" si="14"/>
        <v>256</v>
      </c>
      <c r="H92" t="str">
        <f t="shared" si="8"/>
        <v>MaximizeEyeOpening.o</v>
      </c>
      <c r="I92">
        <f>SUMIF(E92:$E$173,H92,G92:$G$173)</f>
        <v>256</v>
      </c>
      <c r="K92" s="4" t="s">
        <v>421</v>
      </c>
      <c r="L92" t="s">
        <v>422</v>
      </c>
      <c r="M92" t="s">
        <v>2900</v>
      </c>
      <c r="N92" t="s">
        <v>202</v>
      </c>
      <c r="O92" t="s">
        <v>92</v>
      </c>
      <c r="P92" t="str">
        <f t="shared" si="1"/>
        <v>[1]</v>
      </c>
      <c r="Q92">
        <f t="shared" si="33"/>
        <v>16</v>
      </c>
      <c r="R92" t="str">
        <f t="shared" si="10"/>
        <v/>
      </c>
      <c r="S92">
        <f>SUMIF(O92:$O$2855,R92,Q92:$Q$2855)</f>
        <v>0</v>
      </c>
      <c r="U92" t="s">
        <v>743</v>
      </c>
      <c r="V92" t="s">
        <v>422</v>
      </c>
      <c r="W92" t="s">
        <v>443</v>
      </c>
      <c r="X92" t="s">
        <v>443</v>
      </c>
      <c r="Y92" t="s">
        <v>612</v>
      </c>
      <c r="Z92" t="str">
        <f t="shared" si="23"/>
        <v>[1]</v>
      </c>
      <c r="AA92">
        <f t="shared" ref="AA92" si="50">HEX2DEC(MID(X92,3,LEN(X92)-2))</f>
        <v>0</v>
      </c>
      <c r="AB92" t="str">
        <f t="shared" ref="AB92" si="51">IF(Y92&lt;&gt;Y91,Y92,"")</f>
        <v/>
      </c>
      <c r="AC92">
        <f>SUMIF(Y92:$Y$94,AB92,AA92:$AA$94)</f>
        <v>0</v>
      </c>
      <c r="AE92" t="s">
        <v>470</v>
      </c>
      <c r="AF92" t="s">
        <v>476</v>
      </c>
      <c r="AG92" t="s">
        <v>443</v>
      </c>
      <c r="AH92" t="s">
        <v>443</v>
      </c>
      <c r="AI92" t="s">
        <v>612</v>
      </c>
      <c r="AJ92" t="str">
        <f t="shared" si="24"/>
        <v>[1]</v>
      </c>
      <c r="AK92">
        <f t="shared" si="40"/>
        <v>0</v>
      </c>
      <c r="AL92" t="str">
        <f t="shared" si="41"/>
        <v/>
      </c>
      <c r="AM92">
        <f>SUMIF(AI92:$AI$121,AL92,AK92:$AK$121)</f>
        <v>0</v>
      </c>
      <c r="AP92" s="4" t="s">
        <v>472</v>
      </c>
      <c r="AQ92" t="s">
        <v>479</v>
      </c>
      <c r="AR92" t="s">
        <v>1699</v>
      </c>
      <c r="AS92" t="s">
        <v>78</v>
      </c>
      <c r="AT92" t="s">
        <v>228</v>
      </c>
      <c r="AU92" t="str">
        <f t="shared" si="7"/>
        <v>[1]</v>
      </c>
      <c r="AV92">
        <f t="shared" si="39"/>
        <v>4</v>
      </c>
      <c r="AW92" t="str">
        <f t="shared" si="13"/>
        <v/>
      </c>
      <c r="AX92">
        <f>SUMIF(AT92:$AT$651,AW92,AV92:$AV$651)</f>
        <v>0</v>
      </c>
    </row>
    <row r="93" spans="1:50" x14ac:dyDescent="0.25">
      <c r="A93" s="4" t="s">
        <v>0</v>
      </c>
      <c r="B93" t="s">
        <v>449</v>
      </c>
      <c r="C93" t="s">
        <v>4373</v>
      </c>
      <c r="D93" t="s">
        <v>387</v>
      </c>
      <c r="E93" t="s">
        <v>115</v>
      </c>
      <c r="F93" t="str">
        <f t="shared" si="25"/>
        <v>[1]</v>
      </c>
      <c r="G93">
        <f t="shared" si="14"/>
        <v>360</v>
      </c>
      <c r="H93" t="str">
        <f t="shared" si="8"/>
        <v>MessageQ.o</v>
      </c>
      <c r="I93">
        <f>SUMIF(E93:$E$173,H93,G93:$G$173)</f>
        <v>360</v>
      </c>
      <c r="K93" s="4" t="s">
        <v>421</v>
      </c>
      <c r="L93" t="s">
        <v>422</v>
      </c>
      <c r="M93" t="s">
        <v>2901</v>
      </c>
      <c r="N93" t="s">
        <v>65</v>
      </c>
      <c r="O93" t="s">
        <v>92</v>
      </c>
      <c r="P93" t="str">
        <f t="shared" si="1"/>
        <v>[1]</v>
      </c>
      <c r="Q93">
        <f t="shared" si="33"/>
        <v>40</v>
      </c>
      <c r="R93" t="str">
        <f t="shared" si="10"/>
        <v/>
      </c>
      <c r="S93">
        <f>SUMIF(O93:$O$2855,R93,Q93:$Q$2855)</f>
        <v>0</v>
      </c>
      <c r="U93" t="s">
        <v>743</v>
      </c>
      <c r="V93" t="s">
        <v>422</v>
      </c>
      <c r="W93" t="s">
        <v>443</v>
      </c>
      <c r="X93" t="s">
        <v>443</v>
      </c>
      <c r="Y93" t="s">
        <v>612</v>
      </c>
      <c r="Z93" t="str">
        <f t="shared" si="23"/>
        <v>[1]</v>
      </c>
      <c r="AA93">
        <f t="shared" ref="AA93" si="52">HEX2DEC(MID(X93,3,LEN(X93)-2))</f>
        <v>0</v>
      </c>
      <c r="AB93" t="str">
        <f t="shared" ref="AB93" si="53">IF(Y93&lt;&gt;Y92,Y93,"")</f>
        <v/>
      </c>
      <c r="AC93">
        <f>SUMIF(Y93:$Y$94,AB93,AA93:$AA$94)</f>
        <v>0</v>
      </c>
      <c r="AE93" t="s">
        <v>470</v>
      </c>
      <c r="AF93" t="s">
        <v>476</v>
      </c>
      <c r="AG93" t="s">
        <v>443</v>
      </c>
      <c r="AH93" t="s">
        <v>443</v>
      </c>
      <c r="AI93" t="s">
        <v>612</v>
      </c>
      <c r="AJ93" t="str">
        <f t="shared" si="24"/>
        <v>[1]</v>
      </c>
      <c r="AK93">
        <f t="shared" si="40"/>
        <v>0</v>
      </c>
      <c r="AL93" t="str">
        <f t="shared" si="41"/>
        <v/>
      </c>
      <c r="AM93">
        <f>SUMIF(AI93:$AI$121,AL93,AK93:$AK$121)</f>
        <v>0</v>
      </c>
      <c r="AP93" s="4" t="s">
        <v>472</v>
      </c>
      <c r="AQ93" t="s">
        <v>479</v>
      </c>
      <c r="AR93" t="s">
        <v>1700</v>
      </c>
      <c r="AS93" t="s">
        <v>78</v>
      </c>
      <c r="AT93" t="s">
        <v>228</v>
      </c>
      <c r="AU93" t="str">
        <f t="shared" si="7"/>
        <v>[1]</v>
      </c>
      <c r="AV93">
        <f t="shared" si="39"/>
        <v>4</v>
      </c>
      <c r="AW93" t="str">
        <f t="shared" si="13"/>
        <v/>
      </c>
      <c r="AX93">
        <f>SUMIF(AT93:$AT$651,AW93,AV93:$AV$651)</f>
        <v>0</v>
      </c>
    </row>
    <row r="94" spans="1:50" x14ac:dyDescent="0.25">
      <c r="A94" s="4" t="s">
        <v>0</v>
      </c>
      <c r="B94" t="s">
        <v>449</v>
      </c>
      <c r="C94" t="s">
        <v>4399</v>
      </c>
      <c r="D94" t="s">
        <v>1214</v>
      </c>
      <c r="E94" t="s">
        <v>248</v>
      </c>
      <c r="F94" t="str">
        <f t="shared" si="25"/>
        <v>[1]</v>
      </c>
      <c r="G94">
        <f t="shared" si="14"/>
        <v>1064</v>
      </c>
      <c r="H94" t="str">
        <f t="shared" si="8"/>
        <v>MFG_Dtls.o</v>
      </c>
      <c r="I94">
        <f>SUMIF(E94:$E$173,H94,G94:$G$173)</f>
        <v>1064</v>
      </c>
      <c r="K94" s="4" t="s">
        <v>421</v>
      </c>
      <c r="L94" t="s">
        <v>422</v>
      </c>
      <c r="M94" t="s">
        <v>2902</v>
      </c>
      <c r="N94" t="s">
        <v>143</v>
      </c>
      <c r="O94" t="s">
        <v>92</v>
      </c>
      <c r="P94" t="str">
        <f t="shared" si="1"/>
        <v>[1]</v>
      </c>
      <c r="Q94">
        <f t="shared" ref="Q94:Q107" si="54">HEX2DEC(MID(N94,3,LEN(N94)-2))</f>
        <v>84</v>
      </c>
      <c r="R94" t="str">
        <f t="shared" si="10"/>
        <v/>
      </c>
      <c r="S94">
        <f>SUMIF(O94:$O$2855,R94,Q94:$Q$2855)</f>
        <v>0</v>
      </c>
      <c r="U94" s="4" t="s">
        <v>448</v>
      </c>
      <c r="V94" t="s">
        <v>422</v>
      </c>
      <c r="W94" t="s">
        <v>443</v>
      </c>
      <c r="X94" t="s">
        <v>443</v>
      </c>
      <c r="Y94" t="s">
        <v>612</v>
      </c>
      <c r="Z94" t="str">
        <f t="shared" si="23"/>
        <v>[1]</v>
      </c>
      <c r="AA94">
        <f t="shared" si="35"/>
        <v>0</v>
      </c>
      <c r="AB94" t="str">
        <f>IF(Y94&lt;&gt;Y87,Y94,"")</f>
        <v/>
      </c>
      <c r="AC94">
        <f>SUMIF(Y94:$Y$94,AB94,AA94:$AA$94)</f>
        <v>0</v>
      </c>
      <c r="AE94" t="s">
        <v>470</v>
      </c>
      <c r="AF94" t="s">
        <v>476</v>
      </c>
      <c r="AG94" t="s">
        <v>443</v>
      </c>
      <c r="AH94" t="s">
        <v>443</v>
      </c>
      <c r="AI94" t="s">
        <v>612</v>
      </c>
      <c r="AJ94" t="str">
        <f t="shared" si="24"/>
        <v>[1]</v>
      </c>
      <c r="AK94">
        <f t="shared" si="40"/>
        <v>0</v>
      </c>
      <c r="AL94" t="str">
        <f t="shared" si="41"/>
        <v/>
      </c>
      <c r="AM94">
        <f>SUMIF(AI94:$AI$121,AL94,AK94:$AK$121)</f>
        <v>0</v>
      </c>
      <c r="AP94" s="4" t="s">
        <v>472</v>
      </c>
      <c r="AQ94" t="s">
        <v>479</v>
      </c>
      <c r="AR94" t="s">
        <v>1558</v>
      </c>
      <c r="AS94" t="s">
        <v>78</v>
      </c>
      <c r="AT94" t="s">
        <v>228</v>
      </c>
      <c r="AU94" t="str">
        <f t="shared" si="7"/>
        <v>[1]</v>
      </c>
      <c r="AV94">
        <f t="shared" si="39"/>
        <v>4</v>
      </c>
      <c r="AW94" t="str">
        <f t="shared" si="13"/>
        <v/>
      </c>
      <c r="AX94">
        <f>SUMIF(AT94:$AT$651,AW94,AV94:$AV$651)</f>
        <v>0</v>
      </c>
    </row>
    <row r="95" spans="1:50" x14ac:dyDescent="0.25">
      <c r="A95" s="4" t="s">
        <v>0</v>
      </c>
      <c r="B95" t="s">
        <v>449</v>
      </c>
      <c r="C95" t="s">
        <v>4400</v>
      </c>
      <c r="D95" t="s">
        <v>4401</v>
      </c>
      <c r="E95" t="s">
        <v>244</v>
      </c>
      <c r="F95" t="str">
        <f t="shared" si="25"/>
        <v>[1]</v>
      </c>
      <c r="G95">
        <f t="shared" si="14"/>
        <v>34556</v>
      </c>
      <c r="H95" t="str">
        <f t="shared" si="8"/>
        <v>MFG_Port.o</v>
      </c>
      <c r="I95">
        <f>SUMIF(E95:$E$173,H95,G95:$G$173)</f>
        <v>34560</v>
      </c>
      <c r="K95" s="4" t="s">
        <v>421</v>
      </c>
      <c r="L95" t="s">
        <v>422</v>
      </c>
      <c r="M95" t="s">
        <v>2825</v>
      </c>
      <c r="N95" t="s">
        <v>1078</v>
      </c>
      <c r="O95" t="s">
        <v>302</v>
      </c>
      <c r="P95" t="str">
        <f t="shared" si="1"/>
        <v>[1]</v>
      </c>
      <c r="Q95">
        <f t="shared" si="54"/>
        <v>432</v>
      </c>
      <c r="R95" t="str">
        <f t="shared" si="10"/>
        <v>cert-builder.o</v>
      </c>
      <c r="S95">
        <f>SUMIF(O95:$O$2855,R95,Q95:$Q$2855)</f>
        <v>844</v>
      </c>
      <c r="U95" t="s">
        <v>829</v>
      </c>
      <c r="V95" t="str">
        <f ca="1">CELL("address",AC95)</f>
        <v>$AC$95</v>
      </c>
      <c r="AA95">
        <f>SUM(AA31:AA94)</f>
        <v>585</v>
      </c>
      <c r="AB95" t="s">
        <v>724</v>
      </c>
      <c r="AC95">
        <f>SUM(AC31:AC94)</f>
        <v>585</v>
      </c>
      <c r="AE95" t="s">
        <v>470</v>
      </c>
      <c r="AF95" t="s">
        <v>476</v>
      </c>
      <c r="AG95" t="s">
        <v>443</v>
      </c>
      <c r="AH95" t="s">
        <v>443</v>
      </c>
      <c r="AI95" t="s">
        <v>612</v>
      </c>
      <c r="AJ95" t="str">
        <f t="shared" ref="AJ95:AJ121" si="55">VLOOKUP($AE$30,$E$1:$F$26,2,FALSE)</f>
        <v>[1]</v>
      </c>
      <c r="AK95">
        <f t="shared" si="40"/>
        <v>0</v>
      </c>
      <c r="AL95" t="str">
        <f t="shared" si="41"/>
        <v/>
      </c>
      <c r="AM95">
        <f>SUMIF(AI95:$AI$121,AL95,AK95:$AK$121)</f>
        <v>0</v>
      </c>
      <c r="AP95" s="4" t="s">
        <v>472</v>
      </c>
      <c r="AQ95" t="s">
        <v>479</v>
      </c>
      <c r="AR95" t="s">
        <v>1559</v>
      </c>
      <c r="AS95" t="s">
        <v>78</v>
      </c>
      <c r="AT95" t="s">
        <v>228</v>
      </c>
      <c r="AU95" t="str">
        <f t="shared" si="7"/>
        <v>[1]</v>
      </c>
      <c r="AV95">
        <f t="shared" si="39"/>
        <v>4</v>
      </c>
      <c r="AW95" t="str">
        <f t="shared" si="13"/>
        <v/>
      </c>
      <c r="AX95">
        <f>SUMIF(AT95:$AT$651,AW95,AV95:$AV$651)</f>
        <v>0</v>
      </c>
    </row>
    <row r="96" spans="1:50" x14ac:dyDescent="0.25">
      <c r="A96" s="4" t="s">
        <v>0</v>
      </c>
      <c r="B96" t="s">
        <v>449</v>
      </c>
      <c r="C96" t="s">
        <v>4402</v>
      </c>
      <c r="D96" t="s">
        <v>78</v>
      </c>
      <c r="E96" t="s">
        <v>244</v>
      </c>
      <c r="F96" t="str">
        <f t="shared" ref="F96:F127" si="56">VLOOKUP($A$30,$E$1:$F$26,2,FALSE)</f>
        <v>[1]</v>
      </c>
      <c r="G96">
        <f t="shared" si="14"/>
        <v>4</v>
      </c>
      <c r="H96" t="str">
        <f t="shared" ref="H96:H159" si="57">IF(E96&lt;&gt;E95,E96,"")</f>
        <v/>
      </c>
      <c r="I96">
        <f>SUMIF(E96:$E$173,H96,G96:$G$173)</f>
        <v>0</v>
      </c>
      <c r="K96" s="4" t="s">
        <v>421</v>
      </c>
      <c r="L96" t="s">
        <v>422</v>
      </c>
      <c r="M96" t="s">
        <v>2826</v>
      </c>
      <c r="N96" t="s">
        <v>429</v>
      </c>
      <c r="O96" t="s">
        <v>302</v>
      </c>
      <c r="P96" t="str">
        <f t="shared" si="1"/>
        <v>[1]</v>
      </c>
      <c r="Q96">
        <f t="shared" si="54"/>
        <v>376</v>
      </c>
      <c r="R96" t="str">
        <f t="shared" ref="R96:R159" si="58">IF(O96&lt;&gt;O95,O96,"")</f>
        <v/>
      </c>
      <c r="S96">
        <f>SUMIF(O96:$O$2855,R96,Q96:$Q$2855)</f>
        <v>0</v>
      </c>
      <c r="AE96" t="s">
        <v>470</v>
      </c>
      <c r="AF96" t="s">
        <v>476</v>
      </c>
      <c r="AG96" t="s">
        <v>443</v>
      </c>
      <c r="AH96" t="s">
        <v>443</v>
      </c>
      <c r="AI96" t="s">
        <v>612</v>
      </c>
      <c r="AJ96" t="str">
        <f t="shared" si="55"/>
        <v>[1]</v>
      </c>
      <c r="AK96">
        <f t="shared" si="40"/>
        <v>0</v>
      </c>
      <c r="AL96" t="str">
        <f t="shared" si="41"/>
        <v/>
      </c>
      <c r="AM96">
        <f>SUMIF(AI96:$AI$121,AL96,AK96:$AK$121)</f>
        <v>0</v>
      </c>
      <c r="AP96" s="4" t="s">
        <v>472</v>
      </c>
      <c r="AQ96" t="s">
        <v>479</v>
      </c>
      <c r="AR96" t="s">
        <v>1736</v>
      </c>
      <c r="AS96" t="s">
        <v>13</v>
      </c>
      <c r="AT96" t="s">
        <v>228</v>
      </c>
      <c r="AU96" t="str">
        <f t="shared" si="7"/>
        <v>[1]</v>
      </c>
      <c r="AV96">
        <f t="shared" si="39"/>
        <v>12</v>
      </c>
      <c r="AW96" t="str">
        <f t="shared" ref="AW96:AW159" si="59">IF(AT96&lt;&gt;AT95,AT96,"")</f>
        <v/>
      </c>
      <c r="AX96">
        <f>SUMIF(AT96:$AT$651,AW96,AV96:$AV$651)</f>
        <v>0</v>
      </c>
    </row>
    <row r="97" spans="1:50" x14ac:dyDescent="0.25">
      <c r="A97" s="4" t="s">
        <v>0</v>
      </c>
      <c r="B97" t="s">
        <v>449</v>
      </c>
      <c r="C97" t="s">
        <v>4403</v>
      </c>
      <c r="D97" t="s">
        <v>4404</v>
      </c>
      <c r="E97" t="s">
        <v>919</v>
      </c>
      <c r="F97" t="str">
        <f t="shared" si="56"/>
        <v>[1]</v>
      </c>
      <c r="G97">
        <f t="shared" si="14"/>
        <v>1956</v>
      </c>
      <c r="H97" t="str">
        <f t="shared" si="57"/>
        <v>MIMT_info.o</v>
      </c>
      <c r="I97">
        <f>SUMIF(E97:$E$173,H97,G97:$G$173)</f>
        <v>1956</v>
      </c>
      <c r="K97" s="4" t="s">
        <v>421</v>
      </c>
      <c r="L97" t="s">
        <v>422</v>
      </c>
      <c r="M97" t="s">
        <v>2827</v>
      </c>
      <c r="N97" t="s">
        <v>437</v>
      </c>
      <c r="O97" t="s">
        <v>302</v>
      </c>
      <c r="P97" t="str">
        <f t="shared" si="1"/>
        <v>[1]</v>
      </c>
      <c r="Q97">
        <f t="shared" si="54"/>
        <v>24</v>
      </c>
      <c r="R97" t="str">
        <f t="shared" si="58"/>
        <v/>
      </c>
      <c r="S97">
        <f>SUMIF(O97:$O$2855,R97,Q97:$Q$2855)</f>
        <v>0</v>
      </c>
      <c r="AE97" t="s">
        <v>470</v>
      </c>
      <c r="AF97" t="s">
        <v>476</v>
      </c>
      <c r="AG97" t="s">
        <v>443</v>
      </c>
      <c r="AH97" t="s">
        <v>443</v>
      </c>
      <c r="AI97" t="s">
        <v>612</v>
      </c>
      <c r="AJ97" t="str">
        <f t="shared" si="55"/>
        <v>[1]</v>
      </c>
      <c r="AK97">
        <f t="shared" si="40"/>
        <v>0</v>
      </c>
      <c r="AL97" t="str">
        <f t="shared" si="41"/>
        <v/>
      </c>
      <c r="AM97">
        <f>SUMIF(AI97:$AI$121,AL97,AK97:$AK$121)</f>
        <v>0</v>
      </c>
      <c r="AP97" s="4" t="s">
        <v>472</v>
      </c>
      <c r="AQ97" t="s">
        <v>479</v>
      </c>
      <c r="AR97" t="s">
        <v>1737</v>
      </c>
      <c r="AS97" t="s">
        <v>13</v>
      </c>
      <c r="AT97" t="s">
        <v>228</v>
      </c>
      <c r="AU97" t="str">
        <f t="shared" si="7"/>
        <v>[1]</v>
      </c>
      <c r="AV97">
        <f t="shared" si="39"/>
        <v>12</v>
      </c>
      <c r="AW97" t="str">
        <f t="shared" si="59"/>
        <v/>
      </c>
      <c r="AX97">
        <f>SUMIF(AT97:$AT$651,AW97,AV97:$AV$651)</f>
        <v>0</v>
      </c>
    </row>
    <row r="98" spans="1:50" x14ac:dyDescent="0.25">
      <c r="A98" s="4" t="s">
        <v>0</v>
      </c>
      <c r="B98" t="s">
        <v>449</v>
      </c>
      <c r="C98" t="s">
        <v>4405</v>
      </c>
      <c r="D98" t="s">
        <v>1203</v>
      </c>
      <c r="E98" t="s">
        <v>86</v>
      </c>
      <c r="F98" t="str">
        <f t="shared" si="56"/>
        <v>[1]</v>
      </c>
      <c r="G98">
        <f t="shared" ref="G98:G137" si="60">HEX2DEC(MID(D98,3,LEN(D98)-2))</f>
        <v>884</v>
      </c>
      <c r="H98" t="str">
        <f t="shared" si="57"/>
        <v>mode_config.o</v>
      </c>
      <c r="I98">
        <f>SUMIF(E98:$E$173,H98,G98:$G$173)</f>
        <v>884</v>
      </c>
      <c r="K98" s="4" t="s">
        <v>421</v>
      </c>
      <c r="L98" t="s">
        <v>422</v>
      </c>
      <c r="M98" t="s">
        <v>2828</v>
      </c>
      <c r="N98" t="s">
        <v>13</v>
      </c>
      <c r="O98" t="s">
        <v>302</v>
      </c>
      <c r="P98" t="str">
        <f t="shared" si="1"/>
        <v>[1]</v>
      </c>
      <c r="Q98">
        <f t="shared" si="54"/>
        <v>12</v>
      </c>
      <c r="R98" t="str">
        <f t="shared" si="58"/>
        <v/>
      </c>
      <c r="S98">
        <f>SUMIF(O98:$O$2855,R98,Q98:$Q$2855)</f>
        <v>0</v>
      </c>
      <c r="U98" t="s">
        <v>826</v>
      </c>
      <c r="V98" t="str">
        <f ca="1">CELL("address",AB100)</f>
        <v>$AB$100</v>
      </c>
      <c r="AE98" t="s">
        <v>470</v>
      </c>
      <c r="AF98" t="s">
        <v>476</v>
      </c>
      <c r="AG98" t="s">
        <v>443</v>
      </c>
      <c r="AH98" t="s">
        <v>443</v>
      </c>
      <c r="AI98" t="s">
        <v>612</v>
      </c>
      <c r="AJ98" t="str">
        <f t="shared" si="55"/>
        <v>[1]</v>
      </c>
      <c r="AK98">
        <f t="shared" si="40"/>
        <v>0</v>
      </c>
      <c r="AL98" t="str">
        <f t="shared" si="41"/>
        <v/>
      </c>
      <c r="AM98">
        <f>SUMIF(AI98:$AI$121,AL98,AK98:$AK$121)</f>
        <v>0</v>
      </c>
      <c r="AP98" s="4" t="s">
        <v>472</v>
      </c>
      <c r="AQ98" t="s">
        <v>479</v>
      </c>
      <c r="AR98" t="s">
        <v>1232</v>
      </c>
      <c r="AS98" t="s">
        <v>78</v>
      </c>
      <c r="AT98" t="s">
        <v>228</v>
      </c>
      <c r="AU98" t="str">
        <f t="shared" si="7"/>
        <v>[1]</v>
      </c>
      <c r="AV98">
        <f t="shared" si="39"/>
        <v>4</v>
      </c>
      <c r="AW98" t="str">
        <f t="shared" si="59"/>
        <v/>
      </c>
      <c r="AX98">
        <f>SUMIF(AT98:$AT$651,AW98,AV98:$AV$651)</f>
        <v>0</v>
      </c>
    </row>
    <row r="99" spans="1:50" x14ac:dyDescent="0.25">
      <c r="A99" s="4" t="s">
        <v>0</v>
      </c>
      <c r="B99" t="s">
        <v>449</v>
      </c>
      <c r="C99" t="s">
        <v>4340</v>
      </c>
      <c r="D99" t="s">
        <v>4341</v>
      </c>
      <c r="E99" t="s">
        <v>1046</v>
      </c>
      <c r="F99" t="str">
        <f t="shared" si="56"/>
        <v>[1]</v>
      </c>
      <c r="G99">
        <f t="shared" si="60"/>
        <v>2400</v>
      </c>
      <c r="H99" t="str">
        <f t="shared" si="57"/>
        <v>mtls.o</v>
      </c>
      <c r="I99">
        <f>SUMIF(E99:$E$173,H99,G99:$G$173)</f>
        <v>2400</v>
      </c>
      <c r="K99" s="4" t="s">
        <v>421</v>
      </c>
      <c r="L99" t="s">
        <v>422</v>
      </c>
      <c r="M99" t="s">
        <v>2866</v>
      </c>
      <c r="N99" t="s">
        <v>44</v>
      </c>
      <c r="O99" t="s">
        <v>161</v>
      </c>
      <c r="P99" t="str">
        <f t="shared" si="1"/>
        <v>[1]</v>
      </c>
      <c r="Q99">
        <f t="shared" si="54"/>
        <v>44</v>
      </c>
      <c r="R99" t="str">
        <f t="shared" si="58"/>
        <v>CRC.o</v>
      </c>
      <c r="S99">
        <f>SUMIF(O99:$O$2855,R99,Q99:$Q$2855)</f>
        <v>52</v>
      </c>
      <c r="U99" s="47" t="s">
        <v>538</v>
      </c>
      <c r="V99" s="47"/>
      <c r="W99" s="47"/>
      <c r="X99" s="47"/>
      <c r="Y99" s="47"/>
      <c r="Z99" s="47"/>
      <c r="AA99" s="47"/>
      <c r="AB99" s="47"/>
      <c r="AC99" s="47"/>
      <c r="AE99" t="s">
        <v>470</v>
      </c>
      <c r="AF99" t="s">
        <v>476</v>
      </c>
      <c r="AG99" t="s">
        <v>443</v>
      </c>
      <c r="AH99" t="s">
        <v>443</v>
      </c>
      <c r="AI99" t="s">
        <v>612</v>
      </c>
      <c r="AJ99" t="str">
        <f t="shared" si="55"/>
        <v>[1]</v>
      </c>
      <c r="AK99">
        <f t="shared" si="40"/>
        <v>0</v>
      </c>
      <c r="AL99" t="str">
        <f t="shared" si="41"/>
        <v/>
      </c>
      <c r="AM99">
        <f>SUMIF(AI99:$AI$121,AL99,AK99:$AK$121)</f>
        <v>0</v>
      </c>
      <c r="AP99" s="4" t="s">
        <v>472</v>
      </c>
      <c r="AQ99" t="s">
        <v>479</v>
      </c>
      <c r="AR99" t="s">
        <v>1738</v>
      </c>
      <c r="AS99" t="s">
        <v>13</v>
      </c>
      <c r="AT99" t="s">
        <v>228</v>
      </c>
      <c r="AU99" t="str">
        <f t="shared" si="7"/>
        <v>[1]</v>
      </c>
      <c r="AV99">
        <f t="shared" si="39"/>
        <v>12</v>
      </c>
      <c r="AW99" t="str">
        <f t="shared" si="59"/>
        <v/>
      </c>
      <c r="AX99">
        <f>SUMIF(AT99:$AT$651,AW99,AV99:$AV$651)</f>
        <v>0</v>
      </c>
    </row>
    <row r="100" spans="1:50" x14ac:dyDescent="0.25">
      <c r="A100" s="4" t="s">
        <v>0</v>
      </c>
      <c r="B100" t="s">
        <v>449</v>
      </c>
      <c r="C100" t="s">
        <v>4374</v>
      </c>
      <c r="D100" t="s">
        <v>391</v>
      </c>
      <c r="E100" t="s">
        <v>117</v>
      </c>
      <c r="F100" t="str">
        <f t="shared" si="56"/>
        <v>[1]</v>
      </c>
      <c r="G100">
        <f t="shared" si="60"/>
        <v>288</v>
      </c>
      <c r="H100" t="str">
        <f t="shared" si="57"/>
        <v>Mutex.o</v>
      </c>
      <c r="I100">
        <f>SUMIF(E100:$E$173,H100,G100:$G$173)</f>
        <v>288</v>
      </c>
      <c r="K100" s="4" t="s">
        <v>421</v>
      </c>
      <c r="L100" t="s">
        <v>422</v>
      </c>
      <c r="M100" t="s">
        <v>2867</v>
      </c>
      <c r="N100" t="s">
        <v>126</v>
      </c>
      <c r="O100" t="s">
        <v>161</v>
      </c>
      <c r="P100" t="str">
        <f t="shared" si="1"/>
        <v>[1]</v>
      </c>
      <c r="Q100">
        <f t="shared" si="54"/>
        <v>8</v>
      </c>
      <c r="R100" t="str">
        <f t="shared" si="58"/>
        <v/>
      </c>
      <c r="S100">
        <f>SUMIF(O100:$O$2855,R100,Q100:$Q$2855)</f>
        <v>0</v>
      </c>
      <c r="U100" s="4" t="s">
        <v>941</v>
      </c>
      <c r="V100" t="s">
        <v>422</v>
      </c>
      <c r="W100" t="s">
        <v>2075</v>
      </c>
      <c r="X100" t="s">
        <v>1194</v>
      </c>
      <c r="Y100" t="s">
        <v>406</v>
      </c>
      <c r="Z100" t="str">
        <f>VLOOKUP($U$99,$E$1:$F$26,2,FALSE)</f>
        <v>[1]</v>
      </c>
      <c r="AA100">
        <f>HEX2DEC(MID(X100,3,LEN(X100)-2))</f>
        <v>69</v>
      </c>
      <c r="AB100" t="str">
        <f>IF(Y100&lt;&gt;Y99,Y100,"")</f>
        <v>IF_intFlash.o</v>
      </c>
      <c r="AC100">
        <f>SUMIF(Y100:$Y$100,AB100,AA100:$AA$100)</f>
        <v>69</v>
      </c>
      <c r="AE100" t="s">
        <v>470</v>
      </c>
      <c r="AF100" t="s">
        <v>476</v>
      </c>
      <c r="AG100" t="s">
        <v>443</v>
      </c>
      <c r="AH100" t="s">
        <v>443</v>
      </c>
      <c r="AI100" t="s">
        <v>612</v>
      </c>
      <c r="AJ100" t="str">
        <f t="shared" si="55"/>
        <v>[1]</v>
      </c>
      <c r="AK100">
        <f t="shared" si="40"/>
        <v>0</v>
      </c>
      <c r="AL100" t="str">
        <f t="shared" si="41"/>
        <v/>
      </c>
      <c r="AM100">
        <f>SUMIF(AI100:$AI$121,AL100,AK100:$AK$121)</f>
        <v>0</v>
      </c>
      <c r="AP100" s="4" t="s">
        <v>472</v>
      </c>
      <c r="AQ100" t="s">
        <v>479</v>
      </c>
      <c r="AR100" t="s">
        <v>1739</v>
      </c>
      <c r="AS100" t="s">
        <v>13</v>
      </c>
      <c r="AT100" t="s">
        <v>228</v>
      </c>
      <c r="AU100" t="str">
        <f t="shared" si="7"/>
        <v>[1]</v>
      </c>
      <c r="AV100">
        <f t="shared" si="39"/>
        <v>12</v>
      </c>
      <c r="AW100" t="str">
        <f t="shared" si="59"/>
        <v/>
      </c>
      <c r="AX100">
        <f>SUMIF(AT100:$AT$651,AW100,AV100:$AV$651)</f>
        <v>0</v>
      </c>
    </row>
    <row r="101" spans="1:50" x14ac:dyDescent="0.25">
      <c r="A101" s="4" t="s">
        <v>0</v>
      </c>
      <c r="B101" t="s">
        <v>449</v>
      </c>
      <c r="C101" t="s">
        <v>4424</v>
      </c>
      <c r="D101" t="s">
        <v>250</v>
      </c>
      <c r="E101" t="s">
        <v>1136</v>
      </c>
      <c r="F101" t="str">
        <f t="shared" si="56"/>
        <v>[1]</v>
      </c>
      <c r="G101">
        <f t="shared" si="60"/>
        <v>140</v>
      </c>
      <c r="H101" t="str">
        <f t="shared" si="57"/>
        <v>nw_connected.o</v>
      </c>
      <c r="I101">
        <f>SUMIF(E101:$E$173,H101,G101:$G$173)</f>
        <v>140</v>
      </c>
      <c r="K101" s="4" t="s">
        <v>421</v>
      </c>
      <c r="L101" t="s">
        <v>422</v>
      </c>
      <c r="M101" t="s">
        <v>4092</v>
      </c>
      <c r="N101" t="s">
        <v>237</v>
      </c>
      <c r="O101" t="s">
        <v>1133</v>
      </c>
      <c r="P101" t="str">
        <f t="shared" si="1"/>
        <v>[1]</v>
      </c>
      <c r="Q101">
        <f t="shared" si="54"/>
        <v>52</v>
      </c>
      <c r="R101" t="str">
        <f t="shared" si="58"/>
        <v>da_srfn_reg.o</v>
      </c>
      <c r="S101">
        <f>SUMIF(O101:$O$2855,R101,Q101:$Q$2855)</f>
        <v>52</v>
      </c>
      <c r="U101" t="s">
        <v>809</v>
      </c>
      <c r="V101" t="str">
        <f ca="1">CELL("address",AC101)</f>
        <v>$AC$101</v>
      </c>
      <c r="AA101">
        <f>SUM(AA100)</f>
        <v>69</v>
      </c>
      <c r="AB101" t="s">
        <v>809</v>
      </c>
      <c r="AC101">
        <f>SUM(AC100)</f>
        <v>69</v>
      </c>
      <c r="AE101" t="s">
        <v>470</v>
      </c>
      <c r="AF101" t="s">
        <v>476</v>
      </c>
      <c r="AG101" t="s">
        <v>443</v>
      </c>
      <c r="AH101" t="s">
        <v>443</v>
      </c>
      <c r="AI101" t="s">
        <v>612</v>
      </c>
      <c r="AJ101" t="str">
        <f t="shared" si="55"/>
        <v>[1]</v>
      </c>
      <c r="AK101">
        <f t="shared" ref="AK101:AK121" si="61">HEX2DEC(MID(AH101,3,LEN(AH101)-2))</f>
        <v>0</v>
      </c>
      <c r="AL101" t="str">
        <f t="shared" ref="AL101:AL114" si="62">IF(AI101&lt;&gt;AI100,AI101,"")</f>
        <v/>
      </c>
      <c r="AM101">
        <f>SUMIF(AI101:$AI$121,AL101,AK101:$AK$121)</f>
        <v>0</v>
      </c>
      <c r="AP101" s="4" t="s">
        <v>472</v>
      </c>
      <c r="AQ101" t="s">
        <v>479</v>
      </c>
      <c r="AR101" t="s">
        <v>1740</v>
      </c>
      <c r="AS101" t="s">
        <v>119</v>
      </c>
      <c r="AT101" t="s">
        <v>228</v>
      </c>
      <c r="AU101" t="str">
        <f t="shared" si="7"/>
        <v>[1]</v>
      </c>
      <c r="AV101">
        <f t="shared" si="39"/>
        <v>32</v>
      </c>
      <c r="AW101" t="str">
        <f t="shared" si="59"/>
        <v/>
      </c>
      <c r="AX101">
        <f>SUMIF(AT101:$AT$651,AW101,AV101:$AV$651)</f>
        <v>0</v>
      </c>
    </row>
    <row r="102" spans="1:50" x14ac:dyDescent="0.25">
      <c r="A102" s="4" t="s">
        <v>0</v>
      </c>
      <c r="B102" t="s">
        <v>449</v>
      </c>
      <c r="C102" t="s">
        <v>4318</v>
      </c>
      <c r="D102" t="s">
        <v>1195</v>
      </c>
      <c r="E102" t="s">
        <v>97</v>
      </c>
      <c r="F102" t="str">
        <f t="shared" si="56"/>
        <v>[1]</v>
      </c>
      <c r="G102">
        <f t="shared" si="60"/>
        <v>722</v>
      </c>
      <c r="H102" t="str">
        <f t="shared" si="57"/>
        <v>pack.o</v>
      </c>
      <c r="I102">
        <f>SUMIF(E102:$E$173,H102,G102:$G$173)</f>
        <v>722</v>
      </c>
      <c r="K102" s="4" t="s">
        <v>421</v>
      </c>
      <c r="L102" t="s">
        <v>422</v>
      </c>
      <c r="M102" t="s">
        <v>2903</v>
      </c>
      <c r="N102" t="s">
        <v>126</v>
      </c>
      <c r="O102" t="s">
        <v>131</v>
      </c>
      <c r="P102" t="str">
        <f t="shared" si="1"/>
        <v>[1]</v>
      </c>
      <c r="Q102">
        <f t="shared" si="54"/>
        <v>8</v>
      </c>
      <c r="R102" t="str">
        <f t="shared" si="58"/>
        <v>DBG_CommandLine.o</v>
      </c>
      <c r="S102">
        <f>SUMIF(O102:$O$2855,R102,Q102:$Q$2855)</f>
        <v>20816</v>
      </c>
      <c r="AE102" t="s">
        <v>470</v>
      </c>
      <c r="AF102" t="s">
        <v>476</v>
      </c>
      <c r="AG102" t="s">
        <v>443</v>
      </c>
      <c r="AH102" t="s">
        <v>443</v>
      </c>
      <c r="AI102" t="s">
        <v>612</v>
      </c>
      <c r="AJ102" t="str">
        <f t="shared" si="55"/>
        <v>[1]</v>
      </c>
      <c r="AK102">
        <f t="shared" si="61"/>
        <v>0</v>
      </c>
      <c r="AL102" t="str">
        <f t="shared" si="62"/>
        <v/>
      </c>
      <c r="AM102">
        <f>SUMIF(AI102:$AI$121,AL102,AK102:$AK$121)</f>
        <v>0</v>
      </c>
      <c r="AP102" s="4" t="s">
        <v>472</v>
      </c>
      <c r="AQ102" t="s">
        <v>479</v>
      </c>
      <c r="AR102" t="s">
        <v>1701</v>
      </c>
      <c r="AS102" t="s">
        <v>78</v>
      </c>
      <c r="AT102" t="s">
        <v>228</v>
      </c>
      <c r="AU102" t="str">
        <f t="shared" si="7"/>
        <v>[1]</v>
      </c>
      <c r="AV102">
        <f t="shared" si="39"/>
        <v>4</v>
      </c>
      <c r="AW102" t="str">
        <f t="shared" si="59"/>
        <v/>
      </c>
      <c r="AX102">
        <f>SUMIF(AT102:$AT$651,AW102,AV102:$AV$651)</f>
        <v>0</v>
      </c>
    </row>
    <row r="103" spans="1:50" x14ac:dyDescent="0.25">
      <c r="A103" s="4" t="s">
        <v>0</v>
      </c>
      <c r="B103" t="s">
        <v>449</v>
      </c>
      <c r="C103" t="s">
        <v>4406</v>
      </c>
      <c r="D103" t="s">
        <v>1264</v>
      </c>
      <c r="E103" t="s">
        <v>177</v>
      </c>
      <c r="F103" t="str">
        <f t="shared" si="56"/>
        <v>[1]</v>
      </c>
      <c r="G103">
        <f t="shared" si="60"/>
        <v>1576</v>
      </c>
      <c r="H103" t="str">
        <f t="shared" si="57"/>
        <v>partitions.o</v>
      </c>
      <c r="I103">
        <f>SUMIF(E103:$E$173,H103,G103:$G$173)</f>
        <v>1576</v>
      </c>
      <c r="K103" s="4" t="s">
        <v>421</v>
      </c>
      <c r="L103" t="s">
        <v>422</v>
      </c>
      <c r="M103" t="s">
        <v>2904</v>
      </c>
      <c r="N103" t="s">
        <v>6</v>
      </c>
      <c r="O103" t="s">
        <v>131</v>
      </c>
      <c r="P103" t="str">
        <f t="shared" si="1"/>
        <v>[1]</v>
      </c>
      <c r="Q103">
        <f t="shared" si="54"/>
        <v>28</v>
      </c>
      <c r="R103" t="str">
        <f t="shared" si="58"/>
        <v/>
      </c>
      <c r="S103">
        <f>SUMIF(O103:$O$2855,R103,Q103:$Q$2855)</f>
        <v>0</v>
      </c>
      <c r="AE103" t="s">
        <v>470</v>
      </c>
      <c r="AF103" t="s">
        <v>476</v>
      </c>
      <c r="AG103" t="s">
        <v>443</v>
      </c>
      <c r="AH103" t="s">
        <v>443</v>
      </c>
      <c r="AI103" t="s">
        <v>612</v>
      </c>
      <c r="AJ103" t="str">
        <f t="shared" si="55"/>
        <v>[1]</v>
      </c>
      <c r="AK103">
        <f t="shared" si="61"/>
        <v>0</v>
      </c>
      <c r="AL103" t="str">
        <f t="shared" si="62"/>
        <v/>
      </c>
      <c r="AM103">
        <f>SUMIF(AI103:$AI$121,AL103,AK103:$AK$121)</f>
        <v>0</v>
      </c>
      <c r="AP103" s="4" t="s">
        <v>472</v>
      </c>
      <c r="AQ103" t="s">
        <v>479</v>
      </c>
      <c r="AR103" t="s">
        <v>1702</v>
      </c>
      <c r="AS103" t="s">
        <v>78</v>
      </c>
      <c r="AT103" t="s">
        <v>228</v>
      </c>
      <c r="AU103" t="str">
        <f t="shared" si="7"/>
        <v>[1]</v>
      </c>
      <c r="AV103">
        <f t="shared" si="39"/>
        <v>4</v>
      </c>
      <c r="AW103" t="str">
        <f t="shared" si="59"/>
        <v/>
      </c>
      <c r="AX103">
        <f>SUMIF(AT103:$AT$651,AW103,AV103:$AV$651)</f>
        <v>0</v>
      </c>
    </row>
    <row r="104" spans="1:50" x14ac:dyDescent="0.25">
      <c r="A104" s="4" t="s">
        <v>0</v>
      </c>
      <c r="B104" t="s">
        <v>449</v>
      </c>
      <c r="C104" t="s">
        <v>4352</v>
      </c>
      <c r="D104" t="s">
        <v>267</v>
      </c>
      <c r="E104" t="s">
        <v>1108</v>
      </c>
      <c r="F104" t="str">
        <f t="shared" si="56"/>
        <v>[1]</v>
      </c>
      <c r="G104">
        <f t="shared" si="60"/>
        <v>116</v>
      </c>
      <c r="H104" t="str">
        <f t="shared" si="57"/>
        <v>PerformCFOCompensation.o</v>
      </c>
      <c r="I104">
        <f>SUMIF(E104:$E$173,H104,G104:$G$173)</f>
        <v>116</v>
      </c>
      <c r="K104" s="4" t="s">
        <v>421</v>
      </c>
      <c r="L104" t="s">
        <v>422</v>
      </c>
      <c r="M104" t="s">
        <v>2905</v>
      </c>
      <c r="N104" t="s">
        <v>126</v>
      </c>
      <c r="O104" t="s">
        <v>131</v>
      </c>
      <c r="P104" t="str">
        <f t="shared" si="1"/>
        <v>[1]</v>
      </c>
      <c r="Q104">
        <f t="shared" si="54"/>
        <v>8</v>
      </c>
      <c r="R104" t="str">
        <f t="shared" si="58"/>
        <v/>
      </c>
      <c r="S104">
        <f>SUMIF(O104:$O$2855,R104,Q104:$Q$2855)</f>
        <v>0</v>
      </c>
      <c r="U104" t="s">
        <v>827</v>
      </c>
      <c r="V104" t="str">
        <f ca="1">CELL("address",AB106)</f>
        <v>$AB$106</v>
      </c>
      <c r="AE104" t="s">
        <v>470</v>
      </c>
      <c r="AF104" t="s">
        <v>476</v>
      </c>
      <c r="AG104" t="s">
        <v>443</v>
      </c>
      <c r="AH104" t="s">
        <v>443</v>
      </c>
      <c r="AI104" t="s">
        <v>612</v>
      </c>
      <c r="AJ104" t="str">
        <f t="shared" si="55"/>
        <v>[1]</v>
      </c>
      <c r="AK104">
        <f t="shared" si="61"/>
        <v>0</v>
      </c>
      <c r="AL104" t="str">
        <f t="shared" si="62"/>
        <v/>
      </c>
      <c r="AM104">
        <f>SUMIF(AI104:$AI$121,AL104,AK104:$AK$121)</f>
        <v>0</v>
      </c>
      <c r="AP104" s="4" t="s">
        <v>472</v>
      </c>
      <c r="AQ104" t="s">
        <v>479</v>
      </c>
      <c r="AR104" t="s">
        <v>1741</v>
      </c>
      <c r="AS104" t="s">
        <v>6</v>
      </c>
      <c r="AT104" t="s">
        <v>228</v>
      </c>
      <c r="AU104" t="str">
        <f t="shared" si="7"/>
        <v>[1]</v>
      </c>
      <c r="AV104">
        <f t="shared" si="39"/>
        <v>28</v>
      </c>
      <c r="AW104" t="str">
        <f t="shared" si="59"/>
        <v/>
      </c>
      <c r="AX104">
        <f>SUMIF(AT104:$AT$651,AW104,AV104:$AV$651)</f>
        <v>0</v>
      </c>
    </row>
    <row r="105" spans="1:50" x14ac:dyDescent="0.25">
      <c r="A105" s="4" t="s">
        <v>0</v>
      </c>
      <c r="B105" t="s">
        <v>449</v>
      </c>
      <c r="C105" t="s">
        <v>4360</v>
      </c>
      <c r="D105" t="s">
        <v>67</v>
      </c>
      <c r="E105" t="s">
        <v>1117</v>
      </c>
      <c r="F105" t="str">
        <f t="shared" si="56"/>
        <v>[1]</v>
      </c>
      <c r="G105">
        <f t="shared" si="60"/>
        <v>48</v>
      </c>
      <c r="H105" t="str">
        <f t="shared" si="57"/>
        <v>phase2freq_wi_unwrap.o</v>
      </c>
      <c r="I105">
        <f>SUMIF(E105:$E$173,H105,G105:$G$173)</f>
        <v>48</v>
      </c>
      <c r="K105" s="4" t="s">
        <v>421</v>
      </c>
      <c r="L105" t="s">
        <v>422</v>
      </c>
      <c r="M105" t="s">
        <v>1840</v>
      </c>
      <c r="N105" t="s">
        <v>165</v>
      </c>
      <c r="O105" t="s">
        <v>131</v>
      </c>
      <c r="P105" t="str">
        <f t="shared" si="1"/>
        <v>[1]</v>
      </c>
      <c r="Q105">
        <f t="shared" si="54"/>
        <v>20</v>
      </c>
      <c r="R105" t="str">
        <f t="shared" si="58"/>
        <v/>
      </c>
      <c r="S105">
        <f>SUMIF(O105:$O$2855,R105,Q105:$Q$2855)</f>
        <v>0</v>
      </c>
      <c r="U105" s="47" t="s">
        <v>539</v>
      </c>
      <c r="V105" s="47"/>
      <c r="W105" s="47"/>
      <c r="X105" s="47"/>
      <c r="Y105" s="47"/>
      <c r="Z105" s="47"/>
      <c r="AA105" s="47"/>
      <c r="AB105" s="47"/>
      <c r="AC105" s="47"/>
      <c r="AE105" t="s">
        <v>470</v>
      </c>
      <c r="AF105" t="s">
        <v>476</v>
      </c>
      <c r="AG105" t="s">
        <v>443</v>
      </c>
      <c r="AH105" t="s">
        <v>443</v>
      </c>
      <c r="AI105" t="s">
        <v>612</v>
      </c>
      <c r="AJ105" t="str">
        <f t="shared" si="55"/>
        <v>[1]</v>
      </c>
      <c r="AK105">
        <f t="shared" si="61"/>
        <v>0</v>
      </c>
      <c r="AL105" t="str">
        <f t="shared" si="62"/>
        <v/>
      </c>
      <c r="AM105">
        <f>SUMIF(AI105:$AI$121,AL105,AK105:$AK$121)</f>
        <v>0</v>
      </c>
      <c r="AP105" s="4" t="s">
        <v>472</v>
      </c>
      <c r="AQ105" t="s">
        <v>479</v>
      </c>
      <c r="AR105" t="s">
        <v>1742</v>
      </c>
      <c r="AS105" t="s">
        <v>6</v>
      </c>
      <c r="AT105" t="s">
        <v>228</v>
      </c>
      <c r="AU105" t="str">
        <f t="shared" si="7"/>
        <v>[1]</v>
      </c>
      <c r="AV105">
        <f t="shared" si="39"/>
        <v>28</v>
      </c>
      <c r="AW105" t="str">
        <f t="shared" si="59"/>
        <v/>
      </c>
      <c r="AX105">
        <f>SUMIF(AT105:$AT$651,AW105,AV105:$AV$651)</f>
        <v>0</v>
      </c>
    </row>
    <row r="106" spans="1:50" x14ac:dyDescent="0.25">
      <c r="A106" s="4" t="s">
        <v>0</v>
      </c>
      <c r="B106" t="s">
        <v>449</v>
      </c>
      <c r="C106" t="s">
        <v>4348</v>
      </c>
      <c r="D106" t="s">
        <v>4349</v>
      </c>
      <c r="E106" t="s">
        <v>159</v>
      </c>
      <c r="F106" t="str">
        <f t="shared" si="56"/>
        <v>[1]</v>
      </c>
      <c r="G106">
        <f t="shared" si="60"/>
        <v>11784</v>
      </c>
      <c r="H106" t="str">
        <f t="shared" si="57"/>
        <v>PHY.o</v>
      </c>
      <c r="I106">
        <f>SUMIF(E106:$E$173,H106,G106:$G$173)</f>
        <v>11784</v>
      </c>
      <c r="K106" s="4" t="s">
        <v>421</v>
      </c>
      <c r="L106" t="s">
        <v>422</v>
      </c>
      <c r="M106" t="s">
        <v>2906</v>
      </c>
      <c r="N106" t="s">
        <v>13</v>
      </c>
      <c r="O106" t="s">
        <v>131</v>
      </c>
      <c r="P106" t="str">
        <f t="shared" si="1"/>
        <v>[1]</v>
      </c>
      <c r="Q106">
        <f t="shared" si="54"/>
        <v>12</v>
      </c>
      <c r="R106" t="str">
        <f t="shared" si="58"/>
        <v/>
      </c>
      <c r="S106">
        <f>SUMIF(O106:$O$2855,R106,Q106:$Q$2855)</f>
        <v>0</v>
      </c>
      <c r="U106" s="4" t="s">
        <v>448</v>
      </c>
      <c r="V106" t="s">
        <v>422</v>
      </c>
      <c r="W106" t="s">
        <v>1439</v>
      </c>
      <c r="X106" t="s">
        <v>1749</v>
      </c>
      <c r="Y106" t="s">
        <v>519</v>
      </c>
      <c r="Z106" t="str">
        <f>VLOOKUP($U$105,$E$1:$F$26,2,FALSE)</f>
        <v>[4]</v>
      </c>
      <c r="AA106">
        <f>HEX2DEC(MID(X106,3,LEN(X106)-2))</f>
        <v>74</v>
      </c>
      <c r="AB106" t="str">
        <f>IF(Y106&lt;&gt;Y105,Y106,"")</f>
        <v>bsp.a</v>
      </c>
      <c r="AC106">
        <f>SUMIF(Y106:$Y$106,AB106,AA106:$AA$106)</f>
        <v>74</v>
      </c>
      <c r="AE106" t="s">
        <v>470</v>
      </c>
      <c r="AF106" t="s">
        <v>476</v>
      </c>
      <c r="AG106" t="s">
        <v>443</v>
      </c>
      <c r="AH106" t="s">
        <v>443</v>
      </c>
      <c r="AI106" t="s">
        <v>612</v>
      </c>
      <c r="AJ106" t="str">
        <f t="shared" si="55"/>
        <v>[1]</v>
      </c>
      <c r="AK106">
        <f t="shared" si="61"/>
        <v>0</v>
      </c>
      <c r="AL106" t="str">
        <f t="shared" si="62"/>
        <v/>
      </c>
      <c r="AM106">
        <f>SUMIF(AI106:$AI$121,AL106,AK106:$AK$121)</f>
        <v>0</v>
      </c>
      <c r="AP106" s="4" t="s">
        <v>472</v>
      </c>
      <c r="AQ106" t="s">
        <v>479</v>
      </c>
      <c r="AR106" t="s">
        <v>1743</v>
      </c>
      <c r="AS106" t="s">
        <v>13</v>
      </c>
      <c r="AT106" t="s">
        <v>228</v>
      </c>
      <c r="AU106" t="str">
        <f t="shared" si="7"/>
        <v>[1]</v>
      </c>
      <c r="AV106">
        <f t="shared" si="39"/>
        <v>12</v>
      </c>
      <c r="AW106" t="str">
        <f t="shared" si="59"/>
        <v/>
      </c>
      <c r="AX106">
        <f>SUMIF(AT106:$AT$651,AW106,AV106:$AV$651)</f>
        <v>0</v>
      </c>
    </row>
    <row r="107" spans="1:50" x14ac:dyDescent="0.25">
      <c r="A107" s="4" t="s">
        <v>0</v>
      </c>
      <c r="B107" t="s">
        <v>449</v>
      </c>
      <c r="C107" t="s">
        <v>4353</v>
      </c>
      <c r="D107" t="s">
        <v>1514</v>
      </c>
      <c r="E107" t="s">
        <v>1109</v>
      </c>
      <c r="F107" t="str">
        <f t="shared" si="56"/>
        <v>[1]</v>
      </c>
      <c r="G107">
        <f t="shared" si="60"/>
        <v>696</v>
      </c>
      <c r="H107" t="str">
        <f t="shared" si="57"/>
        <v>preamble_detect.o</v>
      </c>
      <c r="I107">
        <f>SUMIF(E107:$E$173,H107,G107:$G$173)</f>
        <v>696</v>
      </c>
      <c r="K107" s="4" t="s">
        <v>421</v>
      </c>
      <c r="L107" t="s">
        <v>422</v>
      </c>
      <c r="M107" t="s">
        <v>2907</v>
      </c>
      <c r="N107" t="s">
        <v>6</v>
      </c>
      <c r="O107" t="s">
        <v>131</v>
      </c>
      <c r="P107" t="str">
        <f t="shared" si="1"/>
        <v>[1]</v>
      </c>
      <c r="Q107">
        <f t="shared" si="54"/>
        <v>28</v>
      </c>
      <c r="R107" t="str">
        <f t="shared" si="58"/>
        <v/>
      </c>
      <c r="S107">
        <f>SUMIF(O107:$O$2855,R107,Q107:$Q$2855)</f>
        <v>0</v>
      </c>
      <c r="AA107">
        <f>SUM(AA106)</f>
        <v>74</v>
      </c>
      <c r="AB107" t="s">
        <v>704</v>
      </c>
      <c r="AC107">
        <f>SUM(AC106)</f>
        <v>74</v>
      </c>
      <c r="AE107" t="s">
        <v>470</v>
      </c>
      <c r="AF107" t="s">
        <v>476</v>
      </c>
      <c r="AG107" t="s">
        <v>443</v>
      </c>
      <c r="AH107" t="s">
        <v>443</v>
      </c>
      <c r="AI107" t="s">
        <v>612</v>
      </c>
      <c r="AJ107" t="str">
        <f t="shared" si="55"/>
        <v>[1]</v>
      </c>
      <c r="AK107">
        <f t="shared" si="61"/>
        <v>0</v>
      </c>
      <c r="AL107" t="str">
        <f t="shared" si="62"/>
        <v/>
      </c>
      <c r="AM107">
        <f>SUMIF(AI107:$AI$121,AL107,AK107:$AK$121)</f>
        <v>0</v>
      </c>
      <c r="AP107" s="4" t="s">
        <v>472</v>
      </c>
      <c r="AQ107" t="s">
        <v>479</v>
      </c>
      <c r="AR107" t="s">
        <v>1704</v>
      </c>
      <c r="AS107" t="s">
        <v>46</v>
      </c>
      <c r="AT107" t="s">
        <v>228</v>
      </c>
      <c r="AU107" t="str">
        <f t="shared" si="7"/>
        <v>[1]</v>
      </c>
      <c r="AV107">
        <f t="shared" si="39"/>
        <v>2</v>
      </c>
      <c r="AW107" t="str">
        <f t="shared" si="59"/>
        <v/>
      </c>
      <c r="AX107">
        <f>SUMIF(AT107:$AT$651,AW107,AV107:$AV$651)</f>
        <v>0</v>
      </c>
    </row>
    <row r="108" spans="1:50" x14ac:dyDescent="0.25">
      <c r="A108" s="4" t="s">
        <v>0</v>
      </c>
      <c r="B108" t="s">
        <v>449</v>
      </c>
      <c r="C108" t="s">
        <v>2022</v>
      </c>
      <c r="D108" t="s">
        <v>1076</v>
      </c>
      <c r="E108" t="s">
        <v>1110</v>
      </c>
      <c r="F108" t="str">
        <f t="shared" si="56"/>
        <v>[1]</v>
      </c>
      <c r="G108">
        <f t="shared" si="60"/>
        <v>256</v>
      </c>
      <c r="H108" t="str">
        <f t="shared" si="57"/>
        <v>preambleDetector.o</v>
      </c>
      <c r="I108">
        <f>SUMIF(E108:$E$173,H108,G108:$G$173)</f>
        <v>256</v>
      </c>
      <c r="K108" s="4" t="s">
        <v>421</v>
      </c>
      <c r="L108" t="s">
        <v>422</v>
      </c>
      <c r="M108" t="s">
        <v>2908</v>
      </c>
      <c r="N108" t="s">
        <v>126</v>
      </c>
      <c r="O108" t="s">
        <v>131</v>
      </c>
      <c r="P108" t="str">
        <f t="shared" si="1"/>
        <v>[1]</v>
      </c>
      <c r="Q108">
        <f t="shared" ref="Q108" si="63">HEX2DEC(MID(N108,3,LEN(N108)-2))</f>
        <v>8</v>
      </c>
      <c r="R108" t="str">
        <f t="shared" si="58"/>
        <v/>
      </c>
      <c r="S108">
        <f>SUMIF(O108:$O$2855,R108,Q108:$Q$2855)</f>
        <v>0</v>
      </c>
      <c r="AE108" t="s">
        <v>470</v>
      </c>
      <c r="AF108" t="s">
        <v>476</v>
      </c>
      <c r="AG108" t="s">
        <v>443</v>
      </c>
      <c r="AH108" t="s">
        <v>443</v>
      </c>
      <c r="AI108" t="s">
        <v>612</v>
      </c>
      <c r="AJ108" t="str">
        <f t="shared" si="55"/>
        <v>[1]</v>
      </c>
      <c r="AK108">
        <f t="shared" si="61"/>
        <v>0</v>
      </c>
      <c r="AL108" t="str">
        <f t="shared" si="62"/>
        <v/>
      </c>
      <c r="AM108">
        <f>SUMIF(AI108:$AI$121,AL108,AK108:$AK$121)</f>
        <v>0</v>
      </c>
      <c r="AP108" s="4" t="s">
        <v>472</v>
      </c>
      <c r="AQ108" t="s">
        <v>479</v>
      </c>
      <c r="AR108" t="s">
        <v>1746</v>
      </c>
      <c r="AS108" t="s">
        <v>46</v>
      </c>
      <c r="AT108" t="s">
        <v>228</v>
      </c>
      <c r="AU108" t="str">
        <f t="shared" si="7"/>
        <v>[1]</v>
      </c>
      <c r="AV108">
        <f t="shared" si="39"/>
        <v>2</v>
      </c>
      <c r="AW108" t="str">
        <f t="shared" si="59"/>
        <v/>
      </c>
      <c r="AX108">
        <f>SUMIF(AT108:$AT$651,AW108,AV108:$AV$651)</f>
        <v>0</v>
      </c>
    </row>
    <row r="109" spans="1:50" x14ac:dyDescent="0.25">
      <c r="A109" s="4" t="s">
        <v>0</v>
      </c>
      <c r="B109" t="s">
        <v>449</v>
      </c>
      <c r="C109" t="s">
        <v>4354</v>
      </c>
      <c r="D109" t="s">
        <v>1515</v>
      </c>
      <c r="E109" t="s">
        <v>1112</v>
      </c>
      <c r="F109" t="str">
        <f t="shared" si="56"/>
        <v>[1]</v>
      </c>
      <c r="G109">
        <f t="shared" si="60"/>
        <v>148</v>
      </c>
      <c r="H109" t="str">
        <f t="shared" si="57"/>
        <v>preambleDetector_initialize.o</v>
      </c>
      <c r="I109">
        <f>SUMIF(E109:$E$173,H109,G109:$G$173)</f>
        <v>148</v>
      </c>
      <c r="K109" s="4" t="s">
        <v>421</v>
      </c>
      <c r="L109" t="s">
        <v>422</v>
      </c>
      <c r="M109" t="s">
        <v>2909</v>
      </c>
      <c r="N109" t="s">
        <v>65</v>
      </c>
      <c r="O109" t="s">
        <v>131</v>
      </c>
      <c r="P109" t="str">
        <f t="shared" si="1"/>
        <v>[1]</v>
      </c>
      <c r="Q109">
        <f t="shared" ref="Q109:Q127" si="64">HEX2DEC(MID(N109,3,LEN(N109)-2))</f>
        <v>40</v>
      </c>
      <c r="R109" t="str">
        <f t="shared" si="58"/>
        <v/>
      </c>
      <c r="S109">
        <f>SUMIF(O109:$O$2855,R109,Q109:$Q$2855)</f>
        <v>0</v>
      </c>
      <c r="AE109" t="s">
        <v>470</v>
      </c>
      <c r="AF109" t="s">
        <v>476</v>
      </c>
      <c r="AG109" t="s">
        <v>443</v>
      </c>
      <c r="AH109" t="s">
        <v>443</v>
      </c>
      <c r="AI109" t="s">
        <v>612</v>
      </c>
      <c r="AJ109" t="str">
        <f t="shared" si="55"/>
        <v>[1]</v>
      </c>
      <c r="AK109">
        <f t="shared" si="61"/>
        <v>0</v>
      </c>
      <c r="AL109" t="str">
        <f t="shared" si="62"/>
        <v/>
      </c>
      <c r="AM109">
        <f>SUMIF(AI109:$AI$121,AL109,AK109:$AK$121)</f>
        <v>0</v>
      </c>
      <c r="AP109" s="4" t="s">
        <v>472</v>
      </c>
      <c r="AQ109" t="s">
        <v>479</v>
      </c>
      <c r="AR109" t="s">
        <v>1747</v>
      </c>
      <c r="AS109" t="s">
        <v>442</v>
      </c>
      <c r="AT109" t="s">
        <v>228</v>
      </c>
      <c r="AU109" t="str">
        <f t="shared" si="7"/>
        <v>[1]</v>
      </c>
      <c r="AV109">
        <f t="shared" si="39"/>
        <v>1</v>
      </c>
      <c r="AW109" t="str">
        <f t="shared" si="59"/>
        <v/>
      </c>
      <c r="AX109">
        <f>SUMIF(AT109:$AT$651,AW109,AV109:$AV$651)</f>
        <v>0</v>
      </c>
    </row>
    <row r="110" spans="1:50" x14ac:dyDescent="0.25">
      <c r="A110" s="4" t="s">
        <v>0</v>
      </c>
      <c r="B110" t="s">
        <v>449</v>
      </c>
      <c r="C110" t="s">
        <v>4355</v>
      </c>
      <c r="D110" t="s">
        <v>1516</v>
      </c>
      <c r="E110" t="s">
        <v>1128</v>
      </c>
      <c r="F110" t="str">
        <f t="shared" si="56"/>
        <v>[1]</v>
      </c>
      <c r="G110">
        <f t="shared" si="60"/>
        <v>772</v>
      </c>
      <c r="H110" t="str">
        <f t="shared" si="57"/>
        <v>processDerotatedSamples.o</v>
      </c>
      <c r="I110">
        <f>SUMIF(E110:$E$173,H110,G110:$G$173)</f>
        <v>772</v>
      </c>
      <c r="K110" s="4" t="s">
        <v>421</v>
      </c>
      <c r="L110" t="s">
        <v>422</v>
      </c>
      <c r="M110" t="s">
        <v>2910</v>
      </c>
      <c r="N110" t="s">
        <v>78</v>
      </c>
      <c r="O110" t="s">
        <v>131</v>
      </c>
      <c r="P110" t="str">
        <f t="shared" si="1"/>
        <v>[1]</v>
      </c>
      <c r="Q110">
        <f t="shared" si="64"/>
        <v>4</v>
      </c>
      <c r="R110" t="str">
        <f t="shared" si="58"/>
        <v/>
      </c>
      <c r="S110">
        <f>SUMIF(O110:$O$2855,R110,Q110:$Q$2855)</f>
        <v>0</v>
      </c>
      <c r="U110" s="47" t="s">
        <v>758</v>
      </c>
      <c r="V110" s="47"/>
      <c r="W110" s="47"/>
      <c r="X110" s="47"/>
      <c r="Y110" s="47"/>
      <c r="Z110" s="47"/>
      <c r="AA110" s="47"/>
      <c r="AB110" s="47"/>
      <c r="AC110" s="47"/>
      <c r="AE110" t="s">
        <v>470</v>
      </c>
      <c r="AF110" t="s">
        <v>476</v>
      </c>
      <c r="AG110" t="s">
        <v>443</v>
      </c>
      <c r="AH110" t="s">
        <v>443</v>
      </c>
      <c r="AI110" t="s">
        <v>612</v>
      </c>
      <c r="AJ110" t="str">
        <f t="shared" si="55"/>
        <v>[1]</v>
      </c>
      <c r="AK110">
        <f t="shared" si="61"/>
        <v>0</v>
      </c>
      <c r="AL110" t="str">
        <f t="shared" si="62"/>
        <v/>
      </c>
      <c r="AM110">
        <f>SUMIF(AI110:$AI$121,AL110,AK110:$AK$121)</f>
        <v>0</v>
      </c>
      <c r="AP110" s="4" t="s">
        <v>472</v>
      </c>
      <c r="AQ110" t="s">
        <v>479</v>
      </c>
      <c r="AR110" t="s">
        <v>1748</v>
      </c>
      <c r="AS110" t="s">
        <v>442</v>
      </c>
      <c r="AT110" t="s">
        <v>228</v>
      </c>
      <c r="AU110" t="str">
        <f t="shared" si="7"/>
        <v>[1]</v>
      </c>
      <c r="AV110">
        <f t="shared" si="39"/>
        <v>1</v>
      </c>
      <c r="AW110" t="str">
        <f t="shared" si="59"/>
        <v/>
      </c>
      <c r="AX110">
        <f>SUMIF(AT110:$AT$651,AW110,AV110:$AV$651)</f>
        <v>0</v>
      </c>
    </row>
    <row r="111" spans="1:50" x14ac:dyDescent="0.25">
      <c r="A111" s="4" t="s">
        <v>0</v>
      </c>
      <c r="B111" t="s">
        <v>449</v>
      </c>
      <c r="C111" t="s">
        <v>4363</v>
      </c>
      <c r="D111" t="s">
        <v>1518</v>
      </c>
      <c r="E111" t="s">
        <v>1121</v>
      </c>
      <c r="F111" t="str">
        <f t="shared" si="56"/>
        <v>[1]</v>
      </c>
      <c r="G111">
        <f t="shared" si="60"/>
        <v>636</v>
      </c>
      <c r="H111" t="str">
        <f t="shared" si="57"/>
        <v>processDerotatedSPDSamples.o</v>
      </c>
      <c r="I111">
        <f>SUMIF(E111:$E$173,H111,G111:$G$173)</f>
        <v>636</v>
      </c>
      <c r="K111" s="4" t="s">
        <v>421</v>
      </c>
      <c r="L111" t="s">
        <v>422</v>
      </c>
      <c r="M111" t="s">
        <v>1841</v>
      </c>
      <c r="N111" t="s">
        <v>119</v>
      </c>
      <c r="O111" t="s">
        <v>131</v>
      </c>
      <c r="P111" t="str">
        <f t="shared" si="1"/>
        <v>[1]</v>
      </c>
      <c r="Q111">
        <f t="shared" si="64"/>
        <v>32</v>
      </c>
      <c r="R111" t="str">
        <f t="shared" si="58"/>
        <v/>
      </c>
      <c r="S111">
        <f>SUMIF(O111:$O$2855,R111,Q111:$Q$2855)</f>
        <v>0</v>
      </c>
      <c r="U111" t="s">
        <v>448</v>
      </c>
      <c r="V111" t="s">
        <v>422</v>
      </c>
      <c r="W111" t="s">
        <v>2069</v>
      </c>
      <c r="X111" t="s">
        <v>46</v>
      </c>
      <c r="Y111" s="6" t="s">
        <v>1017</v>
      </c>
      <c r="Z111" t="str">
        <f>VLOOKUP($U$110,$E$1:$F$26,2,FALSE)</f>
        <v>[5]</v>
      </c>
      <c r="AA111">
        <f>HEX2DEC(MID(X111,3,LEN(X111)-2))</f>
        <v>2</v>
      </c>
      <c r="AB111" t="str">
        <f t="shared" ref="AB111:AB112" si="65">IF(Y111&lt;&gt;Y110,Y111,"")</f>
        <v>(__DLIB_PERTHREAD)</v>
      </c>
      <c r="AC111">
        <f>SUMIF(Y111:$Y$112,AB111,AA111:$AA$112)</f>
        <v>2</v>
      </c>
      <c r="AE111" t="s">
        <v>470</v>
      </c>
      <c r="AF111" t="s">
        <v>476</v>
      </c>
      <c r="AG111" t="s">
        <v>443</v>
      </c>
      <c r="AH111" t="s">
        <v>443</v>
      </c>
      <c r="AI111" t="s">
        <v>612</v>
      </c>
      <c r="AJ111" t="str">
        <f t="shared" si="55"/>
        <v>[1]</v>
      </c>
      <c r="AK111">
        <f t="shared" si="61"/>
        <v>0</v>
      </c>
      <c r="AL111" t="str">
        <f t="shared" si="62"/>
        <v/>
      </c>
      <c r="AM111">
        <f>SUMIF(AI111:$AI$121,AL111,AK111:$AK$121)</f>
        <v>0</v>
      </c>
      <c r="AP111" s="4" t="s">
        <v>472</v>
      </c>
      <c r="AQ111" t="s">
        <v>479</v>
      </c>
      <c r="AR111" t="s">
        <v>1560</v>
      </c>
      <c r="AS111" t="s">
        <v>78</v>
      </c>
      <c r="AT111" t="s">
        <v>286</v>
      </c>
      <c r="AU111" t="str">
        <f t="shared" si="7"/>
        <v>[1]</v>
      </c>
      <c r="AV111">
        <f t="shared" si="39"/>
        <v>4</v>
      </c>
      <c r="AW111" t="str">
        <f t="shared" si="59"/>
        <v>dfw_pckt.o</v>
      </c>
      <c r="AX111">
        <f>SUMIF(AT111:$AT$651,AW111,AV111:$AV$651)</f>
        <v>4</v>
      </c>
    </row>
    <row r="112" spans="1:50" x14ac:dyDescent="0.25">
      <c r="A112" s="4" t="s">
        <v>0</v>
      </c>
      <c r="B112" t="s">
        <v>449</v>
      </c>
      <c r="C112" t="s">
        <v>4432</v>
      </c>
      <c r="D112" t="s">
        <v>1684</v>
      </c>
      <c r="E112" t="s">
        <v>98</v>
      </c>
      <c r="F112" t="str">
        <f t="shared" si="56"/>
        <v>[1]</v>
      </c>
      <c r="G112">
        <f t="shared" si="60"/>
        <v>862</v>
      </c>
      <c r="H112" t="str">
        <f t="shared" si="57"/>
        <v>pwr_config.o</v>
      </c>
      <c r="I112">
        <f>SUMIF(E112:$E$173,H112,G112:$G$173)</f>
        <v>862</v>
      </c>
      <c r="K112" s="4" t="s">
        <v>421</v>
      </c>
      <c r="L112" t="s">
        <v>422</v>
      </c>
      <c r="M112" t="s">
        <v>2911</v>
      </c>
      <c r="N112" t="s">
        <v>78</v>
      </c>
      <c r="O112" t="s">
        <v>131</v>
      </c>
      <c r="P112" t="str">
        <f t="shared" si="1"/>
        <v>[1]</v>
      </c>
      <c r="Q112">
        <f t="shared" si="64"/>
        <v>4</v>
      </c>
      <c r="R112" t="str">
        <f t="shared" si="58"/>
        <v/>
      </c>
      <c r="S112">
        <f>SUMIF(O112:$O$2855,R112,Q112:$Q$2855)</f>
        <v>0</v>
      </c>
      <c r="U112" t="s">
        <v>448</v>
      </c>
      <c r="V112" t="s">
        <v>422</v>
      </c>
      <c r="W112" t="s">
        <v>443</v>
      </c>
      <c r="X112" t="s">
        <v>443</v>
      </c>
      <c r="Y112" s="6" t="s">
        <v>612</v>
      </c>
      <c r="Z112" t="str">
        <f>VLOOKUP($U$110,$E$1:$F$26,2,FALSE)</f>
        <v>[5]</v>
      </c>
      <c r="AA112">
        <f>HEX2DEC(MID(X112,3,LEN(X112)-2))</f>
        <v>0</v>
      </c>
      <c r="AB112" t="str">
        <f t="shared" si="65"/>
        <v>placeholder</v>
      </c>
      <c r="AC112">
        <f>SUMIF(Y112:$Y$112,AB112,AA112:$AA$112)</f>
        <v>0</v>
      </c>
      <c r="AE112" t="s">
        <v>470</v>
      </c>
      <c r="AF112" t="s">
        <v>476</v>
      </c>
      <c r="AG112" t="s">
        <v>443</v>
      </c>
      <c r="AH112" t="s">
        <v>443</v>
      </c>
      <c r="AI112" t="s">
        <v>612</v>
      </c>
      <c r="AJ112" t="str">
        <f t="shared" si="55"/>
        <v>[1]</v>
      </c>
      <c r="AK112">
        <f t="shared" si="61"/>
        <v>0</v>
      </c>
      <c r="AL112" t="str">
        <f t="shared" si="62"/>
        <v/>
      </c>
      <c r="AM112">
        <f>SUMIF(AI112:$AI$121,AL112,AK112:$AK$121)</f>
        <v>0</v>
      </c>
      <c r="AP112" s="4" t="s">
        <v>472</v>
      </c>
      <c r="AQ112" t="s">
        <v>479</v>
      </c>
      <c r="AR112" t="s">
        <v>1744</v>
      </c>
      <c r="AS112" t="s">
        <v>13</v>
      </c>
      <c r="AT112" t="s">
        <v>195</v>
      </c>
      <c r="AU112" t="str">
        <f t="shared" si="7"/>
        <v>[1]</v>
      </c>
      <c r="AV112">
        <f t="shared" si="39"/>
        <v>12</v>
      </c>
      <c r="AW112" t="str">
        <f t="shared" si="59"/>
        <v>dfwtd_config.o</v>
      </c>
      <c r="AX112">
        <f>SUMIF(AT112:$AT$651,AW112,AV112:$AV$651)</f>
        <v>64</v>
      </c>
    </row>
    <row r="113" spans="1:50" x14ac:dyDescent="0.25">
      <c r="A113" s="4" t="s">
        <v>0</v>
      </c>
      <c r="B113" t="s">
        <v>449</v>
      </c>
      <c r="C113" t="s">
        <v>4433</v>
      </c>
      <c r="D113" t="s">
        <v>1685</v>
      </c>
      <c r="E113" t="s">
        <v>36</v>
      </c>
      <c r="F113" t="str">
        <f t="shared" si="56"/>
        <v>[1]</v>
      </c>
      <c r="G113">
        <f t="shared" si="60"/>
        <v>5672</v>
      </c>
      <c r="H113" t="str">
        <f t="shared" si="57"/>
        <v>pwr_last_gasp.o</v>
      </c>
      <c r="I113">
        <f>SUMIF(E113:$E$173,H113,G113:$G$173)</f>
        <v>5672</v>
      </c>
      <c r="K113" s="4" t="s">
        <v>421</v>
      </c>
      <c r="L113" t="s">
        <v>422</v>
      </c>
      <c r="M113" t="s">
        <v>1842</v>
      </c>
      <c r="N113" t="s">
        <v>119</v>
      </c>
      <c r="O113" t="s">
        <v>131</v>
      </c>
      <c r="P113" t="str">
        <f t="shared" si="1"/>
        <v>[1]</v>
      </c>
      <c r="Q113">
        <f t="shared" si="64"/>
        <v>32</v>
      </c>
      <c r="R113" t="str">
        <f t="shared" si="58"/>
        <v/>
      </c>
      <c r="S113">
        <f>SUMIF(O113:$O$2855,R113,Q113:$Q$2855)</f>
        <v>0</v>
      </c>
      <c r="AA113">
        <f>SUM(AA111:AA112)</f>
        <v>2</v>
      </c>
      <c r="AB113" s="35" t="s">
        <v>711</v>
      </c>
      <c r="AC113">
        <f>SUM(AC111:AC112)</f>
        <v>2</v>
      </c>
      <c r="AE113" t="s">
        <v>470</v>
      </c>
      <c r="AF113" t="s">
        <v>476</v>
      </c>
      <c r="AG113" t="s">
        <v>443</v>
      </c>
      <c r="AH113" t="s">
        <v>443</v>
      </c>
      <c r="AI113" t="s">
        <v>612</v>
      </c>
      <c r="AJ113" t="str">
        <f t="shared" si="55"/>
        <v>[1]</v>
      </c>
      <c r="AK113">
        <f t="shared" si="61"/>
        <v>0</v>
      </c>
      <c r="AL113" t="str">
        <f t="shared" si="62"/>
        <v/>
      </c>
      <c r="AM113">
        <f>SUMIF(AI113:$AI$121,AL113,AK113:$AK$121)</f>
        <v>0</v>
      </c>
      <c r="AP113" s="4" t="s">
        <v>472</v>
      </c>
      <c r="AQ113" t="s">
        <v>479</v>
      </c>
      <c r="AR113" t="s">
        <v>1745</v>
      </c>
      <c r="AS113" t="s">
        <v>67</v>
      </c>
      <c r="AT113" t="s">
        <v>195</v>
      </c>
      <c r="AU113" t="str">
        <f t="shared" si="7"/>
        <v>[1]</v>
      </c>
      <c r="AV113">
        <f t="shared" si="39"/>
        <v>48</v>
      </c>
      <c r="AW113" t="str">
        <f t="shared" si="59"/>
        <v/>
      </c>
      <c r="AX113">
        <f>SUMIF(AT113:$AT$651,AW113,AV113:$AV$651)</f>
        <v>0</v>
      </c>
    </row>
    <row r="114" spans="1:50" x14ac:dyDescent="0.25">
      <c r="A114" s="4" t="s">
        <v>0</v>
      </c>
      <c r="B114" t="s">
        <v>449</v>
      </c>
      <c r="C114" t="s">
        <v>4434</v>
      </c>
      <c r="D114" t="s">
        <v>1734</v>
      </c>
      <c r="E114" t="s">
        <v>312</v>
      </c>
      <c r="F114" t="str">
        <f t="shared" si="56"/>
        <v>[1]</v>
      </c>
      <c r="G114">
        <f t="shared" si="60"/>
        <v>1668</v>
      </c>
      <c r="H114" t="str">
        <f t="shared" si="57"/>
        <v>pwr_restore.o</v>
      </c>
      <c r="I114">
        <f>SUMIF(E114:$E$173,H114,G114:$G$173)</f>
        <v>1668</v>
      </c>
      <c r="K114" s="4" t="s">
        <v>421</v>
      </c>
      <c r="L114" t="s">
        <v>422</v>
      </c>
      <c r="M114" t="s">
        <v>2912</v>
      </c>
      <c r="N114" t="s">
        <v>437</v>
      </c>
      <c r="O114" t="s">
        <v>131</v>
      </c>
      <c r="P114" t="str">
        <f t="shared" si="1"/>
        <v>[1]</v>
      </c>
      <c r="Q114">
        <f t="shared" si="64"/>
        <v>24</v>
      </c>
      <c r="R114" t="str">
        <f t="shared" si="58"/>
        <v/>
      </c>
      <c r="S114">
        <f>SUMIF(O114:$O$2855,R114,Q114:$Q$2855)</f>
        <v>0</v>
      </c>
      <c r="AE114" t="s">
        <v>470</v>
      </c>
      <c r="AF114" t="s">
        <v>476</v>
      </c>
      <c r="AG114" t="s">
        <v>443</v>
      </c>
      <c r="AH114" t="s">
        <v>443</v>
      </c>
      <c r="AI114" t="s">
        <v>612</v>
      </c>
      <c r="AJ114" t="str">
        <f t="shared" si="55"/>
        <v>[1]</v>
      </c>
      <c r="AK114">
        <f t="shared" si="61"/>
        <v>0</v>
      </c>
      <c r="AL114" t="str">
        <f t="shared" si="62"/>
        <v/>
      </c>
      <c r="AM114">
        <f>SUMIF(AI114:$AI$121,AL114,AK114:$AK$121)</f>
        <v>0</v>
      </c>
      <c r="AP114" s="4" t="s">
        <v>472</v>
      </c>
      <c r="AQ114" t="s">
        <v>479</v>
      </c>
      <c r="AR114" t="s">
        <v>1703</v>
      </c>
      <c r="AS114" t="s">
        <v>78</v>
      </c>
      <c r="AT114" t="s">
        <v>195</v>
      </c>
      <c r="AU114" t="str">
        <f t="shared" si="7"/>
        <v>[1]</v>
      </c>
      <c r="AV114">
        <f t="shared" si="39"/>
        <v>4</v>
      </c>
      <c r="AW114" t="str">
        <f t="shared" si="59"/>
        <v/>
      </c>
      <c r="AX114">
        <f>SUMIF(AT114:$AT$651,AW114,AV114:$AV$651)</f>
        <v>0</v>
      </c>
    </row>
    <row r="115" spans="1:50" x14ac:dyDescent="0.25">
      <c r="A115" s="4" t="s">
        <v>0</v>
      </c>
      <c r="B115" t="s">
        <v>449</v>
      </c>
      <c r="C115" t="s">
        <v>4435</v>
      </c>
      <c r="D115" t="s">
        <v>4436</v>
      </c>
      <c r="E115" t="s">
        <v>220</v>
      </c>
      <c r="F115" t="str">
        <f t="shared" si="56"/>
        <v>[1]</v>
      </c>
      <c r="G115">
        <f t="shared" si="60"/>
        <v>2296</v>
      </c>
      <c r="H115" t="str">
        <f t="shared" si="57"/>
        <v>pwr_task.o</v>
      </c>
      <c r="I115">
        <f>SUMIF(E115:$E$173,H115,G115:$G$173)</f>
        <v>2296</v>
      </c>
      <c r="K115" s="4" t="s">
        <v>421</v>
      </c>
      <c r="L115" t="s">
        <v>422</v>
      </c>
      <c r="M115" t="s">
        <v>2913</v>
      </c>
      <c r="N115" t="s">
        <v>76</v>
      </c>
      <c r="O115" t="s">
        <v>131</v>
      </c>
      <c r="P115" t="str">
        <f t="shared" si="1"/>
        <v>[1]</v>
      </c>
      <c r="Q115">
        <f t="shared" si="64"/>
        <v>36</v>
      </c>
      <c r="R115" t="str">
        <f t="shared" si="58"/>
        <v/>
      </c>
      <c r="S115">
        <f>SUMIF(O115:$O$2855,R115,Q115:$Q$2855)</f>
        <v>0</v>
      </c>
      <c r="AE115" t="s">
        <v>470</v>
      </c>
      <c r="AF115" t="s">
        <v>476</v>
      </c>
      <c r="AG115" t="s">
        <v>443</v>
      </c>
      <c r="AH115" t="s">
        <v>443</v>
      </c>
      <c r="AI115" t="s">
        <v>612</v>
      </c>
      <c r="AJ115" t="str">
        <f t="shared" si="55"/>
        <v>[1]</v>
      </c>
      <c r="AK115">
        <f t="shared" ref="AK115" si="66">HEX2DEC(MID(AH115,3,LEN(AH115)-2))</f>
        <v>0</v>
      </c>
      <c r="AL115" t="str">
        <f t="shared" ref="AL115" si="67">IF(AI115&lt;&gt;AI114,AI115,"")</f>
        <v/>
      </c>
      <c r="AM115">
        <f>SUMIF(AI115:$AI$121,AL115,AK115:$AK$121)</f>
        <v>0</v>
      </c>
      <c r="AP115" s="4" t="s">
        <v>472</v>
      </c>
      <c r="AQ115" t="s">
        <v>479</v>
      </c>
      <c r="AR115" t="s">
        <v>1567</v>
      </c>
      <c r="AS115" t="s">
        <v>165</v>
      </c>
      <c r="AT115" t="s">
        <v>137</v>
      </c>
      <c r="AU115" t="str">
        <f t="shared" si="7"/>
        <v>[1]</v>
      </c>
      <c r="AV115">
        <f t="shared" si="39"/>
        <v>20</v>
      </c>
      <c r="AW115" t="str">
        <f t="shared" si="59"/>
        <v>dtls.o</v>
      </c>
      <c r="AX115">
        <f>SUMIF(AT115:$AT$651,AW115,AV115:$AV$651)</f>
        <v>348</v>
      </c>
    </row>
    <row r="116" spans="1:50" x14ac:dyDescent="0.25">
      <c r="A116" s="4" t="s">
        <v>0</v>
      </c>
      <c r="B116" t="s">
        <v>449</v>
      </c>
      <c r="C116" t="s">
        <v>4375</v>
      </c>
      <c r="D116" t="s">
        <v>742</v>
      </c>
      <c r="E116" t="s">
        <v>175</v>
      </c>
      <c r="F116" t="str">
        <f t="shared" si="56"/>
        <v>[1]</v>
      </c>
      <c r="G116">
        <f t="shared" si="60"/>
        <v>94</v>
      </c>
      <c r="H116" t="str">
        <f t="shared" si="57"/>
        <v>Queue.o</v>
      </c>
      <c r="I116">
        <f>SUMIF(E116:$E$173,H116,G116:$G$173)</f>
        <v>94</v>
      </c>
      <c r="K116" s="4" t="s">
        <v>421</v>
      </c>
      <c r="L116" t="s">
        <v>422</v>
      </c>
      <c r="M116" t="s">
        <v>2914</v>
      </c>
      <c r="N116" t="s">
        <v>6</v>
      </c>
      <c r="O116" t="s">
        <v>131</v>
      </c>
      <c r="P116" t="str">
        <f t="shared" si="1"/>
        <v>[1]</v>
      </c>
      <c r="Q116">
        <f t="shared" si="64"/>
        <v>28</v>
      </c>
      <c r="R116" t="str">
        <f t="shared" si="58"/>
        <v/>
      </c>
      <c r="S116">
        <f>SUMIF(O116:$O$2855,R116,Q116:$Q$2855)</f>
        <v>0</v>
      </c>
      <c r="U116" s="47" t="s">
        <v>757</v>
      </c>
      <c r="V116" s="47"/>
      <c r="W116" s="47"/>
      <c r="X116" s="47"/>
      <c r="Y116" s="47"/>
      <c r="Z116" s="47"/>
      <c r="AA116" s="47"/>
      <c r="AB116" s="47"/>
      <c r="AC116" s="47"/>
      <c r="AE116" t="s">
        <v>470</v>
      </c>
      <c r="AF116" t="s">
        <v>476</v>
      </c>
      <c r="AG116" t="s">
        <v>443</v>
      </c>
      <c r="AH116" t="s">
        <v>443</v>
      </c>
      <c r="AI116" t="s">
        <v>612</v>
      </c>
      <c r="AJ116" t="str">
        <f t="shared" si="55"/>
        <v>[1]</v>
      </c>
      <c r="AK116">
        <f t="shared" ref="AK116" si="68">HEX2DEC(MID(AH116,3,LEN(AH116)-2))</f>
        <v>0</v>
      </c>
      <c r="AL116" t="str">
        <f t="shared" ref="AL116" si="69">IF(AI116&lt;&gt;AI115,AI116,"")</f>
        <v/>
      </c>
      <c r="AM116">
        <f>SUMIF(AI116:$AI$121,AL116,AK116:$AK$121)</f>
        <v>0</v>
      </c>
      <c r="AP116" s="4" t="s">
        <v>472</v>
      </c>
      <c r="AQ116" t="s">
        <v>479</v>
      </c>
      <c r="AR116" t="s">
        <v>1568</v>
      </c>
      <c r="AS116" t="s">
        <v>78</v>
      </c>
      <c r="AT116" t="s">
        <v>137</v>
      </c>
      <c r="AU116" t="str">
        <f t="shared" si="7"/>
        <v>[1]</v>
      </c>
      <c r="AV116">
        <f t="shared" si="39"/>
        <v>4</v>
      </c>
      <c r="AW116" t="str">
        <f t="shared" si="59"/>
        <v/>
      </c>
      <c r="AX116">
        <f>SUMIF(AT116:$AT$651,AW116,AV116:$AV$651)</f>
        <v>0</v>
      </c>
    </row>
    <row r="117" spans="1:50" x14ac:dyDescent="0.25">
      <c r="A117" s="4" t="s">
        <v>0</v>
      </c>
      <c r="B117" t="s">
        <v>449</v>
      </c>
      <c r="C117" t="s">
        <v>4378</v>
      </c>
      <c r="D117" t="s">
        <v>4379</v>
      </c>
      <c r="E117" t="s">
        <v>235</v>
      </c>
      <c r="F117" t="str">
        <f t="shared" si="56"/>
        <v>[1]</v>
      </c>
      <c r="G117">
        <f t="shared" si="60"/>
        <v>15244</v>
      </c>
      <c r="H117" t="str">
        <f t="shared" si="57"/>
        <v>radio.o</v>
      </c>
      <c r="I117">
        <f>SUMIF(E117:$E$173,H117,G117:$G$173)</f>
        <v>15244</v>
      </c>
      <c r="K117" s="4" t="s">
        <v>421</v>
      </c>
      <c r="L117" t="s">
        <v>422</v>
      </c>
      <c r="M117" t="s">
        <v>2915</v>
      </c>
      <c r="N117" t="s">
        <v>67</v>
      </c>
      <c r="O117" t="s">
        <v>131</v>
      </c>
      <c r="P117" t="str">
        <f t="shared" si="1"/>
        <v>[1]</v>
      </c>
      <c r="Q117">
        <f t="shared" si="64"/>
        <v>48</v>
      </c>
      <c r="R117" t="str">
        <f t="shared" si="58"/>
        <v/>
      </c>
      <c r="S117">
        <f>SUMIF(O117:$O$2855,R117,Q117:$Q$2855)</f>
        <v>0</v>
      </c>
      <c r="U117" t="s">
        <v>448</v>
      </c>
      <c r="V117" t="s">
        <v>422</v>
      </c>
      <c r="W117" t="s">
        <v>443</v>
      </c>
      <c r="X117" t="s">
        <v>443</v>
      </c>
      <c r="Y117" s="6" t="s">
        <v>612</v>
      </c>
      <c r="Z117" t="str">
        <f>VLOOKUP($U$116,$E$1:$F$26,2,FALSE)</f>
        <v>[6]</v>
      </c>
      <c r="AA117">
        <f>HEX2DEC(MID(X117,3,LEN(X117)-2))</f>
        <v>0</v>
      </c>
      <c r="AB117" t="str">
        <f>IF(Y117&lt;&gt;Y116,Y117,"")</f>
        <v>placeholder</v>
      </c>
      <c r="AC117">
        <f>SUMIF(Y117:$Y$118,AB117,AA117:$AA$118)</f>
        <v>0</v>
      </c>
      <c r="AE117" t="s">
        <v>470</v>
      </c>
      <c r="AF117" t="s">
        <v>476</v>
      </c>
      <c r="AG117" t="s">
        <v>443</v>
      </c>
      <c r="AH117" t="s">
        <v>443</v>
      </c>
      <c r="AI117" t="s">
        <v>612</v>
      </c>
      <c r="AJ117" t="str">
        <f t="shared" si="55"/>
        <v>[1]</v>
      </c>
      <c r="AK117">
        <f t="shared" ref="AK117" si="70">HEX2DEC(MID(AH117,3,LEN(AH117)-2))</f>
        <v>0</v>
      </c>
      <c r="AL117" t="str">
        <f t="shared" ref="AL117" si="71">IF(AI117&lt;&gt;AI116,AI117,"")</f>
        <v/>
      </c>
      <c r="AM117">
        <f>SUMIF(AI117:$AI$121,AL117,AK117:$AK$121)</f>
        <v>0</v>
      </c>
      <c r="AP117" s="4" t="s">
        <v>472</v>
      </c>
      <c r="AQ117" t="s">
        <v>479</v>
      </c>
      <c r="AR117" t="s">
        <v>1569</v>
      </c>
      <c r="AS117" t="s">
        <v>78</v>
      </c>
      <c r="AT117" t="s">
        <v>137</v>
      </c>
      <c r="AU117" t="str">
        <f t="shared" si="7"/>
        <v>[1]</v>
      </c>
      <c r="AV117">
        <f t="shared" si="39"/>
        <v>4</v>
      </c>
      <c r="AW117" t="str">
        <f t="shared" si="59"/>
        <v/>
      </c>
      <c r="AX117">
        <f>SUMIF(AT117:$AT$651,AW117,AV117:$AV$651)</f>
        <v>0</v>
      </c>
    </row>
    <row r="118" spans="1:50" x14ac:dyDescent="0.25">
      <c r="A118" s="4" t="s">
        <v>0</v>
      </c>
      <c r="B118" t="s">
        <v>449</v>
      </c>
      <c r="C118" t="s">
        <v>4380</v>
      </c>
      <c r="D118" t="s">
        <v>1208</v>
      </c>
      <c r="E118" t="s">
        <v>316</v>
      </c>
      <c r="F118" t="str">
        <f t="shared" si="56"/>
        <v>[1]</v>
      </c>
      <c r="G118">
        <f t="shared" si="60"/>
        <v>716</v>
      </c>
      <c r="H118" t="str">
        <f t="shared" si="57"/>
        <v>radio_comm.o</v>
      </c>
      <c r="I118">
        <f>SUMIF(E118:$E$173,H118,G118:$G$173)</f>
        <v>716</v>
      </c>
      <c r="K118" s="4" t="s">
        <v>421</v>
      </c>
      <c r="L118" t="s">
        <v>422</v>
      </c>
      <c r="M118" t="s">
        <v>2916</v>
      </c>
      <c r="N118" t="s">
        <v>13</v>
      </c>
      <c r="O118" t="s">
        <v>131</v>
      </c>
      <c r="P118" t="str">
        <f t="shared" si="1"/>
        <v>[1]</v>
      </c>
      <c r="Q118">
        <f t="shared" si="64"/>
        <v>12</v>
      </c>
      <c r="R118" t="str">
        <f t="shared" si="58"/>
        <v/>
      </c>
      <c r="S118">
        <f>SUMIF(O118:$O$2855,R118,Q118:$Q$2855)</f>
        <v>0</v>
      </c>
      <c r="U118" t="s">
        <v>448</v>
      </c>
      <c r="V118" t="s">
        <v>422</v>
      </c>
      <c r="W118" t="s">
        <v>443</v>
      </c>
      <c r="X118" t="s">
        <v>443</v>
      </c>
      <c r="Y118" s="6" t="s">
        <v>612</v>
      </c>
      <c r="Z118" t="str">
        <f>VLOOKUP($U$116,$E$1:$F$26,2,FALSE)</f>
        <v>[6]</v>
      </c>
      <c r="AA118">
        <f>HEX2DEC(MID(X118,3,LEN(X118)-2))</f>
        <v>0</v>
      </c>
      <c r="AB118" t="str">
        <f>IF(Y118&lt;&gt;Y117,Y118,"")</f>
        <v/>
      </c>
      <c r="AC118">
        <f>SUMIF(Y118:$Y$118,AB118,AA118:$AA$118)</f>
        <v>0</v>
      </c>
      <c r="AE118" t="s">
        <v>470</v>
      </c>
      <c r="AF118" t="s">
        <v>476</v>
      </c>
      <c r="AG118" t="s">
        <v>443</v>
      </c>
      <c r="AH118" t="s">
        <v>443</v>
      </c>
      <c r="AI118" t="s">
        <v>612</v>
      </c>
      <c r="AJ118" t="str">
        <f t="shared" si="55"/>
        <v>[1]</v>
      </c>
      <c r="AK118">
        <f t="shared" ref="AK118" si="72">HEX2DEC(MID(AH118,3,LEN(AH118)-2))</f>
        <v>0</v>
      </c>
      <c r="AL118" t="str">
        <f t="shared" ref="AL118" si="73">IF(AI118&lt;&gt;AI117,AI118,"")</f>
        <v/>
      </c>
      <c r="AM118">
        <f>SUMIF(AI118:$AI$121,AL118,AK118:$AK$121)</f>
        <v>0</v>
      </c>
      <c r="AP118" s="4" t="s">
        <v>472</v>
      </c>
      <c r="AQ118" t="s">
        <v>479</v>
      </c>
      <c r="AR118" t="s">
        <v>1570</v>
      </c>
      <c r="AS118" t="s">
        <v>78</v>
      </c>
      <c r="AT118" t="s">
        <v>137</v>
      </c>
      <c r="AU118" t="str">
        <f t="shared" si="7"/>
        <v>[1]</v>
      </c>
      <c r="AV118">
        <f t="shared" si="39"/>
        <v>4</v>
      </c>
      <c r="AW118" t="str">
        <f t="shared" si="59"/>
        <v/>
      </c>
      <c r="AX118">
        <f>SUMIF(AT118:$AT$651,AW118,AV118:$AV$651)</f>
        <v>0</v>
      </c>
    </row>
    <row r="119" spans="1:50" x14ac:dyDescent="0.25">
      <c r="A119" s="4" t="s">
        <v>0</v>
      </c>
      <c r="B119" t="s">
        <v>449</v>
      </c>
      <c r="C119" t="s">
        <v>4393</v>
      </c>
      <c r="D119" t="s">
        <v>1188</v>
      </c>
      <c r="E119" t="s">
        <v>315</v>
      </c>
      <c r="F119" t="str">
        <f t="shared" si="56"/>
        <v>[1]</v>
      </c>
      <c r="G119">
        <f t="shared" si="60"/>
        <v>416</v>
      </c>
      <c r="H119" t="str">
        <f t="shared" si="57"/>
        <v>radio_hal.o</v>
      </c>
      <c r="I119">
        <f>SUMIF(E119:$E$173,H119,G119:$G$173)</f>
        <v>416</v>
      </c>
      <c r="K119" s="4" t="s">
        <v>421</v>
      </c>
      <c r="L119" t="s">
        <v>422</v>
      </c>
      <c r="M119" t="s">
        <v>2917</v>
      </c>
      <c r="N119" t="s">
        <v>6</v>
      </c>
      <c r="O119" t="s">
        <v>131</v>
      </c>
      <c r="P119" t="str">
        <f t="shared" si="1"/>
        <v>[1]</v>
      </c>
      <c r="Q119">
        <f t="shared" si="64"/>
        <v>28</v>
      </c>
      <c r="R119" t="str">
        <f t="shared" si="58"/>
        <v/>
      </c>
      <c r="S119">
        <f>SUMIF(O119:$O$2855,R119,Q119:$Q$2855)</f>
        <v>0</v>
      </c>
      <c r="AA119">
        <f>SUM(AA117:AA118)</f>
        <v>0</v>
      </c>
      <c r="AB119" t="s">
        <v>706</v>
      </c>
      <c r="AC119">
        <f>SUM(AC117:AC118)</f>
        <v>0</v>
      </c>
      <c r="AE119" t="s">
        <v>470</v>
      </c>
      <c r="AF119" t="s">
        <v>476</v>
      </c>
      <c r="AG119" t="s">
        <v>443</v>
      </c>
      <c r="AH119" t="s">
        <v>443</v>
      </c>
      <c r="AI119" t="s">
        <v>612</v>
      </c>
      <c r="AJ119" t="str">
        <f t="shared" si="55"/>
        <v>[1]</v>
      </c>
      <c r="AK119">
        <f t="shared" ref="AK119" si="74">HEX2DEC(MID(AH119,3,LEN(AH119)-2))</f>
        <v>0</v>
      </c>
      <c r="AL119" t="str">
        <f t="shared" ref="AL119" si="75">IF(AI119&lt;&gt;AI118,AI119,"")</f>
        <v/>
      </c>
      <c r="AM119">
        <f>SUMIF(AI119:$AI$121,AL119,AK119:$AK$121)</f>
        <v>0</v>
      </c>
      <c r="AP119" s="4" t="s">
        <v>472</v>
      </c>
      <c r="AQ119" t="s">
        <v>479</v>
      </c>
      <c r="AR119" t="s">
        <v>1233</v>
      </c>
      <c r="AS119" t="s">
        <v>78</v>
      </c>
      <c r="AT119" t="s">
        <v>137</v>
      </c>
      <c r="AU119" t="str">
        <f t="shared" si="7"/>
        <v>[1]</v>
      </c>
      <c r="AV119">
        <f t="shared" si="39"/>
        <v>4</v>
      </c>
      <c r="AW119" t="str">
        <f t="shared" si="59"/>
        <v/>
      </c>
      <c r="AX119">
        <f>SUMIF(AT119:$AT$651,AW119,AV119:$AV$651)</f>
        <v>0</v>
      </c>
    </row>
    <row r="120" spans="1:50" x14ac:dyDescent="0.25">
      <c r="A120" s="4" t="s">
        <v>0</v>
      </c>
      <c r="B120" t="s">
        <v>449</v>
      </c>
      <c r="C120" t="s">
        <v>4382</v>
      </c>
      <c r="D120" t="s">
        <v>2024</v>
      </c>
      <c r="E120" t="s">
        <v>1667</v>
      </c>
      <c r="F120" t="str">
        <f t="shared" si="56"/>
        <v>[1]</v>
      </c>
      <c r="G120">
        <f t="shared" si="60"/>
        <v>768</v>
      </c>
      <c r="H120" t="str">
        <f t="shared" si="57"/>
        <v>radio_TCXO.o</v>
      </c>
      <c r="I120">
        <f>SUMIF(E120:$E$173,H120,G120:$G$173)</f>
        <v>768</v>
      </c>
      <c r="K120" s="4" t="s">
        <v>421</v>
      </c>
      <c r="L120" t="s">
        <v>422</v>
      </c>
      <c r="M120" t="s">
        <v>2918</v>
      </c>
      <c r="N120" t="s">
        <v>13</v>
      </c>
      <c r="O120" t="s">
        <v>131</v>
      </c>
      <c r="P120" t="str">
        <f t="shared" si="1"/>
        <v>[1]</v>
      </c>
      <c r="Q120">
        <f t="shared" si="64"/>
        <v>12</v>
      </c>
      <c r="R120" t="str">
        <f t="shared" si="58"/>
        <v/>
      </c>
      <c r="S120">
        <f>SUMIF(O120:$O$2855,R120,Q120:$Q$2855)</f>
        <v>0</v>
      </c>
      <c r="AE120" t="s">
        <v>470</v>
      </c>
      <c r="AF120" t="s">
        <v>476</v>
      </c>
      <c r="AG120" t="s">
        <v>443</v>
      </c>
      <c r="AH120" t="s">
        <v>443</v>
      </c>
      <c r="AI120" t="s">
        <v>612</v>
      </c>
      <c r="AJ120" t="str">
        <f t="shared" si="55"/>
        <v>[1]</v>
      </c>
      <c r="AK120">
        <f t="shared" ref="AK120" si="76">HEX2DEC(MID(AH120,3,LEN(AH120)-2))</f>
        <v>0</v>
      </c>
      <c r="AL120" t="str">
        <f t="shared" ref="AL120" si="77">IF(AI120&lt;&gt;AI119,AI120,"")</f>
        <v/>
      </c>
      <c r="AM120">
        <f>SUMIF(AI120:$AI$121,AL120,AK120:$AK$121)</f>
        <v>0</v>
      </c>
      <c r="AP120" s="4" t="s">
        <v>472</v>
      </c>
      <c r="AQ120" t="s">
        <v>479</v>
      </c>
      <c r="AR120" t="s">
        <v>1571</v>
      </c>
      <c r="AS120" t="s">
        <v>78</v>
      </c>
      <c r="AT120" t="s">
        <v>137</v>
      </c>
      <c r="AU120" t="str">
        <f t="shared" si="7"/>
        <v>[1]</v>
      </c>
      <c r="AV120">
        <f t="shared" si="39"/>
        <v>4</v>
      </c>
      <c r="AW120" t="str">
        <f t="shared" si="59"/>
        <v/>
      </c>
      <c r="AX120">
        <f>SUMIF(AT120:$AT$651,AW120,AV120:$AV$651)</f>
        <v>0</v>
      </c>
    </row>
    <row r="121" spans="1:50" x14ac:dyDescent="0.25">
      <c r="A121" s="4" t="s">
        <v>0</v>
      </c>
      <c r="B121" t="s">
        <v>449</v>
      </c>
      <c r="C121" t="s">
        <v>4319</v>
      </c>
      <c r="D121" t="s">
        <v>1196</v>
      </c>
      <c r="E121" t="s">
        <v>81</v>
      </c>
      <c r="F121" t="str">
        <f t="shared" si="56"/>
        <v>[1]</v>
      </c>
      <c r="G121">
        <f t="shared" si="60"/>
        <v>378</v>
      </c>
      <c r="H121" t="str">
        <f t="shared" si="57"/>
        <v>rand.o</v>
      </c>
      <c r="I121">
        <f>SUMIF(E121:$E$173,H121,G121:$G$173)</f>
        <v>378</v>
      </c>
      <c r="K121" s="4" t="s">
        <v>421</v>
      </c>
      <c r="L121" t="s">
        <v>422</v>
      </c>
      <c r="M121" t="s">
        <v>1843</v>
      </c>
      <c r="N121" t="s">
        <v>119</v>
      </c>
      <c r="O121" t="s">
        <v>131</v>
      </c>
      <c r="P121" t="str">
        <f t="shared" si="1"/>
        <v>[1]</v>
      </c>
      <c r="Q121">
        <f t="shared" si="64"/>
        <v>32</v>
      </c>
      <c r="R121" t="str">
        <f t="shared" si="58"/>
        <v/>
      </c>
      <c r="S121">
        <f>SUMIF(O121:$O$2855,R121,Q121:$Q$2855)</f>
        <v>0</v>
      </c>
      <c r="AE121" t="s">
        <v>470</v>
      </c>
      <c r="AF121" t="s">
        <v>476</v>
      </c>
      <c r="AG121" t="s">
        <v>443</v>
      </c>
      <c r="AH121" t="s">
        <v>443</v>
      </c>
      <c r="AI121" t="s">
        <v>612</v>
      </c>
      <c r="AJ121" t="str">
        <f t="shared" si="55"/>
        <v>[1]</v>
      </c>
      <c r="AK121">
        <f t="shared" si="61"/>
        <v>0</v>
      </c>
      <c r="AL121" t="str">
        <f>IF(AI121&lt;&gt;AI114,AI121,"")</f>
        <v/>
      </c>
      <c r="AM121">
        <f>SUMIF(AI121:$AI$121,AL121,AK121:$AK$121)</f>
        <v>0</v>
      </c>
      <c r="AP121" s="4" t="s">
        <v>472</v>
      </c>
      <c r="AQ121" t="s">
        <v>479</v>
      </c>
      <c r="AR121" t="s">
        <v>1572</v>
      </c>
      <c r="AS121" t="s">
        <v>78</v>
      </c>
      <c r="AT121" t="s">
        <v>137</v>
      </c>
      <c r="AU121" t="str">
        <f t="shared" si="7"/>
        <v>[1]</v>
      </c>
      <c r="AV121">
        <f t="shared" si="39"/>
        <v>4</v>
      </c>
      <c r="AW121" t="str">
        <f t="shared" si="59"/>
        <v/>
      </c>
      <c r="AX121">
        <f>SUMIF(AT121:$AT$651,AW121,AV121:$AV$651)</f>
        <v>0</v>
      </c>
    </row>
    <row r="122" spans="1:50" x14ac:dyDescent="0.25">
      <c r="A122" s="4" t="s">
        <v>0</v>
      </c>
      <c r="B122" t="s">
        <v>449</v>
      </c>
      <c r="C122" t="s">
        <v>4437</v>
      </c>
      <c r="D122" t="s">
        <v>267</v>
      </c>
      <c r="E122" t="s">
        <v>408</v>
      </c>
      <c r="F122" t="str">
        <f t="shared" si="56"/>
        <v>[1]</v>
      </c>
      <c r="G122">
        <f t="shared" si="60"/>
        <v>116</v>
      </c>
      <c r="H122" t="str">
        <f t="shared" si="57"/>
        <v>RG_CF_Handler.o</v>
      </c>
      <c r="I122">
        <f>SUMIF(E122:$E$173,H122,G122:$G$173)</f>
        <v>116</v>
      </c>
      <c r="K122" s="4" t="s">
        <v>421</v>
      </c>
      <c r="L122" t="s">
        <v>422</v>
      </c>
      <c r="M122" t="s">
        <v>2919</v>
      </c>
      <c r="N122" t="s">
        <v>126</v>
      </c>
      <c r="O122" t="s">
        <v>131</v>
      </c>
      <c r="P122" t="str">
        <f t="shared" si="1"/>
        <v>[1]</v>
      </c>
      <c r="Q122">
        <f t="shared" si="64"/>
        <v>8</v>
      </c>
      <c r="R122" t="str">
        <f t="shared" si="58"/>
        <v/>
      </c>
      <c r="S122">
        <f>SUMIF(O122:$O$2855,R122,Q122:$Q$2855)</f>
        <v>0</v>
      </c>
      <c r="U122" s="47" t="s">
        <v>540</v>
      </c>
      <c r="V122" s="47"/>
      <c r="W122" s="47"/>
      <c r="X122" s="47"/>
      <c r="Y122" s="47"/>
      <c r="Z122" s="47"/>
      <c r="AA122" s="47"/>
      <c r="AB122" s="47"/>
      <c r="AC122" s="47"/>
      <c r="AE122" t="s">
        <v>830</v>
      </c>
      <c r="AF122" t="str">
        <f ca="1">CELL("address",AM122)</f>
        <v>$AM$122</v>
      </c>
      <c r="AK122">
        <f>SUM(AK31:AK121)</f>
        <v>763</v>
      </c>
      <c r="AL122" t="s">
        <v>725</v>
      </c>
      <c r="AM122">
        <f>SUM(AM31:AM121)</f>
        <v>763</v>
      </c>
      <c r="AP122" s="4" t="s">
        <v>472</v>
      </c>
      <c r="AQ122" t="s">
        <v>479</v>
      </c>
      <c r="AR122" t="s">
        <v>1573</v>
      </c>
      <c r="AS122" t="s">
        <v>126</v>
      </c>
      <c r="AT122" t="s">
        <v>137</v>
      </c>
      <c r="AU122" t="str">
        <f t="shared" si="7"/>
        <v>[1]</v>
      </c>
      <c r="AV122">
        <f t="shared" si="39"/>
        <v>8</v>
      </c>
      <c r="AW122" t="str">
        <f t="shared" si="59"/>
        <v/>
      </c>
      <c r="AX122">
        <f>SUMIF(AT122:$AT$651,AW122,AV122:$AV$651)</f>
        <v>0</v>
      </c>
    </row>
    <row r="123" spans="1:50" x14ac:dyDescent="0.25">
      <c r="A123" s="4" t="s">
        <v>0</v>
      </c>
      <c r="B123" t="s">
        <v>449</v>
      </c>
      <c r="C123" t="s">
        <v>4438</v>
      </c>
      <c r="D123" t="s">
        <v>1735</v>
      </c>
      <c r="E123" t="s">
        <v>313</v>
      </c>
      <c r="F123" t="str">
        <f t="shared" si="56"/>
        <v>[1]</v>
      </c>
      <c r="G123">
        <f t="shared" si="60"/>
        <v>1252</v>
      </c>
      <c r="H123" t="str">
        <f t="shared" si="57"/>
        <v>RG_MD_Handler.o</v>
      </c>
      <c r="I123">
        <f>SUMIF(E123:$E$173,H123,G123:$G$173)</f>
        <v>1252</v>
      </c>
      <c r="K123" s="4" t="s">
        <v>421</v>
      </c>
      <c r="L123" t="s">
        <v>422</v>
      </c>
      <c r="M123" t="s">
        <v>2920</v>
      </c>
      <c r="N123" t="s">
        <v>76</v>
      </c>
      <c r="O123" t="s">
        <v>131</v>
      </c>
      <c r="P123" t="str">
        <f t="shared" si="1"/>
        <v>[1]</v>
      </c>
      <c r="Q123">
        <f t="shared" si="64"/>
        <v>36</v>
      </c>
      <c r="R123" t="str">
        <f t="shared" si="58"/>
        <v/>
      </c>
      <c r="S123">
        <f>SUMIF(O123:$O$2855,R123,Q123:$Q$2855)</f>
        <v>0</v>
      </c>
      <c r="U123" s="4" t="s">
        <v>448</v>
      </c>
      <c r="V123" t="s">
        <v>422</v>
      </c>
      <c r="W123" t="s">
        <v>1383</v>
      </c>
      <c r="X123" t="s">
        <v>46</v>
      </c>
      <c r="Y123" t="s">
        <v>1190</v>
      </c>
      <c r="Z123" t="str">
        <f>VLOOKUP($U$122,$E$1:$F$26,2,FALSE)</f>
        <v>[7]</v>
      </c>
      <c r="AA123">
        <f>HEX2DEC(MID(X123,3,LEN(X123)-2))</f>
        <v>2</v>
      </c>
      <c r="AB123" t="str">
        <f>IF(Y123&lt;&gt;Y122,Y123,"")</f>
        <v>kernel_data</v>
      </c>
      <c r="AC123">
        <f>SUMIF(Y123:$Y$124,AB123,AA123:$AA$124)</f>
        <v>2</v>
      </c>
      <c r="AP123" s="4" t="s">
        <v>472</v>
      </c>
      <c r="AQ123" t="s">
        <v>479</v>
      </c>
      <c r="AR123" t="s">
        <v>1234</v>
      </c>
      <c r="AS123" t="s">
        <v>119</v>
      </c>
      <c r="AT123" t="s">
        <v>137</v>
      </c>
      <c r="AU123" t="str">
        <f t="shared" si="7"/>
        <v>[1]</v>
      </c>
      <c r="AV123">
        <f t="shared" si="39"/>
        <v>32</v>
      </c>
      <c r="AW123" t="str">
        <f t="shared" si="59"/>
        <v/>
      </c>
      <c r="AX123">
        <f>SUMIF(AT123:$AT$651,AW123,AV123:$AV$651)</f>
        <v>0</v>
      </c>
    </row>
    <row r="124" spans="1:50" x14ac:dyDescent="0.25">
      <c r="A124" s="4" t="s">
        <v>0</v>
      </c>
      <c r="B124" t="s">
        <v>449</v>
      </c>
      <c r="C124" t="s">
        <v>4367</v>
      </c>
      <c r="D124" t="s">
        <v>1204</v>
      </c>
      <c r="E124" t="s">
        <v>259</v>
      </c>
      <c r="F124" t="str">
        <f t="shared" si="56"/>
        <v>[1]</v>
      </c>
      <c r="G124">
        <f t="shared" si="60"/>
        <v>4236</v>
      </c>
      <c r="H124" t="str">
        <f t="shared" si="57"/>
        <v>rs.o</v>
      </c>
      <c r="I124">
        <f>SUMIF(E124:$E$173,H124,G124:$G$173)</f>
        <v>4236</v>
      </c>
      <c r="K124" s="4" t="s">
        <v>421</v>
      </c>
      <c r="L124" t="s">
        <v>422</v>
      </c>
      <c r="M124" t="s">
        <v>2921</v>
      </c>
      <c r="N124" t="s">
        <v>13</v>
      </c>
      <c r="O124" t="s">
        <v>131</v>
      </c>
      <c r="P124" t="str">
        <f t="shared" si="1"/>
        <v>[1]</v>
      </c>
      <c r="Q124">
        <f t="shared" si="64"/>
        <v>12</v>
      </c>
      <c r="R124" t="str">
        <f t="shared" si="58"/>
        <v/>
      </c>
      <c r="S124">
        <f>SUMIF(O124:$O$2855,R124,Q124:$Q$2855)</f>
        <v>0</v>
      </c>
      <c r="U124" s="4" t="s">
        <v>448</v>
      </c>
      <c r="V124" t="s">
        <v>422</v>
      </c>
      <c r="W124" t="s">
        <v>1382</v>
      </c>
      <c r="X124" t="s">
        <v>78</v>
      </c>
      <c r="Y124" t="s">
        <v>522</v>
      </c>
      <c r="Z124" t="str">
        <f>VLOOKUP($U$122,$E$1:$F$26,2,FALSE)</f>
        <v>[7]</v>
      </c>
      <c r="AA124">
        <f>HEX2DEC(MID(X124,3,LEN(X124)-2))</f>
        <v>4</v>
      </c>
      <c r="AB124" t="str">
        <f>IF(Y124&lt;&gt;Y123,Y124,"")</f>
        <v>psp.a</v>
      </c>
      <c r="AC124">
        <f>SUMIF(Y124:$Y$124,AB124,AA124:$AA$124)</f>
        <v>4</v>
      </c>
      <c r="AP124" s="4" t="s">
        <v>472</v>
      </c>
      <c r="AQ124" t="s">
        <v>479</v>
      </c>
      <c r="AR124" t="s">
        <v>1235</v>
      </c>
      <c r="AS124" t="s">
        <v>13</v>
      </c>
      <c r="AT124" t="s">
        <v>137</v>
      </c>
      <c r="AU124" t="str">
        <f t="shared" si="7"/>
        <v>[1]</v>
      </c>
      <c r="AV124">
        <f t="shared" si="39"/>
        <v>12</v>
      </c>
      <c r="AW124" t="str">
        <f t="shared" si="59"/>
        <v/>
      </c>
      <c r="AX124">
        <f>SUMIF(AT124:$AT$651,AW124,AV124:$AV$651)</f>
        <v>0</v>
      </c>
    </row>
    <row r="125" spans="1:50" x14ac:dyDescent="0.25">
      <c r="A125" s="4" t="s">
        <v>0</v>
      </c>
      <c r="B125" t="s">
        <v>449</v>
      </c>
      <c r="C125" t="s">
        <v>4369</v>
      </c>
      <c r="D125" t="s">
        <v>1205</v>
      </c>
      <c r="E125" t="s">
        <v>1072</v>
      </c>
      <c r="F125" t="str">
        <f t="shared" si="56"/>
        <v>[1]</v>
      </c>
      <c r="G125">
        <f t="shared" si="60"/>
        <v>1084</v>
      </c>
      <c r="H125" t="str">
        <f t="shared" si="57"/>
        <v>rsdec.o</v>
      </c>
      <c r="I125">
        <f>SUMIF(E125:$E$173,H125,G125:$G$173)</f>
        <v>1084</v>
      </c>
      <c r="K125" s="4" t="s">
        <v>421</v>
      </c>
      <c r="L125" t="s">
        <v>422</v>
      </c>
      <c r="M125" t="s">
        <v>2922</v>
      </c>
      <c r="N125" t="s">
        <v>237</v>
      </c>
      <c r="O125" t="s">
        <v>131</v>
      </c>
      <c r="P125" t="str">
        <f t="shared" si="1"/>
        <v>[1]</v>
      </c>
      <c r="Q125">
        <f t="shared" si="64"/>
        <v>52</v>
      </c>
      <c r="R125" t="str">
        <f t="shared" si="58"/>
        <v/>
      </c>
      <c r="S125">
        <f>SUMIF(O125:$O$2855,R125,Q125:$Q$2855)</f>
        <v>0</v>
      </c>
      <c r="AA125">
        <f>SUM(AA123:AA124)</f>
        <v>6</v>
      </c>
      <c r="AB125" t="s">
        <v>707</v>
      </c>
      <c r="AC125">
        <f>SUM(AC123:AC124)</f>
        <v>6</v>
      </c>
      <c r="AE125" t="s">
        <v>831</v>
      </c>
      <c r="AF125" t="str">
        <f ca="1">CELL("address",AL127)</f>
        <v>$AL$127</v>
      </c>
      <c r="AP125" s="4" t="s">
        <v>472</v>
      </c>
      <c r="AQ125" t="s">
        <v>479</v>
      </c>
      <c r="AR125" t="s">
        <v>1574</v>
      </c>
      <c r="AS125" t="s">
        <v>13</v>
      </c>
      <c r="AT125" t="s">
        <v>137</v>
      </c>
      <c r="AU125" t="str">
        <f t="shared" si="7"/>
        <v>[1]</v>
      </c>
      <c r="AV125">
        <f t="shared" si="39"/>
        <v>12</v>
      </c>
      <c r="AW125" t="str">
        <f t="shared" si="59"/>
        <v/>
      </c>
      <c r="AX125">
        <f>SUMIF(AT125:$AT$651,AW125,AV125:$AV$651)</f>
        <v>0</v>
      </c>
    </row>
    <row r="126" spans="1:50" x14ac:dyDescent="0.25">
      <c r="A126" s="4" t="s">
        <v>0</v>
      </c>
      <c r="B126" t="s">
        <v>449</v>
      </c>
      <c r="C126" t="s">
        <v>4370</v>
      </c>
      <c r="D126" t="s">
        <v>1206</v>
      </c>
      <c r="E126" t="s">
        <v>1075</v>
      </c>
      <c r="F126" t="str">
        <f t="shared" si="56"/>
        <v>[1]</v>
      </c>
      <c r="G126">
        <f t="shared" si="60"/>
        <v>312</v>
      </c>
      <c r="H126" t="str">
        <f t="shared" si="57"/>
        <v>rsenc.o</v>
      </c>
      <c r="I126">
        <f>SUMIF(E126:$E$173,H126,G126:$G$173)</f>
        <v>312</v>
      </c>
      <c r="K126" s="4" t="s">
        <v>421</v>
      </c>
      <c r="L126" t="s">
        <v>422</v>
      </c>
      <c r="M126" t="s">
        <v>2923</v>
      </c>
      <c r="N126" t="s">
        <v>13</v>
      </c>
      <c r="O126" t="s">
        <v>131</v>
      </c>
      <c r="P126" t="str">
        <f t="shared" si="1"/>
        <v>[1]</v>
      </c>
      <c r="Q126">
        <f t="shared" si="64"/>
        <v>12</v>
      </c>
      <c r="R126" t="str">
        <f t="shared" si="58"/>
        <v/>
      </c>
      <c r="S126">
        <f>SUMIF(O126:$O$2855,R126,Q126:$Q$2855)</f>
        <v>0</v>
      </c>
      <c r="AE126" s="47" t="s">
        <v>538</v>
      </c>
      <c r="AF126" s="47"/>
      <c r="AG126" s="47"/>
      <c r="AH126" s="47"/>
      <c r="AI126" s="47"/>
      <c r="AJ126" s="47"/>
      <c r="AK126" s="47"/>
      <c r="AL126" s="47"/>
      <c r="AM126" s="47"/>
      <c r="AP126" s="4" t="s">
        <v>472</v>
      </c>
      <c r="AQ126" t="s">
        <v>479</v>
      </c>
      <c r="AR126" t="s">
        <v>1575</v>
      </c>
      <c r="AS126" t="s">
        <v>13</v>
      </c>
      <c r="AT126" t="s">
        <v>137</v>
      </c>
      <c r="AU126" t="str">
        <f t="shared" si="7"/>
        <v>[1]</v>
      </c>
      <c r="AV126">
        <f t="shared" si="39"/>
        <v>12</v>
      </c>
      <c r="AW126" t="str">
        <f t="shared" si="59"/>
        <v/>
      </c>
      <c r="AX126">
        <f>SUMIF(AT126:$AT$651,AW126,AV126:$AV$651)</f>
        <v>0</v>
      </c>
    </row>
    <row r="127" spans="1:50" x14ac:dyDescent="0.25">
      <c r="A127" s="4" t="s">
        <v>0</v>
      </c>
      <c r="B127" t="s">
        <v>449</v>
      </c>
      <c r="C127" t="s">
        <v>4394</v>
      </c>
      <c r="D127" t="s">
        <v>1146</v>
      </c>
      <c r="E127" t="s">
        <v>163</v>
      </c>
      <c r="F127" t="str">
        <f t="shared" si="56"/>
        <v>[1]</v>
      </c>
      <c r="G127">
        <f t="shared" si="60"/>
        <v>440</v>
      </c>
      <c r="H127" t="str">
        <f t="shared" si="57"/>
        <v>RTC.o</v>
      </c>
      <c r="I127">
        <f>SUMIF(E127:$E$173,H127,G127:$G$173)</f>
        <v>440</v>
      </c>
      <c r="K127" s="4" t="s">
        <v>421</v>
      </c>
      <c r="L127" t="s">
        <v>422</v>
      </c>
      <c r="M127" t="s">
        <v>2924</v>
      </c>
      <c r="N127" t="s">
        <v>437</v>
      </c>
      <c r="O127" t="s">
        <v>131</v>
      </c>
      <c r="P127" t="str">
        <f t="shared" si="1"/>
        <v>[1]</v>
      </c>
      <c r="Q127">
        <f t="shared" si="64"/>
        <v>24</v>
      </c>
      <c r="R127" t="str">
        <f t="shared" si="58"/>
        <v/>
      </c>
      <c r="S127">
        <f>SUMIF(O127:$O$2855,R127,Q127:$Q$2855)</f>
        <v>0</v>
      </c>
      <c r="AE127" s="4" t="s">
        <v>934</v>
      </c>
      <c r="AF127" t="s">
        <v>476</v>
      </c>
      <c r="AG127" t="s">
        <v>4450</v>
      </c>
      <c r="AH127" t="s">
        <v>124</v>
      </c>
      <c r="AI127" t="s">
        <v>406</v>
      </c>
      <c r="AJ127" t="str">
        <f>VLOOKUP($AE$126,$E$1:$F$26,2,FALSE)</f>
        <v>[1]</v>
      </c>
      <c r="AK127">
        <f>HEX2DEC(MID(AH127,3,LEN(AH127)-2))</f>
        <v>68</v>
      </c>
      <c r="AL127" t="str">
        <f>IF(AI127&lt;&gt;AI126,AI127,"")</f>
        <v>IF_intFlash.o</v>
      </c>
      <c r="AM127">
        <f>SUMIF(AI127:$AI$127,AL127,AK127:$AK$127)</f>
        <v>68</v>
      </c>
      <c r="AP127" s="4" t="s">
        <v>472</v>
      </c>
      <c r="AQ127" t="s">
        <v>479</v>
      </c>
      <c r="AR127" t="s">
        <v>1576</v>
      </c>
      <c r="AS127" t="s">
        <v>65</v>
      </c>
      <c r="AT127" t="s">
        <v>137</v>
      </c>
      <c r="AU127" t="str">
        <f t="shared" si="7"/>
        <v>[1]</v>
      </c>
      <c r="AV127">
        <f t="shared" si="39"/>
        <v>40</v>
      </c>
      <c r="AW127" t="str">
        <f t="shared" si="59"/>
        <v/>
      </c>
      <c r="AX127">
        <f>SUMIF(AT127:$AT$651,AW127,AV127:$AV$651)</f>
        <v>0</v>
      </c>
    </row>
    <row r="128" spans="1:50" x14ac:dyDescent="0.25">
      <c r="A128" s="4" t="s">
        <v>0</v>
      </c>
      <c r="B128" t="s">
        <v>449</v>
      </c>
      <c r="C128" t="s">
        <v>4356</v>
      </c>
      <c r="D128" t="s">
        <v>150</v>
      </c>
      <c r="E128" t="s">
        <v>1113</v>
      </c>
      <c r="F128" t="str">
        <f t="shared" ref="F128:F158" si="78">VLOOKUP($A$30,$E$1:$F$26,2,FALSE)</f>
        <v>[1]</v>
      </c>
      <c r="G128">
        <f t="shared" si="60"/>
        <v>120</v>
      </c>
      <c r="H128" t="str">
        <f t="shared" si="57"/>
        <v>ScaleClipFreq2phase.o</v>
      </c>
      <c r="I128">
        <f>SUMIF(E128:$E$173,H128,G128:$G$173)</f>
        <v>120</v>
      </c>
      <c r="K128" s="4" t="s">
        <v>421</v>
      </c>
      <c r="L128" t="s">
        <v>422</v>
      </c>
      <c r="M128" t="s">
        <v>2925</v>
      </c>
      <c r="N128" t="s">
        <v>13</v>
      </c>
      <c r="O128" t="s">
        <v>131</v>
      </c>
      <c r="P128" t="str">
        <f t="shared" si="1"/>
        <v>[1]</v>
      </c>
      <c r="Q128">
        <f t="shared" ref="Q128:Q129" si="79">HEX2DEC(MID(N128,3,LEN(N128)-2))</f>
        <v>12</v>
      </c>
      <c r="R128" t="str">
        <f t="shared" si="58"/>
        <v/>
      </c>
      <c r="S128">
        <f>SUMIF(O128:$O$2855,R128,Q128:$Q$2855)</f>
        <v>0</v>
      </c>
      <c r="U128" s="47" t="s">
        <v>756</v>
      </c>
      <c r="V128" s="47"/>
      <c r="W128" s="47"/>
      <c r="X128" s="47"/>
      <c r="Y128" s="47"/>
      <c r="Z128" s="47"/>
      <c r="AA128" s="47"/>
      <c r="AB128" s="47"/>
      <c r="AC128" s="47"/>
      <c r="AE128" t="s">
        <v>810</v>
      </c>
      <c r="AF128" t="str">
        <f ca="1">CELL("address",AM128)</f>
        <v>$AM$128</v>
      </c>
      <c r="AK128">
        <f>SUM(AK127)</f>
        <v>68</v>
      </c>
      <c r="AL128" t="s">
        <v>810</v>
      </c>
      <c r="AM128">
        <f>SUM(AM127)</f>
        <v>68</v>
      </c>
      <c r="AP128" s="4" t="s">
        <v>472</v>
      </c>
      <c r="AQ128" t="s">
        <v>479</v>
      </c>
      <c r="AR128" t="s">
        <v>1577</v>
      </c>
      <c r="AS128" t="s">
        <v>119</v>
      </c>
      <c r="AT128" t="s">
        <v>137</v>
      </c>
      <c r="AU128" t="str">
        <f t="shared" si="7"/>
        <v>[1]</v>
      </c>
      <c r="AV128">
        <f t="shared" si="39"/>
        <v>32</v>
      </c>
      <c r="AW128" t="str">
        <f t="shared" si="59"/>
        <v/>
      </c>
      <c r="AX128">
        <f>SUMIF(AT128:$AT$651,AW128,AV128:$AV$651)</f>
        <v>0</v>
      </c>
    </row>
    <row r="129" spans="1:50" x14ac:dyDescent="0.25">
      <c r="A129" s="4" t="s">
        <v>0</v>
      </c>
      <c r="B129" t="s">
        <v>449</v>
      </c>
      <c r="C129" t="s">
        <v>4407</v>
      </c>
      <c r="D129" t="s">
        <v>1148</v>
      </c>
      <c r="E129" t="s">
        <v>223</v>
      </c>
      <c r="F129" t="str">
        <f t="shared" si="78"/>
        <v>[1]</v>
      </c>
      <c r="G129">
        <f t="shared" si="60"/>
        <v>952</v>
      </c>
      <c r="H129" t="str">
        <f t="shared" si="57"/>
        <v>SELF_test.o</v>
      </c>
      <c r="I129">
        <f>SUMIF(E129:$E$173,H129,G129:$G$173)</f>
        <v>952</v>
      </c>
      <c r="K129" s="4" t="s">
        <v>421</v>
      </c>
      <c r="L129" t="s">
        <v>422</v>
      </c>
      <c r="M129" t="s">
        <v>2926</v>
      </c>
      <c r="N129" t="s">
        <v>437</v>
      </c>
      <c r="O129" t="s">
        <v>131</v>
      </c>
      <c r="P129" t="str">
        <f t="shared" si="1"/>
        <v>[1]</v>
      </c>
      <c r="Q129">
        <f t="shared" si="79"/>
        <v>24</v>
      </c>
      <c r="R129" t="str">
        <f t="shared" si="58"/>
        <v/>
      </c>
      <c r="S129">
        <f>SUMIF(O129:$O$2855,R129,Q129:$Q$2855)</f>
        <v>0</v>
      </c>
      <c r="U129" t="s">
        <v>743</v>
      </c>
      <c r="V129" t="s">
        <v>422</v>
      </c>
      <c r="W129" s="6" t="s">
        <v>611</v>
      </c>
      <c r="X129" s="6" t="s">
        <v>443</v>
      </c>
      <c r="Y129" s="6" t="s">
        <v>612</v>
      </c>
      <c r="Z129" t="str">
        <f>VLOOKUP($U$128,$E$1:$F$26,2,FALSE)</f>
        <v>[8]</v>
      </c>
      <c r="AA129">
        <f>HEX2DEC(MID(X129,3,LEN(X129)-2))</f>
        <v>0</v>
      </c>
      <c r="AB129" t="str">
        <f>IF(Y129&lt;&gt;Y128,Y129,"")</f>
        <v>placeholder</v>
      </c>
      <c r="AC129">
        <f>SUMIF(Y129:$Y$129,AB129,AA129:$AA$129)</f>
        <v>0</v>
      </c>
      <c r="AP129" s="4" t="s">
        <v>472</v>
      </c>
      <c r="AQ129" t="s">
        <v>479</v>
      </c>
      <c r="AR129" t="s">
        <v>1249</v>
      </c>
      <c r="AS129" t="s">
        <v>202</v>
      </c>
      <c r="AT129" t="s">
        <v>137</v>
      </c>
      <c r="AU129" t="str">
        <f t="shared" si="7"/>
        <v>[1]</v>
      </c>
      <c r="AV129">
        <f t="shared" si="39"/>
        <v>16</v>
      </c>
      <c r="AW129" t="str">
        <f t="shared" si="59"/>
        <v/>
      </c>
      <c r="AX129">
        <f>SUMIF(AT129:$AT$651,AW129,AV129:$AV$651)</f>
        <v>0</v>
      </c>
    </row>
    <row r="130" spans="1:50" x14ac:dyDescent="0.25">
      <c r="A130" s="4" t="s">
        <v>0</v>
      </c>
      <c r="B130" t="s">
        <v>449</v>
      </c>
      <c r="C130" t="s">
        <v>4376</v>
      </c>
      <c r="D130" t="s">
        <v>116</v>
      </c>
      <c r="E130" t="s">
        <v>80</v>
      </c>
      <c r="F130" t="str">
        <f t="shared" si="78"/>
        <v>[1]</v>
      </c>
      <c r="G130">
        <f t="shared" si="60"/>
        <v>220</v>
      </c>
      <c r="H130" t="str">
        <f t="shared" si="57"/>
        <v>Semaphore.o</v>
      </c>
      <c r="I130">
        <f>SUMIF(E130:$E$173,H130,G130:$G$173)</f>
        <v>220</v>
      </c>
      <c r="K130" s="4" t="s">
        <v>421</v>
      </c>
      <c r="L130" t="s">
        <v>422</v>
      </c>
      <c r="M130" t="s">
        <v>2927</v>
      </c>
      <c r="N130" t="s">
        <v>202</v>
      </c>
      <c r="O130" t="s">
        <v>131</v>
      </c>
      <c r="P130" t="str">
        <f t="shared" si="1"/>
        <v>[1]</v>
      </c>
      <c r="Q130">
        <f t="shared" ref="Q130:Q133" si="80">HEX2DEC(MID(N130,3,LEN(N130)-2))</f>
        <v>16</v>
      </c>
      <c r="R130" t="str">
        <f t="shared" si="58"/>
        <v/>
      </c>
      <c r="S130">
        <f>SUMIF(O130:$O$2855,R130,Q130:$Q$2855)</f>
        <v>0</v>
      </c>
      <c r="AA130">
        <f>SUM(AA129)</f>
        <v>0</v>
      </c>
      <c r="AB130" t="s">
        <v>708</v>
      </c>
      <c r="AC130">
        <f>SUM(AC129)</f>
        <v>0</v>
      </c>
      <c r="AP130" s="4" t="s">
        <v>472</v>
      </c>
      <c r="AQ130" t="s">
        <v>479</v>
      </c>
      <c r="AR130" t="s">
        <v>1578</v>
      </c>
      <c r="AS130" t="s">
        <v>202</v>
      </c>
      <c r="AT130" t="s">
        <v>137</v>
      </c>
      <c r="AU130" t="str">
        <f t="shared" si="7"/>
        <v>[1]</v>
      </c>
      <c r="AV130">
        <f t="shared" si="39"/>
        <v>16</v>
      </c>
      <c r="AW130" t="str">
        <f t="shared" si="59"/>
        <v/>
      </c>
      <c r="AX130">
        <f>SUMIF(AT130:$AT$651,AW130,AV130:$AV$651)</f>
        <v>0</v>
      </c>
    </row>
    <row r="131" spans="1:50" x14ac:dyDescent="0.25">
      <c r="A131" s="4" t="s">
        <v>0</v>
      </c>
      <c r="B131" t="s">
        <v>449</v>
      </c>
      <c r="C131" t="s">
        <v>4381</v>
      </c>
      <c r="D131" t="s">
        <v>2023</v>
      </c>
      <c r="E131" t="s">
        <v>224</v>
      </c>
      <c r="F131" t="str">
        <f t="shared" si="78"/>
        <v>[1]</v>
      </c>
      <c r="G131">
        <f t="shared" si="60"/>
        <v>1592</v>
      </c>
      <c r="H131" t="str">
        <f t="shared" si="57"/>
        <v>si446x_api_lib.o</v>
      </c>
      <c r="I131">
        <f>SUMIF(E131:$E$173,H131,G131:$G$173)</f>
        <v>1592</v>
      </c>
      <c r="K131" s="4" t="s">
        <v>421</v>
      </c>
      <c r="L131" t="s">
        <v>422</v>
      </c>
      <c r="M131" t="s">
        <v>1844</v>
      </c>
      <c r="N131" t="s">
        <v>119</v>
      </c>
      <c r="O131" t="s">
        <v>131</v>
      </c>
      <c r="P131" t="str">
        <f t="shared" si="1"/>
        <v>[1]</v>
      </c>
      <c r="Q131">
        <f t="shared" si="80"/>
        <v>32</v>
      </c>
      <c r="R131" t="str">
        <f t="shared" si="58"/>
        <v/>
      </c>
      <c r="S131">
        <f>SUMIF(O131:$O$2855,R131,Q131:$Q$2855)</f>
        <v>0</v>
      </c>
      <c r="AE131" t="s">
        <v>832</v>
      </c>
      <c r="AF131" t="str">
        <f ca="1">CELL("address",AL133)</f>
        <v>$AL$133</v>
      </c>
      <c r="AP131" s="4" t="s">
        <v>472</v>
      </c>
      <c r="AQ131" t="s">
        <v>479</v>
      </c>
      <c r="AR131" t="s">
        <v>1250</v>
      </c>
      <c r="AS131" t="s">
        <v>76</v>
      </c>
      <c r="AT131" t="s">
        <v>137</v>
      </c>
      <c r="AU131" t="str">
        <f t="shared" si="7"/>
        <v>[1]</v>
      </c>
      <c r="AV131">
        <f t="shared" si="39"/>
        <v>36</v>
      </c>
      <c r="AW131" t="str">
        <f t="shared" si="59"/>
        <v/>
      </c>
      <c r="AX131">
        <f>SUMIF(AT131:$AT$651,AW131,AV131:$AV$651)</f>
        <v>0</v>
      </c>
    </row>
    <row r="132" spans="1:50" x14ac:dyDescent="0.25">
      <c r="A132" s="4" t="s">
        <v>0</v>
      </c>
      <c r="B132" t="s">
        <v>449</v>
      </c>
      <c r="C132" t="s">
        <v>4357</v>
      </c>
      <c r="D132" t="s">
        <v>65</v>
      </c>
      <c r="E132" t="s">
        <v>1114</v>
      </c>
      <c r="F132" t="str">
        <f t="shared" si="78"/>
        <v>[1]</v>
      </c>
      <c r="G132">
        <f t="shared" si="60"/>
        <v>40</v>
      </c>
      <c r="H132" t="str">
        <f t="shared" si="57"/>
        <v>sign.o</v>
      </c>
      <c r="I132">
        <f>SUMIF(E132:$E$173,H132,G132:$G$173)</f>
        <v>40</v>
      </c>
      <c r="K132" s="4" t="s">
        <v>421</v>
      </c>
      <c r="L132" t="s">
        <v>422</v>
      </c>
      <c r="M132" t="s">
        <v>2928</v>
      </c>
      <c r="N132" t="s">
        <v>78</v>
      </c>
      <c r="O132" t="s">
        <v>131</v>
      </c>
      <c r="P132" t="str">
        <f t="shared" si="1"/>
        <v>[1]</v>
      </c>
      <c r="Q132">
        <f t="shared" si="80"/>
        <v>4</v>
      </c>
      <c r="R132" t="str">
        <f t="shared" si="58"/>
        <v/>
      </c>
      <c r="S132">
        <f>SUMIF(O132:$O$2855,R132,Q132:$Q$2855)</f>
        <v>0</v>
      </c>
      <c r="AE132" s="47" t="s">
        <v>539</v>
      </c>
      <c r="AF132" s="47"/>
      <c r="AG132" s="47"/>
      <c r="AH132" s="47"/>
      <c r="AI132" s="47"/>
      <c r="AJ132" s="47"/>
      <c r="AK132" s="47"/>
      <c r="AL132" s="47"/>
      <c r="AM132" s="47"/>
      <c r="AP132" s="4" t="s">
        <v>472</v>
      </c>
      <c r="AQ132" t="s">
        <v>479</v>
      </c>
      <c r="AR132" t="s">
        <v>1579</v>
      </c>
      <c r="AS132" t="s">
        <v>119</v>
      </c>
      <c r="AT132" t="s">
        <v>137</v>
      </c>
      <c r="AU132" t="str">
        <f t="shared" si="7"/>
        <v>[1]</v>
      </c>
      <c r="AV132">
        <f t="shared" si="39"/>
        <v>32</v>
      </c>
      <c r="AW132" t="str">
        <f t="shared" si="59"/>
        <v/>
      </c>
      <c r="AX132">
        <f>SUMIF(AT132:$AT$651,AW132,AV132:$AV$651)</f>
        <v>0</v>
      </c>
    </row>
    <row r="133" spans="1:50" x14ac:dyDescent="0.25">
      <c r="A133" s="4" t="s">
        <v>0</v>
      </c>
      <c r="B133" t="s">
        <v>449</v>
      </c>
      <c r="C133" t="s">
        <v>4336</v>
      </c>
      <c r="D133" t="s">
        <v>1200</v>
      </c>
      <c r="E133" t="s">
        <v>233</v>
      </c>
      <c r="F133" t="str">
        <f t="shared" si="78"/>
        <v>[1]</v>
      </c>
      <c r="G133">
        <f t="shared" si="60"/>
        <v>3604</v>
      </c>
      <c r="H133" t="str">
        <f t="shared" si="57"/>
        <v>SM.o</v>
      </c>
      <c r="I133">
        <f>SUMIF(E133:$E$173,H133,G133:$G$173)</f>
        <v>3604</v>
      </c>
      <c r="K133" s="4" t="s">
        <v>421</v>
      </c>
      <c r="L133" t="s">
        <v>422</v>
      </c>
      <c r="M133" t="s">
        <v>1845</v>
      </c>
      <c r="N133" t="s">
        <v>119</v>
      </c>
      <c r="O133" t="s">
        <v>131</v>
      </c>
      <c r="P133" t="str">
        <f t="shared" si="1"/>
        <v>[1]</v>
      </c>
      <c r="Q133">
        <f t="shared" si="80"/>
        <v>32</v>
      </c>
      <c r="R133" t="str">
        <f t="shared" si="58"/>
        <v/>
      </c>
      <c r="S133">
        <f>SUMIF(O133:$O$2855,R133,Q133:$Q$2855)</f>
        <v>0</v>
      </c>
      <c r="U133" s="47" t="s">
        <v>759</v>
      </c>
      <c r="V133" s="47"/>
      <c r="W133" s="47"/>
      <c r="X133" s="47"/>
      <c r="Y133" s="47"/>
      <c r="Z133" s="47"/>
      <c r="AA133" s="47"/>
      <c r="AB133" s="47"/>
      <c r="AC133" s="47"/>
      <c r="AE133" s="4" t="s">
        <v>470</v>
      </c>
      <c r="AF133" t="s">
        <v>476</v>
      </c>
      <c r="AG133" t="s">
        <v>1239</v>
      </c>
      <c r="AH133" t="s">
        <v>126</v>
      </c>
      <c r="AI133" t="s">
        <v>166</v>
      </c>
      <c r="AJ133" t="str">
        <f t="shared" ref="AJ133:AJ141" si="81">VLOOKUP($AE$132,$E$1:$F$26,2,FALSE)</f>
        <v>[4]</v>
      </c>
      <c r="AK133">
        <f t="shared" ref="AK133:AK140" si="82">HEX2DEC(MID(AH133,3,LEN(AH133)-2))</f>
        <v>8</v>
      </c>
      <c r="AL133" t="str">
        <f t="shared" ref="AL133:AL140" si="83">IF(AI133&lt;&gt;AI132,AI133,"")</f>
        <v>adc_mk24.o</v>
      </c>
      <c r="AM133">
        <f>SUMIF(AI133:$AI$141,AL133,AK133:$AK$141)</f>
        <v>8</v>
      </c>
      <c r="AP133" s="4" t="s">
        <v>472</v>
      </c>
      <c r="AQ133" t="s">
        <v>479</v>
      </c>
      <c r="AR133" t="s">
        <v>1251</v>
      </c>
      <c r="AS133" t="s">
        <v>67</v>
      </c>
      <c r="AT133" t="s">
        <v>137</v>
      </c>
      <c r="AU133" t="str">
        <f t="shared" si="7"/>
        <v>[1]</v>
      </c>
      <c r="AV133">
        <f t="shared" si="39"/>
        <v>48</v>
      </c>
      <c r="AW133" t="str">
        <f t="shared" si="59"/>
        <v/>
      </c>
      <c r="AX133">
        <f>SUMIF(AT133:$AT$651,AW133,AV133:$AV$651)</f>
        <v>0</v>
      </c>
    </row>
    <row r="134" spans="1:50" x14ac:dyDescent="0.25">
      <c r="A134" s="4" t="s">
        <v>0</v>
      </c>
      <c r="B134" t="s">
        <v>449</v>
      </c>
      <c r="C134" t="s">
        <v>4337</v>
      </c>
      <c r="D134" t="s">
        <v>1201</v>
      </c>
      <c r="E134" t="s">
        <v>226</v>
      </c>
      <c r="F134" t="str">
        <f t="shared" si="78"/>
        <v>[1]</v>
      </c>
      <c r="G134">
        <f t="shared" si="60"/>
        <v>604</v>
      </c>
      <c r="H134" t="str">
        <f t="shared" si="57"/>
        <v>smtd_config.o</v>
      </c>
      <c r="I134">
        <f>SUMIF(E134:$E$173,H134,G134:$G$173)</f>
        <v>604</v>
      </c>
      <c r="K134" s="4" t="s">
        <v>421</v>
      </c>
      <c r="L134" t="s">
        <v>422</v>
      </c>
      <c r="M134" t="s">
        <v>2929</v>
      </c>
      <c r="N134" t="s">
        <v>126</v>
      </c>
      <c r="O134" t="s">
        <v>131</v>
      </c>
      <c r="P134" t="str">
        <f t="shared" si="1"/>
        <v>[1]</v>
      </c>
      <c r="Q134">
        <f t="shared" ref="Q134:Q140" si="84">HEX2DEC(MID(N134,3,LEN(N134)-2))</f>
        <v>8</v>
      </c>
      <c r="R134" t="str">
        <f t="shared" si="58"/>
        <v/>
      </c>
      <c r="S134">
        <f>SUMIF(O134:$O$2855,R134,Q134:$Q$2855)</f>
        <v>0</v>
      </c>
      <c r="U134" t="s">
        <v>743</v>
      </c>
      <c r="V134" t="s">
        <v>422</v>
      </c>
      <c r="W134" s="6" t="s">
        <v>611</v>
      </c>
      <c r="X134" s="6" t="s">
        <v>443</v>
      </c>
      <c r="Y134" s="6" t="s">
        <v>612</v>
      </c>
      <c r="Z134" t="str">
        <f>VLOOKUP($U$133,$E$1:$F$26,2,FALSE)</f>
        <v>[9]</v>
      </c>
      <c r="AA134">
        <f>HEX2DEC(MID(X134,3,LEN(X134)-2))</f>
        <v>0</v>
      </c>
      <c r="AB134" t="str">
        <f>IF(Y134&lt;&gt;Y133,Y134,"")</f>
        <v>placeholder</v>
      </c>
      <c r="AC134">
        <f>SUMIF(Y134:$Y$134,AB134,AA134:$AA$134)</f>
        <v>0</v>
      </c>
      <c r="AE134" s="4" t="s">
        <v>470</v>
      </c>
      <c r="AF134" t="s">
        <v>476</v>
      </c>
      <c r="AG134" t="s">
        <v>4445</v>
      </c>
      <c r="AH134" t="s">
        <v>65</v>
      </c>
      <c r="AI134" t="s">
        <v>354</v>
      </c>
      <c r="AJ134" t="str">
        <f t="shared" si="81"/>
        <v>[4]</v>
      </c>
      <c r="AK134">
        <f t="shared" si="82"/>
        <v>40</v>
      </c>
      <c r="AL134" t="str">
        <f t="shared" si="83"/>
        <v>adt_kpdb.o</v>
      </c>
      <c r="AM134">
        <f>SUMIF(AI134:$AI$141,AL134,AK134:$AK$141)</f>
        <v>40</v>
      </c>
      <c r="AP134" s="4" t="s">
        <v>472</v>
      </c>
      <c r="AQ134" t="s">
        <v>479</v>
      </c>
      <c r="AR134" t="s">
        <v>4462</v>
      </c>
      <c r="AS134" t="s">
        <v>46</v>
      </c>
      <c r="AT134" t="s">
        <v>137</v>
      </c>
      <c r="AU134" t="str">
        <f t="shared" si="7"/>
        <v>[1]</v>
      </c>
      <c r="AV134">
        <f t="shared" si="39"/>
        <v>2</v>
      </c>
      <c r="AW134" t="str">
        <f t="shared" si="59"/>
        <v/>
      </c>
      <c r="AX134">
        <f>SUMIF(AT134:$AT$651,AW134,AV134:$AV$651)</f>
        <v>0</v>
      </c>
    </row>
    <row r="135" spans="1:50" x14ac:dyDescent="0.25">
      <c r="A135" s="4" t="s">
        <v>0</v>
      </c>
      <c r="B135" t="s">
        <v>449</v>
      </c>
      <c r="C135" t="s">
        <v>4365</v>
      </c>
      <c r="D135" t="s">
        <v>4366</v>
      </c>
      <c r="E135" t="s">
        <v>1122</v>
      </c>
      <c r="F135" t="str">
        <f t="shared" si="78"/>
        <v>[1]</v>
      </c>
      <c r="G135">
        <f t="shared" si="60"/>
        <v>6428</v>
      </c>
      <c r="H135" t="str">
        <f t="shared" si="57"/>
        <v>SoftDemodulator.o</v>
      </c>
      <c r="I135">
        <f>SUMIF(E135:$E$173,H135,G135:$G$173)</f>
        <v>6428</v>
      </c>
      <c r="K135" s="4" t="s">
        <v>421</v>
      </c>
      <c r="L135" t="s">
        <v>422</v>
      </c>
      <c r="M135" t="s">
        <v>2930</v>
      </c>
      <c r="N135" t="s">
        <v>67</v>
      </c>
      <c r="O135" t="s">
        <v>131</v>
      </c>
      <c r="P135" t="str">
        <f t="shared" si="1"/>
        <v>[1]</v>
      </c>
      <c r="Q135">
        <f t="shared" si="84"/>
        <v>48</v>
      </c>
      <c r="R135" t="str">
        <f t="shared" si="58"/>
        <v/>
      </c>
      <c r="S135">
        <f>SUMIF(O135:$O$2855,R135,Q135:$Q$2855)</f>
        <v>0</v>
      </c>
      <c r="AA135">
        <f>SUM(AA134)</f>
        <v>0</v>
      </c>
      <c r="AB135" t="s">
        <v>709</v>
      </c>
      <c r="AC135">
        <f>SUM(AC134)</f>
        <v>0</v>
      </c>
      <c r="AE135" s="4" t="s">
        <v>470</v>
      </c>
      <c r="AF135" t="s">
        <v>476</v>
      </c>
      <c r="AG135" t="s">
        <v>1185</v>
      </c>
      <c r="AH135" t="s">
        <v>44</v>
      </c>
      <c r="AI135" t="s">
        <v>416</v>
      </c>
      <c r="AJ135" t="str">
        <f t="shared" si="81"/>
        <v>[4]</v>
      </c>
      <c r="AK135">
        <f t="shared" si="82"/>
        <v>44</v>
      </c>
      <c r="AL135" t="str">
        <f t="shared" si="83"/>
        <v>edma.o</v>
      </c>
      <c r="AM135">
        <f>SUMIF(AI135:$AI$141,AL135,AK135:$AK$141)</f>
        <v>116</v>
      </c>
      <c r="AP135" s="4" t="s">
        <v>472</v>
      </c>
      <c r="AQ135" t="s">
        <v>479</v>
      </c>
      <c r="AR135" t="s">
        <v>4467</v>
      </c>
      <c r="AS135" t="s">
        <v>442</v>
      </c>
      <c r="AT135" t="s">
        <v>137</v>
      </c>
      <c r="AU135" t="str">
        <f t="shared" si="7"/>
        <v>[1]</v>
      </c>
      <c r="AV135">
        <f t="shared" si="39"/>
        <v>1</v>
      </c>
      <c r="AW135" t="str">
        <f t="shared" si="59"/>
        <v/>
      </c>
      <c r="AX135">
        <f>SUMIF(AT135:$AT$651,AW135,AV135:$AV$651)</f>
        <v>0</v>
      </c>
    </row>
    <row r="136" spans="1:50" x14ac:dyDescent="0.25">
      <c r="A136" s="4" t="s">
        <v>0</v>
      </c>
      <c r="B136" t="s">
        <v>449</v>
      </c>
      <c r="C136" t="s">
        <v>4334</v>
      </c>
      <c r="D136" t="s">
        <v>1677</v>
      </c>
      <c r="E136" t="s">
        <v>294</v>
      </c>
      <c r="F136" t="str">
        <f t="shared" si="78"/>
        <v>[1]</v>
      </c>
      <c r="G136">
        <f t="shared" si="60"/>
        <v>2448</v>
      </c>
      <c r="H136" t="str">
        <f t="shared" si="57"/>
        <v>spi_mstr.o</v>
      </c>
      <c r="I136">
        <f>SUMIF(E136:$E$173,H136,G136:$G$173)</f>
        <v>2448</v>
      </c>
      <c r="K136" s="4" t="s">
        <v>421</v>
      </c>
      <c r="L136" t="s">
        <v>422</v>
      </c>
      <c r="M136" t="s">
        <v>2931</v>
      </c>
      <c r="N136" t="s">
        <v>13</v>
      </c>
      <c r="O136" t="s">
        <v>131</v>
      </c>
      <c r="P136" t="str">
        <f t="shared" si="1"/>
        <v>[1]</v>
      </c>
      <c r="Q136">
        <f t="shared" si="84"/>
        <v>12</v>
      </c>
      <c r="R136" t="str">
        <f t="shared" si="58"/>
        <v/>
      </c>
      <c r="S136">
        <f>SUMIF(O136:$O$2855,R136,Q136:$Q$2855)</f>
        <v>0</v>
      </c>
      <c r="AE136" s="4" t="s">
        <v>470</v>
      </c>
      <c r="AF136" t="s">
        <v>476</v>
      </c>
      <c r="AG136" t="s">
        <v>4443</v>
      </c>
      <c r="AH136" t="s">
        <v>124</v>
      </c>
      <c r="AI136" t="s">
        <v>416</v>
      </c>
      <c r="AJ136" t="str">
        <f t="shared" si="81"/>
        <v>[4]</v>
      </c>
      <c r="AK136">
        <f t="shared" si="82"/>
        <v>68</v>
      </c>
      <c r="AL136" t="str">
        <f t="shared" si="83"/>
        <v/>
      </c>
      <c r="AM136">
        <f>SUMIF(AI136:$AI$141,AL136,AK136:$AK$141)</f>
        <v>0</v>
      </c>
      <c r="AP136" s="4" t="s">
        <v>472</v>
      </c>
      <c r="AQ136" t="s">
        <v>479</v>
      </c>
      <c r="AR136" t="s">
        <v>4468</v>
      </c>
      <c r="AS136" t="s">
        <v>442</v>
      </c>
      <c r="AT136" t="s">
        <v>137</v>
      </c>
      <c r="AU136" t="str">
        <f t="shared" si="7"/>
        <v>[1]</v>
      </c>
      <c r="AV136">
        <f t="shared" si="39"/>
        <v>1</v>
      </c>
      <c r="AW136" t="str">
        <f t="shared" si="59"/>
        <v/>
      </c>
      <c r="AX136">
        <f>SUMIF(AT136:$AT$651,AW136,AV136:$AV$651)</f>
        <v>0</v>
      </c>
    </row>
    <row r="137" spans="1:50" x14ac:dyDescent="0.25">
      <c r="A137" s="4" t="s">
        <v>0</v>
      </c>
      <c r="B137" t="s">
        <v>449</v>
      </c>
      <c r="C137" t="s">
        <v>4342</v>
      </c>
      <c r="D137" t="s">
        <v>1237</v>
      </c>
      <c r="E137" t="s">
        <v>138</v>
      </c>
      <c r="F137" t="str">
        <f t="shared" si="78"/>
        <v>[1]</v>
      </c>
      <c r="G137">
        <f t="shared" si="60"/>
        <v>8172</v>
      </c>
      <c r="H137" t="str">
        <f t="shared" si="57"/>
        <v>STACK.o</v>
      </c>
      <c r="I137">
        <f>SUMIF(E137:$E$173,H137,G137:$G$173)</f>
        <v>8172</v>
      </c>
      <c r="K137" s="4" t="s">
        <v>421</v>
      </c>
      <c r="L137" t="s">
        <v>422</v>
      </c>
      <c r="M137" t="s">
        <v>2932</v>
      </c>
      <c r="N137" t="s">
        <v>76</v>
      </c>
      <c r="O137" t="s">
        <v>131</v>
      </c>
      <c r="P137" t="str">
        <f t="shared" si="1"/>
        <v>[1]</v>
      </c>
      <c r="Q137">
        <f t="shared" si="84"/>
        <v>36</v>
      </c>
      <c r="R137" t="str">
        <f t="shared" si="58"/>
        <v/>
      </c>
      <c r="S137">
        <f>SUMIF(O137:$O$2855,R137,Q137:$Q$2855)</f>
        <v>0</v>
      </c>
      <c r="AE137" s="4" t="s">
        <v>470</v>
      </c>
      <c r="AF137" t="s">
        <v>476</v>
      </c>
      <c r="AG137" t="s">
        <v>4444</v>
      </c>
      <c r="AH137" t="s">
        <v>78</v>
      </c>
      <c r="AI137" t="s">
        <v>416</v>
      </c>
      <c r="AJ137" t="str">
        <f t="shared" si="81"/>
        <v>[4]</v>
      </c>
      <c r="AK137">
        <f t="shared" si="82"/>
        <v>4</v>
      </c>
      <c r="AL137" t="str">
        <f t="shared" si="83"/>
        <v/>
      </c>
      <c r="AM137">
        <f>SUMIF(AI137:$AI$141,AL137,AK137:$AK$141)</f>
        <v>0</v>
      </c>
      <c r="AP137" s="4" t="s">
        <v>472</v>
      </c>
      <c r="AQ137" t="s">
        <v>479</v>
      </c>
      <c r="AR137" t="s">
        <v>4469</v>
      </c>
      <c r="AS137" t="s">
        <v>442</v>
      </c>
      <c r="AT137" t="s">
        <v>137</v>
      </c>
      <c r="AU137" t="str">
        <f t="shared" si="7"/>
        <v>[1]</v>
      </c>
      <c r="AV137">
        <f t="shared" si="39"/>
        <v>1</v>
      </c>
      <c r="AW137" t="str">
        <f t="shared" si="59"/>
        <v/>
      </c>
      <c r="AX137">
        <f>SUMIF(AT137:$AT$651,AW137,AV137:$AV$651)</f>
        <v>0</v>
      </c>
    </row>
    <row r="138" spans="1:50" x14ac:dyDescent="0.25">
      <c r="A138" s="4" t="s">
        <v>0</v>
      </c>
      <c r="B138" t="s">
        <v>449</v>
      </c>
      <c r="C138" t="s">
        <v>4408</v>
      </c>
      <c r="D138" t="s">
        <v>52</v>
      </c>
      <c r="E138" t="s">
        <v>133</v>
      </c>
      <c r="F138" t="str">
        <f t="shared" si="78"/>
        <v>[1]</v>
      </c>
      <c r="G138">
        <f t="shared" ref="G138:G158" si="85">HEX2DEC(MID(D138,3,LEN(D138)-2))</f>
        <v>164</v>
      </c>
      <c r="H138" t="str">
        <f t="shared" si="57"/>
        <v>stack_check.o</v>
      </c>
      <c r="I138">
        <f>SUMIF(E138:$E$173,H138,G138:$G$173)</f>
        <v>164</v>
      </c>
      <c r="K138" s="4" t="s">
        <v>421</v>
      </c>
      <c r="L138" t="s">
        <v>422</v>
      </c>
      <c r="M138" t="s">
        <v>2933</v>
      </c>
      <c r="N138" t="s">
        <v>78</v>
      </c>
      <c r="O138" t="s">
        <v>131</v>
      </c>
      <c r="P138" t="str">
        <f t="shared" si="1"/>
        <v>[1]</v>
      </c>
      <c r="Q138">
        <f t="shared" si="84"/>
        <v>4</v>
      </c>
      <c r="R138" t="str">
        <f t="shared" si="58"/>
        <v/>
      </c>
      <c r="S138">
        <f>SUMIF(O138:$O$2855,R138,Q138:$Q$2855)</f>
        <v>0</v>
      </c>
      <c r="U138" s="47" t="s">
        <v>760</v>
      </c>
      <c r="V138" s="47"/>
      <c r="W138" s="47"/>
      <c r="X138" s="47"/>
      <c r="Y138" s="47"/>
      <c r="Z138" s="47"/>
      <c r="AA138" s="47"/>
      <c r="AB138" s="47"/>
      <c r="AC138" s="47"/>
      <c r="AE138" s="4" t="s">
        <v>470</v>
      </c>
      <c r="AF138" t="s">
        <v>476</v>
      </c>
      <c r="AG138" t="s">
        <v>1049</v>
      </c>
      <c r="AH138" t="s">
        <v>78</v>
      </c>
      <c r="AI138" t="s">
        <v>173</v>
      </c>
      <c r="AJ138" t="str">
        <f t="shared" si="81"/>
        <v>[4]</v>
      </c>
      <c r="AK138">
        <f t="shared" si="82"/>
        <v>4</v>
      </c>
      <c r="AL138" t="str">
        <f t="shared" si="83"/>
        <v>init_bsp.o</v>
      </c>
      <c r="AM138">
        <f>SUMIF(AI138:$AI$141,AL138,AK138:$AK$141)</f>
        <v>8</v>
      </c>
      <c r="AP138" s="4" t="s">
        <v>472</v>
      </c>
      <c r="AQ138" t="s">
        <v>479</v>
      </c>
      <c r="AR138" t="s">
        <v>4470</v>
      </c>
      <c r="AS138" t="s">
        <v>442</v>
      </c>
      <c r="AT138" t="s">
        <v>137</v>
      </c>
      <c r="AU138" t="str">
        <f t="shared" si="7"/>
        <v>[1]</v>
      </c>
      <c r="AV138">
        <f t="shared" si="39"/>
        <v>1</v>
      </c>
      <c r="AW138" t="str">
        <f t="shared" si="59"/>
        <v/>
      </c>
      <c r="AX138">
        <f>SUMIF(AT138:$AT$651,AW138,AV138:$AV$651)</f>
        <v>0</v>
      </c>
    </row>
    <row r="139" spans="1:50" x14ac:dyDescent="0.25">
      <c r="A139" s="4" t="s">
        <v>0</v>
      </c>
      <c r="B139" t="s">
        <v>449</v>
      </c>
      <c r="C139" t="s">
        <v>4439</v>
      </c>
      <c r="D139" t="s">
        <v>376</v>
      </c>
      <c r="E139" t="s">
        <v>198</v>
      </c>
      <c r="F139" t="str">
        <f t="shared" si="78"/>
        <v>[1]</v>
      </c>
      <c r="G139">
        <f t="shared" si="85"/>
        <v>436</v>
      </c>
      <c r="H139" t="str">
        <f t="shared" si="57"/>
        <v>STRT_Startup.o</v>
      </c>
      <c r="I139">
        <f>SUMIF(E139:$E$173,H139,G139:$G$173)</f>
        <v>436</v>
      </c>
      <c r="K139" s="4" t="s">
        <v>421</v>
      </c>
      <c r="L139" t="s">
        <v>422</v>
      </c>
      <c r="M139" t="s">
        <v>2934</v>
      </c>
      <c r="N139" t="s">
        <v>202</v>
      </c>
      <c r="O139" t="s">
        <v>131</v>
      </c>
      <c r="P139" t="str">
        <f t="shared" si="1"/>
        <v>[1]</v>
      </c>
      <c r="Q139">
        <f t="shared" si="84"/>
        <v>16</v>
      </c>
      <c r="R139" t="str">
        <f t="shared" si="58"/>
        <v/>
      </c>
      <c r="S139">
        <f>SUMIF(O139:$O$2855,R139,Q139:$Q$2855)</f>
        <v>0</v>
      </c>
      <c r="U139" s="4" t="s">
        <v>448</v>
      </c>
      <c r="V139" t="s">
        <v>422</v>
      </c>
      <c r="W139" t="s">
        <v>1469</v>
      </c>
      <c r="X139" t="s">
        <v>46</v>
      </c>
      <c r="Y139" t="s">
        <v>936</v>
      </c>
      <c r="Z139" t="str">
        <f>VLOOKUP($U$138,$E$1:$F$26,2,FALSE)</f>
        <v>[10]</v>
      </c>
      <c r="AA139">
        <f>HEX2DEC(MID(X139,3,LEN(X139)-2))</f>
        <v>2</v>
      </c>
      <c r="AB139" t="str">
        <f>IF(Y139&lt;&gt;Y138,Y139,"")</f>
        <v>(wolfSSL-Lib_MTU.a)</v>
      </c>
      <c r="AC139">
        <f>SUMIF(Y139:$Y$139,AB139,AA139:$AA$139)</f>
        <v>2</v>
      </c>
      <c r="AE139" s="4" t="s">
        <v>470</v>
      </c>
      <c r="AF139" t="s">
        <v>476</v>
      </c>
      <c r="AG139" t="s">
        <v>1240</v>
      </c>
      <c r="AH139" t="s">
        <v>78</v>
      </c>
      <c r="AI139" t="s">
        <v>173</v>
      </c>
      <c r="AJ139" t="str">
        <f t="shared" si="81"/>
        <v>[4]</v>
      </c>
      <c r="AK139">
        <f t="shared" si="82"/>
        <v>4</v>
      </c>
      <c r="AL139" t="str">
        <f t="shared" si="83"/>
        <v/>
      </c>
      <c r="AM139">
        <f>SUMIF(AI139:$AI$141,AL139,AK139:$AK$141)</f>
        <v>0</v>
      </c>
      <c r="AP139" s="4" t="s">
        <v>472</v>
      </c>
      <c r="AQ139" t="s">
        <v>479</v>
      </c>
      <c r="AR139" t="s">
        <v>4471</v>
      </c>
      <c r="AS139" t="s">
        <v>442</v>
      </c>
      <c r="AT139" t="s">
        <v>137</v>
      </c>
      <c r="AU139" t="str">
        <f t="shared" ref="AU139:AU202" si="86">VLOOKUP($AP$30,$E$1:$F$26,2,FALSE)</f>
        <v>[1]</v>
      </c>
      <c r="AV139">
        <f t="shared" si="39"/>
        <v>1</v>
      </c>
      <c r="AW139" t="str">
        <f t="shared" si="59"/>
        <v/>
      </c>
      <c r="AX139">
        <f>SUMIF(AT139:$AT$651,AW139,AV139:$AV$651)</f>
        <v>0</v>
      </c>
    </row>
    <row r="140" spans="1:50" x14ac:dyDescent="0.25">
      <c r="A140" s="4" t="s">
        <v>0</v>
      </c>
      <c r="B140" t="s">
        <v>449</v>
      </c>
      <c r="C140" t="s">
        <v>4364</v>
      </c>
      <c r="D140" t="s">
        <v>1678</v>
      </c>
      <c r="E140" t="s">
        <v>1119</v>
      </c>
      <c r="F140" t="str">
        <f t="shared" si="78"/>
        <v>[1]</v>
      </c>
      <c r="G140">
        <f t="shared" si="85"/>
        <v>908</v>
      </c>
      <c r="H140" t="str">
        <f t="shared" si="57"/>
        <v>SyncAndPayloadDemodulator.o</v>
      </c>
      <c r="I140">
        <f>SUMIF(E140:$E$173,H140,G140:$G$173)</f>
        <v>908</v>
      </c>
      <c r="K140" s="4" t="s">
        <v>421</v>
      </c>
      <c r="L140" t="s">
        <v>422</v>
      </c>
      <c r="M140" t="s">
        <v>2935</v>
      </c>
      <c r="N140" t="s">
        <v>126</v>
      </c>
      <c r="O140" t="s">
        <v>131</v>
      </c>
      <c r="P140" t="str">
        <f t="shared" si="1"/>
        <v>[1]</v>
      </c>
      <c r="Q140">
        <f t="shared" si="84"/>
        <v>8</v>
      </c>
      <c r="R140" t="str">
        <f t="shared" si="58"/>
        <v/>
      </c>
      <c r="S140">
        <f>SUMIF(O140:$O$2855,R140,Q140:$Q$2855)</f>
        <v>0</v>
      </c>
      <c r="AA140">
        <f>SUM(AA139)</f>
        <v>2</v>
      </c>
      <c r="AB140" t="s">
        <v>782</v>
      </c>
      <c r="AC140">
        <f>SUM(AC139)</f>
        <v>2</v>
      </c>
      <c r="AE140" s="4" t="s">
        <v>470</v>
      </c>
      <c r="AF140" t="s">
        <v>476</v>
      </c>
      <c r="AG140" t="s">
        <v>443</v>
      </c>
      <c r="AH140" t="s">
        <v>443</v>
      </c>
      <c r="AI140" t="s">
        <v>612</v>
      </c>
      <c r="AJ140" t="str">
        <f t="shared" si="81"/>
        <v>[4]</v>
      </c>
      <c r="AK140">
        <f t="shared" si="82"/>
        <v>0</v>
      </c>
      <c r="AL140" t="str">
        <f t="shared" si="83"/>
        <v>placeholder</v>
      </c>
      <c r="AM140">
        <f>SUMIF(AI140:$AI$141,AL140,AK140:$AK$141)</f>
        <v>0</v>
      </c>
      <c r="AP140" s="4" t="s">
        <v>472</v>
      </c>
      <c r="AQ140" t="s">
        <v>479</v>
      </c>
      <c r="AR140" t="s">
        <v>4472</v>
      </c>
      <c r="AS140" t="s">
        <v>442</v>
      </c>
      <c r="AT140" t="s">
        <v>137</v>
      </c>
      <c r="AU140" t="str">
        <f t="shared" si="86"/>
        <v>[1]</v>
      </c>
      <c r="AV140">
        <f t="shared" ref="AV140:AV203" si="87">HEX2DEC(MID(AS140,3,LEN(AS140)-2))</f>
        <v>1</v>
      </c>
      <c r="AW140" t="str">
        <f t="shared" si="59"/>
        <v/>
      </c>
      <c r="AX140">
        <f>SUMIF(AT140:$AT$651,AW140,AV140:$AV$651)</f>
        <v>0</v>
      </c>
    </row>
    <row r="141" spans="1:50" x14ac:dyDescent="0.25">
      <c r="A141" s="4" t="s">
        <v>0</v>
      </c>
      <c r="B141" t="s">
        <v>449</v>
      </c>
      <c r="C141" t="s">
        <v>4409</v>
      </c>
      <c r="D141" t="s">
        <v>431</v>
      </c>
      <c r="E141" t="s">
        <v>309</v>
      </c>
      <c r="F141" t="str">
        <f t="shared" si="78"/>
        <v>[1]</v>
      </c>
      <c r="G141">
        <f t="shared" si="85"/>
        <v>208</v>
      </c>
      <c r="H141" t="str">
        <f t="shared" si="57"/>
        <v>sys_busy.o</v>
      </c>
      <c r="I141">
        <f>SUMIF(E141:$E$173,H141,G141:$G$173)</f>
        <v>208</v>
      </c>
      <c r="K141" s="4" t="s">
        <v>421</v>
      </c>
      <c r="L141" t="s">
        <v>422</v>
      </c>
      <c r="M141" t="s">
        <v>2936</v>
      </c>
      <c r="N141" t="s">
        <v>124</v>
      </c>
      <c r="O141" t="s">
        <v>131</v>
      </c>
      <c r="P141" t="str">
        <f t="shared" si="1"/>
        <v>[1]</v>
      </c>
      <c r="Q141">
        <f t="shared" ref="Q141" si="88">HEX2DEC(MID(N141,3,LEN(N141)-2))</f>
        <v>68</v>
      </c>
      <c r="R141" t="str">
        <f t="shared" si="58"/>
        <v/>
      </c>
      <c r="S141">
        <f>SUMIF(O141:$O$2855,R141,Q141:$Q$2855)</f>
        <v>0</v>
      </c>
      <c r="AE141" s="4" t="s">
        <v>470</v>
      </c>
      <c r="AF141" t="s">
        <v>476</v>
      </c>
      <c r="AG141" t="s">
        <v>443</v>
      </c>
      <c r="AH141" t="s">
        <v>443</v>
      </c>
      <c r="AI141" t="s">
        <v>612</v>
      </c>
      <c r="AJ141" t="str">
        <f t="shared" si="81"/>
        <v>[4]</v>
      </c>
      <c r="AK141">
        <f t="shared" ref="AK141" si="89">HEX2DEC(MID(AH141,3,LEN(AH141)-2))</f>
        <v>0</v>
      </c>
      <c r="AL141" t="str">
        <f t="shared" ref="AL141" si="90">IF(AI141&lt;&gt;AI140,AI141,"")</f>
        <v/>
      </c>
      <c r="AM141">
        <f>SUMIF(AI141:$AI$141,AL141,AK141:$AK$141)</f>
        <v>0</v>
      </c>
      <c r="AP141" s="4" t="s">
        <v>472</v>
      </c>
      <c r="AQ141" t="s">
        <v>479</v>
      </c>
      <c r="AR141" t="s">
        <v>1705</v>
      </c>
      <c r="AS141" t="s">
        <v>1076</v>
      </c>
      <c r="AT141" t="s">
        <v>401</v>
      </c>
      <c r="AU141" t="str">
        <f t="shared" si="86"/>
        <v>[1]</v>
      </c>
      <c r="AV141">
        <f t="shared" si="87"/>
        <v>256</v>
      </c>
      <c r="AW141" t="str">
        <f t="shared" si="59"/>
        <v>dvr_banked.o</v>
      </c>
      <c r="AX141">
        <f>SUMIF(AT141:$AT$651,AW141,AV141:$AV$651)</f>
        <v>305</v>
      </c>
    </row>
    <row r="142" spans="1:50" x14ac:dyDescent="0.25">
      <c r="A142" s="4" t="s">
        <v>0</v>
      </c>
      <c r="B142" t="s">
        <v>449</v>
      </c>
      <c r="C142" t="s">
        <v>4395</v>
      </c>
      <c r="D142" t="s">
        <v>31</v>
      </c>
      <c r="E142" t="s">
        <v>295</v>
      </c>
      <c r="F142" t="str">
        <f t="shared" si="78"/>
        <v>[1]</v>
      </c>
      <c r="G142">
        <f t="shared" si="85"/>
        <v>34</v>
      </c>
      <c r="H142" t="str">
        <f t="shared" si="57"/>
        <v>sys_clock.o</v>
      </c>
      <c r="I142">
        <f>SUMIF(E142:$E$173,H142,G142:$G$173)</f>
        <v>34</v>
      </c>
      <c r="K142" s="4" t="s">
        <v>421</v>
      </c>
      <c r="L142" t="s">
        <v>422</v>
      </c>
      <c r="M142" t="s">
        <v>2937</v>
      </c>
      <c r="N142" t="s">
        <v>126</v>
      </c>
      <c r="O142" t="s">
        <v>131</v>
      </c>
      <c r="P142" t="str">
        <f t="shared" si="1"/>
        <v>[1]</v>
      </c>
      <c r="Q142">
        <f t="shared" ref="Q142:Q151" si="91">HEX2DEC(MID(N142,3,LEN(N142)-2))</f>
        <v>8</v>
      </c>
      <c r="R142" t="str">
        <f t="shared" si="58"/>
        <v/>
      </c>
      <c r="S142">
        <f>SUMIF(O142:$O$2855,R142,Q142:$Q$2855)</f>
        <v>0</v>
      </c>
      <c r="AK142">
        <f>SUM(AK133:AK141)</f>
        <v>172</v>
      </c>
      <c r="AL142" t="s">
        <v>726</v>
      </c>
      <c r="AM142">
        <f>SUM(AM133:AM141)</f>
        <v>172</v>
      </c>
      <c r="AP142" s="4" t="s">
        <v>472</v>
      </c>
      <c r="AQ142" t="s">
        <v>479</v>
      </c>
      <c r="AR142" t="s">
        <v>1706</v>
      </c>
      <c r="AS142" t="s">
        <v>67</v>
      </c>
      <c r="AT142" t="s">
        <v>401</v>
      </c>
      <c r="AU142" t="str">
        <f t="shared" si="86"/>
        <v>[1]</v>
      </c>
      <c r="AV142">
        <f t="shared" si="87"/>
        <v>48</v>
      </c>
      <c r="AW142" t="str">
        <f t="shared" si="59"/>
        <v/>
      </c>
      <c r="AX142">
        <f>SUMIF(AT142:$AT$651,AW142,AV142:$AV$651)</f>
        <v>0</v>
      </c>
    </row>
    <row r="143" spans="1:50" x14ac:dyDescent="0.25">
      <c r="A143" s="4" t="s">
        <v>0</v>
      </c>
      <c r="B143" t="s">
        <v>449</v>
      </c>
      <c r="C143" t="s">
        <v>4440</v>
      </c>
      <c r="D143" t="s">
        <v>1238</v>
      </c>
      <c r="E143" t="s">
        <v>83</v>
      </c>
      <c r="F143" t="str">
        <f t="shared" si="78"/>
        <v>[1]</v>
      </c>
      <c r="G143">
        <f t="shared" si="85"/>
        <v>2480</v>
      </c>
      <c r="H143" t="str">
        <f t="shared" si="57"/>
        <v>Task.o</v>
      </c>
      <c r="I143">
        <f>SUMIF(E143:$E$173,H143,G143:$G$173)</f>
        <v>2480</v>
      </c>
      <c r="K143" s="4" t="s">
        <v>421</v>
      </c>
      <c r="L143" t="s">
        <v>422</v>
      </c>
      <c r="M143" t="s">
        <v>2938</v>
      </c>
      <c r="N143" t="s">
        <v>76</v>
      </c>
      <c r="O143" t="s">
        <v>131</v>
      </c>
      <c r="P143" t="str">
        <f t="shared" si="1"/>
        <v>[1]</v>
      </c>
      <c r="Q143">
        <f t="shared" si="91"/>
        <v>36</v>
      </c>
      <c r="R143" t="str">
        <f t="shared" si="58"/>
        <v/>
      </c>
      <c r="S143">
        <f>SUMIF(O143:$O$2855,R143,Q143:$Q$2855)</f>
        <v>0</v>
      </c>
      <c r="U143" s="47" t="s">
        <v>758</v>
      </c>
      <c r="V143" s="47"/>
      <c r="W143" s="47"/>
      <c r="X143" s="47"/>
      <c r="Y143" s="47"/>
      <c r="Z143" s="47"/>
      <c r="AA143" s="47"/>
      <c r="AB143" s="47"/>
      <c r="AC143" s="47"/>
      <c r="AP143" s="4" t="s">
        <v>472</v>
      </c>
      <c r="AQ143" t="s">
        <v>479</v>
      </c>
      <c r="AR143" t="s">
        <v>1719</v>
      </c>
      <c r="AS143" t="s">
        <v>442</v>
      </c>
      <c r="AT143" t="s">
        <v>401</v>
      </c>
      <c r="AU143" t="str">
        <f t="shared" si="86"/>
        <v>[1]</v>
      </c>
      <c r="AV143">
        <f t="shared" si="87"/>
        <v>1</v>
      </c>
      <c r="AW143" t="str">
        <f t="shared" si="59"/>
        <v/>
      </c>
      <c r="AX143">
        <f>SUMIF(AT143:$AT$651,AW143,AV143:$AV$651)</f>
        <v>0</v>
      </c>
    </row>
    <row r="144" spans="1:50" x14ac:dyDescent="0.25">
      <c r="A144" s="4" t="s">
        <v>0</v>
      </c>
      <c r="B144" t="s">
        <v>449</v>
      </c>
      <c r="C144" t="s">
        <v>4410</v>
      </c>
      <c r="D144" t="s">
        <v>1683</v>
      </c>
      <c r="E144" t="s">
        <v>1095</v>
      </c>
      <c r="F144" t="str">
        <f t="shared" si="78"/>
        <v>[1]</v>
      </c>
      <c r="G144">
        <f t="shared" si="85"/>
        <v>516</v>
      </c>
      <c r="H144" t="str">
        <f t="shared" si="57"/>
        <v>Temperature.o</v>
      </c>
      <c r="I144">
        <f>SUMIF(E144:$E$173,H144,G144:$G$173)</f>
        <v>516</v>
      </c>
      <c r="K144" s="4" t="s">
        <v>421</v>
      </c>
      <c r="L144" t="s">
        <v>422</v>
      </c>
      <c r="M144" t="s">
        <v>2939</v>
      </c>
      <c r="N144" t="s">
        <v>13</v>
      </c>
      <c r="O144" t="s">
        <v>131</v>
      </c>
      <c r="P144" t="str">
        <f t="shared" si="1"/>
        <v>[1]</v>
      </c>
      <c r="Q144">
        <f t="shared" si="91"/>
        <v>12</v>
      </c>
      <c r="R144" t="str">
        <f t="shared" si="58"/>
        <v/>
      </c>
      <c r="S144">
        <f>SUMIF(O144:$O$2855,R144,Q144:$Q$2855)</f>
        <v>0</v>
      </c>
      <c r="U144" s="4" t="s">
        <v>448</v>
      </c>
      <c r="V144" t="s">
        <v>422</v>
      </c>
      <c r="W144" s="35" t="s">
        <v>443</v>
      </c>
      <c r="X144" s="35" t="s">
        <v>443</v>
      </c>
      <c r="Y144" s="6" t="s">
        <v>612</v>
      </c>
      <c r="Z144" t="str">
        <f>VLOOKUP($U$143,$E$1:$F$26,2,FALSE)</f>
        <v>[5]</v>
      </c>
      <c r="AA144">
        <f>HEX2DEC(MID(X144,3,LEN(X144)-2))</f>
        <v>0</v>
      </c>
      <c r="AB144" t="str">
        <f>IF(Y144&lt;&gt;Y143,Y144,"")</f>
        <v>placeholder</v>
      </c>
      <c r="AC144">
        <f>SUMIF(Y144:$Y$144,AB144,AA144:$AA$144)</f>
        <v>0</v>
      </c>
      <c r="AP144" s="4" t="s">
        <v>472</v>
      </c>
      <c r="AQ144" t="s">
        <v>479</v>
      </c>
      <c r="AR144" t="s">
        <v>1707</v>
      </c>
      <c r="AS144" t="s">
        <v>67</v>
      </c>
      <c r="AT144" t="s">
        <v>402</v>
      </c>
      <c r="AU144" t="str">
        <f t="shared" si="86"/>
        <v>[1]</v>
      </c>
      <c r="AV144">
        <f t="shared" si="87"/>
        <v>48</v>
      </c>
      <c r="AW144" t="str">
        <f t="shared" si="59"/>
        <v>dvr_cache.o</v>
      </c>
      <c r="AX144">
        <f>SUMIF(AT144:$AT$651,AW144,AV144:$AV$651)</f>
        <v>49</v>
      </c>
    </row>
    <row r="145" spans="1:50" x14ac:dyDescent="0.25">
      <c r="A145" s="4" t="s">
        <v>0</v>
      </c>
      <c r="B145" t="s">
        <v>449</v>
      </c>
      <c r="C145" t="s">
        <v>4377</v>
      </c>
      <c r="D145" t="s">
        <v>1207</v>
      </c>
      <c r="E145" t="s">
        <v>85</v>
      </c>
      <c r="F145" t="str">
        <f t="shared" si="78"/>
        <v>[1]</v>
      </c>
      <c r="G145">
        <f t="shared" si="85"/>
        <v>122</v>
      </c>
      <c r="H145" t="str">
        <f t="shared" si="57"/>
        <v>TickTime.o</v>
      </c>
      <c r="I145">
        <f>SUMIF(E145:$E$173,H145,G145:$G$173)</f>
        <v>122</v>
      </c>
      <c r="K145" s="4" t="s">
        <v>421</v>
      </c>
      <c r="L145" t="s">
        <v>422</v>
      </c>
      <c r="M145" t="s">
        <v>1846</v>
      </c>
      <c r="N145" t="s">
        <v>437</v>
      </c>
      <c r="O145" t="s">
        <v>131</v>
      </c>
      <c r="P145" t="str">
        <f t="shared" si="1"/>
        <v>[1]</v>
      </c>
      <c r="Q145">
        <f t="shared" si="91"/>
        <v>24</v>
      </c>
      <c r="R145" t="str">
        <f t="shared" si="58"/>
        <v/>
      </c>
      <c r="S145">
        <f>SUMIF(O145:$O$2855,R145,Q145:$Q$2855)</f>
        <v>0</v>
      </c>
      <c r="U145" t="s">
        <v>828</v>
      </c>
      <c r="V145" t="str">
        <f ca="1">CELL("address",AC145)</f>
        <v>$AC$145</v>
      </c>
      <c r="AA145">
        <f>SUM(AA144)</f>
        <v>0</v>
      </c>
      <c r="AB145" t="s">
        <v>705</v>
      </c>
      <c r="AC145">
        <f>SUM(AC144)</f>
        <v>0</v>
      </c>
      <c r="AE145" s="47" t="s">
        <v>758</v>
      </c>
      <c r="AF145" s="47"/>
      <c r="AG145" s="47"/>
      <c r="AH145" s="47"/>
      <c r="AI145" s="47"/>
      <c r="AJ145" s="47"/>
      <c r="AK145" s="47"/>
      <c r="AL145" s="47"/>
      <c r="AM145" s="47"/>
      <c r="AP145" s="4" t="s">
        <v>472</v>
      </c>
      <c r="AQ145" t="s">
        <v>479</v>
      </c>
      <c r="AR145" t="s">
        <v>1720</v>
      </c>
      <c r="AS145" t="s">
        <v>442</v>
      </c>
      <c r="AT145" t="s">
        <v>402</v>
      </c>
      <c r="AU145" t="str">
        <f t="shared" si="86"/>
        <v>[1]</v>
      </c>
      <c r="AV145">
        <f t="shared" si="87"/>
        <v>1</v>
      </c>
      <c r="AW145" t="str">
        <f t="shared" si="59"/>
        <v/>
      </c>
      <c r="AX145">
        <f>SUMIF(AT145:$AT$651,AW145,AV145:$AV$651)</f>
        <v>0</v>
      </c>
    </row>
    <row r="146" spans="1:50" x14ac:dyDescent="0.25">
      <c r="A146" s="4" t="s">
        <v>0</v>
      </c>
      <c r="B146" t="s">
        <v>449</v>
      </c>
      <c r="C146" t="s">
        <v>4411</v>
      </c>
      <c r="D146" t="s">
        <v>1215</v>
      </c>
      <c r="E146" t="s">
        <v>206</v>
      </c>
      <c r="F146" t="str">
        <f t="shared" si="78"/>
        <v>[1]</v>
      </c>
      <c r="G146">
        <f t="shared" si="85"/>
        <v>2936</v>
      </c>
      <c r="H146" t="str">
        <f t="shared" si="57"/>
        <v>time_DST.o</v>
      </c>
      <c r="I146">
        <f>SUMIF(E146:$E$173,H146,G146:$G$173)</f>
        <v>2936</v>
      </c>
      <c r="K146" s="4" t="s">
        <v>421</v>
      </c>
      <c r="L146" t="s">
        <v>422</v>
      </c>
      <c r="M146" t="s">
        <v>1847</v>
      </c>
      <c r="N146" t="s">
        <v>126</v>
      </c>
      <c r="O146" t="s">
        <v>131</v>
      </c>
      <c r="P146" t="str">
        <f t="shared" si="1"/>
        <v>[1]</v>
      </c>
      <c r="Q146">
        <f t="shared" si="91"/>
        <v>8</v>
      </c>
      <c r="R146" t="str">
        <f t="shared" si="58"/>
        <v/>
      </c>
      <c r="S146">
        <f>SUMIF(O146:$O$2855,R146,Q146:$Q$2855)</f>
        <v>0</v>
      </c>
      <c r="AE146" t="s">
        <v>470</v>
      </c>
      <c r="AF146" t="s">
        <v>476</v>
      </c>
      <c r="AG146" s="6" t="s">
        <v>611</v>
      </c>
      <c r="AH146" s="6" t="s">
        <v>443</v>
      </c>
      <c r="AI146" s="6" t="s">
        <v>612</v>
      </c>
      <c r="AJ146" t="str">
        <f>VLOOKUP($AE$145,$E$1:$F$26,2,FALSE)</f>
        <v>[5]</v>
      </c>
      <c r="AK146">
        <f>HEX2DEC(MID(AH146,3,LEN(AH146)-2))</f>
        <v>0</v>
      </c>
      <c r="AL146" t="str">
        <f>IF(AI146&lt;&gt;AI145,AI146,"")</f>
        <v>placeholder</v>
      </c>
      <c r="AM146">
        <f>SUMIF(AI146:$AI$147,AL146,AK146:$AK$147)</f>
        <v>0</v>
      </c>
      <c r="AP146" s="4" t="s">
        <v>472</v>
      </c>
      <c r="AQ146" t="s">
        <v>479</v>
      </c>
      <c r="AR146" t="s">
        <v>1708</v>
      </c>
      <c r="AS146" t="s">
        <v>6</v>
      </c>
      <c r="AT146" t="s">
        <v>199</v>
      </c>
      <c r="AU146" t="str">
        <f t="shared" si="86"/>
        <v>[1]</v>
      </c>
      <c r="AV146">
        <f t="shared" si="87"/>
        <v>28</v>
      </c>
      <c r="AW146" t="str">
        <f t="shared" si="59"/>
        <v>dvr_extflash.o</v>
      </c>
      <c r="AX146">
        <f>SUMIF(AT146:$AT$651,AW146,AV146:$AV$651)</f>
        <v>36</v>
      </c>
    </row>
    <row r="147" spans="1:50" x14ac:dyDescent="0.25">
      <c r="A147" s="4" t="s">
        <v>0</v>
      </c>
      <c r="B147" t="s">
        <v>449</v>
      </c>
      <c r="C147" t="s">
        <v>4412</v>
      </c>
      <c r="D147" t="s">
        <v>2033</v>
      </c>
      <c r="E147" t="s">
        <v>1038</v>
      </c>
      <c r="F147" t="str">
        <f t="shared" si="78"/>
        <v>[1]</v>
      </c>
      <c r="G147">
        <f t="shared" si="85"/>
        <v>2248</v>
      </c>
      <c r="H147" t="str">
        <f t="shared" si="57"/>
        <v>time_sync.o</v>
      </c>
      <c r="I147">
        <f>SUMIF(E147:$E$173,H147,G147:$G$173)</f>
        <v>2248</v>
      </c>
      <c r="K147" s="4" t="s">
        <v>421</v>
      </c>
      <c r="L147" t="s">
        <v>422</v>
      </c>
      <c r="M147" t="s">
        <v>1848</v>
      </c>
      <c r="N147" t="s">
        <v>437</v>
      </c>
      <c r="O147" t="s">
        <v>131</v>
      </c>
      <c r="P147" t="str">
        <f t="shared" si="1"/>
        <v>[1]</v>
      </c>
      <c r="Q147">
        <f t="shared" si="91"/>
        <v>24</v>
      </c>
      <c r="R147" t="str">
        <f t="shared" si="58"/>
        <v/>
      </c>
      <c r="S147">
        <f>SUMIF(O147:$O$2855,R147,Q147:$Q$2855)</f>
        <v>0</v>
      </c>
      <c r="AE147" t="s">
        <v>470</v>
      </c>
      <c r="AF147" t="s">
        <v>476</v>
      </c>
      <c r="AG147" s="6" t="s">
        <v>611</v>
      </c>
      <c r="AH147" s="6" t="s">
        <v>443</v>
      </c>
      <c r="AI147" s="6" t="s">
        <v>612</v>
      </c>
      <c r="AJ147" t="str">
        <f>VLOOKUP($AE$145,$E$1:$F$26,2,FALSE)</f>
        <v>[5]</v>
      </c>
      <c r="AK147">
        <f>HEX2DEC(MID(AH147,3,LEN(AH147)-2))</f>
        <v>0</v>
      </c>
      <c r="AL147" t="str">
        <f>IF(AI147&lt;&gt;AI146,AI147,"")</f>
        <v/>
      </c>
      <c r="AM147">
        <f>SUMIF(AI147:$AI$147,AL147,AK147:$AK$147)</f>
        <v>0</v>
      </c>
      <c r="AP147" s="4" t="s">
        <v>472</v>
      </c>
      <c r="AQ147" t="s">
        <v>479</v>
      </c>
      <c r="AR147" t="s">
        <v>1709</v>
      </c>
      <c r="AS147" t="s">
        <v>78</v>
      </c>
      <c r="AT147" t="s">
        <v>199</v>
      </c>
      <c r="AU147" t="str">
        <f t="shared" si="86"/>
        <v>[1]</v>
      </c>
      <c r="AV147">
        <f t="shared" si="87"/>
        <v>4</v>
      </c>
      <c r="AW147" t="str">
        <f t="shared" si="59"/>
        <v/>
      </c>
      <c r="AX147">
        <f>SUMIF(AT147:$AT$651,AW147,AV147:$AV$651)</f>
        <v>0</v>
      </c>
    </row>
    <row r="148" spans="1:50" x14ac:dyDescent="0.25">
      <c r="A148" s="4" t="s">
        <v>0</v>
      </c>
      <c r="B148" t="s">
        <v>449</v>
      </c>
      <c r="C148" t="s">
        <v>4413</v>
      </c>
      <c r="D148" t="s">
        <v>2034</v>
      </c>
      <c r="E148" t="s">
        <v>162</v>
      </c>
      <c r="F148" t="str">
        <f t="shared" si="78"/>
        <v>[1]</v>
      </c>
      <c r="G148">
        <f t="shared" si="85"/>
        <v>4836</v>
      </c>
      <c r="H148" t="str">
        <f t="shared" si="57"/>
        <v>time_sys.o</v>
      </c>
      <c r="I148">
        <f>SUMIF(E148:$E$173,H148,G148:$G$173)</f>
        <v>4836</v>
      </c>
      <c r="K148" s="4" t="s">
        <v>421</v>
      </c>
      <c r="L148" t="s">
        <v>422</v>
      </c>
      <c r="M148" t="s">
        <v>1849</v>
      </c>
      <c r="N148" t="s">
        <v>126</v>
      </c>
      <c r="O148" t="s">
        <v>131</v>
      </c>
      <c r="P148" t="str">
        <f t="shared" si="1"/>
        <v>[1]</v>
      </c>
      <c r="Q148">
        <f t="shared" si="91"/>
        <v>8</v>
      </c>
      <c r="R148" t="str">
        <f t="shared" si="58"/>
        <v/>
      </c>
      <c r="S148">
        <f>SUMIF(O148:$O$2855,R148,Q148:$Q$2855)</f>
        <v>0</v>
      </c>
      <c r="U148" t="s">
        <v>819</v>
      </c>
      <c r="V148" t="str">
        <f ca="1">CELL("address",AB150)</f>
        <v>$AB$150</v>
      </c>
      <c r="AK148">
        <f>SUM(AK146:AK147)</f>
        <v>0</v>
      </c>
      <c r="AL148" t="s">
        <v>727</v>
      </c>
      <c r="AM148">
        <f>SUM(AM146:AM147)</f>
        <v>0</v>
      </c>
      <c r="AP148" s="4" t="s">
        <v>472</v>
      </c>
      <c r="AQ148" t="s">
        <v>479</v>
      </c>
      <c r="AR148" t="s">
        <v>1721</v>
      </c>
      <c r="AS148" t="s">
        <v>442</v>
      </c>
      <c r="AT148" t="s">
        <v>199</v>
      </c>
      <c r="AU148" t="str">
        <f t="shared" si="86"/>
        <v>[1]</v>
      </c>
      <c r="AV148">
        <f t="shared" si="87"/>
        <v>1</v>
      </c>
      <c r="AW148" t="str">
        <f t="shared" si="59"/>
        <v/>
      </c>
      <c r="AX148">
        <f>SUMIF(AT148:$AT$651,AW148,AV148:$AV$651)</f>
        <v>0</v>
      </c>
    </row>
    <row r="149" spans="1:50" x14ac:dyDescent="0.25">
      <c r="A149" s="4" t="s">
        <v>0</v>
      </c>
      <c r="B149" t="s">
        <v>449</v>
      </c>
      <c r="C149" t="s">
        <v>4320</v>
      </c>
      <c r="D149" t="s">
        <v>1197</v>
      </c>
      <c r="E149" t="s">
        <v>93</v>
      </c>
      <c r="F149" t="str">
        <f t="shared" si="78"/>
        <v>[1]</v>
      </c>
      <c r="G149">
        <f t="shared" si="85"/>
        <v>1392</v>
      </c>
      <c r="H149" t="str">
        <f t="shared" si="57"/>
        <v>time_util.o</v>
      </c>
      <c r="I149">
        <f>SUMIF(E149:$E$173,H149,G149:$G$173)</f>
        <v>1392</v>
      </c>
      <c r="K149" s="4" t="s">
        <v>421</v>
      </c>
      <c r="L149" t="s">
        <v>422</v>
      </c>
      <c r="M149" t="s">
        <v>2940</v>
      </c>
      <c r="N149" t="s">
        <v>437</v>
      </c>
      <c r="O149" t="s">
        <v>131</v>
      </c>
      <c r="P149" t="str">
        <f t="shared" si="1"/>
        <v>[1]</v>
      </c>
      <c r="Q149">
        <f t="shared" si="91"/>
        <v>24</v>
      </c>
      <c r="R149" t="str">
        <f t="shared" si="58"/>
        <v/>
      </c>
      <c r="S149">
        <f>SUMIF(O149:$O$2855,R149,Q149:$Q$2855)</f>
        <v>0</v>
      </c>
      <c r="U149" s="47" t="s">
        <v>802</v>
      </c>
      <c r="V149" s="47"/>
      <c r="W149" s="47"/>
      <c r="X149" s="47"/>
      <c r="Y149" s="47"/>
      <c r="Z149" s="47"/>
      <c r="AA149" s="47"/>
      <c r="AB149" s="47"/>
      <c r="AC149" s="47"/>
      <c r="AP149" s="4" t="s">
        <v>472</v>
      </c>
      <c r="AQ149" t="s">
        <v>479</v>
      </c>
      <c r="AR149" t="s">
        <v>1722</v>
      </c>
      <c r="AS149" t="s">
        <v>442</v>
      </c>
      <c r="AT149" t="s">
        <v>199</v>
      </c>
      <c r="AU149" t="str">
        <f t="shared" si="86"/>
        <v>[1]</v>
      </c>
      <c r="AV149">
        <f t="shared" si="87"/>
        <v>1</v>
      </c>
      <c r="AW149" t="str">
        <f t="shared" si="59"/>
        <v/>
      </c>
      <c r="AX149">
        <f>SUMIF(AT149:$AT$651,AW149,AV149:$AV$651)</f>
        <v>0</v>
      </c>
    </row>
    <row r="150" spans="1:50" x14ac:dyDescent="0.25">
      <c r="A150" s="4" t="s">
        <v>0</v>
      </c>
      <c r="B150" t="s">
        <v>449</v>
      </c>
      <c r="C150" t="s">
        <v>4321</v>
      </c>
      <c r="D150" t="s">
        <v>1198</v>
      </c>
      <c r="E150" t="s">
        <v>130</v>
      </c>
      <c r="F150" t="str">
        <f t="shared" si="78"/>
        <v>[1]</v>
      </c>
      <c r="G150">
        <f t="shared" si="85"/>
        <v>1048</v>
      </c>
      <c r="H150" t="str">
        <f t="shared" si="57"/>
        <v>timer_util.o</v>
      </c>
      <c r="I150">
        <f>SUMIF(E150:$E$173,H150,G150:$G$173)</f>
        <v>1048</v>
      </c>
      <c r="K150" s="4" t="s">
        <v>421</v>
      </c>
      <c r="L150" t="s">
        <v>422</v>
      </c>
      <c r="M150" t="s">
        <v>1753</v>
      </c>
      <c r="N150" t="s">
        <v>13</v>
      </c>
      <c r="O150" t="s">
        <v>131</v>
      </c>
      <c r="P150" t="str">
        <f t="shared" si="1"/>
        <v>[1]</v>
      </c>
      <c r="Q150">
        <f t="shared" si="91"/>
        <v>12</v>
      </c>
      <c r="R150" t="str">
        <f t="shared" si="58"/>
        <v/>
      </c>
      <c r="S150">
        <f>SUMIF(O150:$O$2855,R150,Q150:$Q$2855)</f>
        <v>0</v>
      </c>
      <c r="U150" t="s">
        <v>448</v>
      </c>
      <c r="V150" t="s">
        <v>422</v>
      </c>
      <c r="W150" s="35" t="s">
        <v>443</v>
      </c>
      <c r="X150" s="35" t="s">
        <v>443</v>
      </c>
      <c r="Y150" s="6" t="s">
        <v>612</v>
      </c>
      <c r="Z150" t="str">
        <f>VLOOKUP($U$149,$E$1:$F$26,2,FALSE)</f>
        <v>[3]</v>
      </c>
      <c r="AA150">
        <f>HEX2DEC(MID(X150,3,LEN(X150)-2))</f>
        <v>0</v>
      </c>
      <c r="AB150" t="str">
        <f>IF(Y150&lt;&gt;Y149,Y150,"")</f>
        <v>placeholder</v>
      </c>
      <c r="AC150">
        <f>SUMIF(Y150:$Y$150,AB150,AA150:$AA$150)</f>
        <v>0</v>
      </c>
      <c r="AP150" s="4" t="s">
        <v>472</v>
      </c>
      <c r="AQ150" t="s">
        <v>479</v>
      </c>
      <c r="AR150" t="s">
        <v>1561</v>
      </c>
      <c r="AS150" t="s">
        <v>442</v>
      </c>
      <c r="AT150" t="s">
        <v>199</v>
      </c>
      <c r="AU150" t="str">
        <f t="shared" si="86"/>
        <v>[1]</v>
      </c>
      <c r="AV150">
        <f t="shared" si="87"/>
        <v>1</v>
      </c>
      <c r="AW150" t="str">
        <f t="shared" si="59"/>
        <v/>
      </c>
      <c r="AX150">
        <f>SUMIF(AT150:$AT$651,AW150,AV150:$AV$651)</f>
        <v>0</v>
      </c>
    </row>
    <row r="151" spans="1:50" x14ac:dyDescent="0.25">
      <c r="A151" s="4" t="s">
        <v>0</v>
      </c>
      <c r="B151" t="s">
        <v>449</v>
      </c>
      <c r="C151" t="s">
        <v>4425</v>
      </c>
      <c r="D151" t="s">
        <v>1144</v>
      </c>
      <c r="E151" t="s">
        <v>1137</v>
      </c>
      <c r="F151" t="str">
        <f t="shared" si="78"/>
        <v>[1]</v>
      </c>
      <c r="G151">
        <f t="shared" si="85"/>
        <v>188</v>
      </c>
      <c r="H151" t="str">
        <f t="shared" si="57"/>
        <v>TUNNEL_MSG_Handler.o</v>
      </c>
      <c r="I151">
        <f>SUMIF(E151:$E$173,H151,G151:$G$173)</f>
        <v>188</v>
      </c>
      <c r="K151" s="4" t="s">
        <v>421</v>
      </c>
      <c r="L151" t="s">
        <v>422</v>
      </c>
      <c r="M151" t="s">
        <v>2941</v>
      </c>
      <c r="N151" t="s">
        <v>165</v>
      </c>
      <c r="O151" t="s">
        <v>131</v>
      </c>
      <c r="P151" t="str">
        <f t="shared" si="1"/>
        <v>[1]</v>
      </c>
      <c r="Q151">
        <f t="shared" si="91"/>
        <v>20</v>
      </c>
      <c r="R151" t="str">
        <f t="shared" si="58"/>
        <v/>
      </c>
      <c r="S151">
        <f>SUMIF(O151:$O$2855,R151,Q151:$Q$2855)</f>
        <v>0</v>
      </c>
      <c r="U151" t="s">
        <v>820</v>
      </c>
      <c r="V151" t="str">
        <f ca="1">CELL("address",AC151)</f>
        <v>$AC$151</v>
      </c>
      <c r="W151" s="6"/>
      <c r="X151" s="6"/>
      <c r="Y151" s="6"/>
      <c r="Z151" s="6"/>
      <c r="AA151">
        <f>SUM(AA150:AA150)</f>
        <v>0</v>
      </c>
      <c r="AB151" t="s">
        <v>805</v>
      </c>
      <c r="AC151">
        <f>SUM(AC150:AC150)</f>
        <v>0</v>
      </c>
      <c r="AE151" s="47" t="s">
        <v>757</v>
      </c>
      <c r="AF151" s="47"/>
      <c r="AG151" s="47"/>
      <c r="AH151" s="47"/>
      <c r="AI151" s="47"/>
      <c r="AJ151" s="47"/>
      <c r="AK151" s="47"/>
      <c r="AL151" s="47"/>
      <c r="AM151" s="47"/>
      <c r="AP151" s="4" t="s">
        <v>472</v>
      </c>
      <c r="AQ151" t="s">
        <v>479</v>
      </c>
      <c r="AR151" t="s">
        <v>1562</v>
      </c>
      <c r="AS151" t="s">
        <v>442</v>
      </c>
      <c r="AT151" t="s">
        <v>199</v>
      </c>
      <c r="AU151" t="str">
        <f t="shared" si="86"/>
        <v>[1]</v>
      </c>
      <c r="AV151">
        <f t="shared" si="87"/>
        <v>1</v>
      </c>
      <c r="AW151" t="str">
        <f t="shared" si="59"/>
        <v/>
      </c>
      <c r="AX151">
        <f>SUMIF(AT151:$AT$651,AW151,AV151:$AV$651)</f>
        <v>0</v>
      </c>
    </row>
    <row r="152" spans="1:50" x14ac:dyDescent="0.25">
      <c r="A152" s="4" t="s">
        <v>0</v>
      </c>
      <c r="B152" t="s">
        <v>449</v>
      </c>
      <c r="C152" t="s">
        <v>4426</v>
      </c>
      <c r="D152" t="s">
        <v>1221</v>
      </c>
      <c r="E152" t="s">
        <v>1138</v>
      </c>
      <c r="F152" t="str">
        <f t="shared" si="78"/>
        <v>[1]</v>
      </c>
      <c r="G152">
        <f t="shared" si="85"/>
        <v>176</v>
      </c>
      <c r="H152" t="str">
        <f t="shared" si="57"/>
        <v>tunnel_Util.o</v>
      </c>
      <c r="I152">
        <f>SUMIF(E152:$E$173,H152,G152:$G$173)</f>
        <v>176</v>
      </c>
      <c r="K152" s="4" t="s">
        <v>421</v>
      </c>
      <c r="L152" t="s">
        <v>422</v>
      </c>
      <c r="M152" t="s">
        <v>1850</v>
      </c>
      <c r="N152" t="s">
        <v>126</v>
      </c>
      <c r="O152" t="s">
        <v>131</v>
      </c>
      <c r="P152" t="str">
        <f t="shared" si="1"/>
        <v>[1]</v>
      </c>
      <c r="Q152">
        <f t="shared" ref="Q152:Q167" si="92">HEX2DEC(MID(N152,3,LEN(N152)-2))</f>
        <v>8</v>
      </c>
      <c r="R152" t="str">
        <f t="shared" si="58"/>
        <v/>
      </c>
      <c r="S152">
        <f>SUMIF(O152:$O$2855,R152,Q152:$Q$2855)</f>
        <v>0</v>
      </c>
      <c r="W152" s="6"/>
      <c r="X152" s="6"/>
      <c r="Y152" s="6"/>
      <c r="Z152" s="6"/>
      <c r="AE152" t="s">
        <v>470</v>
      </c>
      <c r="AF152" t="s">
        <v>476</v>
      </c>
      <c r="AG152" s="6" t="s">
        <v>611</v>
      </c>
      <c r="AH152" s="6" t="s">
        <v>443</v>
      </c>
      <c r="AI152" s="6" t="s">
        <v>612</v>
      </c>
      <c r="AJ152" t="str">
        <f>VLOOKUP($AE$151,$E$1:$F$26,2,FALSE)</f>
        <v>[6]</v>
      </c>
      <c r="AK152">
        <f>HEX2DEC(MID(AH152,3,LEN(AH152)-2))</f>
        <v>0</v>
      </c>
      <c r="AL152" t="str">
        <f>IF(AI152&lt;&gt;AI151,AI152,"")</f>
        <v>placeholder</v>
      </c>
      <c r="AM152">
        <f>SUMIF(AI152:$AI$152,AL152,AK152:$AK$152)</f>
        <v>0</v>
      </c>
      <c r="AP152" s="4" t="s">
        <v>472</v>
      </c>
      <c r="AQ152" t="s">
        <v>479</v>
      </c>
      <c r="AR152" t="s">
        <v>1710</v>
      </c>
      <c r="AS152" t="s">
        <v>67</v>
      </c>
      <c r="AT152" t="s">
        <v>403</v>
      </c>
      <c r="AU152" t="str">
        <f t="shared" si="86"/>
        <v>[1]</v>
      </c>
      <c r="AV152">
        <f t="shared" si="87"/>
        <v>48</v>
      </c>
      <c r="AW152" t="str">
        <f t="shared" si="59"/>
        <v>dvr_sectPreErase.o</v>
      </c>
      <c r="AX152">
        <f>SUMIF(AT152:$AT$651,AW152,AV152:$AV$651)</f>
        <v>49</v>
      </c>
    </row>
    <row r="153" spans="1:50" x14ac:dyDescent="0.25">
      <c r="A153" s="4" t="s">
        <v>0</v>
      </c>
      <c r="B153" t="s">
        <v>449</v>
      </c>
      <c r="C153" t="s">
        <v>4396</v>
      </c>
      <c r="D153" t="s">
        <v>2025</v>
      </c>
      <c r="E153" t="s">
        <v>336</v>
      </c>
      <c r="F153" t="str">
        <f t="shared" si="78"/>
        <v>[1]</v>
      </c>
      <c r="G153">
        <f t="shared" si="85"/>
        <v>420</v>
      </c>
      <c r="H153" t="str">
        <f t="shared" si="57"/>
        <v>UART.o</v>
      </c>
      <c r="I153">
        <f>SUMIF(E153:$E$173,H153,G153:$G$173)</f>
        <v>420</v>
      </c>
      <c r="K153" s="4" t="s">
        <v>421</v>
      </c>
      <c r="L153" t="s">
        <v>422</v>
      </c>
      <c r="M153" t="s">
        <v>2942</v>
      </c>
      <c r="N153" t="s">
        <v>202</v>
      </c>
      <c r="O153" t="s">
        <v>131</v>
      </c>
      <c r="P153" t="str">
        <f t="shared" si="1"/>
        <v>[1]</v>
      </c>
      <c r="Q153">
        <f t="shared" si="92"/>
        <v>16</v>
      </c>
      <c r="R153" t="str">
        <f t="shared" si="58"/>
        <v/>
      </c>
      <c r="S153">
        <f>SUMIF(O153:$O$2855,R153,Q153:$Q$2855)</f>
        <v>0</v>
      </c>
      <c r="AK153">
        <f>SUM(AK152)</f>
        <v>0</v>
      </c>
      <c r="AL153" t="s">
        <v>728</v>
      </c>
      <c r="AM153">
        <f>SUM(AM152)</f>
        <v>0</v>
      </c>
      <c r="AP153" s="4" t="s">
        <v>472</v>
      </c>
      <c r="AQ153" t="s">
        <v>479</v>
      </c>
      <c r="AR153" t="s">
        <v>1563</v>
      </c>
      <c r="AS153" t="s">
        <v>442</v>
      </c>
      <c r="AT153" t="s">
        <v>403</v>
      </c>
      <c r="AU153" t="str">
        <f t="shared" si="86"/>
        <v>[1]</v>
      </c>
      <c r="AV153">
        <f t="shared" si="87"/>
        <v>1</v>
      </c>
      <c r="AW153" t="str">
        <f t="shared" si="59"/>
        <v/>
      </c>
      <c r="AX153">
        <f>SUMIF(AT153:$AT$651,AW153,AV153:$AV$651)</f>
        <v>0</v>
      </c>
    </row>
    <row r="154" spans="1:50" x14ac:dyDescent="0.25">
      <c r="A154" s="4" t="s">
        <v>0</v>
      </c>
      <c r="B154" t="s">
        <v>449</v>
      </c>
      <c r="C154" t="s">
        <v>4441</v>
      </c>
      <c r="D154" t="s">
        <v>200</v>
      </c>
      <c r="E154" t="s">
        <v>409</v>
      </c>
      <c r="F154" t="str">
        <f t="shared" si="78"/>
        <v>[1]</v>
      </c>
      <c r="G154">
        <f t="shared" si="85"/>
        <v>108</v>
      </c>
      <c r="H154" t="str">
        <f t="shared" si="57"/>
        <v>vbat_reg.o</v>
      </c>
      <c r="I154">
        <f>SUMIF(E154:$E$173,H154,G154:$G$173)</f>
        <v>108</v>
      </c>
      <c r="K154" s="4" t="s">
        <v>421</v>
      </c>
      <c r="L154" t="s">
        <v>422</v>
      </c>
      <c r="M154" t="s">
        <v>2943</v>
      </c>
      <c r="N154" t="s">
        <v>126</v>
      </c>
      <c r="O154" t="s">
        <v>131</v>
      </c>
      <c r="P154" t="str">
        <f t="shared" si="1"/>
        <v>[1]</v>
      </c>
      <c r="Q154">
        <f t="shared" si="92"/>
        <v>8</v>
      </c>
      <c r="R154" t="str">
        <f t="shared" si="58"/>
        <v/>
      </c>
      <c r="S154">
        <f>SUMIF(O154:$O$2855,R154,Q154:$Q$2855)</f>
        <v>0</v>
      </c>
      <c r="U154" t="s">
        <v>848</v>
      </c>
      <c r="V154" t="str">
        <f ca="1">CELL("address",AB156)</f>
        <v>$AB$156</v>
      </c>
      <c r="AP154" s="4" t="s">
        <v>472</v>
      </c>
      <c r="AQ154" t="s">
        <v>479</v>
      </c>
      <c r="AR154" t="s">
        <v>1711</v>
      </c>
      <c r="AS154" t="s">
        <v>67</v>
      </c>
      <c r="AT154" t="s">
        <v>90</v>
      </c>
      <c r="AU154" t="str">
        <f t="shared" si="86"/>
        <v>[1]</v>
      </c>
      <c r="AV154">
        <f t="shared" si="87"/>
        <v>48</v>
      </c>
      <c r="AW154" t="str">
        <f t="shared" si="59"/>
        <v>dvr_sharedMem.o</v>
      </c>
      <c r="AX154">
        <f>SUMIF(AT154:$AT$651,AW154,AV154:$AV$651)</f>
        <v>49</v>
      </c>
    </row>
    <row r="155" spans="1:50" x14ac:dyDescent="0.25">
      <c r="A155" s="4" t="s">
        <v>0</v>
      </c>
      <c r="B155" t="s">
        <v>449</v>
      </c>
      <c r="C155" t="s">
        <v>4442</v>
      </c>
      <c r="D155" t="s">
        <v>1686</v>
      </c>
      <c r="E155" t="s">
        <v>229</v>
      </c>
      <c r="F155" t="str">
        <f t="shared" si="78"/>
        <v>[1]</v>
      </c>
      <c r="G155">
        <f t="shared" si="85"/>
        <v>324</v>
      </c>
      <c r="H155" t="str">
        <f t="shared" si="57"/>
        <v>version.o</v>
      </c>
      <c r="I155">
        <f>SUMIF(E155:$E$173,H155,G155:$G$173)</f>
        <v>324</v>
      </c>
      <c r="K155" s="4" t="s">
        <v>421</v>
      </c>
      <c r="L155" t="s">
        <v>422</v>
      </c>
      <c r="M155" t="s">
        <v>2944</v>
      </c>
      <c r="N155" t="s">
        <v>165</v>
      </c>
      <c r="O155" t="s">
        <v>131</v>
      </c>
      <c r="P155" t="str">
        <f t="shared" si="1"/>
        <v>[1]</v>
      </c>
      <c r="Q155">
        <f t="shared" si="92"/>
        <v>20</v>
      </c>
      <c r="R155" t="str">
        <f t="shared" si="58"/>
        <v/>
      </c>
      <c r="S155">
        <f>SUMIF(O155:$O$2855,R155,Q155:$Q$2855)</f>
        <v>0</v>
      </c>
      <c r="U155" s="47" t="s">
        <v>849</v>
      </c>
      <c r="V155" s="47"/>
      <c r="W155" s="47"/>
      <c r="X155" s="47"/>
      <c r="Y155" s="47"/>
      <c r="Z155" s="47"/>
      <c r="AA155" s="47"/>
      <c r="AB155" s="47"/>
      <c r="AC155" s="47"/>
      <c r="AP155" s="4" t="s">
        <v>472</v>
      </c>
      <c r="AQ155" t="s">
        <v>479</v>
      </c>
      <c r="AR155" t="s">
        <v>1564</v>
      </c>
      <c r="AS155" t="s">
        <v>442</v>
      </c>
      <c r="AT155" t="s">
        <v>90</v>
      </c>
      <c r="AU155" t="str">
        <f t="shared" si="86"/>
        <v>[1]</v>
      </c>
      <c r="AV155">
        <f t="shared" si="87"/>
        <v>1</v>
      </c>
      <c r="AW155" t="str">
        <f t="shared" si="59"/>
        <v/>
      </c>
      <c r="AX155">
        <f>SUMIF(AT155:$AT$651,AW155,AV155:$AV$651)</f>
        <v>0</v>
      </c>
    </row>
    <row r="156" spans="1:50" x14ac:dyDescent="0.25">
      <c r="A156" s="4" t="s">
        <v>0</v>
      </c>
      <c r="B156" t="s">
        <v>449</v>
      </c>
      <c r="C156" t="s">
        <v>4414</v>
      </c>
      <c r="D156" t="s">
        <v>1216</v>
      </c>
      <c r="E156" t="s">
        <v>291</v>
      </c>
      <c r="F156" t="str">
        <f t="shared" si="78"/>
        <v>[1]</v>
      </c>
      <c r="G156">
        <f t="shared" si="85"/>
        <v>456</v>
      </c>
      <c r="H156" t="str">
        <f t="shared" si="57"/>
        <v>virgin_device.o</v>
      </c>
      <c r="I156">
        <f>SUMIF(E156:$E$173,H156,G156:$G$173)</f>
        <v>456</v>
      </c>
      <c r="K156" s="4" t="s">
        <v>421</v>
      </c>
      <c r="L156" t="s">
        <v>422</v>
      </c>
      <c r="M156" t="s">
        <v>2945</v>
      </c>
      <c r="N156" t="s">
        <v>126</v>
      </c>
      <c r="O156" t="s">
        <v>131</v>
      </c>
      <c r="P156" t="str">
        <f t="shared" si="1"/>
        <v>[1]</v>
      </c>
      <c r="Q156">
        <f t="shared" si="92"/>
        <v>8</v>
      </c>
      <c r="R156" t="str">
        <f t="shared" si="58"/>
        <v/>
      </c>
      <c r="S156">
        <f>SUMIF(O156:$O$2855,R156,Q156:$Q$2855)</f>
        <v>0</v>
      </c>
      <c r="U156" s="4" t="s">
        <v>937</v>
      </c>
      <c r="V156" t="s">
        <v>422</v>
      </c>
      <c r="W156" t="s">
        <v>1497</v>
      </c>
      <c r="X156" t="s">
        <v>2068</v>
      </c>
      <c r="Y156" t="s">
        <v>938</v>
      </c>
      <c r="Z156" t="str">
        <f>VLOOKUP($U$155,$E$1:$F$26,2,FALSE)</f>
        <v>[xx]</v>
      </c>
      <c r="AA156">
        <f>HEX2DEC(MID(X156,3,LEN(X156)-2))</f>
        <v>896</v>
      </c>
      <c r="AB156" t="str">
        <f>IF(Y156&lt;&gt;Y155,Y156,"")</f>
        <v>-Linkercreated-</v>
      </c>
      <c r="AC156">
        <f>SUMIF(Y156:$Y$156,AB156,AA156:$AA$156)</f>
        <v>896</v>
      </c>
      <c r="AE156" s="47" t="s">
        <v>540</v>
      </c>
      <c r="AF156" s="47"/>
      <c r="AG156" s="47"/>
      <c r="AH156" s="47"/>
      <c r="AI156" s="47"/>
      <c r="AJ156" s="47"/>
      <c r="AK156" s="47"/>
      <c r="AL156" s="47"/>
      <c r="AM156" s="47"/>
      <c r="AP156" s="4" t="s">
        <v>472</v>
      </c>
      <c r="AQ156" t="s">
        <v>479</v>
      </c>
      <c r="AR156" t="s">
        <v>4496</v>
      </c>
      <c r="AS156" t="s">
        <v>119</v>
      </c>
      <c r="AT156" t="s">
        <v>204</v>
      </c>
      <c r="AU156" t="str">
        <f t="shared" si="86"/>
        <v>[1]</v>
      </c>
      <c r="AV156">
        <f t="shared" si="87"/>
        <v>32</v>
      </c>
      <c r="AW156" t="str">
        <f t="shared" si="59"/>
        <v>ecc108_apps.o</v>
      </c>
      <c r="AX156">
        <f>SUMIF(AT156:$AT$651,AW156,AV156:$AV$651)</f>
        <v>140</v>
      </c>
    </row>
    <row r="157" spans="1:50" x14ac:dyDescent="0.25">
      <c r="A157" s="4" t="s">
        <v>0</v>
      </c>
      <c r="B157" t="s">
        <v>449</v>
      </c>
      <c r="C157" t="s">
        <v>4397</v>
      </c>
      <c r="D157" t="s">
        <v>200</v>
      </c>
      <c r="E157" t="s">
        <v>277</v>
      </c>
      <c r="F157" t="str">
        <f t="shared" si="78"/>
        <v>[1]</v>
      </c>
      <c r="G157">
        <f t="shared" ref="G157" si="93">HEX2DEC(MID(D157,3,LEN(D157)-2))</f>
        <v>108</v>
      </c>
      <c r="H157" t="str">
        <f t="shared" ref="H157" si="94">IF(E157&lt;&gt;E156,E157,"")</f>
        <v>WDOG.o</v>
      </c>
      <c r="I157">
        <f>SUMIF(E157:$E$173,H157,G157:$G$173)</f>
        <v>108</v>
      </c>
      <c r="K157" s="4" t="s">
        <v>421</v>
      </c>
      <c r="L157" t="s">
        <v>422</v>
      </c>
      <c r="M157" t="s">
        <v>2946</v>
      </c>
      <c r="N157" t="s">
        <v>435</v>
      </c>
      <c r="O157" t="s">
        <v>131</v>
      </c>
      <c r="P157" t="str">
        <f t="shared" si="1"/>
        <v>[1]</v>
      </c>
      <c r="Q157">
        <f t="shared" si="92"/>
        <v>60</v>
      </c>
      <c r="R157" t="str">
        <f t="shared" si="58"/>
        <v/>
      </c>
      <c r="S157">
        <f>SUMIF(O157:$O$2855,R157,Q157:$Q$2855)</f>
        <v>0</v>
      </c>
      <c r="U157" t="s">
        <v>847</v>
      </c>
      <c r="V157" t="str">
        <f ca="1">CELL("address",AC157)</f>
        <v>$AC$157</v>
      </c>
      <c r="W157" s="6"/>
      <c r="X157" s="6"/>
      <c r="Y157" s="6"/>
      <c r="Z157" s="6"/>
      <c r="AA157">
        <f>SUM(AA156:AA156)</f>
        <v>896</v>
      </c>
      <c r="AB157" t="s">
        <v>808</v>
      </c>
      <c r="AC157">
        <f>SUM(AC156:AC156)</f>
        <v>896</v>
      </c>
      <c r="AE157" s="4" t="s">
        <v>470</v>
      </c>
      <c r="AF157" t="s">
        <v>476</v>
      </c>
      <c r="AG157" t="s">
        <v>477</v>
      </c>
      <c r="AH157" t="s">
        <v>126</v>
      </c>
      <c r="AI157" t="s">
        <v>106</v>
      </c>
      <c r="AJ157" t="str">
        <f>VLOOKUP($AE$156,$E$1:$F$26,2,FALSE)</f>
        <v>[7]</v>
      </c>
      <c r="AK157">
        <f>HEX2DEC(MID(AH157,3,LEN(AH157)-2))</f>
        <v>8</v>
      </c>
      <c r="AL157" t="str">
        <f>IF(AI157&lt;&gt;AI156,AI157,"")</f>
        <v>mqx.o</v>
      </c>
      <c r="AM157">
        <f>SUMIF(AI157:$AI$158,AL157,AK157:$AK$158)</f>
        <v>8</v>
      </c>
      <c r="AP157" s="4" t="s">
        <v>472</v>
      </c>
      <c r="AQ157" t="s">
        <v>479</v>
      </c>
      <c r="AR157" t="s">
        <v>4497</v>
      </c>
      <c r="AS157" t="s">
        <v>13</v>
      </c>
      <c r="AT157" t="s">
        <v>204</v>
      </c>
      <c r="AU157" t="str">
        <f t="shared" si="86"/>
        <v>[1]</v>
      </c>
      <c r="AV157">
        <f t="shared" si="87"/>
        <v>12</v>
      </c>
      <c r="AW157" t="str">
        <f t="shared" si="59"/>
        <v/>
      </c>
      <c r="AX157">
        <f>SUMIF(AT157:$AT$651,AW157,AV157:$AV$651)</f>
        <v>0</v>
      </c>
    </row>
    <row r="158" spans="1:50" x14ac:dyDescent="0.25">
      <c r="A158" s="4" t="s">
        <v>0</v>
      </c>
      <c r="B158" t="s">
        <v>449</v>
      </c>
      <c r="C158" t="s">
        <v>443</v>
      </c>
      <c r="D158" t="s">
        <v>443</v>
      </c>
      <c r="E158" t="s">
        <v>612</v>
      </c>
      <c r="F158" t="str">
        <f t="shared" si="78"/>
        <v>[1]</v>
      </c>
      <c r="G158">
        <f t="shared" si="85"/>
        <v>0</v>
      </c>
      <c r="H158" t="str">
        <f t="shared" si="57"/>
        <v>placeholder</v>
      </c>
      <c r="I158">
        <f>SUMIF(E158:$E$173,H158,G158:$G$173)</f>
        <v>0</v>
      </c>
      <c r="K158" s="4" t="s">
        <v>421</v>
      </c>
      <c r="L158" t="s">
        <v>422</v>
      </c>
      <c r="M158" t="s">
        <v>2947</v>
      </c>
      <c r="N158" t="s">
        <v>13</v>
      </c>
      <c r="O158" t="s">
        <v>131</v>
      </c>
      <c r="P158" t="str">
        <f t="shared" si="1"/>
        <v>[1]</v>
      </c>
      <c r="Q158">
        <f t="shared" si="92"/>
        <v>12</v>
      </c>
      <c r="R158" t="str">
        <f t="shared" si="58"/>
        <v/>
      </c>
      <c r="S158">
        <f>SUMIF(O158:$O$2855,R158,Q158:$Q$2855)</f>
        <v>0</v>
      </c>
      <c r="AE158" t="s">
        <v>470</v>
      </c>
      <c r="AF158" t="s">
        <v>476</v>
      </c>
      <c r="AG158" t="s">
        <v>443</v>
      </c>
      <c r="AH158" t="s">
        <v>443</v>
      </c>
      <c r="AI158" t="s">
        <v>612</v>
      </c>
      <c r="AJ158" t="str">
        <f>VLOOKUP($AE$156,$E$1:$F$26,2,FALSE)</f>
        <v>[7]</v>
      </c>
      <c r="AK158">
        <f>HEX2DEC(MID(AH158,3,LEN(AH158)-2))</f>
        <v>0</v>
      </c>
      <c r="AL158" t="str">
        <f>IF(AI158&lt;&gt;AI157,AI158,"")</f>
        <v>placeholder</v>
      </c>
      <c r="AM158">
        <f>SUMIF(AI158:$AI$158,AL158,AK158:$AK$158)</f>
        <v>0</v>
      </c>
      <c r="AP158" s="4" t="s">
        <v>472</v>
      </c>
      <c r="AQ158" t="s">
        <v>479</v>
      </c>
      <c r="AR158" t="s">
        <v>4498</v>
      </c>
      <c r="AS158" t="s">
        <v>119</v>
      </c>
      <c r="AT158" t="s">
        <v>204</v>
      </c>
      <c r="AU158" t="str">
        <f t="shared" si="86"/>
        <v>[1]</v>
      </c>
      <c r="AV158">
        <f t="shared" si="87"/>
        <v>32</v>
      </c>
      <c r="AW158" t="str">
        <f t="shared" si="59"/>
        <v/>
      </c>
      <c r="AX158">
        <f>SUMIF(AT158:$AT$651,AW158,AV158:$AV$651)</f>
        <v>0</v>
      </c>
    </row>
    <row r="159" spans="1:50" x14ac:dyDescent="0.25">
      <c r="A159" s="4" t="s">
        <v>0</v>
      </c>
      <c r="B159" t="s">
        <v>449</v>
      </c>
      <c r="C159" t="s">
        <v>443</v>
      </c>
      <c r="D159" t="s">
        <v>443</v>
      </c>
      <c r="E159" t="s">
        <v>612</v>
      </c>
      <c r="F159" t="str">
        <f t="shared" ref="F159:F173" si="95">VLOOKUP($A$30,$E$1:$F$26,2,FALSE)</f>
        <v>[1]</v>
      </c>
      <c r="G159">
        <f t="shared" ref="G159:G173" si="96">HEX2DEC(MID(D159,3,LEN(D159)-2))</f>
        <v>0</v>
      </c>
      <c r="H159" t="str">
        <f t="shared" si="57"/>
        <v/>
      </c>
      <c r="I159">
        <f>SUMIF(E159:$E$173,H159,G159:$G$173)</f>
        <v>0</v>
      </c>
      <c r="K159" s="4" t="s">
        <v>421</v>
      </c>
      <c r="L159" t="s">
        <v>422</v>
      </c>
      <c r="M159" t="s">
        <v>2948</v>
      </c>
      <c r="N159" t="s">
        <v>190</v>
      </c>
      <c r="O159" t="s">
        <v>131</v>
      </c>
      <c r="P159" t="str">
        <f t="shared" si="1"/>
        <v>[1]</v>
      </c>
      <c r="Q159">
        <f t="shared" si="92"/>
        <v>56</v>
      </c>
      <c r="R159" t="str">
        <f t="shared" si="58"/>
        <v/>
      </c>
      <c r="S159">
        <f>SUMIF(O159:$O$2855,R159,Q159:$Q$2855)</f>
        <v>0</v>
      </c>
      <c r="AK159">
        <f>SUM(AK157:AK158)</f>
        <v>8</v>
      </c>
      <c r="AL159" t="s">
        <v>729</v>
      </c>
      <c r="AM159">
        <f>SUM(AM157:AM158)</f>
        <v>8</v>
      </c>
      <c r="AP159" s="4" t="s">
        <v>472</v>
      </c>
      <c r="AQ159" t="s">
        <v>479</v>
      </c>
      <c r="AR159" t="s">
        <v>4499</v>
      </c>
      <c r="AS159" t="s">
        <v>119</v>
      </c>
      <c r="AT159" t="s">
        <v>204</v>
      </c>
      <c r="AU159" t="str">
        <f t="shared" si="86"/>
        <v>[1]</v>
      </c>
      <c r="AV159">
        <f t="shared" si="87"/>
        <v>32</v>
      </c>
      <c r="AW159" t="str">
        <f t="shared" si="59"/>
        <v/>
      </c>
      <c r="AX159">
        <f>SUMIF(AT159:$AT$651,AW159,AV159:$AV$651)</f>
        <v>0</v>
      </c>
    </row>
    <row r="160" spans="1:50" x14ac:dyDescent="0.25">
      <c r="A160" s="4" t="s">
        <v>0</v>
      </c>
      <c r="B160" t="s">
        <v>449</v>
      </c>
      <c r="C160" t="s">
        <v>443</v>
      </c>
      <c r="D160" t="s">
        <v>443</v>
      </c>
      <c r="E160" t="s">
        <v>612</v>
      </c>
      <c r="F160" t="str">
        <f t="shared" si="95"/>
        <v>[1]</v>
      </c>
      <c r="G160">
        <f t="shared" si="96"/>
        <v>0</v>
      </c>
      <c r="H160" t="str">
        <f t="shared" ref="H160:H166" si="97">IF(E160&lt;&gt;E159,E160,"")</f>
        <v/>
      </c>
      <c r="I160">
        <f>SUMIF(E160:$E$173,H160,G160:$G$173)</f>
        <v>0</v>
      </c>
      <c r="K160" s="4" t="s">
        <v>421</v>
      </c>
      <c r="L160" t="s">
        <v>422</v>
      </c>
      <c r="M160" t="s">
        <v>2949</v>
      </c>
      <c r="N160" t="s">
        <v>126</v>
      </c>
      <c r="O160" t="s">
        <v>131</v>
      </c>
      <c r="P160" t="str">
        <f t="shared" si="1"/>
        <v>[1]</v>
      </c>
      <c r="Q160">
        <f t="shared" si="92"/>
        <v>8</v>
      </c>
      <c r="R160" t="str">
        <f t="shared" ref="R160:R223" si="98">IF(O160&lt;&gt;O159,O160,"")</f>
        <v/>
      </c>
      <c r="S160">
        <f>SUMIF(O160:$O$2855,R160,Q160:$Q$2855)</f>
        <v>0</v>
      </c>
      <c r="AP160" s="4" t="s">
        <v>472</v>
      </c>
      <c r="AQ160" t="s">
        <v>479</v>
      </c>
      <c r="AR160" t="s">
        <v>4500</v>
      </c>
      <c r="AS160" t="s">
        <v>119</v>
      </c>
      <c r="AT160" t="s">
        <v>204</v>
      </c>
      <c r="AU160" t="str">
        <f t="shared" si="86"/>
        <v>[1]</v>
      </c>
      <c r="AV160">
        <f t="shared" si="87"/>
        <v>32</v>
      </c>
      <c r="AW160" t="str">
        <f t="shared" ref="AW160:AW223" si="99">IF(AT160&lt;&gt;AT159,AT160,"")</f>
        <v/>
      </c>
      <c r="AX160">
        <f>SUMIF(AT160:$AT$651,AW160,AV160:$AV$651)</f>
        <v>0</v>
      </c>
    </row>
    <row r="161" spans="1:50" x14ac:dyDescent="0.25">
      <c r="A161" s="4" t="s">
        <v>0</v>
      </c>
      <c r="B161" t="s">
        <v>449</v>
      </c>
      <c r="C161" t="s">
        <v>443</v>
      </c>
      <c r="D161" t="s">
        <v>443</v>
      </c>
      <c r="E161" t="s">
        <v>612</v>
      </c>
      <c r="F161" t="str">
        <f t="shared" si="95"/>
        <v>[1]</v>
      </c>
      <c r="G161">
        <f t="shared" si="96"/>
        <v>0</v>
      </c>
      <c r="H161" t="str">
        <f t="shared" si="97"/>
        <v/>
      </c>
      <c r="I161">
        <f>SUMIF(E161:$E$173,H161,G161:$G$173)</f>
        <v>0</v>
      </c>
      <c r="K161" s="4" t="s">
        <v>421</v>
      </c>
      <c r="L161" t="s">
        <v>422</v>
      </c>
      <c r="M161" t="s">
        <v>2950</v>
      </c>
      <c r="N161" t="s">
        <v>76</v>
      </c>
      <c r="O161" t="s">
        <v>131</v>
      </c>
      <c r="P161" t="str">
        <f t="shared" si="1"/>
        <v>[1]</v>
      </c>
      <c r="Q161">
        <f t="shared" si="92"/>
        <v>36</v>
      </c>
      <c r="R161" t="str">
        <f t="shared" si="98"/>
        <v/>
      </c>
      <c r="S161">
        <f>SUMIF(O161:$O$2855,R161,Q161:$Q$2855)</f>
        <v>0</v>
      </c>
      <c r="AP161" s="4" t="s">
        <v>472</v>
      </c>
      <c r="AQ161" t="s">
        <v>479</v>
      </c>
      <c r="AR161" t="s">
        <v>4501</v>
      </c>
      <c r="AS161" t="s">
        <v>78</v>
      </c>
      <c r="AT161" t="s">
        <v>205</v>
      </c>
      <c r="AU161" t="str">
        <f t="shared" si="86"/>
        <v>[1]</v>
      </c>
      <c r="AV161">
        <f t="shared" si="87"/>
        <v>4</v>
      </c>
      <c r="AW161" t="str">
        <f t="shared" si="99"/>
        <v>ecc108_mqx.o</v>
      </c>
      <c r="AX161">
        <f>SUMIF(AT161:$AT$651,AW161,AV161:$AV$651)</f>
        <v>56</v>
      </c>
    </row>
    <row r="162" spans="1:50" x14ac:dyDescent="0.25">
      <c r="A162" s="4" t="s">
        <v>0</v>
      </c>
      <c r="B162" t="s">
        <v>449</v>
      </c>
      <c r="C162" t="s">
        <v>443</v>
      </c>
      <c r="D162" t="s">
        <v>443</v>
      </c>
      <c r="E162" t="s">
        <v>612</v>
      </c>
      <c r="F162" t="str">
        <f t="shared" si="95"/>
        <v>[1]</v>
      </c>
      <c r="G162">
        <f t="shared" ref="G162" si="100">HEX2DEC(MID(D162,3,LEN(D162)-2))</f>
        <v>0</v>
      </c>
      <c r="H162" t="str">
        <f t="shared" si="97"/>
        <v/>
      </c>
      <c r="I162">
        <f>SUMIF(E162:$E$173,H162,G162:$G$173)</f>
        <v>0</v>
      </c>
      <c r="K162" s="4" t="s">
        <v>421</v>
      </c>
      <c r="L162" t="s">
        <v>422</v>
      </c>
      <c r="M162" t="s">
        <v>2951</v>
      </c>
      <c r="N162" t="s">
        <v>13</v>
      </c>
      <c r="O162" t="s">
        <v>131</v>
      </c>
      <c r="P162" t="str">
        <f t="shared" si="1"/>
        <v>[1]</v>
      </c>
      <c r="Q162">
        <f t="shared" si="92"/>
        <v>12</v>
      </c>
      <c r="R162" t="str">
        <f t="shared" si="98"/>
        <v/>
      </c>
      <c r="S162">
        <f>SUMIF(O162:$O$2855,R162,Q162:$Q$2855)</f>
        <v>0</v>
      </c>
      <c r="AE162" s="47" t="s">
        <v>756</v>
      </c>
      <c r="AF162" s="47"/>
      <c r="AG162" s="47"/>
      <c r="AH162" s="47"/>
      <c r="AI162" s="47"/>
      <c r="AJ162" s="47"/>
      <c r="AK162" s="47"/>
      <c r="AL162" s="47"/>
      <c r="AM162" s="47"/>
      <c r="AP162" s="4" t="s">
        <v>472</v>
      </c>
      <c r="AQ162" t="s">
        <v>479</v>
      </c>
      <c r="AR162" t="s">
        <v>4502</v>
      </c>
      <c r="AS162" t="s">
        <v>67</v>
      </c>
      <c r="AT162" t="s">
        <v>205</v>
      </c>
      <c r="AU162" t="str">
        <f t="shared" si="86"/>
        <v>[1]</v>
      </c>
      <c r="AV162">
        <f t="shared" si="87"/>
        <v>48</v>
      </c>
      <c r="AW162" t="str">
        <f t="shared" si="99"/>
        <v/>
      </c>
      <c r="AX162">
        <f>SUMIF(AT162:$AT$651,AW162,AV162:$AV$651)</f>
        <v>0</v>
      </c>
    </row>
    <row r="163" spans="1:50" x14ac:dyDescent="0.25">
      <c r="A163" s="4" t="s">
        <v>0</v>
      </c>
      <c r="B163" t="s">
        <v>449</v>
      </c>
      <c r="C163" t="s">
        <v>443</v>
      </c>
      <c r="D163" t="s">
        <v>443</v>
      </c>
      <c r="E163" t="s">
        <v>612</v>
      </c>
      <c r="F163" t="str">
        <f t="shared" si="95"/>
        <v>[1]</v>
      </c>
      <c r="G163">
        <f t="shared" ref="G163" si="101">HEX2DEC(MID(D163,3,LEN(D163)-2))</f>
        <v>0</v>
      </c>
      <c r="H163" t="str">
        <f t="shared" si="97"/>
        <v/>
      </c>
      <c r="I163">
        <f>SUMIF(E163:$E$173,H163,G163:$G$173)</f>
        <v>0</v>
      </c>
      <c r="K163" s="4" t="s">
        <v>421</v>
      </c>
      <c r="L163" t="s">
        <v>422</v>
      </c>
      <c r="M163" t="s">
        <v>2952</v>
      </c>
      <c r="N163" t="s">
        <v>6</v>
      </c>
      <c r="O163" t="s">
        <v>131</v>
      </c>
      <c r="P163" t="str">
        <f t="shared" si="1"/>
        <v>[1]</v>
      </c>
      <c r="Q163">
        <f t="shared" si="92"/>
        <v>28</v>
      </c>
      <c r="R163" t="str">
        <f t="shared" si="98"/>
        <v/>
      </c>
      <c r="S163">
        <f>SUMIF(O163:$O$2855,R163,Q163:$Q$2855)</f>
        <v>0</v>
      </c>
      <c r="AE163" t="s">
        <v>470</v>
      </c>
      <c r="AF163" t="s">
        <v>476</v>
      </c>
      <c r="AG163" s="6" t="s">
        <v>611</v>
      </c>
      <c r="AH163" s="6" t="s">
        <v>443</v>
      </c>
      <c r="AI163" s="6" t="s">
        <v>612</v>
      </c>
      <c r="AJ163" t="str">
        <f>VLOOKUP($AE$162,$E$1:$F$26,2,FALSE)</f>
        <v>[8]</v>
      </c>
      <c r="AK163">
        <f>HEX2DEC(MID(AH163,3,LEN(AH163)-2))</f>
        <v>0</v>
      </c>
      <c r="AL163" t="str">
        <f>IF(AI163&lt;&gt;AI162,AI163,"")</f>
        <v>placeholder</v>
      </c>
      <c r="AM163">
        <f>SUMIF(AI163:$AI$163,AL163,AK163:$AK$163)</f>
        <v>0</v>
      </c>
      <c r="AP163" s="4" t="s">
        <v>472</v>
      </c>
      <c r="AQ163" t="s">
        <v>479</v>
      </c>
      <c r="AR163" t="s">
        <v>4503</v>
      </c>
      <c r="AS163" t="s">
        <v>78</v>
      </c>
      <c r="AT163" t="s">
        <v>205</v>
      </c>
      <c r="AU163" t="str">
        <f t="shared" si="86"/>
        <v>[1]</v>
      </c>
      <c r="AV163">
        <f t="shared" si="87"/>
        <v>4</v>
      </c>
      <c r="AW163" t="str">
        <f t="shared" si="99"/>
        <v/>
      </c>
      <c r="AX163">
        <f>SUMIF(AT163:$AT$651,AW163,AV163:$AV$651)</f>
        <v>0</v>
      </c>
    </row>
    <row r="164" spans="1:50" x14ac:dyDescent="0.25">
      <c r="A164" s="4" t="s">
        <v>0</v>
      </c>
      <c r="B164" t="s">
        <v>449</v>
      </c>
      <c r="C164" t="s">
        <v>443</v>
      </c>
      <c r="D164" t="s">
        <v>443</v>
      </c>
      <c r="E164" t="s">
        <v>612</v>
      </c>
      <c r="F164" t="str">
        <f t="shared" si="95"/>
        <v>[1]</v>
      </c>
      <c r="G164">
        <f t="shared" ref="G164" si="102">HEX2DEC(MID(D164,3,LEN(D164)-2))</f>
        <v>0</v>
      </c>
      <c r="H164" t="str">
        <f t="shared" si="97"/>
        <v/>
      </c>
      <c r="I164">
        <f>SUMIF(E164:$E$173,H164,G164:$G$173)</f>
        <v>0</v>
      </c>
      <c r="K164" s="4" t="s">
        <v>421</v>
      </c>
      <c r="L164" t="s">
        <v>422</v>
      </c>
      <c r="M164" t="s">
        <v>2953</v>
      </c>
      <c r="N164" t="s">
        <v>126</v>
      </c>
      <c r="O164" t="s">
        <v>131</v>
      </c>
      <c r="P164" t="str">
        <f t="shared" si="1"/>
        <v>[1]</v>
      </c>
      <c r="Q164">
        <f t="shared" si="92"/>
        <v>8</v>
      </c>
      <c r="R164" t="str">
        <f t="shared" si="98"/>
        <v/>
      </c>
      <c r="S164">
        <f>SUMIF(O164:$O$2855,R164,Q164:$Q$2855)</f>
        <v>0</v>
      </c>
      <c r="AK164">
        <f>SUM(AK163)</f>
        <v>0</v>
      </c>
      <c r="AL164" t="s">
        <v>730</v>
      </c>
      <c r="AM164">
        <f>SUM(AM163)</f>
        <v>0</v>
      </c>
      <c r="AP164" s="4" t="s">
        <v>472</v>
      </c>
      <c r="AQ164" t="s">
        <v>479</v>
      </c>
      <c r="AR164" t="s">
        <v>4665</v>
      </c>
      <c r="AS164" t="s">
        <v>13</v>
      </c>
      <c r="AT164" t="s">
        <v>227</v>
      </c>
      <c r="AU164" t="str">
        <f t="shared" si="86"/>
        <v>[1]</v>
      </c>
      <c r="AV164">
        <f t="shared" si="87"/>
        <v>12</v>
      </c>
      <c r="AW164" t="str">
        <f t="shared" si="99"/>
        <v>ed_config.o</v>
      </c>
      <c r="AX164">
        <f>SUMIF(AT164:$AT$651,AW164,AV164:$AV$651)</f>
        <v>188</v>
      </c>
    </row>
    <row r="165" spans="1:50" x14ac:dyDescent="0.25">
      <c r="A165" s="4" t="s">
        <v>0</v>
      </c>
      <c r="B165" t="s">
        <v>449</v>
      </c>
      <c r="C165" t="s">
        <v>443</v>
      </c>
      <c r="D165" t="s">
        <v>443</v>
      </c>
      <c r="E165" t="s">
        <v>612</v>
      </c>
      <c r="F165" t="str">
        <f t="shared" si="95"/>
        <v>[1]</v>
      </c>
      <c r="G165">
        <f t="shared" ref="G165" si="103">HEX2DEC(MID(D165,3,LEN(D165)-2))</f>
        <v>0</v>
      </c>
      <c r="H165" t="str">
        <f t="shared" si="97"/>
        <v/>
      </c>
      <c r="I165">
        <f>SUMIF(E165:$E$173,H165,G165:$G$173)</f>
        <v>0</v>
      </c>
      <c r="K165" s="4" t="s">
        <v>421</v>
      </c>
      <c r="L165" t="s">
        <v>422</v>
      </c>
      <c r="M165" t="s">
        <v>2954</v>
      </c>
      <c r="N165" t="s">
        <v>76</v>
      </c>
      <c r="O165" t="s">
        <v>131</v>
      </c>
      <c r="P165" t="str">
        <f t="shared" si="1"/>
        <v>[1]</v>
      </c>
      <c r="Q165">
        <f t="shared" si="92"/>
        <v>36</v>
      </c>
      <c r="R165" t="str">
        <f t="shared" si="98"/>
        <v/>
      </c>
      <c r="S165">
        <f>SUMIF(O165:$O$2855,R165,Q165:$Q$2855)</f>
        <v>0</v>
      </c>
      <c r="AP165" s="4" t="s">
        <v>472</v>
      </c>
      <c r="AQ165" t="s">
        <v>479</v>
      </c>
      <c r="AR165" t="s">
        <v>4666</v>
      </c>
      <c r="AS165" t="s">
        <v>65</v>
      </c>
      <c r="AT165" t="s">
        <v>227</v>
      </c>
      <c r="AU165" t="str">
        <f t="shared" si="86"/>
        <v>[1]</v>
      </c>
      <c r="AV165">
        <f t="shared" si="87"/>
        <v>40</v>
      </c>
      <c r="AW165" t="str">
        <f t="shared" si="99"/>
        <v/>
      </c>
      <c r="AX165">
        <f>SUMIF(AT165:$AT$651,AW165,AV165:$AV$651)</f>
        <v>0</v>
      </c>
    </row>
    <row r="166" spans="1:50" x14ac:dyDescent="0.25">
      <c r="A166" s="4" t="s">
        <v>0</v>
      </c>
      <c r="B166" t="s">
        <v>449</v>
      </c>
      <c r="C166" t="s">
        <v>443</v>
      </c>
      <c r="D166" t="s">
        <v>443</v>
      </c>
      <c r="E166" t="s">
        <v>612</v>
      </c>
      <c r="F166" t="str">
        <f t="shared" si="95"/>
        <v>[1]</v>
      </c>
      <c r="G166">
        <f t="shared" ref="G166" si="104">HEX2DEC(MID(D166,3,LEN(D166)-2))</f>
        <v>0</v>
      </c>
      <c r="H166" t="str">
        <f t="shared" si="97"/>
        <v/>
      </c>
      <c r="I166">
        <f>SUMIF(E166:$E$173,H166,G166:$G$173)</f>
        <v>0</v>
      </c>
      <c r="K166" s="4" t="s">
        <v>421</v>
      </c>
      <c r="L166" t="s">
        <v>422</v>
      </c>
      <c r="M166" t="s">
        <v>2955</v>
      </c>
      <c r="N166" t="s">
        <v>126</v>
      </c>
      <c r="O166" t="s">
        <v>131</v>
      </c>
      <c r="P166" t="str">
        <f t="shared" si="1"/>
        <v>[1]</v>
      </c>
      <c r="Q166">
        <f t="shared" si="92"/>
        <v>8</v>
      </c>
      <c r="R166" t="str">
        <f t="shared" si="98"/>
        <v/>
      </c>
      <c r="S166">
        <f>SUMIF(O166:$O$2855,R166,Q166:$Q$2855)</f>
        <v>0</v>
      </c>
      <c r="AP166" s="4" t="s">
        <v>472</v>
      </c>
      <c r="AQ166" t="s">
        <v>479</v>
      </c>
      <c r="AR166" t="s">
        <v>4667</v>
      </c>
      <c r="AS166" t="s">
        <v>67</v>
      </c>
      <c r="AT166" t="s">
        <v>227</v>
      </c>
      <c r="AU166" t="str">
        <f t="shared" si="86"/>
        <v>[1]</v>
      </c>
      <c r="AV166">
        <f t="shared" si="87"/>
        <v>48</v>
      </c>
      <c r="AW166" t="str">
        <f t="shared" si="99"/>
        <v/>
      </c>
      <c r="AX166">
        <f>SUMIF(AT166:$AT$651,AW166,AV166:$AV$651)</f>
        <v>0</v>
      </c>
    </row>
    <row r="167" spans="1:50" x14ac:dyDescent="0.25">
      <c r="A167" s="4" t="s">
        <v>0</v>
      </c>
      <c r="B167" t="s">
        <v>449</v>
      </c>
      <c r="C167" t="s">
        <v>443</v>
      </c>
      <c r="D167" t="s">
        <v>443</v>
      </c>
      <c r="E167" t="s">
        <v>612</v>
      </c>
      <c r="F167" t="str">
        <f t="shared" si="95"/>
        <v>[1]</v>
      </c>
      <c r="G167">
        <f t="shared" ref="G167" si="105">HEX2DEC(MID(D167,3,LEN(D167)-2))</f>
        <v>0</v>
      </c>
      <c r="H167" t="str">
        <f t="shared" ref="H167" si="106">IF(E167&lt;&gt;E166,E167,"")</f>
        <v/>
      </c>
      <c r="I167">
        <f>SUMIF(E167:$E$173,H167,G167:$G$173)</f>
        <v>0</v>
      </c>
      <c r="K167" s="4" t="s">
        <v>421</v>
      </c>
      <c r="L167" t="s">
        <v>422</v>
      </c>
      <c r="M167" t="s">
        <v>2956</v>
      </c>
      <c r="N167" t="s">
        <v>165</v>
      </c>
      <c r="O167" t="s">
        <v>131</v>
      </c>
      <c r="P167" t="str">
        <f t="shared" si="1"/>
        <v>[1]</v>
      </c>
      <c r="Q167">
        <f t="shared" si="92"/>
        <v>20</v>
      </c>
      <c r="R167" t="str">
        <f t="shared" si="98"/>
        <v/>
      </c>
      <c r="S167">
        <f>SUMIF(O167:$O$2855,R167,Q167:$Q$2855)</f>
        <v>0</v>
      </c>
      <c r="AE167" s="47" t="s">
        <v>759</v>
      </c>
      <c r="AF167" s="47"/>
      <c r="AG167" s="47"/>
      <c r="AH167" s="47"/>
      <c r="AI167" s="47"/>
      <c r="AJ167" s="47"/>
      <c r="AK167" s="47"/>
      <c r="AL167" s="47"/>
      <c r="AM167" s="47"/>
      <c r="AP167" s="4" t="s">
        <v>472</v>
      </c>
      <c r="AQ167" t="s">
        <v>479</v>
      </c>
      <c r="AR167" t="s">
        <v>4668</v>
      </c>
      <c r="AS167" t="s">
        <v>13</v>
      </c>
      <c r="AT167" t="s">
        <v>227</v>
      </c>
      <c r="AU167" t="str">
        <f t="shared" si="86"/>
        <v>[1]</v>
      </c>
      <c r="AV167">
        <f t="shared" si="87"/>
        <v>12</v>
      </c>
      <c r="AW167" t="str">
        <f t="shared" si="99"/>
        <v/>
      </c>
      <c r="AX167">
        <f>SUMIF(AT167:$AT$651,AW167,AV167:$AV$651)</f>
        <v>0</v>
      </c>
    </row>
    <row r="168" spans="1:50" x14ac:dyDescent="0.25">
      <c r="A168" s="4" t="s">
        <v>0</v>
      </c>
      <c r="B168" t="s">
        <v>449</v>
      </c>
      <c r="C168" t="s">
        <v>443</v>
      </c>
      <c r="D168" t="s">
        <v>443</v>
      </c>
      <c r="E168" t="s">
        <v>612</v>
      </c>
      <c r="F168" t="str">
        <f t="shared" si="95"/>
        <v>[1]</v>
      </c>
      <c r="G168">
        <f t="shared" ref="G168" si="107">HEX2DEC(MID(D168,3,LEN(D168)-2))</f>
        <v>0</v>
      </c>
      <c r="H168" t="str">
        <f t="shared" ref="H168" si="108">IF(E168&lt;&gt;E167,E168,"")</f>
        <v/>
      </c>
      <c r="I168">
        <f>SUMIF(E168:$E$173,H168,G168:$G$173)</f>
        <v>0</v>
      </c>
      <c r="K168" s="4" t="s">
        <v>421</v>
      </c>
      <c r="L168" t="s">
        <v>422</v>
      </c>
      <c r="M168" t="s">
        <v>2957</v>
      </c>
      <c r="N168" t="s">
        <v>202</v>
      </c>
      <c r="O168" t="s">
        <v>131</v>
      </c>
      <c r="P168" t="str">
        <f t="shared" si="1"/>
        <v>[1]</v>
      </c>
      <c r="Q168">
        <f t="shared" ref="Q168:Q171" si="109">HEX2DEC(MID(N168,3,LEN(N168)-2))</f>
        <v>16</v>
      </c>
      <c r="R168" t="str">
        <f t="shared" si="98"/>
        <v/>
      </c>
      <c r="S168">
        <f>SUMIF(O168:$O$2855,R168,Q168:$Q$2855)</f>
        <v>0</v>
      </c>
      <c r="AE168" t="s">
        <v>470</v>
      </c>
      <c r="AF168" t="s">
        <v>476</v>
      </c>
      <c r="AG168" s="6" t="s">
        <v>611</v>
      </c>
      <c r="AH168" s="6" t="s">
        <v>443</v>
      </c>
      <c r="AI168" s="6" t="s">
        <v>612</v>
      </c>
      <c r="AJ168" t="str">
        <f>VLOOKUP($AE$167,$E$1:$F$26,2,FALSE)</f>
        <v>[9]</v>
      </c>
      <c r="AK168">
        <f>HEX2DEC(MID(AH168,3,LEN(AH168)-2))</f>
        <v>0</v>
      </c>
      <c r="AL168" t="str">
        <f>IF(AI168&lt;&gt;AI167,AI168,"")</f>
        <v>placeholder</v>
      </c>
      <c r="AM168">
        <f>SUMIF(AI168:$AI$168,AL168,AK168:$AK$168)</f>
        <v>0</v>
      </c>
      <c r="AP168" s="4" t="s">
        <v>472</v>
      </c>
      <c r="AQ168" t="s">
        <v>479</v>
      </c>
      <c r="AR168" t="s">
        <v>4669</v>
      </c>
      <c r="AS168" t="s">
        <v>6</v>
      </c>
      <c r="AT168" t="s">
        <v>227</v>
      </c>
      <c r="AU168" t="str">
        <f t="shared" si="86"/>
        <v>[1]</v>
      </c>
      <c r="AV168">
        <f t="shared" si="87"/>
        <v>28</v>
      </c>
      <c r="AW168" t="str">
        <f t="shared" si="99"/>
        <v/>
      </c>
      <c r="AX168">
        <f>SUMIF(AT168:$AT$651,AW168,AV168:$AV$651)</f>
        <v>0</v>
      </c>
    </row>
    <row r="169" spans="1:50" x14ac:dyDescent="0.25">
      <c r="A169" s="4" t="s">
        <v>0</v>
      </c>
      <c r="B169" t="s">
        <v>449</v>
      </c>
      <c r="C169" t="s">
        <v>443</v>
      </c>
      <c r="D169" t="s">
        <v>443</v>
      </c>
      <c r="E169" t="s">
        <v>612</v>
      </c>
      <c r="F169" t="str">
        <f t="shared" si="95"/>
        <v>[1]</v>
      </c>
      <c r="G169">
        <f t="shared" ref="G169" si="110">HEX2DEC(MID(D169,3,LEN(D169)-2))</f>
        <v>0</v>
      </c>
      <c r="H169" t="str">
        <f t="shared" ref="H169" si="111">IF(E169&lt;&gt;E168,E169,"")</f>
        <v/>
      </c>
      <c r="I169">
        <f>SUMIF(E169:$E$173,H169,G169:$G$173)</f>
        <v>0</v>
      </c>
      <c r="K169" s="4" t="s">
        <v>421</v>
      </c>
      <c r="L169" t="s">
        <v>422</v>
      </c>
      <c r="M169" t="s">
        <v>2958</v>
      </c>
      <c r="N169" t="s">
        <v>435</v>
      </c>
      <c r="O169" t="s">
        <v>131</v>
      </c>
      <c r="P169" t="str">
        <f t="shared" si="1"/>
        <v>[1]</v>
      </c>
      <c r="Q169">
        <f t="shared" si="109"/>
        <v>60</v>
      </c>
      <c r="R169" t="str">
        <f t="shared" si="98"/>
        <v/>
      </c>
      <c r="S169">
        <f>SUM(S31:S168)</f>
        <v>24452</v>
      </c>
      <c r="AK169">
        <f>SUM(AK168)</f>
        <v>0</v>
      </c>
      <c r="AL169" t="s">
        <v>731</v>
      </c>
      <c r="AM169">
        <f>SUM(AM168)</f>
        <v>0</v>
      </c>
      <c r="AP169" s="4" t="s">
        <v>472</v>
      </c>
      <c r="AQ169" t="s">
        <v>479</v>
      </c>
      <c r="AR169" t="s">
        <v>4670</v>
      </c>
      <c r="AS169" t="s">
        <v>67</v>
      </c>
      <c r="AT169" t="s">
        <v>227</v>
      </c>
      <c r="AU169" t="str">
        <f t="shared" si="86"/>
        <v>[1]</v>
      </c>
      <c r="AV169">
        <f t="shared" si="87"/>
        <v>48</v>
      </c>
      <c r="AW169" t="str">
        <f t="shared" si="99"/>
        <v/>
      </c>
      <c r="AX169">
        <f>SUMIF(AT169:$AT$651,AW169,AV169:$AV$651)</f>
        <v>0</v>
      </c>
    </row>
    <row r="170" spans="1:50" x14ac:dyDescent="0.25">
      <c r="A170" s="4" t="s">
        <v>0</v>
      </c>
      <c r="B170" t="s">
        <v>449</v>
      </c>
      <c r="C170" t="s">
        <v>443</v>
      </c>
      <c r="D170" t="s">
        <v>443</v>
      </c>
      <c r="E170" t="s">
        <v>612</v>
      </c>
      <c r="F170" t="str">
        <f t="shared" si="95"/>
        <v>[1]</v>
      </c>
      <c r="G170">
        <f t="shared" ref="G170" si="112">HEX2DEC(MID(D170,3,LEN(D170)-2))</f>
        <v>0</v>
      </c>
      <c r="H170" t="str">
        <f t="shared" ref="H170" si="113">IF(E170&lt;&gt;E169,E170,"")</f>
        <v/>
      </c>
      <c r="I170">
        <f>SUMIF(E170:$E$173,H170,G170:$G$173)</f>
        <v>0</v>
      </c>
      <c r="K170" s="4" t="s">
        <v>421</v>
      </c>
      <c r="L170" t="s">
        <v>422</v>
      </c>
      <c r="M170" t="s">
        <v>2959</v>
      </c>
      <c r="N170" t="s">
        <v>202</v>
      </c>
      <c r="O170" t="s">
        <v>131</v>
      </c>
      <c r="P170" t="str">
        <f t="shared" si="1"/>
        <v>[1]</v>
      </c>
      <c r="Q170">
        <f t="shared" si="109"/>
        <v>16</v>
      </c>
      <c r="R170" t="str">
        <f t="shared" si="98"/>
        <v/>
      </c>
      <c r="S170">
        <f>SUMIF(O170:$O$2855,R170,Q170:$Q$2855)</f>
        <v>0</v>
      </c>
      <c r="AP170" s="4" t="s">
        <v>472</v>
      </c>
      <c r="AQ170" t="s">
        <v>479</v>
      </c>
      <c r="AR170" t="s">
        <v>4541</v>
      </c>
      <c r="AS170" t="s">
        <v>119</v>
      </c>
      <c r="AT170" t="s">
        <v>249</v>
      </c>
      <c r="AU170" t="str">
        <f t="shared" si="86"/>
        <v>[1]</v>
      </c>
      <c r="AV170">
        <f t="shared" si="87"/>
        <v>32</v>
      </c>
      <c r="AW170" t="str">
        <f t="shared" si="99"/>
        <v>eng_res.o</v>
      </c>
      <c r="AX170">
        <f>SUMIF(AT170:$AT$651,AW170,AV170:$AV$651)</f>
        <v>32</v>
      </c>
    </row>
    <row r="171" spans="1:50" x14ac:dyDescent="0.25">
      <c r="A171" s="4" t="s">
        <v>0</v>
      </c>
      <c r="B171" t="s">
        <v>449</v>
      </c>
      <c r="C171" t="s">
        <v>443</v>
      </c>
      <c r="D171" t="s">
        <v>443</v>
      </c>
      <c r="E171" t="s">
        <v>612</v>
      </c>
      <c r="F171" t="str">
        <f t="shared" si="95"/>
        <v>[1]</v>
      </c>
      <c r="G171">
        <f t="shared" ref="G171" si="114">HEX2DEC(MID(D171,3,LEN(D171)-2))</f>
        <v>0</v>
      </c>
      <c r="H171" t="str">
        <f t="shared" ref="H171" si="115">IF(E171&lt;&gt;E170,E171,"")</f>
        <v/>
      </c>
      <c r="I171">
        <f>SUMIF(E171:$E$173,H171,G171:$G$173)</f>
        <v>0</v>
      </c>
      <c r="K171" s="4" t="s">
        <v>421</v>
      </c>
      <c r="L171" t="s">
        <v>422</v>
      </c>
      <c r="M171" t="s">
        <v>2960</v>
      </c>
      <c r="N171" t="s">
        <v>768</v>
      </c>
      <c r="O171" t="s">
        <v>131</v>
      </c>
      <c r="P171" t="str">
        <f t="shared" si="1"/>
        <v>[1]</v>
      </c>
      <c r="Q171">
        <f t="shared" si="109"/>
        <v>160</v>
      </c>
      <c r="R171" t="str">
        <f t="shared" si="98"/>
        <v/>
      </c>
      <c r="S171">
        <f>SUMIF(O171:$O$2855,R171,Q171:$Q$2855)</f>
        <v>0</v>
      </c>
      <c r="AP171" s="4" t="s">
        <v>472</v>
      </c>
      <c r="AQ171" t="s">
        <v>479</v>
      </c>
      <c r="AR171" t="s">
        <v>4542</v>
      </c>
      <c r="AS171" t="s">
        <v>13</v>
      </c>
      <c r="AT171" t="s">
        <v>136</v>
      </c>
      <c r="AU171" t="str">
        <f t="shared" si="86"/>
        <v>[1]</v>
      </c>
      <c r="AV171">
        <f t="shared" si="87"/>
        <v>12</v>
      </c>
      <c r="AW171" t="str">
        <f t="shared" si="99"/>
        <v>EVL_event_log.o</v>
      </c>
      <c r="AX171">
        <f>SUMIF(AT171:$AT$651,AW171,AV171:$AV$651)</f>
        <v>290</v>
      </c>
    </row>
    <row r="172" spans="1:50" x14ac:dyDescent="0.25">
      <c r="A172" s="4" t="s">
        <v>0</v>
      </c>
      <c r="B172" t="s">
        <v>449</v>
      </c>
      <c r="C172" t="s">
        <v>443</v>
      </c>
      <c r="D172" t="s">
        <v>443</v>
      </c>
      <c r="E172" t="s">
        <v>612</v>
      </c>
      <c r="F172" t="str">
        <f t="shared" si="95"/>
        <v>[1]</v>
      </c>
      <c r="G172">
        <f t="shared" ref="G172" si="116">HEX2DEC(MID(D172,3,LEN(D172)-2))</f>
        <v>0</v>
      </c>
      <c r="H172" t="str">
        <f t="shared" ref="H172" si="117">IF(E172&lt;&gt;E171,E172,"")</f>
        <v/>
      </c>
      <c r="I172">
        <f>SUMIF(E172:$E$173,H172,G172:$G$173)</f>
        <v>0</v>
      </c>
      <c r="K172" s="4" t="s">
        <v>421</v>
      </c>
      <c r="L172" t="s">
        <v>422</v>
      </c>
      <c r="M172" t="s">
        <v>2961</v>
      </c>
      <c r="N172" t="s">
        <v>78</v>
      </c>
      <c r="O172" t="s">
        <v>131</v>
      </c>
      <c r="P172" t="str">
        <f t="shared" si="1"/>
        <v>[1]</v>
      </c>
      <c r="Q172">
        <f t="shared" ref="Q172:Q183" si="118">HEX2DEC(MID(N172,3,LEN(N172)-2))</f>
        <v>4</v>
      </c>
      <c r="R172" t="str">
        <f t="shared" si="98"/>
        <v/>
      </c>
      <c r="S172">
        <f>SUMIF(O172:$O$2855,R172,Q172:$Q$2855)</f>
        <v>0</v>
      </c>
      <c r="AE172" s="47" t="s">
        <v>760</v>
      </c>
      <c r="AF172" s="47"/>
      <c r="AG172" s="47"/>
      <c r="AH172" s="47"/>
      <c r="AI172" s="47"/>
      <c r="AJ172" s="47"/>
      <c r="AK172" s="47"/>
      <c r="AL172" s="47"/>
      <c r="AM172" s="47"/>
      <c r="AP172" s="4" t="s">
        <v>472</v>
      </c>
      <c r="AQ172" t="s">
        <v>479</v>
      </c>
      <c r="AR172" t="s">
        <v>4543</v>
      </c>
      <c r="AS172" t="s">
        <v>78</v>
      </c>
      <c r="AT172" t="s">
        <v>136</v>
      </c>
      <c r="AU172" t="str">
        <f t="shared" si="86"/>
        <v>[1]</v>
      </c>
      <c r="AV172">
        <f t="shared" si="87"/>
        <v>4</v>
      </c>
      <c r="AW172" t="str">
        <f t="shared" si="99"/>
        <v/>
      </c>
      <c r="AX172">
        <f>SUMIF(AT172:$AT$651,AW172,AV172:$AV$651)</f>
        <v>0</v>
      </c>
    </row>
    <row r="173" spans="1:50" x14ac:dyDescent="0.25">
      <c r="A173" s="4" t="s">
        <v>0</v>
      </c>
      <c r="B173" t="s">
        <v>449</v>
      </c>
      <c r="C173" t="s">
        <v>443</v>
      </c>
      <c r="D173" t="s">
        <v>443</v>
      </c>
      <c r="E173" t="s">
        <v>612</v>
      </c>
      <c r="F173" t="str">
        <f t="shared" si="95"/>
        <v>[1]</v>
      </c>
      <c r="G173">
        <f t="shared" si="96"/>
        <v>0</v>
      </c>
      <c r="H173" t="str">
        <f>IF(E173&lt;&gt;E166,E173,"")</f>
        <v/>
      </c>
      <c r="I173">
        <f>SUMIF(E173:$E$173,H173,G173:$G$173)</f>
        <v>0</v>
      </c>
      <c r="K173" s="4" t="s">
        <v>421</v>
      </c>
      <c r="L173" t="s">
        <v>422</v>
      </c>
      <c r="M173" t="s">
        <v>1851</v>
      </c>
      <c r="N173" t="s">
        <v>165</v>
      </c>
      <c r="O173" t="s">
        <v>131</v>
      </c>
      <c r="P173" t="str">
        <f t="shared" si="1"/>
        <v>[1]</v>
      </c>
      <c r="Q173">
        <f t="shared" si="118"/>
        <v>20</v>
      </c>
      <c r="R173" t="str">
        <f t="shared" si="98"/>
        <v/>
      </c>
      <c r="S173">
        <f>SUMIF(O173:$O$2855,R173,Q173:$Q$2855)</f>
        <v>0</v>
      </c>
      <c r="AE173" s="4" t="s">
        <v>470</v>
      </c>
      <c r="AF173" t="s">
        <v>476</v>
      </c>
      <c r="AG173" t="s">
        <v>1246</v>
      </c>
      <c r="AH173" t="s">
        <v>442</v>
      </c>
      <c r="AI173" t="s">
        <v>247</v>
      </c>
      <c r="AJ173" t="str">
        <f>VLOOKUP($AE$172,$E$1:$F$26,2,FALSE)</f>
        <v>[10]</v>
      </c>
      <c r="AK173">
        <f>HEX2DEC(MID(AH173,3,LEN(AH173)-2))</f>
        <v>1</v>
      </c>
      <c r="AL173" t="str">
        <f>IF(AI173&lt;&gt;AI172,AI173,"")</f>
        <v>quicksession.o</v>
      </c>
      <c r="AM173">
        <f>SUMIF(AI173:$AI$173,AL173,AK173:$AK$173)</f>
        <v>1</v>
      </c>
      <c r="AP173" s="4" t="s">
        <v>472</v>
      </c>
      <c r="AQ173" t="s">
        <v>479</v>
      </c>
      <c r="AR173" t="s">
        <v>4544</v>
      </c>
      <c r="AS173" t="s">
        <v>119</v>
      </c>
      <c r="AT173" t="s">
        <v>136</v>
      </c>
      <c r="AU173" t="str">
        <f t="shared" si="86"/>
        <v>[1]</v>
      </c>
      <c r="AV173">
        <f t="shared" si="87"/>
        <v>32</v>
      </c>
      <c r="AW173" t="str">
        <f t="shared" si="99"/>
        <v/>
      </c>
      <c r="AX173">
        <f>SUMIF(AT173:$AT$651,AW173,AV173:$AV$651)</f>
        <v>0</v>
      </c>
    </row>
    <row r="174" spans="1:50" x14ac:dyDescent="0.25">
      <c r="A174" t="s">
        <v>816</v>
      </c>
      <c r="B174" t="str">
        <f ca="1">CELL("address",I174)</f>
        <v>$I$174</v>
      </c>
      <c r="G174">
        <f>SUM(G31:G173)</f>
        <v>269870</v>
      </c>
      <c r="H174" t="s">
        <v>538</v>
      </c>
      <c r="I174">
        <f>SUM(I31:I173)</f>
        <v>269870</v>
      </c>
      <c r="K174" s="4" t="s">
        <v>421</v>
      </c>
      <c r="L174" t="s">
        <v>422</v>
      </c>
      <c r="M174" t="s">
        <v>2962</v>
      </c>
      <c r="N174" t="s">
        <v>13</v>
      </c>
      <c r="O174" t="s">
        <v>131</v>
      </c>
      <c r="P174" t="str">
        <f t="shared" si="1"/>
        <v>[1]</v>
      </c>
      <c r="Q174">
        <f t="shared" si="118"/>
        <v>12</v>
      </c>
      <c r="R174" t="str">
        <f t="shared" si="98"/>
        <v/>
      </c>
      <c r="S174">
        <f>SUMIF(O174:$O$2855,R174,Q174:$Q$2855)</f>
        <v>0</v>
      </c>
      <c r="AK174">
        <f>SUM(AK173)</f>
        <v>1</v>
      </c>
      <c r="AL174" t="s">
        <v>785</v>
      </c>
      <c r="AM174">
        <f>SUM(AM173)</f>
        <v>1</v>
      </c>
      <c r="AP174" s="4" t="s">
        <v>472</v>
      </c>
      <c r="AQ174" t="s">
        <v>479</v>
      </c>
      <c r="AR174" t="s">
        <v>4545</v>
      </c>
      <c r="AS174" t="s">
        <v>78</v>
      </c>
      <c r="AT174" t="s">
        <v>136</v>
      </c>
      <c r="AU174" t="str">
        <f t="shared" si="86"/>
        <v>[1]</v>
      </c>
      <c r="AV174">
        <f t="shared" si="87"/>
        <v>4</v>
      </c>
      <c r="AW174" t="str">
        <f t="shared" si="99"/>
        <v/>
      </c>
      <c r="AX174">
        <f>SUMIF(AT174:$AT$651,AW174,AV174:$AV$651)</f>
        <v>0</v>
      </c>
    </row>
    <row r="175" spans="1:50" x14ac:dyDescent="0.25">
      <c r="K175" s="4" t="s">
        <v>421</v>
      </c>
      <c r="L175" t="s">
        <v>422</v>
      </c>
      <c r="M175" t="s">
        <v>2963</v>
      </c>
      <c r="N175" t="s">
        <v>435</v>
      </c>
      <c r="O175" t="s">
        <v>131</v>
      </c>
      <c r="P175" t="str">
        <f t="shared" si="1"/>
        <v>[1]</v>
      </c>
      <c r="Q175">
        <f t="shared" si="118"/>
        <v>60</v>
      </c>
      <c r="R175" t="str">
        <f t="shared" si="98"/>
        <v/>
      </c>
      <c r="S175">
        <f>SUMIF(O175:$O$2855,R175,Q175:$Q$2855)</f>
        <v>0</v>
      </c>
      <c r="AP175" s="4" t="s">
        <v>472</v>
      </c>
      <c r="AQ175" t="s">
        <v>479</v>
      </c>
      <c r="AR175" t="s">
        <v>4546</v>
      </c>
      <c r="AS175" t="s">
        <v>78</v>
      </c>
      <c r="AT175" t="s">
        <v>136</v>
      </c>
      <c r="AU175" t="str">
        <f t="shared" si="86"/>
        <v>[1]</v>
      </c>
      <c r="AV175">
        <f t="shared" si="87"/>
        <v>4</v>
      </c>
      <c r="AW175" t="str">
        <f t="shared" si="99"/>
        <v/>
      </c>
      <c r="AX175">
        <f>SUMIF(AT175:$AT$651,AW175,AV175:$AV$651)</f>
        <v>0</v>
      </c>
    </row>
    <row r="176" spans="1:50" x14ac:dyDescent="0.25">
      <c r="K176" s="4" t="s">
        <v>421</v>
      </c>
      <c r="L176" t="s">
        <v>422</v>
      </c>
      <c r="M176" t="s">
        <v>2964</v>
      </c>
      <c r="N176" t="s">
        <v>13</v>
      </c>
      <c r="O176" t="s">
        <v>131</v>
      </c>
      <c r="P176" t="str">
        <f t="shared" si="1"/>
        <v>[1]</v>
      </c>
      <c r="Q176">
        <f t="shared" si="118"/>
        <v>12</v>
      </c>
      <c r="R176" t="str">
        <f t="shared" si="98"/>
        <v/>
      </c>
      <c r="S176">
        <f>SUMIF(O176:$O$2855,R176,Q176:$Q$2855)</f>
        <v>0</v>
      </c>
      <c r="AP176" s="4" t="s">
        <v>472</v>
      </c>
      <c r="AQ176" t="s">
        <v>479</v>
      </c>
      <c r="AR176" t="s">
        <v>4547</v>
      </c>
      <c r="AS176" t="s">
        <v>67</v>
      </c>
      <c r="AT176" t="s">
        <v>136</v>
      </c>
      <c r="AU176" t="str">
        <f t="shared" si="86"/>
        <v>[1]</v>
      </c>
      <c r="AV176">
        <f t="shared" si="87"/>
        <v>48</v>
      </c>
      <c r="AW176" t="str">
        <f t="shared" si="99"/>
        <v/>
      </c>
      <c r="AX176">
        <f>SUMIF(AT176:$AT$651,AW176,AV176:$AV$651)</f>
        <v>0</v>
      </c>
    </row>
    <row r="177" spans="1:50" x14ac:dyDescent="0.25">
      <c r="A177" t="s">
        <v>817</v>
      </c>
      <c r="B177" t="str">
        <f ca="1">CELL("address",H179)</f>
        <v>$H$179</v>
      </c>
      <c r="K177" s="4" t="s">
        <v>421</v>
      </c>
      <c r="L177" t="s">
        <v>422</v>
      </c>
      <c r="M177" t="s">
        <v>1852</v>
      </c>
      <c r="N177" t="s">
        <v>119</v>
      </c>
      <c r="O177" t="s">
        <v>131</v>
      </c>
      <c r="P177" t="str">
        <f t="shared" si="1"/>
        <v>[1]</v>
      </c>
      <c r="Q177">
        <f t="shared" si="118"/>
        <v>32</v>
      </c>
      <c r="R177" t="str">
        <f t="shared" si="98"/>
        <v/>
      </c>
      <c r="S177">
        <f>SUMIF(O177:$O$2855,R177,Q177:$Q$2855)</f>
        <v>0</v>
      </c>
      <c r="AE177" s="47" t="s">
        <v>758</v>
      </c>
      <c r="AF177" s="47"/>
      <c r="AG177" s="47"/>
      <c r="AH177" s="47"/>
      <c r="AI177" s="47"/>
      <c r="AJ177" s="47"/>
      <c r="AK177" s="47"/>
      <c r="AL177" s="47"/>
      <c r="AM177" s="47"/>
      <c r="AP177" s="4" t="s">
        <v>472</v>
      </c>
      <c r="AQ177" t="s">
        <v>479</v>
      </c>
      <c r="AR177" t="s">
        <v>4548</v>
      </c>
      <c r="AS177" t="s">
        <v>65</v>
      </c>
      <c r="AT177" t="s">
        <v>136</v>
      </c>
      <c r="AU177" t="str">
        <f t="shared" si="86"/>
        <v>[1]</v>
      </c>
      <c r="AV177">
        <f t="shared" si="87"/>
        <v>40</v>
      </c>
      <c r="AW177" t="str">
        <f t="shared" si="99"/>
        <v/>
      </c>
      <c r="AX177">
        <f>SUMIF(AT177:$AT$651,AW177,AV177:$AV$651)</f>
        <v>0</v>
      </c>
    </row>
    <row r="178" spans="1:50" x14ac:dyDescent="0.25">
      <c r="A178" s="50" t="s">
        <v>539</v>
      </c>
      <c r="B178" s="50"/>
      <c r="C178" s="50"/>
      <c r="D178" s="50"/>
      <c r="E178" s="50"/>
      <c r="F178" s="50"/>
      <c r="G178" s="50"/>
      <c r="H178" s="50"/>
      <c r="I178" s="50"/>
      <c r="K178" s="4" t="s">
        <v>421</v>
      </c>
      <c r="L178" t="s">
        <v>422</v>
      </c>
      <c r="M178" t="s">
        <v>1754</v>
      </c>
      <c r="N178" t="s">
        <v>126</v>
      </c>
      <c r="O178" t="s">
        <v>131</v>
      </c>
      <c r="P178" t="str">
        <f t="shared" si="1"/>
        <v>[1]</v>
      </c>
      <c r="Q178">
        <f t="shared" si="118"/>
        <v>8</v>
      </c>
      <c r="R178" t="str">
        <f t="shared" si="98"/>
        <v/>
      </c>
      <c r="S178">
        <f>SUMIF(O178:$O$2855,R178,Q178:$Q$2855)</f>
        <v>0</v>
      </c>
      <c r="AE178" s="4" t="s">
        <v>471</v>
      </c>
      <c r="AF178" t="s">
        <v>476</v>
      </c>
      <c r="AG178" t="s">
        <v>1048</v>
      </c>
      <c r="AH178" t="s">
        <v>78</v>
      </c>
      <c r="AI178" t="s">
        <v>185</v>
      </c>
      <c r="AJ178" t="str">
        <f>VLOOKUP($AE$177,$E$1:$F$26,2,FALSE)</f>
        <v>[5]</v>
      </c>
      <c r="AK178">
        <f>HEX2DEC(MID(AH178,3,LEN(AH178)-2))</f>
        <v>4</v>
      </c>
      <c r="AL178" t="str">
        <f>IF(AI178&lt;&gt;AI177,AI178,"")</f>
        <v>errno.o</v>
      </c>
      <c r="AM178">
        <f>SUMIF(AI178:$AI$179,AL178,AK178:$AK$179)</f>
        <v>4</v>
      </c>
      <c r="AP178" s="4" t="s">
        <v>472</v>
      </c>
      <c r="AQ178" t="s">
        <v>479</v>
      </c>
      <c r="AR178" t="s">
        <v>4549</v>
      </c>
      <c r="AS178" t="s">
        <v>119</v>
      </c>
      <c r="AT178" t="s">
        <v>136</v>
      </c>
      <c r="AU178" t="str">
        <f t="shared" si="86"/>
        <v>[1]</v>
      </c>
      <c r="AV178">
        <f t="shared" si="87"/>
        <v>32</v>
      </c>
      <c r="AW178" t="str">
        <f t="shared" si="99"/>
        <v/>
      </c>
      <c r="AX178">
        <f>SUMIF(AT178:$AT$651,AW178,AV178:$AV$651)</f>
        <v>0</v>
      </c>
    </row>
    <row r="179" spans="1:50" x14ac:dyDescent="0.25">
      <c r="A179" s="4" t="s">
        <v>0</v>
      </c>
      <c r="B179" t="s">
        <v>449</v>
      </c>
      <c r="C179" t="s">
        <v>2067</v>
      </c>
      <c r="D179" t="s">
        <v>272</v>
      </c>
      <c r="E179" t="s">
        <v>273</v>
      </c>
      <c r="F179" t="str">
        <f t="shared" ref="F179:F215" si="119">VLOOKUP($A$178,$E$1:$F$26,2,FALSE)</f>
        <v>[4]</v>
      </c>
      <c r="G179">
        <f t="shared" ref="G179:G248" si="120">HEX2DEC(MID(D179,3,LEN(D179)-2))</f>
        <v>1096</v>
      </c>
      <c r="H179" t="str">
        <f t="shared" ref="H179:H199" si="121">IF(E179&lt;&gt;E178,E179,"")</f>
        <v>adc.o</v>
      </c>
      <c r="I179">
        <f>SUMIF(E179:$E$215,H179,G179:$G$215)</f>
        <v>1096</v>
      </c>
      <c r="K179" s="4" t="s">
        <v>421</v>
      </c>
      <c r="L179" t="s">
        <v>422</v>
      </c>
      <c r="M179" t="s">
        <v>2965</v>
      </c>
      <c r="N179" t="s">
        <v>437</v>
      </c>
      <c r="O179" t="s">
        <v>131</v>
      </c>
      <c r="P179" t="str">
        <f t="shared" si="1"/>
        <v>[1]</v>
      </c>
      <c r="Q179">
        <f t="shared" si="118"/>
        <v>24</v>
      </c>
      <c r="R179" t="str">
        <f t="shared" si="98"/>
        <v/>
      </c>
      <c r="S179">
        <f>SUMIF(O179:$O$2855,R179,Q179:$Q$2855)</f>
        <v>0</v>
      </c>
      <c r="AE179" s="4" t="s">
        <v>471</v>
      </c>
      <c r="AF179" t="s">
        <v>476</v>
      </c>
      <c r="AG179" t="s">
        <v>953</v>
      </c>
      <c r="AH179" t="s">
        <v>78</v>
      </c>
      <c r="AI179" t="s">
        <v>234</v>
      </c>
      <c r="AJ179" t="str">
        <f>VLOOKUP($AE$177,$E$1:$F$26,2,FALSE)</f>
        <v>[5]</v>
      </c>
      <c r="AK179">
        <f>HEX2DEC(MID(AH179,3,LEN(AH179)-2))</f>
        <v>4</v>
      </c>
      <c r="AL179" t="str">
        <f>IF(AI179&lt;&gt;AI178,AI179,"")</f>
        <v>strtok.o</v>
      </c>
      <c r="AM179">
        <f>SUMIF(AI179:$AI$179,AL179,AK179:$AK$179)</f>
        <v>4</v>
      </c>
      <c r="AP179" s="4" t="s">
        <v>472</v>
      </c>
      <c r="AQ179" t="s">
        <v>479</v>
      </c>
      <c r="AR179" t="s">
        <v>4550</v>
      </c>
      <c r="AS179" t="s">
        <v>6</v>
      </c>
      <c r="AT179" t="s">
        <v>136</v>
      </c>
      <c r="AU179" t="str">
        <f t="shared" si="86"/>
        <v>[1]</v>
      </c>
      <c r="AV179">
        <f t="shared" si="87"/>
        <v>28</v>
      </c>
      <c r="AW179" t="str">
        <f t="shared" si="99"/>
        <v/>
      </c>
      <c r="AX179">
        <f>SUMIF(AT179:$AT$651,AW179,AV179:$AV$651)</f>
        <v>0</v>
      </c>
    </row>
    <row r="180" spans="1:50" x14ac:dyDescent="0.25">
      <c r="A180" s="4" t="s">
        <v>0</v>
      </c>
      <c r="B180" t="s">
        <v>449</v>
      </c>
      <c r="C180" t="s">
        <v>2064</v>
      </c>
      <c r="D180" t="s">
        <v>351</v>
      </c>
      <c r="E180" t="s">
        <v>352</v>
      </c>
      <c r="F180" t="str">
        <f t="shared" si="119"/>
        <v>[4]</v>
      </c>
      <c r="G180">
        <f t="shared" si="120"/>
        <v>1928</v>
      </c>
      <c r="H180" t="str">
        <f t="shared" si="121"/>
        <v>adc_kadc.o</v>
      </c>
      <c r="I180">
        <f>SUMIF(E180:$E$215,H180,G180:$G$215)</f>
        <v>1928</v>
      </c>
      <c r="K180" s="4" t="s">
        <v>421</v>
      </c>
      <c r="L180" t="s">
        <v>422</v>
      </c>
      <c r="M180" t="s">
        <v>2966</v>
      </c>
      <c r="N180" t="s">
        <v>13</v>
      </c>
      <c r="O180" t="s">
        <v>131</v>
      </c>
      <c r="P180" t="str">
        <f t="shared" si="1"/>
        <v>[1]</v>
      </c>
      <c r="Q180">
        <f t="shared" si="118"/>
        <v>12</v>
      </c>
      <c r="R180" t="str">
        <f t="shared" si="98"/>
        <v/>
      </c>
      <c r="S180">
        <f>SUMIF(O180:$O$2855,R180,Q180:$Q$2855)</f>
        <v>0</v>
      </c>
      <c r="AK180">
        <f>SUM(AK178:AK179)</f>
        <v>8</v>
      </c>
      <c r="AL180" t="s">
        <v>747</v>
      </c>
      <c r="AM180">
        <f>SUM(AM178:AM179)</f>
        <v>8</v>
      </c>
      <c r="AP180" s="4" t="s">
        <v>472</v>
      </c>
      <c r="AQ180" t="s">
        <v>479</v>
      </c>
      <c r="AR180" t="s">
        <v>4551</v>
      </c>
      <c r="AS180" t="s">
        <v>190</v>
      </c>
      <c r="AT180" t="s">
        <v>136</v>
      </c>
      <c r="AU180" t="str">
        <f t="shared" si="86"/>
        <v>[1]</v>
      </c>
      <c r="AV180">
        <f t="shared" si="87"/>
        <v>56</v>
      </c>
      <c r="AW180" t="str">
        <f t="shared" si="99"/>
        <v/>
      </c>
      <c r="AX180">
        <f>SUMIF(AT180:$AT$651,AW180,AV180:$AV$651)</f>
        <v>0</v>
      </c>
    </row>
    <row r="181" spans="1:50" x14ac:dyDescent="0.25">
      <c r="A181" s="4" t="s">
        <v>0</v>
      </c>
      <c r="B181" t="s">
        <v>449</v>
      </c>
      <c r="C181" t="s">
        <v>1449</v>
      </c>
      <c r="D181" t="s">
        <v>165</v>
      </c>
      <c r="E181" t="s">
        <v>166</v>
      </c>
      <c r="F181" t="str">
        <f t="shared" si="119"/>
        <v>[4]</v>
      </c>
      <c r="G181">
        <f t="shared" si="120"/>
        <v>20</v>
      </c>
      <c r="H181" t="str">
        <f t="shared" si="121"/>
        <v>adc_mk24.o</v>
      </c>
      <c r="I181">
        <f>SUMIF(E181:$E$215,H181,G181:$G$215)</f>
        <v>20</v>
      </c>
      <c r="K181" s="4" t="s">
        <v>421</v>
      </c>
      <c r="L181" t="s">
        <v>422</v>
      </c>
      <c r="M181" t="s">
        <v>2967</v>
      </c>
      <c r="N181" t="s">
        <v>6</v>
      </c>
      <c r="O181" t="s">
        <v>131</v>
      </c>
      <c r="P181" t="str">
        <f t="shared" si="1"/>
        <v>[1]</v>
      </c>
      <c r="Q181">
        <f t="shared" si="118"/>
        <v>28</v>
      </c>
      <c r="R181" t="str">
        <f t="shared" si="98"/>
        <v/>
      </c>
      <c r="S181">
        <f>SUMIF(O181:$O$2855,R181,Q181:$Q$2855)</f>
        <v>0</v>
      </c>
      <c r="AP181" s="4" t="s">
        <v>472</v>
      </c>
      <c r="AQ181" t="s">
        <v>479</v>
      </c>
      <c r="AR181" t="s">
        <v>4552</v>
      </c>
      <c r="AS181" t="s">
        <v>6</v>
      </c>
      <c r="AT181" t="s">
        <v>136</v>
      </c>
      <c r="AU181" t="str">
        <f t="shared" si="86"/>
        <v>[1]</v>
      </c>
      <c r="AV181">
        <f t="shared" si="87"/>
        <v>28</v>
      </c>
      <c r="AW181" t="str">
        <f t="shared" si="99"/>
        <v/>
      </c>
      <c r="AX181">
        <f>SUMIF(AT181:$AT$651,AW181,AV181:$AV$651)</f>
        <v>0</v>
      </c>
    </row>
    <row r="182" spans="1:50" x14ac:dyDescent="0.25">
      <c r="A182" s="4" t="s">
        <v>0</v>
      </c>
      <c r="B182" t="s">
        <v>449</v>
      </c>
      <c r="C182" t="s">
        <v>2065</v>
      </c>
      <c r="D182" t="s">
        <v>353</v>
      </c>
      <c r="E182" t="s">
        <v>354</v>
      </c>
      <c r="F182" t="str">
        <f t="shared" si="119"/>
        <v>[4]</v>
      </c>
      <c r="G182">
        <f t="shared" si="120"/>
        <v>1850</v>
      </c>
      <c r="H182" t="str">
        <f t="shared" si="121"/>
        <v>adt_kpdb.o</v>
      </c>
      <c r="I182">
        <f>SUMIF(E182:$E$215,H182,G182:$G$215)</f>
        <v>1850</v>
      </c>
      <c r="K182" s="4" t="s">
        <v>421</v>
      </c>
      <c r="L182" t="s">
        <v>422</v>
      </c>
      <c r="M182" t="s">
        <v>2968</v>
      </c>
      <c r="N182" t="s">
        <v>13</v>
      </c>
      <c r="O182" t="s">
        <v>131</v>
      </c>
      <c r="P182" t="str">
        <f t="shared" si="1"/>
        <v>[1]</v>
      </c>
      <c r="Q182">
        <f t="shared" si="118"/>
        <v>12</v>
      </c>
      <c r="R182" t="str">
        <f t="shared" si="98"/>
        <v/>
      </c>
      <c r="S182">
        <f>SUMIF(O182:$O$2855,R182,Q182:$Q$2855)</f>
        <v>0</v>
      </c>
      <c r="AP182" s="4" t="s">
        <v>472</v>
      </c>
      <c r="AQ182" t="s">
        <v>479</v>
      </c>
      <c r="AR182" t="s">
        <v>4612</v>
      </c>
      <c r="AS182" t="s">
        <v>46</v>
      </c>
      <c r="AT182" t="s">
        <v>136</v>
      </c>
      <c r="AU182" t="str">
        <f t="shared" si="86"/>
        <v>[1]</v>
      </c>
      <c r="AV182">
        <f t="shared" si="87"/>
        <v>2</v>
      </c>
      <c r="AW182" t="str">
        <f t="shared" si="99"/>
        <v/>
      </c>
      <c r="AX182">
        <f>SUMIF(AT182:$AT$651,AW182,AV182:$AV$651)</f>
        <v>0</v>
      </c>
    </row>
    <row r="183" spans="1:50" x14ac:dyDescent="0.25">
      <c r="A183" s="4" t="s">
        <v>0</v>
      </c>
      <c r="B183" t="s">
        <v>449</v>
      </c>
      <c r="C183" t="s">
        <v>1453</v>
      </c>
      <c r="D183" t="s">
        <v>1222</v>
      </c>
      <c r="E183" t="s">
        <v>17</v>
      </c>
      <c r="F183" t="str">
        <f t="shared" si="119"/>
        <v>[4]</v>
      </c>
      <c r="G183">
        <f t="shared" si="120"/>
        <v>1644</v>
      </c>
      <c r="H183" t="str">
        <f t="shared" si="121"/>
        <v>bsp_cm.o</v>
      </c>
      <c r="I183">
        <f>SUMIF(E183:$E$215,H183,G183:$G$215)</f>
        <v>1644</v>
      </c>
      <c r="K183" s="4" t="s">
        <v>421</v>
      </c>
      <c r="L183" t="s">
        <v>422</v>
      </c>
      <c r="M183" t="s">
        <v>2969</v>
      </c>
      <c r="N183" t="s">
        <v>13</v>
      </c>
      <c r="O183" t="s">
        <v>131</v>
      </c>
      <c r="P183" t="str">
        <f t="shared" si="1"/>
        <v>[1]</v>
      </c>
      <c r="Q183">
        <f t="shared" si="118"/>
        <v>12</v>
      </c>
      <c r="R183" t="str">
        <f t="shared" si="98"/>
        <v/>
      </c>
      <c r="S183">
        <f>SUMIF(O183:$O$2855,R183,Q183:$Q$2855)</f>
        <v>0</v>
      </c>
      <c r="AE183" s="47" t="s">
        <v>540</v>
      </c>
      <c r="AF183" s="47"/>
      <c r="AG183" s="47"/>
      <c r="AH183" s="47"/>
      <c r="AI183" s="47"/>
      <c r="AJ183" s="47"/>
      <c r="AK183" s="47"/>
      <c r="AL183" s="47"/>
      <c r="AM183" s="47"/>
      <c r="AP183" s="4" t="s">
        <v>472</v>
      </c>
      <c r="AQ183" t="s">
        <v>479</v>
      </c>
      <c r="AR183" t="s">
        <v>4553</v>
      </c>
      <c r="AS183" t="s">
        <v>67</v>
      </c>
      <c r="AT183" t="s">
        <v>118</v>
      </c>
      <c r="AU183" t="str">
        <f t="shared" si="86"/>
        <v>[1]</v>
      </c>
      <c r="AV183">
        <f t="shared" si="87"/>
        <v>48</v>
      </c>
      <c r="AW183" t="str">
        <f t="shared" si="99"/>
        <v>file_io.o</v>
      </c>
      <c r="AX183">
        <f>SUMIF(AT183:$AT$651,AW183,AV183:$AV$651)</f>
        <v>201</v>
      </c>
    </row>
    <row r="184" spans="1:50" x14ac:dyDescent="0.25">
      <c r="A184" s="4" t="s">
        <v>0</v>
      </c>
      <c r="B184" t="s">
        <v>449</v>
      </c>
      <c r="C184" t="s">
        <v>1467</v>
      </c>
      <c r="D184" t="s">
        <v>261</v>
      </c>
      <c r="E184" t="s">
        <v>262</v>
      </c>
      <c r="F184" t="str">
        <f t="shared" si="119"/>
        <v>[4]</v>
      </c>
      <c r="G184">
        <f t="shared" si="120"/>
        <v>228</v>
      </c>
      <c r="H184" t="str">
        <f t="shared" si="121"/>
        <v>crc_kn.o</v>
      </c>
      <c r="I184">
        <f>SUMIF(E184:$E$215,H184,G184:$G$215)</f>
        <v>228</v>
      </c>
      <c r="K184" s="4" t="s">
        <v>421</v>
      </c>
      <c r="L184" t="s">
        <v>422</v>
      </c>
      <c r="M184" t="s">
        <v>1853</v>
      </c>
      <c r="N184" t="s">
        <v>13</v>
      </c>
      <c r="O184" t="s">
        <v>131</v>
      </c>
      <c r="P184" t="str">
        <f t="shared" si="1"/>
        <v>[1]</v>
      </c>
      <c r="Q184">
        <f t="shared" ref="Q184:Q185" si="122">HEX2DEC(MID(N184,3,LEN(N184)-2))</f>
        <v>12</v>
      </c>
      <c r="R184" t="str">
        <f t="shared" si="98"/>
        <v/>
      </c>
      <c r="S184">
        <f>SUMIF(O184:$O$2855,R184,Q184:$Q$2855)</f>
        <v>0</v>
      </c>
      <c r="AE184" s="4" t="s">
        <v>935</v>
      </c>
      <c r="AF184" t="s">
        <v>476</v>
      </c>
      <c r="AG184" t="s">
        <v>4698</v>
      </c>
      <c r="AH184" t="s">
        <v>78</v>
      </c>
      <c r="AI184" t="s">
        <v>486</v>
      </c>
      <c r="AJ184" t="str">
        <f>VLOOKUP($AE$183,$E$1:$F$26,2,FALSE)</f>
        <v>[7]</v>
      </c>
      <c r="AK184">
        <f>HEX2DEC(MID(AH184,3,LEN(AH184)-2))</f>
        <v>4</v>
      </c>
      <c r="AL184" t="str">
        <f>IF(AI184&lt;&gt;AI183,AI184,"")</f>
        <v>kernel_symbols.o</v>
      </c>
      <c r="AM184">
        <f>SUMIF(AI184:$AI$184,AL184,AK184:$AK$184)</f>
        <v>4</v>
      </c>
      <c r="AP184" s="4" t="s">
        <v>472</v>
      </c>
      <c r="AQ184" t="s">
        <v>479</v>
      </c>
      <c r="AR184" t="s">
        <v>4554</v>
      </c>
      <c r="AS184" t="s">
        <v>67</v>
      </c>
      <c r="AT184" t="s">
        <v>118</v>
      </c>
      <c r="AU184" t="str">
        <f t="shared" si="86"/>
        <v>[1]</v>
      </c>
      <c r="AV184">
        <f t="shared" si="87"/>
        <v>48</v>
      </c>
      <c r="AW184" t="str">
        <f t="shared" si="99"/>
        <v/>
      </c>
      <c r="AX184">
        <f>SUMIF(AT184:$AT$651,AW184,AV184:$AV$651)</f>
        <v>0</v>
      </c>
    </row>
    <row r="185" spans="1:50" x14ac:dyDescent="0.25">
      <c r="A185" s="4" t="s">
        <v>0</v>
      </c>
      <c r="B185" t="s">
        <v>449</v>
      </c>
      <c r="C185" t="s">
        <v>1455</v>
      </c>
      <c r="D185" t="s">
        <v>267</v>
      </c>
      <c r="E185" t="s">
        <v>268</v>
      </c>
      <c r="F185" t="str">
        <f t="shared" si="119"/>
        <v>[4]</v>
      </c>
      <c r="G185">
        <f t="shared" si="120"/>
        <v>116</v>
      </c>
      <c r="H185" t="str">
        <f t="shared" si="121"/>
        <v>dma.o</v>
      </c>
      <c r="I185">
        <f>SUMIF(E185:$E$215,H185,G185:$G$215)</f>
        <v>116</v>
      </c>
      <c r="K185" s="4" t="s">
        <v>421</v>
      </c>
      <c r="L185" t="s">
        <v>422</v>
      </c>
      <c r="M185" t="s">
        <v>2970</v>
      </c>
      <c r="N185" t="s">
        <v>165</v>
      </c>
      <c r="O185" t="s">
        <v>131</v>
      </c>
      <c r="P185" t="str">
        <f t="shared" si="1"/>
        <v>[1]</v>
      </c>
      <c r="Q185">
        <f t="shared" si="122"/>
        <v>20</v>
      </c>
      <c r="R185" t="str">
        <f t="shared" si="98"/>
        <v/>
      </c>
      <c r="S185">
        <f>SUMIF(O185:$O$2855,R185,Q185:$Q$2855)</f>
        <v>0</v>
      </c>
      <c r="AE185" t="s">
        <v>957</v>
      </c>
      <c r="AF185" t="str">
        <f ca="1">CELL("address",AM185)</f>
        <v>$AM$185</v>
      </c>
      <c r="AK185">
        <f>SUM(AK184)</f>
        <v>4</v>
      </c>
      <c r="AL185" t="s">
        <v>733</v>
      </c>
      <c r="AM185">
        <f>SUM(AM184)</f>
        <v>4</v>
      </c>
      <c r="AP185" s="4" t="s">
        <v>472</v>
      </c>
      <c r="AQ185" t="s">
        <v>479</v>
      </c>
      <c r="AR185" t="s">
        <v>4555</v>
      </c>
      <c r="AS185" t="s">
        <v>147</v>
      </c>
      <c r="AT185" t="s">
        <v>118</v>
      </c>
      <c r="AU185" t="str">
        <f t="shared" si="86"/>
        <v>[1]</v>
      </c>
      <c r="AV185">
        <f t="shared" si="87"/>
        <v>72</v>
      </c>
      <c r="AW185" t="str">
        <f t="shared" si="99"/>
        <v/>
      </c>
      <c r="AX185">
        <f>SUMIF(AT185:$AT$651,AW185,AV185:$AV$651)</f>
        <v>0</v>
      </c>
    </row>
    <row r="186" spans="1:50" x14ac:dyDescent="0.25">
      <c r="A186" s="4" t="s">
        <v>0</v>
      </c>
      <c r="B186" t="s">
        <v>449</v>
      </c>
      <c r="C186" t="s">
        <v>2062</v>
      </c>
      <c r="D186" t="s">
        <v>415</v>
      </c>
      <c r="E186" t="s">
        <v>416</v>
      </c>
      <c r="F186" t="str">
        <f t="shared" si="119"/>
        <v>[4]</v>
      </c>
      <c r="G186">
        <f t="shared" si="120"/>
        <v>1808</v>
      </c>
      <c r="H186" t="str">
        <f t="shared" si="121"/>
        <v>edma.o</v>
      </c>
      <c r="I186">
        <f>SUMIF(E186:$E$215,H186,G186:$G$215)</f>
        <v>1808</v>
      </c>
      <c r="K186" s="4" t="s">
        <v>421</v>
      </c>
      <c r="L186" t="s">
        <v>422</v>
      </c>
      <c r="M186" t="s">
        <v>2971</v>
      </c>
      <c r="N186" t="s">
        <v>202</v>
      </c>
      <c r="O186" t="s">
        <v>131</v>
      </c>
      <c r="P186" t="str">
        <f t="shared" si="1"/>
        <v>[1]</v>
      </c>
      <c r="Q186">
        <f t="shared" ref="Q186:Q208" si="123">HEX2DEC(MID(N186,3,LEN(N186)-2))</f>
        <v>16</v>
      </c>
      <c r="R186" t="str">
        <f t="shared" si="98"/>
        <v/>
      </c>
      <c r="S186">
        <f>SUMIF(O186:$O$2855,R186,Q186:$Q$2855)</f>
        <v>0</v>
      </c>
      <c r="AP186" s="4" t="s">
        <v>472</v>
      </c>
      <c r="AQ186" t="s">
        <v>479</v>
      </c>
      <c r="AR186" t="s">
        <v>4556</v>
      </c>
      <c r="AS186" t="s">
        <v>119</v>
      </c>
      <c r="AT186" t="s">
        <v>118</v>
      </c>
      <c r="AU186" t="str">
        <f t="shared" si="86"/>
        <v>[1]</v>
      </c>
      <c r="AV186">
        <f t="shared" si="87"/>
        <v>32</v>
      </c>
      <c r="AW186" t="str">
        <f t="shared" si="99"/>
        <v/>
      </c>
      <c r="AX186">
        <f>SUMIF(AT186:$AT$651,AW186,AV186:$AV$651)</f>
        <v>0</v>
      </c>
    </row>
    <row r="187" spans="1:50" x14ac:dyDescent="0.25">
      <c r="A187" s="4" t="s">
        <v>0</v>
      </c>
      <c r="B187" t="s">
        <v>449</v>
      </c>
      <c r="C187" t="s">
        <v>2063</v>
      </c>
      <c r="D187" t="s">
        <v>417</v>
      </c>
      <c r="E187" t="s">
        <v>418</v>
      </c>
      <c r="F187" t="str">
        <f t="shared" si="119"/>
        <v>[4]</v>
      </c>
      <c r="G187">
        <f t="shared" si="120"/>
        <v>128</v>
      </c>
      <c r="H187" t="str">
        <f t="shared" si="121"/>
        <v>edma_kinetis.o</v>
      </c>
      <c r="I187">
        <f>SUMIF(E187:$E$215,H187,G187:$G$215)</f>
        <v>128</v>
      </c>
      <c r="K187" s="4" t="s">
        <v>421</v>
      </c>
      <c r="L187" t="s">
        <v>422</v>
      </c>
      <c r="M187" t="s">
        <v>2972</v>
      </c>
      <c r="N187" t="s">
        <v>103</v>
      </c>
      <c r="O187" t="s">
        <v>131</v>
      </c>
      <c r="P187" t="str">
        <f t="shared" si="1"/>
        <v>[1]</v>
      </c>
      <c r="Q187">
        <f t="shared" si="123"/>
        <v>64</v>
      </c>
      <c r="R187" t="str">
        <f t="shared" si="98"/>
        <v/>
      </c>
      <c r="S187">
        <f>SUMIF(O187:$O$2855,R187,Q187:$Q$2855)</f>
        <v>0</v>
      </c>
      <c r="AP187" s="4" t="s">
        <v>472</v>
      </c>
      <c r="AQ187" t="s">
        <v>479</v>
      </c>
      <c r="AR187" t="s">
        <v>4621</v>
      </c>
      <c r="AS187" t="s">
        <v>442</v>
      </c>
      <c r="AT187" t="s">
        <v>118</v>
      </c>
      <c r="AU187" t="str">
        <f t="shared" si="86"/>
        <v>[1]</v>
      </c>
      <c r="AV187">
        <f t="shared" si="87"/>
        <v>1</v>
      </c>
      <c r="AW187" t="str">
        <f t="shared" si="99"/>
        <v/>
      </c>
      <c r="AX187">
        <f>SUMIF(AT187:$AT$651,AW187,AV187:$AV$651)</f>
        <v>0</v>
      </c>
    </row>
    <row r="188" spans="1:50" x14ac:dyDescent="0.25">
      <c r="A188" s="4" t="s">
        <v>0</v>
      </c>
      <c r="B188" t="s">
        <v>449</v>
      </c>
      <c r="C188" t="s">
        <v>1454</v>
      </c>
      <c r="D188" t="s">
        <v>38</v>
      </c>
      <c r="E188" t="s">
        <v>39</v>
      </c>
      <c r="F188" t="str">
        <f t="shared" si="119"/>
        <v>[4]</v>
      </c>
      <c r="G188">
        <f t="shared" si="120"/>
        <v>270</v>
      </c>
      <c r="H188" t="str">
        <f t="shared" si="121"/>
        <v>hwtimer.o</v>
      </c>
      <c r="I188">
        <f>SUMIF(E188:$E$215,H188,G188:$G$215)</f>
        <v>270</v>
      </c>
      <c r="K188" s="4" t="s">
        <v>421</v>
      </c>
      <c r="L188" t="s">
        <v>422</v>
      </c>
      <c r="M188" t="s">
        <v>2973</v>
      </c>
      <c r="N188" t="s">
        <v>13</v>
      </c>
      <c r="O188" t="s">
        <v>131</v>
      </c>
      <c r="P188" t="str">
        <f t="shared" si="1"/>
        <v>[1]</v>
      </c>
      <c r="Q188">
        <f t="shared" si="123"/>
        <v>12</v>
      </c>
      <c r="R188" t="str">
        <f t="shared" si="98"/>
        <v/>
      </c>
      <c r="S188">
        <f>SUMIF(O188:$O$2855,R188,Q188:$Q$2855)</f>
        <v>0</v>
      </c>
      <c r="AE188" t="s">
        <v>819</v>
      </c>
      <c r="AF188" t="str">
        <f ca="1">CELL("address",AL190)</f>
        <v>$AL$190</v>
      </c>
      <c r="AP188" s="4" t="s">
        <v>472</v>
      </c>
      <c r="AQ188" t="s">
        <v>479</v>
      </c>
      <c r="AR188" t="s">
        <v>1580</v>
      </c>
      <c r="AS188" t="s">
        <v>78</v>
      </c>
      <c r="AT188" s="1" t="s">
        <v>1115</v>
      </c>
      <c r="AU188" t="str">
        <f t="shared" si="86"/>
        <v>[1]</v>
      </c>
      <c r="AV188">
        <f t="shared" si="87"/>
        <v>4</v>
      </c>
      <c r="AW188" t="str">
        <f t="shared" si="99"/>
        <v>fir_filt_circ_buff.o</v>
      </c>
      <c r="AX188">
        <f>SUMIF(AT188:$AT$651,AW188,AV188:$AV$651)</f>
        <v>4</v>
      </c>
    </row>
    <row r="189" spans="1:50" x14ac:dyDescent="0.25">
      <c r="A189" s="4" t="s">
        <v>0</v>
      </c>
      <c r="B189" t="s">
        <v>449</v>
      </c>
      <c r="C189" t="s">
        <v>2061</v>
      </c>
      <c r="D189" t="s">
        <v>78</v>
      </c>
      <c r="E189" t="s">
        <v>411</v>
      </c>
      <c r="F189" t="str">
        <f t="shared" si="119"/>
        <v>[4]</v>
      </c>
      <c r="G189">
        <f t="shared" si="120"/>
        <v>4</v>
      </c>
      <c r="H189" t="str">
        <f t="shared" si="121"/>
        <v>hwtimer_kinetis.o</v>
      </c>
      <c r="I189">
        <f>SUMIF(E189:$E$215,H189,G189:$G$215)</f>
        <v>4</v>
      </c>
      <c r="K189" s="4" t="s">
        <v>421</v>
      </c>
      <c r="L189" t="s">
        <v>422</v>
      </c>
      <c r="M189" t="s">
        <v>2974</v>
      </c>
      <c r="N189" t="s">
        <v>103</v>
      </c>
      <c r="O189" t="s">
        <v>131</v>
      </c>
      <c r="P189" t="str">
        <f t="shared" si="1"/>
        <v>[1]</v>
      </c>
      <c r="Q189">
        <f t="shared" si="123"/>
        <v>64</v>
      </c>
      <c r="R189" t="str">
        <f t="shared" si="98"/>
        <v/>
      </c>
      <c r="S189">
        <f>SUMIF(O189:$O$2855,R189,Q189:$Q$2855)</f>
        <v>0</v>
      </c>
      <c r="AE189" s="47" t="s">
        <v>802</v>
      </c>
      <c r="AF189" s="47"/>
      <c r="AG189" s="47"/>
      <c r="AH189" s="47"/>
      <c r="AI189" s="47"/>
      <c r="AJ189" s="47"/>
      <c r="AK189" s="47"/>
      <c r="AL189" s="47"/>
      <c r="AM189" s="47"/>
      <c r="AP189" s="4" t="s">
        <v>472</v>
      </c>
      <c r="AQ189" t="s">
        <v>479</v>
      </c>
      <c r="AR189" t="s">
        <v>1725</v>
      </c>
      <c r="AS189" t="s">
        <v>126</v>
      </c>
      <c r="AT189" t="s">
        <v>1669</v>
      </c>
      <c r="AU189" t="str">
        <f t="shared" si="86"/>
        <v>[1]</v>
      </c>
      <c r="AV189">
        <f t="shared" si="87"/>
        <v>8</v>
      </c>
      <c r="AW189" t="str">
        <f t="shared" si="99"/>
        <v>FTM1.o</v>
      </c>
      <c r="AX189">
        <f>SUMIF(AT189:$AT$651,AW189,AV189:$AV$651)</f>
        <v>9</v>
      </c>
    </row>
    <row r="190" spans="1:50" x14ac:dyDescent="0.25">
      <c r="A190" s="4" t="s">
        <v>0</v>
      </c>
      <c r="B190" t="s">
        <v>449</v>
      </c>
      <c r="C190" t="s">
        <v>2060</v>
      </c>
      <c r="D190" t="s">
        <v>280</v>
      </c>
      <c r="E190" t="s">
        <v>410</v>
      </c>
      <c r="F190" t="str">
        <f t="shared" si="119"/>
        <v>[4]</v>
      </c>
      <c r="G190">
        <f t="shared" si="120"/>
        <v>280</v>
      </c>
      <c r="H190" t="str">
        <f t="shared" si="121"/>
        <v>hwtimer_systick.o</v>
      </c>
      <c r="I190">
        <f>SUMIF(E190:$E$215,H190,G190:$G$215)</f>
        <v>280</v>
      </c>
      <c r="K190" s="4" t="s">
        <v>421</v>
      </c>
      <c r="L190" t="s">
        <v>422</v>
      </c>
      <c r="M190" t="s">
        <v>2975</v>
      </c>
      <c r="N190" t="s">
        <v>13</v>
      </c>
      <c r="O190" t="s">
        <v>131</v>
      </c>
      <c r="P190" t="str">
        <f t="shared" si="1"/>
        <v>[1]</v>
      </c>
      <c r="Q190">
        <f t="shared" si="123"/>
        <v>12</v>
      </c>
      <c r="R190" t="str">
        <f t="shared" si="98"/>
        <v/>
      </c>
      <c r="S190">
        <f>SUMIF(O190:$O$2855,R190,Q190:$Q$2855)</f>
        <v>0</v>
      </c>
      <c r="AE190" t="s">
        <v>470</v>
      </c>
      <c r="AF190" t="s">
        <v>476</v>
      </c>
      <c r="AG190" s="6" t="s">
        <v>611</v>
      </c>
      <c r="AH190" s="6" t="s">
        <v>443</v>
      </c>
      <c r="AI190" s="6" t="s">
        <v>612</v>
      </c>
      <c r="AJ190" t="str">
        <f>VLOOKUP($AE$189,$E$1:$F$26,2,FALSE)</f>
        <v>[3]</v>
      </c>
      <c r="AK190">
        <f>HEX2DEC(MID(AH190,3,LEN(AH190)-2))</f>
        <v>0</v>
      </c>
      <c r="AL190" t="str">
        <f>IF(AI190&lt;&gt;AI189,AI190,"")</f>
        <v>placeholder</v>
      </c>
      <c r="AM190">
        <f>SUMIF(AI190:$AI$190,AL190,AK190:$AK$190)</f>
        <v>0</v>
      </c>
      <c r="AP190" s="4" t="s">
        <v>472</v>
      </c>
      <c r="AQ190" t="s">
        <v>479</v>
      </c>
      <c r="AR190" t="s">
        <v>4622</v>
      </c>
      <c r="AS190" t="s">
        <v>442</v>
      </c>
      <c r="AT190" t="s">
        <v>1669</v>
      </c>
      <c r="AU190" t="str">
        <f t="shared" si="86"/>
        <v>[1]</v>
      </c>
      <c r="AV190">
        <f t="shared" si="87"/>
        <v>1</v>
      </c>
      <c r="AW190" t="str">
        <f t="shared" si="99"/>
        <v/>
      </c>
      <c r="AX190">
        <f>SUMIF(AT190:$AT$651,AW190,AV190:$AV$651)</f>
        <v>0</v>
      </c>
    </row>
    <row r="191" spans="1:50" x14ac:dyDescent="0.25">
      <c r="A191" s="4" t="s">
        <v>0</v>
      </c>
      <c r="B191" t="s">
        <v>449</v>
      </c>
      <c r="C191" t="s">
        <v>1461</v>
      </c>
      <c r="D191" t="s">
        <v>356</v>
      </c>
      <c r="E191" t="s">
        <v>357</v>
      </c>
      <c r="F191" t="str">
        <f t="shared" si="119"/>
        <v>[4]</v>
      </c>
      <c r="G191">
        <f t="shared" si="120"/>
        <v>298</v>
      </c>
      <c r="H191" t="str">
        <f t="shared" si="121"/>
        <v>i2c_int.o</v>
      </c>
      <c r="I191">
        <f>SUMIF(E191:$E$215,H191,G191:$G$215)</f>
        <v>298</v>
      </c>
      <c r="K191" s="4" t="s">
        <v>421</v>
      </c>
      <c r="L191" t="s">
        <v>422</v>
      </c>
      <c r="M191" t="s">
        <v>2976</v>
      </c>
      <c r="N191" t="s">
        <v>124</v>
      </c>
      <c r="O191" t="s">
        <v>131</v>
      </c>
      <c r="P191" t="str">
        <f t="shared" si="1"/>
        <v>[1]</v>
      </c>
      <c r="Q191">
        <f t="shared" si="123"/>
        <v>68</v>
      </c>
      <c r="R191" t="str">
        <f t="shared" si="98"/>
        <v/>
      </c>
      <c r="S191">
        <f>SUMIF(O191:$O$2855,R191,Q191:$Q$2855)</f>
        <v>0</v>
      </c>
      <c r="AE191" t="s">
        <v>820</v>
      </c>
      <c r="AF191" t="str">
        <f ca="1">CELL("address",AM191)</f>
        <v>$AM$191</v>
      </c>
      <c r="AG191" s="6"/>
      <c r="AH191" s="6"/>
      <c r="AI191" s="6"/>
      <c r="AJ191" s="6"/>
      <c r="AK191">
        <f>SUM(AK190:AK190)</f>
        <v>0</v>
      </c>
      <c r="AL191" t="s">
        <v>806</v>
      </c>
      <c r="AM191">
        <f>SUM(AM190:AM190)</f>
        <v>0</v>
      </c>
      <c r="AP191" s="4" t="s">
        <v>472</v>
      </c>
      <c r="AQ191" t="s">
        <v>479</v>
      </c>
      <c r="AR191" t="s">
        <v>1581</v>
      </c>
      <c r="AS191" t="s">
        <v>103</v>
      </c>
      <c r="AT191" t="s">
        <v>1071</v>
      </c>
      <c r="AU191" t="str">
        <f t="shared" si="86"/>
        <v>[1]</v>
      </c>
      <c r="AV191">
        <f t="shared" si="87"/>
        <v>64</v>
      </c>
      <c r="AW191" t="str">
        <f t="shared" si="99"/>
        <v>galois.o</v>
      </c>
      <c r="AX191">
        <f>SUMIF(AT191:$AT$651,AW191,AV191:$AV$651)</f>
        <v>128</v>
      </c>
    </row>
    <row r="192" spans="1:50" x14ac:dyDescent="0.25">
      <c r="A192" s="4" t="s">
        <v>0</v>
      </c>
      <c r="B192" t="s">
        <v>449</v>
      </c>
      <c r="C192" t="s">
        <v>1457</v>
      </c>
      <c r="D192" t="s">
        <v>940</v>
      </c>
      <c r="E192" t="s">
        <v>274</v>
      </c>
      <c r="F192" t="str">
        <f t="shared" si="119"/>
        <v>[4]</v>
      </c>
      <c r="G192">
        <f t="shared" si="120"/>
        <v>1242</v>
      </c>
      <c r="H192" t="str">
        <f t="shared" si="121"/>
        <v>i2c_int_ki2c.o</v>
      </c>
      <c r="I192">
        <f>SUMIF(E192:$E$215,H192,G192:$G$215)</f>
        <v>1242</v>
      </c>
      <c r="K192" s="4" t="s">
        <v>421</v>
      </c>
      <c r="L192" t="s">
        <v>422</v>
      </c>
      <c r="M192" t="s">
        <v>2977</v>
      </c>
      <c r="N192" t="s">
        <v>13</v>
      </c>
      <c r="O192" t="s">
        <v>131</v>
      </c>
      <c r="P192" t="str">
        <f t="shared" si="1"/>
        <v>[1]</v>
      </c>
      <c r="Q192">
        <f t="shared" si="123"/>
        <v>12</v>
      </c>
      <c r="R192" t="str">
        <f t="shared" si="98"/>
        <v/>
      </c>
      <c r="S192">
        <f>SUMIF(O192:$O$2855,R192,Q192:$Q$2855)</f>
        <v>0</v>
      </c>
      <c r="AP192" s="4" t="s">
        <v>472</v>
      </c>
      <c r="AQ192" t="s">
        <v>479</v>
      </c>
      <c r="AR192" t="s">
        <v>1582</v>
      </c>
      <c r="AS192" t="s">
        <v>103</v>
      </c>
      <c r="AT192" t="s">
        <v>1071</v>
      </c>
      <c r="AU192" t="str">
        <f t="shared" si="86"/>
        <v>[1]</v>
      </c>
      <c r="AV192">
        <f t="shared" si="87"/>
        <v>64</v>
      </c>
      <c r="AW192" t="str">
        <f t="shared" si="99"/>
        <v/>
      </c>
      <c r="AX192">
        <f>SUMIF(AT192:$AT$651,AW192,AV192:$AV$651)</f>
        <v>0</v>
      </c>
    </row>
    <row r="193" spans="1:50" x14ac:dyDescent="0.25">
      <c r="A193" s="4" t="s">
        <v>0</v>
      </c>
      <c r="B193" t="s">
        <v>449</v>
      </c>
      <c r="C193" t="s">
        <v>1463</v>
      </c>
      <c r="D193" t="s">
        <v>67</v>
      </c>
      <c r="E193" t="s">
        <v>360</v>
      </c>
      <c r="F193" t="str">
        <f t="shared" si="119"/>
        <v>[4]</v>
      </c>
      <c r="G193">
        <f t="shared" si="120"/>
        <v>48</v>
      </c>
      <c r="H193" t="str">
        <f t="shared" si="121"/>
        <v>i2c_mk24.o</v>
      </c>
      <c r="I193">
        <f>SUMIF(E193:$E$215,H193,G193:$G$215)</f>
        <v>48</v>
      </c>
      <c r="K193" s="4" t="s">
        <v>421</v>
      </c>
      <c r="L193" t="s">
        <v>422</v>
      </c>
      <c r="M193" t="s">
        <v>2978</v>
      </c>
      <c r="N193" t="s">
        <v>103</v>
      </c>
      <c r="O193" t="s">
        <v>131</v>
      </c>
      <c r="P193" t="str">
        <f t="shared" si="1"/>
        <v>[1]</v>
      </c>
      <c r="Q193">
        <f t="shared" si="123"/>
        <v>64</v>
      </c>
      <c r="R193" t="str">
        <f t="shared" si="98"/>
        <v/>
      </c>
      <c r="S193">
        <f>SUMIF(O193:$O$2855,R193,Q193:$Q$2855)</f>
        <v>0</v>
      </c>
      <c r="AP193" s="4" t="s">
        <v>472</v>
      </c>
      <c r="AQ193" t="s">
        <v>479</v>
      </c>
      <c r="AR193" t="s">
        <v>1583</v>
      </c>
      <c r="AS193" t="s">
        <v>165</v>
      </c>
      <c r="AT193" t="s">
        <v>1116</v>
      </c>
      <c r="AU193" t="str">
        <f t="shared" si="86"/>
        <v>[1]</v>
      </c>
      <c r="AV193">
        <f t="shared" si="87"/>
        <v>20</v>
      </c>
      <c r="AW193" t="str">
        <f t="shared" si="99"/>
        <v>gresample.o</v>
      </c>
      <c r="AX193">
        <f>SUMIF(AT193:$AT$651,AW193,AV193:$AV$651)</f>
        <v>384</v>
      </c>
    </row>
    <row r="194" spans="1:50" x14ac:dyDescent="0.25">
      <c r="A194" s="4" t="s">
        <v>0</v>
      </c>
      <c r="B194" t="s">
        <v>449</v>
      </c>
      <c r="C194" t="s">
        <v>1462</v>
      </c>
      <c r="D194" t="s">
        <v>358</v>
      </c>
      <c r="E194" t="s">
        <v>359</v>
      </c>
      <c r="F194" t="str">
        <f t="shared" si="119"/>
        <v>[4]</v>
      </c>
      <c r="G194">
        <f t="shared" si="120"/>
        <v>1076</v>
      </c>
      <c r="H194" t="str">
        <f t="shared" si="121"/>
        <v>i2c_pol_ki2c.o</v>
      </c>
      <c r="I194">
        <f>SUMIF(E194:$E$215,H194,G194:$G$215)</f>
        <v>1076</v>
      </c>
      <c r="K194" s="4" t="s">
        <v>421</v>
      </c>
      <c r="L194" t="s">
        <v>422</v>
      </c>
      <c r="M194" t="s">
        <v>1854</v>
      </c>
      <c r="N194" t="s">
        <v>126</v>
      </c>
      <c r="O194" t="s">
        <v>131</v>
      </c>
      <c r="P194" t="str">
        <f t="shared" si="1"/>
        <v>[1]</v>
      </c>
      <c r="Q194">
        <f t="shared" si="123"/>
        <v>8</v>
      </c>
      <c r="R194" t="str">
        <f t="shared" si="98"/>
        <v/>
      </c>
      <c r="S194">
        <f>SUMIF(O194:$O$2855,R194,Q194:$Q$2855)</f>
        <v>0</v>
      </c>
      <c r="AP194" s="4" t="s">
        <v>472</v>
      </c>
      <c r="AQ194" t="s">
        <v>479</v>
      </c>
      <c r="AR194" t="s">
        <v>1584</v>
      </c>
      <c r="AS194" t="s">
        <v>482</v>
      </c>
      <c r="AT194" t="s">
        <v>1116</v>
      </c>
      <c r="AU194" t="str">
        <f t="shared" si="86"/>
        <v>[1]</v>
      </c>
      <c r="AV194">
        <f t="shared" si="87"/>
        <v>364</v>
      </c>
      <c r="AW194" t="str">
        <f t="shared" si="99"/>
        <v/>
      </c>
      <c r="AX194">
        <f>SUMIF(AT194:$AT$651,AW194,AV194:$AV$651)</f>
        <v>0</v>
      </c>
    </row>
    <row r="195" spans="1:50" x14ac:dyDescent="0.25">
      <c r="A195" s="4" t="s">
        <v>0</v>
      </c>
      <c r="B195" t="s">
        <v>449</v>
      </c>
      <c r="C195" t="s">
        <v>1452</v>
      </c>
      <c r="D195" t="s">
        <v>1104</v>
      </c>
      <c r="E195" t="s">
        <v>173</v>
      </c>
      <c r="F195" t="str">
        <f t="shared" si="119"/>
        <v>[4]</v>
      </c>
      <c r="G195">
        <f t="shared" si="120"/>
        <v>472</v>
      </c>
      <c r="H195" t="str">
        <f t="shared" si="121"/>
        <v>init_bsp.o</v>
      </c>
      <c r="I195">
        <f>SUMIF(E195:$E$215,H195,G195:$G$215)</f>
        <v>472</v>
      </c>
      <c r="K195" s="4" t="s">
        <v>421</v>
      </c>
      <c r="L195" t="s">
        <v>422</v>
      </c>
      <c r="M195" t="s">
        <v>2979</v>
      </c>
      <c r="N195" t="s">
        <v>13</v>
      </c>
      <c r="O195" t="s">
        <v>131</v>
      </c>
      <c r="P195" t="str">
        <f t="shared" si="1"/>
        <v>[1]</v>
      </c>
      <c r="Q195">
        <f t="shared" si="123"/>
        <v>12</v>
      </c>
      <c r="R195" t="str">
        <f t="shared" si="98"/>
        <v/>
      </c>
      <c r="S195">
        <f>SUMIF(O195:$O$2855,R195,Q195:$Q$2855)</f>
        <v>0</v>
      </c>
      <c r="AP195" s="4" t="s">
        <v>472</v>
      </c>
      <c r="AQ195" t="s">
        <v>479</v>
      </c>
      <c r="AR195" t="s">
        <v>4645</v>
      </c>
      <c r="AS195" t="s">
        <v>334</v>
      </c>
      <c r="AT195" t="s">
        <v>1134</v>
      </c>
      <c r="AU195" t="str">
        <f t="shared" si="86"/>
        <v>[1]</v>
      </c>
      <c r="AV195">
        <f t="shared" si="87"/>
        <v>2048</v>
      </c>
      <c r="AW195" t="str">
        <f t="shared" si="99"/>
        <v>hdlc_frame.o</v>
      </c>
      <c r="AX195">
        <f>SUMIF(AT195:$AT$651,AW195,AV195:$AV$651)</f>
        <v>2110</v>
      </c>
    </row>
    <row r="196" spans="1:50" x14ac:dyDescent="0.25">
      <c r="A196" s="4" t="s">
        <v>0</v>
      </c>
      <c r="B196" t="s">
        <v>449</v>
      </c>
      <c r="C196" t="s">
        <v>1451</v>
      </c>
      <c r="D196" t="s">
        <v>1087</v>
      </c>
      <c r="E196" t="s">
        <v>18</v>
      </c>
      <c r="F196" t="str">
        <f t="shared" si="119"/>
        <v>[4]</v>
      </c>
      <c r="G196">
        <f t="shared" si="120"/>
        <v>700</v>
      </c>
      <c r="H196" t="str">
        <f t="shared" si="121"/>
        <v>init_gpio.o</v>
      </c>
      <c r="I196">
        <f>SUMIF(E196:$E$215,H196,G196:$G$215)</f>
        <v>700</v>
      </c>
      <c r="K196" s="4" t="s">
        <v>421</v>
      </c>
      <c r="L196" t="s">
        <v>422</v>
      </c>
      <c r="M196" t="s">
        <v>2980</v>
      </c>
      <c r="N196" t="s">
        <v>13</v>
      </c>
      <c r="O196" t="s">
        <v>131</v>
      </c>
      <c r="P196" t="str">
        <f t="shared" si="1"/>
        <v>[1]</v>
      </c>
      <c r="Q196">
        <f t="shared" si="123"/>
        <v>12</v>
      </c>
      <c r="R196" t="str">
        <f t="shared" si="98"/>
        <v/>
      </c>
      <c r="S196">
        <f>SUMIF(O196:$O$2855,R196,Q196:$Q$2855)</f>
        <v>0</v>
      </c>
      <c r="AP196" s="4" t="s">
        <v>472</v>
      </c>
      <c r="AQ196" t="s">
        <v>479</v>
      </c>
      <c r="AR196" t="s">
        <v>4646</v>
      </c>
      <c r="AS196" t="s">
        <v>78</v>
      </c>
      <c r="AT196" t="s">
        <v>1134</v>
      </c>
      <c r="AU196" t="str">
        <f t="shared" si="86"/>
        <v>[1]</v>
      </c>
      <c r="AV196">
        <f t="shared" si="87"/>
        <v>4</v>
      </c>
      <c r="AW196" t="str">
        <f t="shared" si="99"/>
        <v/>
      </c>
      <c r="AX196">
        <f>SUMIF(AT196:$AT$651,AW196,AV196:$AV$651)</f>
        <v>0</v>
      </c>
    </row>
    <row r="197" spans="1:50" x14ac:dyDescent="0.25">
      <c r="A197" s="4" t="s">
        <v>0</v>
      </c>
      <c r="B197" t="s">
        <v>449</v>
      </c>
      <c r="C197" t="s">
        <v>1460</v>
      </c>
      <c r="D197" t="s">
        <v>1</v>
      </c>
      <c r="E197" t="s">
        <v>8</v>
      </c>
      <c r="F197" t="str">
        <f t="shared" si="119"/>
        <v>[4]</v>
      </c>
      <c r="G197">
        <f t="shared" si="120"/>
        <v>46</v>
      </c>
      <c r="H197" t="str">
        <f t="shared" si="121"/>
        <v>init_hw.o</v>
      </c>
      <c r="I197">
        <f>SUMIF(E197:$E$215,H197,G197:$G$215)</f>
        <v>46</v>
      </c>
      <c r="K197" s="4" t="s">
        <v>421</v>
      </c>
      <c r="L197" t="s">
        <v>422</v>
      </c>
      <c r="M197" t="s">
        <v>2981</v>
      </c>
      <c r="N197" t="s">
        <v>65</v>
      </c>
      <c r="O197" t="s">
        <v>131</v>
      </c>
      <c r="P197" t="str">
        <f t="shared" si="1"/>
        <v>[1]</v>
      </c>
      <c r="Q197">
        <f t="shared" si="123"/>
        <v>40</v>
      </c>
      <c r="R197" t="str">
        <f t="shared" si="98"/>
        <v/>
      </c>
      <c r="S197">
        <f>SUMIF(O197:$O$2855,R197,Q197:$Q$2855)</f>
        <v>0</v>
      </c>
      <c r="AP197" s="4" t="s">
        <v>472</v>
      </c>
      <c r="AQ197" t="s">
        <v>479</v>
      </c>
      <c r="AR197" t="s">
        <v>4647</v>
      </c>
      <c r="AS197" t="s">
        <v>78</v>
      </c>
      <c r="AT197" t="s">
        <v>1134</v>
      </c>
      <c r="AU197" t="str">
        <f t="shared" si="86"/>
        <v>[1]</v>
      </c>
      <c r="AV197">
        <f t="shared" si="87"/>
        <v>4</v>
      </c>
      <c r="AW197" t="str">
        <f t="shared" si="99"/>
        <v/>
      </c>
      <c r="AX197">
        <f>SUMIF(AT197:$AT$651,AW197,AV197:$AV$651)</f>
        <v>0</v>
      </c>
    </row>
    <row r="198" spans="1:50" x14ac:dyDescent="0.25">
      <c r="A198" s="4" t="s">
        <v>0</v>
      </c>
      <c r="B198" t="s">
        <v>449</v>
      </c>
      <c r="C198" t="s">
        <v>1458</v>
      </c>
      <c r="D198" t="s">
        <v>275</v>
      </c>
      <c r="E198" t="s">
        <v>276</v>
      </c>
      <c r="F198" t="str">
        <f t="shared" si="119"/>
        <v>[4]</v>
      </c>
      <c r="G198">
        <f t="shared" si="120"/>
        <v>80</v>
      </c>
      <c r="H198" t="str">
        <f t="shared" si="121"/>
        <v>io_sinit.o</v>
      </c>
      <c r="I198">
        <f>SUMIF(E198:$E$215,H198,G198:$G$215)</f>
        <v>80</v>
      </c>
      <c r="K198" s="4" t="s">
        <v>421</v>
      </c>
      <c r="L198" t="s">
        <v>422</v>
      </c>
      <c r="M198" t="s">
        <v>2982</v>
      </c>
      <c r="N198" t="s">
        <v>202</v>
      </c>
      <c r="O198" t="s">
        <v>131</v>
      </c>
      <c r="P198" t="str">
        <f t="shared" si="1"/>
        <v>[1]</v>
      </c>
      <c r="Q198">
        <f t="shared" si="123"/>
        <v>16</v>
      </c>
      <c r="R198" t="str">
        <f t="shared" si="98"/>
        <v/>
      </c>
      <c r="S198">
        <f>SUMIF(O198:$O$2855,R198,Q198:$Q$2855)</f>
        <v>0</v>
      </c>
      <c r="AP198" s="4" t="s">
        <v>472</v>
      </c>
      <c r="AQ198" t="s">
        <v>479</v>
      </c>
      <c r="AR198" t="s">
        <v>4648</v>
      </c>
      <c r="AS198" t="s">
        <v>67</v>
      </c>
      <c r="AT198" t="s">
        <v>1134</v>
      </c>
      <c r="AU198" t="str">
        <f t="shared" si="86"/>
        <v>[1]</v>
      </c>
      <c r="AV198">
        <f t="shared" si="87"/>
        <v>48</v>
      </c>
      <c r="AW198" t="str">
        <f t="shared" si="99"/>
        <v/>
      </c>
      <c r="AX198">
        <f>SUMIF(AT198:$AT$651,AW198,AV198:$AV$651)</f>
        <v>0</v>
      </c>
    </row>
    <row r="199" spans="1:50" x14ac:dyDescent="0.25">
      <c r="A199" s="4" t="s">
        <v>0</v>
      </c>
      <c r="B199" t="s">
        <v>449</v>
      </c>
      <c r="C199" t="s">
        <v>1456</v>
      </c>
      <c r="D199" t="s">
        <v>932</v>
      </c>
      <c r="E199" t="s">
        <v>264</v>
      </c>
      <c r="F199" t="str">
        <f t="shared" si="119"/>
        <v>[4]</v>
      </c>
      <c r="G199">
        <f t="shared" si="120"/>
        <v>196</v>
      </c>
      <c r="H199" t="str">
        <f t="shared" si="121"/>
        <v>krtc.o</v>
      </c>
      <c r="I199">
        <f>SUMIF(E199:$E$215,H199,G199:$G$215)</f>
        <v>196</v>
      </c>
      <c r="K199" s="4" t="s">
        <v>421</v>
      </c>
      <c r="L199" t="s">
        <v>422</v>
      </c>
      <c r="M199" t="s">
        <v>2983</v>
      </c>
      <c r="N199" t="s">
        <v>65</v>
      </c>
      <c r="O199" t="s">
        <v>131</v>
      </c>
      <c r="P199" t="str">
        <f t="shared" si="1"/>
        <v>[1]</v>
      </c>
      <c r="Q199">
        <f t="shared" si="123"/>
        <v>40</v>
      </c>
      <c r="R199" t="str">
        <f t="shared" si="98"/>
        <v/>
      </c>
      <c r="S199">
        <f>SUMIF(O199:$O$2855,R199,Q199:$Q$2855)</f>
        <v>0</v>
      </c>
      <c r="AP199" s="4" t="s">
        <v>472</v>
      </c>
      <c r="AQ199" t="s">
        <v>479</v>
      </c>
      <c r="AR199" t="s">
        <v>4652</v>
      </c>
      <c r="AS199" t="s">
        <v>46</v>
      </c>
      <c r="AT199" t="s">
        <v>1134</v>
      </c>
      <c r="AU199" t="str">
        <f t="shared" si="86"/>
        <v>[1]</v>
      </c>
      <c r="AV199">
        <f t="shared" si="87"/>
        <v>2</v>
      </c>
      <c r="AW199" t="str">
        <f t="shared" si="99"/>
        <v/>
      </c>
      <c r="AX199">
        <f>SUMIF(AT199:$AT$651,AW199,AV199:$AV$651)</f>
        <v>0</v>
      </c>
    </row>
    <row r="200" spans="1:50" x14ac:dyDescent="0.25">
      <c r="A200" s="4" t="s">
        <v>0</v>
      </c>
      <c r="B200" t="s">
        <v>449</v>
      </c>
      <c r="C200" t="s">
        <v>1450</v>
      </c>
      <c r="D200" t="s">
        <v>167</v>
      </c>
      <c r="E200" t="s">
        <v>168</v>
      </c>
      <c r="F200" t="str">
        <f t="shared" si="119"/>
        <v>[4]</v>
      </c>
      <c r="G200">
        <f t="shared" ref="G200:G215" si="124">HEX2DEC(MID(D200,3,LEN(D200)-2))</f>
        <v>936</v>
      </c>
      <c r="H200" t="str">
        <f t="shared" ref="H200:H215" si="125">IF(E200&lt;&gt;E199,E200,"")</f>
        <v>lwadc_kadc.o</v>
      </c>
      <c r="I200">
        <f>SUMIF(E200:$E$215,H200,G200:$G$215)</f>
        <v>936</v>
      </c>
      <c r="K200" s="4" t="s">
        <v>421</v>
      </c>
      <c r="L200" t="s">
        <v>422</v>
      </c>
      <c r="M200" t="s">
        <v>2984</v>
      </c>
      <c r="N200" t="s">
        <v>13</v>
      </c>
      <c r="O200" t="s">
        <v>131</v>
      </c>
      <c r="P200" t="str">
        <f t="shared" si="1"/>
        <v>[1]</v>
      </c>
      <c r="Q200">
        <f t="shared" si="123"/>
        <v>12</v>
      </c>
      <c r="R200" t="str">
        <f t="shared" si="98"/>
        <v/>
      </c>
      <c r="S200">
        <f>SUMIF(O200:$O$2855,R200,Q200:$Q$2855)</f>
        <v>0</v>
      </c>
      <c r="AP200" s="4" t="s">
        <v>472</v>
      </c>
      <c r="AQ200" t="s">
        <v>479</v>
      </c>
      <c r="AR200" t="s">
        <v>4653</v>
      </c>
      <c r="AS200" t="s">
        <v>46</v>
      </c>
      <c r="AT200" t="s">
        <v>1134</v>
      </c>
      <c r="AU200" t="str">
        <f t="shared" si="86"/>
        <v>[1]</v>
      </c>
      <c r="AV200">
        <f t="shared" si="87"/>
        <v>2</v>
      </c>
      <c r="AW200" t="str">
        <f t="shared" si="99"/>
        <v/>
      </c>
      <c r="AX200">
        <f>SUMIF(AT200:$AT$651,AW200,AV200:$AV$651)</f>
        <v>0</v>
      </c>
    </row>
    <row r="201" spans="1:50" x14ac:dyDescent="0.25">
      <c r="A201" s="4" t="s">
        <v>0</v>
      </c>
      <c r="B201" t="s">
        <v>449</v>
      </c>
      <c r="C201" t="s">
        <v>1468</v>
      </c>
      <c r="D201" t="s">
        <v>153</v>
      </c>
      <c r="E201" t="s">
        <v>321</v>
      </c>
      <c r="F201" t="str">
        <f t="shared" si="119"/>
        <v>[4]</v>
      </c>
      <c r="G201">
        <f t="shared" si="124"/>
        <v>38</v>
      </c>
      <c r="H201" t="str">
        <f t="shared" si="125"/>
        <v>lwgpio_kgpio.o</v>
      </c>
      <c r="I201">
        <f>SUMIF(E201:$E$215,H201,G201:$G$215)</f>
        <v>38</v>
      </c>
      <c r="K201" s="4" t="s">
        <v>421</v>
      </c>
      <c r="L201" t="s">
        <v>422</v>
      </c>
      <c r="M201" t="s">
        <v>2985</v>
      </c>
      <c r="N201" t="s">
        <v>237</v>
      </c>
      <c r="O201" t="s">
        <v>131</v>
      </c>
      <c r="P201" t="str">
        <f t="shared" si="1"/>
        <v>[1]</v>
      </c>
      <c r="Q201">
        <f t="shared" si="123"/>
        <v>52</v>
      </c>
      <c r="R201" t="str">
        <f t="shared" si="98"/>
        <v/>
      </c>
      <c r="S201">
        <f>SUMIF(O201:$O$2855,R201,Q201:$Q$2855)</f>
        <v>0</v>
      </c>
      <c r="AP201" s="4" t="s">
        <v>472</v>
      </c>
      <c r="AQ201" t="s">
        <v>479</v>
      </c>
      <c r="AR201" t="s">
        <v>4656</v>
      </c>
      <c r="AS201" t="s">
        <v>442</v>
      </c>
      <c r="AT201" t="s">
        <v>1134</v>
      </c>
      <c r="AU201" t="str">
        <f t="shared" si="86"/>
        <v>[1]</v>
      </c>
      <c r="AV201">
        <f t="shared" si="87"/>
        <v>1</v>
      </c>
      <c r="AW201" t="str">
        <f t="shared" si="99"/>
        <v/>
      </c>
      <c r="AX201">
        <f>SUMIF(AT201:$AT$651,AW201,AV201:$AV$651)</f>
        <v>0</v>
      </c>
    </row>
    <row r="202" spans="1:50" x14ac:dyDescent="0.25">
      <c r="A202" s="4" t="s">
        <v>0</v>
      </c>
      <c r="B202" t="s">
        <v>449</v>
      </c>
      <c r="C202" t="s">
        <v>2066</v>
      </c>
      <c r="D202" t="s">
        <v>76</v>
      </c>
      <c r="E202" t="s">
        <v>77</v>
      </c>
      <c r="F202" t="str">
        <f t="shared" si="119"/>
        <v>[4]</v>
      </c>
      <c r="G202">
        <f t="shared" si="124"/>
        <v>36</v>
      </c>
      <c r="H202" t="str">
        <f t="shared" si="125"/>
        <v>mqx_main.o</v>
      </c>
      <c r="I202">
        <f>SUMIF(E202:$E$215,H202,G202:$G$215)</f>
        <v>36</v>
      </c>
      <c r="K202" s="4" t="s">
        <v>421</v>
      </c>
      <c r="L202" t="s">
        <v>422</v>
      </c>
      <c r="M202" t="s">
        <v>2986</v>
      </c>
      <c r="N202" t="s">
        <v>13</v>
      </c>
      <c r="O202" t="s">
        <v>131</v>
      </c>
      <c r="P202" t="str">
        <f t="shared" si="1"/>
        <v>[1]</v>
      </c>
      <c r="Q202">
        <f t="shared" si="123"/>
        <v>12</v>
      </c>
      <c r="R202" t="str">
        <f t="shared" si="98"/>
        <v/>
      </c>
      <c r="S202">
        <f>SUMIF(O202:$O$2855,R202,Q202:$Q$2855)</f>
        <v>0</v>
      </c>
      <c r="AP202" s="4" t="s">
        <v>472</v>
      </c>
      <c r="AQ202" t="s">
        <v>479</v>
      </c>
      <c r="AR202" t="s">
        <v>4657</v>
      </c>
      <c r="AS202" t="s">
        <v>442</v>
      </c>
      <c r="AT202" t="s">
        <v>1134</v>
      </c>
      <c r="AU202" t="str">
        <f t="shared" si="86"/>
        <v>[1]</v>
      </c>
      <c r="AV202">
        <f t="shared" si="87"/>
        <v>1</v>
      </c>
      <c r="AW202" t="str">
        <f t="shared" si="99"/>
        <v/>
      </c>
      <c r="AX202">
        <f>SUMIF(AT202:$AT$651,AW202,AV202:$AV$651)</f>
        <v>0</v>
      </c>
    </row>
    <row r="203" spans="1:50" x14ac:dyDescent="0.25">
      <c r="A203" s="4" t="s">
        <v>0</v>
      </c>
      <c r="B203" t="s">
        <v>449</v>
      </c>
      <c r="C203" t="s">
        <v>1464</v>
      </c>
      <c r="D203" t="s">
        <v>930</v>
      </c>
      <c r="E203" t="s">
        <v>344</v>
      </c>
      <c r="F203" t="str">
        <f t="shared" si="119"/>
        <v>[4]</v>
      </c>
      <c r="G203">
        <f t="shared" si="124"/>
        <v>1444</v>
      </c>
      <c r="H203" t="str">
        <f t="shared" si="125"/>
        <v>serl_int.o</v>
      </c>
      <c r="I203">
        <f>SUMIF(E203:$E$215,H203,G203:$G$215)</f>
        <v>1444</v>
      </c>
      <c r="K203" s="4" t="s">
        <v>421</v>
      </c>
      <c r="L203" t="s">
        <v>422</v>
      </c>
      <c r="M203" t="s">
        <v>2987</v>
      </c>
      <c r="N203" t="s">
        <v>65</v>
      </c>
      <c r="O203" t="s">
        <v>131</v>
      </c>
      <c r="P203" t="str">
        <f t="shared" si="1"/>
        <v>[1]</v>
      </c>
      <c r="Q203">
        <f t="shared" si="123"/>
        <v>40</v>
      </c>
      <c r="R203" t="str">
        <f t="shared" si="98"/>
        <v/>
      </c>
      <c r="S203">
        <f>SUMIF(O203:$O$2855,R203,Q203:$Q$2855)</f>
        <v>0</v>
      </c>
      <c r="AP203" s="4" t="s">
        <v>472</v>
      </c>
      <c r="AQ203" t="s">
        <v>479</v>
      </c>
      <c r="AR203" t="s">
        <v>4623</v>
      </c>
      <c r="AS203" t="s">
        <v>442</v>
      </c>
      <c r="AT203" t="s">
        <v>87</v>
      </c>
      <c r="AU203" t="str">
        <f t="shared" ref="AU203:AU266" si="126">VLOOKUP($AP$30,$E$1:$F$26,2,FALSE)</f>
        <v>[1]</v>
      </c>
      <c r="AV203">
        <f t="shared" si="87"/>
        <v>1</v>
      </c>
      <c r="AW203" t="str">
        <f t="shared" si="99"/>
        <v>HEEP_util.o</v>
      </c>
      <c r="AX203">
        <f>SUMIF(AT203:$AT$651,AW203,AV203:$AV$651)</f>
        <v>3</v>
      </c>
    </row>
    <row r="204" spans="1:50" x14ac:dyDescent="0.25">
      <c r="A204" s="4" t="s">
        <v>0</v>
      </c>
      <c r="B204" t="s">
        <v>449</v>
      </c>
      <c r="C204" t="s">
        <v>1459</v>
      </c>
      <c r="D204" t="s">
        <v>270</v>
      </c>
      <c r="E204" t="s">
        <v>271</v>
      </c>
      <c r="F204" t="str">
        <f t="shared" si="119"/>
        <v>[4]</v>
      </c>
      <c r="G204">
        <f t="shared" si="124"/>
        <v>460</v>
      </c>
      <c r="H204" t="str">
        <f t="shared" si="125"/>
        <v>serl_int_kuart.o</v>
      </c>
      <c r="I204">
        <f>SUMIF(E204:$E$215,H204,G204:$G$215)</f>
        <v>460</v>
      </c>
      <c r="K204" s="4" t="s">
        <v>421</v>
      </c>
      <c r="L204" t="s">
        <v>422</v>
      </c>
      <c r="M204" t="s">
        <v>2988</v>
      </c>
      <c r="N204" t="s">
        <v>13</v>
      </c>
      <c r="O204" t="s">
        <v>131</v>
      </c>
      <c r="P204" t="str">
        <f t="shared" si="1"/>
        <v>[1]</v>
      </c>
      <c r="Q204">
        <f t="shared" si="123"/>
        <v>12</v>
      </c>
      <c r="R204" t="str">
        <f t="shared" si="98"/>
        <v/>
      </c>
      <c r="S204">
        <f>SUMIF(O204:$O$2855,R204,Q204:$Q$2855)</f>
        <v>0</v>
      </c>
      <c r="AP204" s="4" t="s">
        <v>472</v>
      </c>
      <c r="AQ204" t="s">
        <v>479</v>
      </c>
      <c r="AR204" t="s">
        <v>4624</v>
      </c>
      <c r="AS204" t="s">
        <v>442</v>
      </c>
      <c r="AT204" t="s">
        <v>87</v>
      </c>
      <c r="AU204" t="str">
        <f t="shared" si="126"/>
        <v>[1]</v>
      </c>
      <c r="AV204">
        <f t="shared" ref="AV204:AV267" si="127">HEX2DEC(MID(AS204,3,LEN(AS204)-2))</f>
        <v>1</v>
      </c>
      <c r="AW204" t="str">
        <f t="shared" si="99"/>
        <v/>
      </c>
      <c r="AX204">
        <f>SUMIF(AT204:$AT$651,AW204,AV204:$AV$651)</f>
        <v>0</v>
      </c>
    </row>
    <row r="205" spans="1:50" x14ac:dyDescent="0.25">
      <c r="A205" s="4" t="s">
        <v>0</v>
      </c>
      <c r="B205" t="s">
        <v>449</v>
      </c>
      <c r="C205" t="s">
        <v>1466</v>
      </c>
      <c r="D205" t="s">
        <v>124</v>
      </c>
      <c r="E205" t="s">
        <v>236</v>
      </c>
      <c r="F205" t="str">
        <f t="shared" si="119"/>
        <v>[4]</v>
      </c>
      <c r="G205">
        <f t="shared" si="124"/>
        <v>68</v>
      </c>
      <c r="H205" t="str">
        <f t="shared" si="125"/>
        <v>serl_mk24.o</v>
      </c>
      <c r="I205">
        <f>SUMIF(E205:$E$215,H205,G205:$G$215)</f>
        <v>68</v>
      </c>
      <c r="K205" s="4" t="s">
        <v>421</v>
      </c>
      <c r="L205" t="s">
        <v>422</v>
      </c>
      <c r="M205" t="s">
        <v>2989</v>
      </c>
      <c r="N205" t="s">
        <v>237</v>
      </c>
      <c r="O205" t="s">
        <v>131</v>
      </c>
      <c r="P205" t="str">
        <f t="shared" si="1"/>
        <v>[1]</v>
      </c>
      <c r="Q205">
        <f t="shared" si="123"/>
        <v>52</v>
      </c>
      <c r="R205" t="str">
        <f t="shared" si="98"/>
        <v/>
      </c>
      <c r="S205">
        <f>SUMIF(O205:$O$2855,R205,Q205:$Q$2855)</f>
        <v>0</v>
      </c>
      <c r="AP205" s="4" t="s">
        <v>472</v>
      </c>
      <c r="AQ205" t="s">
        <v>479</v>
      </c>
      <c r="AR205" t="s">
        <v>4625</v>
      </c>
      <c r="AS205" t="s">
        <v>442</v>
      </c>
      <c r="AT205" t="s">
        <v>87</v>
      </c>
      <c r="AU205" t="str">
        <f t="shared" si="126"/>
        <v>[1]</v>
      </c>
      <c r="AV205">
        <f t="shared" si="127"/>
        <v>1</v>
      </c>
      <c r="AW205" t="str">
        <f t="shared" si="99"/>
        <v/>
      </c>
      <c r="AX205">
        <f>SUMIF(AT205:$AT$651,AW205,AV205:$AV$651)</f>
        <v>0</v>
      </c>
    </row>
    <row r="206" spans="1:50" x14ac:dyDescent="0.25">
      <c r="A206" s="4" t="s">
        <v>0</v>
      </c>
      <c r="B206" t="s">
        <v>449</v>
      </c>
      <c r="C206" t="s">
        <v>1465</v>
      </c>
      <c r="D206" t="s">
        <v>931</v>
      </c>
      <c r="E206" t="s">
        <v>132</v>
      </c>
      <c r="F206" t="str">
        <f t="shared" si="119"/>
        <v>[4]</v>
      </c>
      <c r="G206">
        <f t="shared" si="124"/>
        <v>1296</v>
      </c>
      <c r="H206" t="str">
        <f t="shared" si="125"/>
        <v>serl_pol_kuart.o</v>
      </c>
      <c r="I206">
        <f>SUMIF(E206:$E$215,H206,G206:$G$215)</f>
        <v>1296</v>
      </c>
      <c r="K206" s="4" t="s">
        <v>421</v>
      </c>
      <c r="L206" t="s">
        <v>422</v>
      </c>
      <c r="M206" t="s">
        <v>2990</v>
      </c>
      <c r="N206" t="s">
        <v>202</v>
      </c>
      <c r="O206" t="s">
        <v>131</v>
      </c>
      <c r="P206" t="str">
        <f t="shared" si="1"/>
        <v>[1]</v>
      </c>
      <c r="Q206">
        <f t="shared" si="123"/>
        <v>16</v>
      </c>
      <c r="R206" t="str">
        <f t="shared" si="98"/>
        <v/>
      </c>
      <c r="S206">
        <f>SUMIF(O206:$O$2855,R206,Q206:$Q$2855)</f>
        <v>0</v>
      </c>
      <c r="AP206" s="4" t="s">
        <v>472</v>
      </c>
      <c r="AQ206" t="s">
        <v>479</v>
      </c>
      <c r="AR206" t="s">
        <v>4658</v>
      </c>
      <c r="AS206" t="s">
        <v>442</v>
      </c>
      <c r="AT206" t="s">
        <v>1135</v>
      </c>
      <c r="AU206" t="str">
        <f t="shared" si="126"/>
        <v>[1]</v>
      </c>
      <c r="AV206">
        <f t="shared" si="127"/>
        <v>1</v>
      </c>
      <c r="AW206" t="str">
        <f t="shared" si="99"/>
        <v>host_reset.o</v>
      </c>
      <c r="AX206">
        <f>SUMIF(AT206:$AT$651,AW206,AV206:$AV$651)</f>
        <v>1</v>
      </c>
    </row>
    <row r="207" spans="1:50" x14ac:dyDescent="0.25">
      <c r="A207" s="4" t="s">
        <v>0</v>
      </c>
      <c r="B207" t="s">
        <v>449</v>
      </c>
      <c r="D207" t="s">
        <v>443</v>
      </c>
      <c r="E207" t="s">
        <v>612</v>
      </c>
      <c r="F207" t="str">
        <f t="shared" si="119"/>
        <v>[4]</v>
      </c>
      <c r="G207">
        <f t="shared" si="124"/>
        <v>0</v>
      </c>
      <c r="H207" t="str">
        <f t="shared" si="125"/>
        <v>placeholder</v>
      </c>
      <c r="I207">
        <f>SUMIF(E207:$E$215,H207,G207:$G$215)</f>
        <v>0</v>
      </c>
      <c r="K207" s="4" t="s">
        <v>421</v>
      </c>
      <c r="L207" t="s">
        <v>422</v>
      </c>
      <c r="M207" t="s">
        <v>2991</v>
      </c>
      <c r="N207" t="s">
        <v>6</v>
      </c>
      <c r="O207" t="s">
        <v>131</v>
      </c>
      <c r="P207" t="str">
        <f t="shared" si="1"/>
        <v>[1]</v>
      </c>
      <c r="Q207">
        <f t="shared" si="123"/>
        <v>28</v>
      </c>
      <c r="R207" t="str">
        <f t="shared" si="98"/>
        <v/>
      </c>
      <c r="S207">
        <f>SUMIF(O207:$O$2855,R207,Q207:$Q$2855)</f>
        <v>0</v>
      </c>
      <c r="AP207" s="4" t="s">
        <v>472</v>
      </c>
      <c r="AQ207" t="s">
        <v>479</v>
      </c>
      <c r="AR207" t="s">
        <v>4671</v>
      </c>
      <c r="AS207" t="s">
        <v>78</v>
      </c>
      <c r="AT207" t="s">
        <v>292</v>
      </c>
      <c r="AU207" t="str">
        <f t="shared" si="126"/>
        <v>[1]</v>
      </c>
      <c r="AV207">
        <f t="shared" si="127"/>
        <v>4</v>
      </c>
      <c r="AW207" t="str">
        <f t="shared" si="99"/>
        <v>IDL_IdleProcess.o</v>
      </c>
      <c r="AX207">
        <f>SUMIF(AT207:$AT$651,AW207,AV207:$AV$651)</f>
        <v>4</v>
      </c>
    </row>
    <row r="208" spans="1:50" x14ac:dyDescent="0.25">
      <c r="A208" s="4" t="s">
        <v>0</v>
      </c>
      <c r="B208" t="s">
        <v>449</v>
      </c>
      <c r="C208" t="s">
        <v>443</v>
      </c>
      <c r="D208" t="s">
        <v>443</v>
      </c>
      <c r="E208" t="s">
        <v>612</v>
      </c>
      <c r="F208" t="str">
        <f t="shared" si="119"/>
        <v>[4]</v>
      </c>
      <c r="G208">
        <f t="shared" si="124"/>
        <v>0</v>
      </c>
      <c r="H208" t="str">
        <f t="shared" si="125"/>
        <v/>
      </c>
      <c r="I208">
        <f>SUMIF(E208:$E$215,H208,G208:$G$215)</f>
        <v>0</v>
      </c>
      <c r="K208" s="4" t="s">
        <v>421</v>
      </c>
      <c r="L208" t="s">
        <v>422</v>
      </c>
      <c r="M208" t="s">
        <v>2992</v>
      </c>
      <c r="N208" t="s">
        <v>165</v>
      </c>
      <c r="O208" t="s">
        <v>131</v>
      </c>
      <c r="P208" t="str">
        <f t="shared" si="1"/>
        <v>[1]</v>
      </c>
      <c r="Q208">
        <f t="shared" si="123"/>
        <v>20</v>
      </c>
      <c r="R208" t="str">
        <f t="shared" si="98"/>
        <v/>
      </c>
      <c r="S208">
        <f>SUMIF(O208:$O$2855,R208,Q208:$Q$2855)</f>
        <v>0</v>
      </c>
      <c r="AP208" s="4" t="s">
        <v>472</v>
      </c>
      <c r="AQ208" t="s">
        <v>479</v>
      </c>
      <c r="AR208" t="s">
        <v>1712</v>
      </c>
      <c r="AS208" t="s">
        <v>6</v>
      </c>
      <c r="AT208" t="s">
        <v>406</v>
      </c>
      <c r="AU208" t="str">
        <f t="shared" si="126"/>
        <v>[1]</v>
      </c>
      <c r="AV208">
        <f t="shared" si="127"/>
        <v>28</v>
      </c>
      <c r="AW208" t="str">
        <f t="shared" si="99"/>
        <v>IF_intFlash.o</v>
      </c>
      <c r="AX208">
        <f>SUMIF(AT208:$AT$651,AW208,AV208:$AV$651)</f>
        <v>29</v>
      </c>
    </row>
    <row r="209" spans="1:50" x14ac:dyDescent="0.25">
      <c r="A209" s="4" t="s">
        <v>0</v>
      </c>
      <c r="B209" t="s">
        <v>449</v>
      </c>
      <c r="C209" t="s">
        <v>443</v>
      </c>
      <c r="D209" t="s">
        <v>443</v>
      </c>
      <c r="E209" t="s">
        <v>612</v>
      </c>
      <c r="F209" t="str">
        <f t="shared" si="119"/>
        <v>[4]</v>
      </c>
      <c r="G209">
        <f t="shared" si="124"/>
        <v>0</v>
      </c>
      <c r="H209" t="str">
        <f t="shared" si="125"/>
        <v/>
      </c>
      <c r="I209">
        <f>SUMIF(E209:$E$215,H209,G209:$G$215)</f>
        <v>0</v>
      </c>
      <c r="K209" s="4" t="s">
        <v>421</v>
      </c>
      <c r="L209" t="s">
        <v>422</v>
      </c>
      <c r="M209" t="s">
        <v>2993</v>
      </c>
      <c r="N209" t="s">
        <v>65</v>
      </c>
      <c r="O209" t="s">
        <v>131</v>
      </c>
      <c r="P209" t="str">
        <f t="shared" si="1"/>
        <v>[1]</v>
      </c>
      <c r="Q209">
        <f t="shared" si="2"/>
        <v>40</v>
      </c>
      <c r="R209" t="str">
        <f t="shared" si="98"/>
        <v/>
      </c>
      <c r="S209">
        <f>SUMIF(O209:$O$2855,R209,Q209:$Q$2855)</f>
        <v>0</v>
      </c>
      <c r="AP209" s="4" t="s">
        <v>472</v>
      </c>
      <c r="AQ209" t="s">
        <v>479</v>
      </c>
      <c r="AR209" t="s">
        <v>1565</v>
      </c>
      <c r="AS209" t="s">
        <v>442</v>
      </c>
      <c r="AT209" t="s">
        <v>406</v>
      </c>
      <c r="AU209" t="str">
        <f t="shared" si="126"/>
        <v>[1]</v>
      </c>
      <c r="AV209">
        <f t="shared" si="127"/>
        <v>1</v>
      </c>
      <c r="AW209" t="str">
        <f t="shared" si="99"/>
        <v/>
      </c>
      <c r="AX209">
        <f>SUMIF(AT209:$AT$651,AW209,AV209:$AV$651)</f>
        <v>0</v>
      </c>
    </row>
    <row r="210" spans="1:50" x14ac:dyDescent="0.25">
      <c r="A210" s="4" t="s">
        <v>0</v>
      </c>
      <c r="B210" t="s">
        <v>449</v>
      </c>
      <c r="C210" t="s">
        <v>443</v>
      </c>
      <c r="D210" t="s">
        <v>443</v>
      </c>
      <c r="E210" t="s">
        <v>612</v>
      </c>
      <c r="F210" t="str">
        <f t="shared" si="119"/>
        <v>[4]</v>
      </c>
      <c r="G210">
        <f t="shared" si="124"/>
        <v>0</v>
      </c>
      <c r="H210" t="str">
        <f t="shared" si="125"/>
        <v/>
      </c>
      <c r="I210">
        <f>SUMIF(E210:$E$215,H210,G210:$G$215)</f>
        <v>0</v>
      </c>
      <c r="K210" s="4" t="s">
        <v>421</v>
      </c>
      <c r="L210" t="s">
        <v>422</v>
      </c>
      <c r="M210" t="s">
        <v>2994</v>
      </c>
      <c r="N210" t="s">
        <v>165</v>
      </c>
      <c r="O210" t="s">
        <v>131</v>
      </c>
      <c r="P210" t="str">
        <f t="shared" si="1"/>
        <v>[1]</v>
      </c>
      <c r="Q210">
        <f t="shared" si="2"/>
        <v>20</v>
      </c>
      <c r="R210" t="str">
        <f t="shared" si="98"/>
        <v/>
      </c>
      <c r="S210">
        <f>SUMIF(O210:$O$2855,R210,Q210:$Q$2855)</f>
        <v>0</v>
      </c>
      <c r="AP210" s="4" t="s">
        <v>472</v>
      </c>
      <c r="AQ210" t="s">
        <v>479</v>
      </c>
      <c r="AR210" t="s">
        <v>4506</v>
      </c>
      <c r="AS210" t="s">
        <v>78</v>
      </c>
      <c r="AT210" t="s">
        <v>134</v>
      </c>
      <c r="AU210" t="str">
        <f t="shared" si="126"/>
        <v>[1]</v>
      </c>
      <c r="AV210">
        <f t="shared" si="127"/>
        <v>4</v>
      </c>
      <c r="AW210" t="str">
        <f t="shared" si="99"/>
        <v>LED.o</v>
      </c>
      <c r="AX210">
        <f>SUMIF(AT210:$AT$651,AW210,AV210:$AV$651)</f>
        <v>41</v>
      </c>
    </row>
    <row r="211" spans="1:50" x14ac:dyDescent="0.25">
      <c r="A211" s="4" t="s">
        <v>0</v>
      </c>
      <c r="B211" t="s">
        <v>449</v>
      </c>
      <c r="C211" t="s">
        <v>443</v>
      </c>
      <c r="D211" t="s">
        <v>443</v>
      </c>
      <c r="E211" t="s">
        <v>612</v>
      </c>
      <c r="F211" t="str">
        <f t="shared" si="119"/>
        <v>[4]</v>
      </c>
      <c r="G211">
        <f t="shared" si="124"/>
        <v>0</v>
      </c>
      <c r="H211" t="str">
        <f t="shared" si="125"/>
        <v/>
      </c>
      <c r="I211">
        <f>SUMIF(E211:$E$215,H211,G211:$G$215)</f>
        <v>0</v>
      </c>
      <c r="K211" s="4" t="s">
        <v>421</v>
      </c>
      <c r="L211" t="s">
        <v>422</v>
      </c>
      <c r="M211" t="s">
        <v>2995</v>
      </c>
      <c r="N211" t="s">
        <v>76</v>
      </c>
      <c r="O211" t="s">
        <v>131</v>
      </c>
      <c r="P211" t="str">
        <f t="shared" si="1"/>
        <v>[1]</v>
      </c>
      <c r="Q211">
        <f t="shared" si="2"/>
        <v>36</v>
      </c>
      <c r="R211" t="str">
        <f t="shared" si="98"/>
        <v/>
      </c>
      <c r="S211">
        <f>SUMIF(O211:$O$2855,R211,Q211:$Q$2855)</f>
        <v>0</v>
      </c>
      <c r="AP211" s="4" t="s">
        <v>472</v>
      </c>
      <c r="AQ211" t="s">
        <v>479</v>
      </c>
      <c r="AR211" t="s">
        <v>4507</v>
      </c>
      <c r="AS211" t="s">
        <v>6</v>
      </c>
      <c r="AT211" t="s">
        <v>134</v>
      </c>
      <c r="AU211" t="str">
        <f t="shared" si="126"/>
        <v>[1]</v>
      </c>
      <c r="AV211">
        <f t="shared" si="127"/>
        <v>28</v>
      </c>
      <c r="AW211" t="str">
        <f t="shared" si="99"/>
        <v/>
      </c>
      <c r="AX211">
        <f>SUMIF(AT211:$AT$651,AW211,AV211:$AV$651)</f>
        <v>0</v>
      </c>
    </row>
    <row r="212" spans="1:50" x14ac:dyDescent="0.25">
      <c r="A212" s="4" t="s">
        <v>0</v>
      </c>
      <c r="B212" t="s">
        <v>449</v>
      </c>
      <c r="C212" t="s">
        <v>443</v>
      </c>
      <c r="D212" t="s">
        <v>443</v>
      </c>
      <c r="E212" t="s">
        <v>612</v>
      </c>
      <c r="F212" t="str">
        <f t="shared" si="119"/>
        <v>[4]</v>
      </c>
      <c r="G212">
        <f t="shared" si="124"/>
        <v>0</v>
      </c>
      <c r="H212" t="str">
        <f t="shared" si="125"/>
        <v/>
      </c>
      <c r="I212">
        <f>SUMIF(E212:$E$215,H212,G212:$G$215)</f>
        <v>0</v>
      </c>
      <c r="K212" s="4" t="s">
        <v>421</v>
      </c>
      <c r="L212" t="s">
        <v>422</v>
      </c>
      <c r="M212" t="s">
        <v>2996</v>
      </c>
      <c r="N212" t="s">
        <v>126</v>
      </c>
      <c r="O212" t="s">
        <v>131</v>
      </c>
      <c r="P212" t="str">
        <f t="shared" si="1"/>
        <v>[1]</v>
      </c>
      <c r="Q212">
        <f t="shared" si="2"/>
        <v>8</v>
      </c>
      <c r="R212" t="str">
        <f t="shared" si="98"/>
        <v/>
      </c>
      <c r="S212">
        <f>SUMIF(O212:$O$2855,R212,Q212:$Q$2855)</f>
        <v>0</v>
      </c>
      <c r="AP212" s="4" t="s">
        <v>472</v>
      </c>
      <c r="AQ212" t="s">
        <v>479</v>
      </c>
      <c r="AR212" t="s">
        <v>4508</v>
      </c>
      <c r="AS212" t="s">
        <v>78</v>
      </c>
      <c r="AT212" t="s">
        <v>134</v>
      </c>
      <c r="AU212" t="str">
        <f t="shared" si="126"/>
        <v>[1]</v>
      </c>
      <c r="AV212">
        <f t="shared" si="127"/>
        <v>4</v>
      </c>
      <c r="AW212" t="str">
        <f t="shared" si="99"/>
        <v/>
      </c>
      <c r="AX212">
        <f>SUMIF(AT212:$AT$651,AW212,AV212:$AV$651)</f>
        <v>0</v>
      </c>
    </row>
    <row r="213" spans="1:50" x14ac:dyDescent="0.25">
      <c r="A213" s="4" t="s">
        <v>0</v>
      </c>
      <c r="B213" t="s">
        <v>449</v>
      </c>
      <c r="C213" t="s">
        <v>443</v>
      </c>
      <c r="D213" t="s">
        <v>443</v>
      </c>
      <c r="E213" t="s">
        <v>612</v>
      </c>
      <c r="F213" t="str">
        <f t="shared" si="119"/>
        <v>[4]</v>
      </c>
      <c r="G213">
        <f t="shared" si="124"/>
        <v>0</v>
      </c>
      <c r="H213" t="str">
        <f t="shared" si="125"/>
        <v/>
      </c>
      <c r="I213">
        <f>SUMIF(E213:$E$215,H213,G213:$G$215)</f>
        <v>0</v>
      </c>
      <c r="K213" s="4" t="s">
        <v>421</v>
      </c>
      <c r="L213" t="s">
        <v>422</v>
      </c>
      <c r="M213" t="s">
        <v>2997</v>
      </c>
      <c r="N213" t="s">
        <v>67</v>
      </c>
      <c r="O213" t="s">
        <v>131</v>
      </c>
      <c r="P213" t="str">
        <f t="shared" si="1"/>
        <v>[1]</v>
      </c>
      <c r="Q213">
        <f t="shared" si="2"/>
        <v>48</v>
      </c>
      <c r="R213" t="str">
        <f t="shared" si="98"/>
        <v/>
      </c>
      <c r="S213">
        <f>SUMIF(O213:$O$2855,R213,Q213:$Q$2855)</f>
        <v>0</v>
      </c>
      <c r="AP213" s="4" t="s">
        <v>472</v>
      </c>
      <c r="AQ213" t="s">
        <v>479</v>
      </c>
      <c r="AR213" t="s">
        <v>4510</v>
      </c>
      <c r="AS213" t="s">
        <v>46</v>
      </c>
      <c r="AT213" t="s">
        <v>134</v>
      </c>
      <c r="AU213" t="str">
        <f t="shared" si="126"/>
        <v>[1]</v>
      </c>
      <c r="AV213">
        <f t="shared" si="127"/>
        <v>2</v>
      </c>
      <c r="AW213" t="str">
        <f t="shared" si="99"/>
        <v/>
      </c>
      <c r="AX213">
        <f>SUMIF(AT213:$AT$651,AW213,AV213:$AV$651)</f>
        <v>0</v>
      </c>
    </row>
    <row r="214" spans="1:50" x14ac:dyDescent="0.25">
      <c r="A214" s="4" t="s">
        <v>0</v>
      </c>
      <c r="B214" t="s">
        <v>449</v>
      </c>
      <c r="C214" t="s">
        <v>443</v>
      </c>
      <c r="D214" t="s">
        <v>443</v>
      </c>
      <c r="E214" t="s">
        <v>612</v>
      </c>
      <c r="F214" t="str">
        <f t="shared" si="119"/>
        <v>[4]</v>
      </c>
      <c r="G214">
        <f t="shared" si="124"/>
        <v>0</v>
      </c>
      <c r="H214" t="str">
        <f t="shared" si="125"/>
        <v/>
      </c>
      <c r="I214">
        <f>SUMIF(E214:$E$215,H214,G214:$G$215)</f>
        <v>0</v>
      </c>
      <c r="K214" s="4" t="s">
        <v>421</v>
      </c>
      <c r="L214" t="s">
        <v>422</v>
      </c>
      <c r="M214" t="s">
        <v>2998</v>
      </c>
      <c r="N214" t="s">
        <v>78</v>
      </c>
      <c r="O214" t="s">
        <v>131</v>
      </c>
      <c r="P214" t="str">
        <f t="shared" si="1"/>
        <v>[1]</v>
      </c>
      <c r="Q214">
        <f t="shared" si="2"/>
        <v>4</v>
      </c>
      <c r="R214" t="str">
        <f t="shared" si="98"/>
        <v/>
      </c>
      <c r="S214">
        <f>SUMIF(O214:$O$2855,R214,Q214:$Q$2855)</f>
        <v>0</v>
      </c>
      <c r="AP214" s="4" t="s">
        <v>472</v>
      </c>
      <c r="AQ214" t="s">
        <v>479</v>
      </c>
      <c r="AR214" t="s">
        <v>1724</v>
      </c>
      <c r="AS214" t="s">
        <v>442</v>
      </c>
      <c r="AT214" t="s">
        <v>134</v>
      </c>
      <c r="AU214" t="str">
        <f t="shared" si="126"/>
        <v>[1]</v>
      </c>
      <c r="AV214">
        <f t="shared" si="127"/>
        <v>1</v>
      </c>
      <c r="AW214" t="str">
        <f t="shared" si="99"/>
        <v/>
      </c>
      <c r="AX214">
        <f>SUMIF(AT214:$AT$651,AW214,AV214:$AV$651)</f>
        <v>0</v>
      </c>
    </row>
    <row r="215" spans="1:50" x14ac:dyDescent="0.25">
      <c r="A215" s="4" t="s">
        <v>0</v>
      </c>
      <c r="B215" t="s">
        <v>449</v>
      </c>
      <c r="C215" t="s">
        <v>443</v>
      </c>
      <c r="D215" t="s">
        <v>443</v>
      </c>
      <c r="E215" t="s">
        <v>612</v>
      </c>
      <c r="F215" t="str">
        <f t="shared" si="119"/>
        <v>[4]</v>
      </c>
      <c r="G215">
        <f t="shared" si="124"/>
        <v>0</v>
      </c>
      <c r="H215" t="str">
        <f t="shared" si="125"/>
        <v/>
      </c>
      <c r="I215">
        <f>SUMIF(E215:$E$215,H215,G215:$G$215)</f>
        <v>0</v>
      </c>
      <c r="K215" s="4" t="s">
        <v>421</v>
      </c>
      <c r="L215" t="s">
        <v>422</v>
      </c>
      <c r="M215" t="s">
        <v>2999</v>
      </c>
      <c r="N215" t="s">
        <v>44</v>
      </c>
      <c r="O215" t="s">
        <v>131</v>
      </c>
      <c r="P215" t="str">
        <f t="shared" si="1"/>
        <v>[1]</v>
      </c>
      <c r="Q215">
        <f t="shared" si="2"/>
        <v>44</v>
      </c>
      <c r="R215" t="str">
        <f t="shared" si="98"/>
        <v/>
      </c>
      <c r="S215">
        <f>SUMIF(O215:$O$2855,R215,Q215:$Q$2855)</f>
        <v>0</v>
      </c>
      <c r="AP215" s="4" t="s">
        <v>472</v>
      </c>
      <c r="AQ215" t="s">
        <v>479</v>
      </c>
      <c r="AR215" t="s">
        <v>4513</v>
      </c>
      <c r="AS215" t="s">
        <v>442</v>
      </c>
      <c r="AT215" t="s">
        <v>134</v>
      </c>
      <c r="AU215" t="str">
        <f t="shared" si="126"/>
        <v>[1]</v>
      </c>
      <c r="AV215">
        <f t="shared" si="127"/>
        <v>1</v>
      </c>
      <c r="AW215" t="str">
        <f t="shared" si="99"/>
        <v/>
      </c>
      <c r="AX215">
        <f>SUMIF(AT215:$AT$651,AW215,AV215:$AV$651)</f>
        <v>0</v>
      </c>
    </row>
    <row r="216" spans="1:50" x14ac:dyDescent="0.25">
      <c r="G216">
        <f>SUM(G179:G215)</f>
        <v>17808</v>
      </c>
      <c r="H216" t="s">
        <v>684</v>
      </c>
      <c r="I216">
        <f>SUM(I179:I215)</f>
        <v>17808</v>
      </c>
      <c r="K216" s="4" t="s">
        <v>421</v>
      </c>
      <c r="L216" t="s">
        <v>422</v>
      </c>
      <c r="M216" t="s">
        <v>3000</v>
      </c>
      <c r="N216" t="s">
        <v>126</v>
      </c>
      <c r="O216" t="s">
        <v>131</v>
      </c>
      <c r="P216" t="str">
        <f t="shared" si="1"/>
        <v>[1]</v>
      </c>
      <c r="Q216">
        <f t="shared" si="2"/>
        <v>8</v>
      </c>
      <c r="R216" t="str">
        <f t="shared" si="98"/>
        <v/>
      </c>
      <c r="S216">
        <f>SUMIF(O216:$O$2855,R216,Q216:$Q$2855)</f>
        <v>0</v>
      </c>
      <c r="AP216" s="4" t="s">
        <v>472</v>
      </c>
      <c r="AQ216" t="s">
        <v>479</v>
      </c>
      <c r="AR216" t="s">
        <v>4514</v>
      </c>
      <c r="AS216" t="s">
        <v>442</v>
      </c>
      <c r="AT216" t="s">
        <v>134</v>
      </c>
      <c r="AU216" t="str">
        <f t="shared" si="126"/>
        <v>[1]</v>
      </c>
      <c r="AV216">
        <f t="shared" si="127"/>
        <v>1</v>
      </c>
      <c r="AW216" t="str">
        <f t="shared" si="99"/>
        <v/>
      </c>
      <c r="AX216">
        <f>SUMIF(AT216:$AT$651,AW216,AV216:$AV$651)</f>
        <v>0</v>
      </c>
    </row>
    <row r="217" spans="1:50" x14ac:dyDescent="0.25">
      <c r="K217" s="4" t="s">
        <v>421</v>
      </c>
      <c r="L217" t="s">
        <v>422</v>
      </c>
      <c r="M217" t="s">
        <v>3001</v>
      </c>
      <c r="N217" t="s">
        <v>237</v>
      </c>
      <c r="O217" t="s">
        <v>131</v>
      </c>
      <c r="P217" t="str">
        <f t="shared" si="1"/>
        <v>[1]</v>
      </c>
      <c r="Q217">
        <f t="shared" si="2"/>
        <v>52</v>
      </c>
      <c r="R217" t="str">
        <f t="shared" si="98"/>
        <v/>
      </c>
      <c r="S217">
        <f>SUMIF(O217:$O$2855,R217,Q217:$Q$2855)</f>
        <v>0</v>
      </c>
      <c r="AP217" s="4" t="s">
        <v>472</v>
      </c>
      <c r="AQ217" t="s">
        <v>479</v>
      </c>
      <c r="AR217" t="s">
        <v>1585</v>
      </c>
      <c r="AS217" t="s">
        <v>78</v>
      </c>
      <c r="AT217" t="s">
        <v>91</v>
      </c>
      <c r="AU217" t="str">
        <f t="shared" si="126"/>
        <v>[1]</v>
      </c>
      <c r="AV217">
        <f t="shared" si="127"/>
        <v>4</v>
      </c>
      <c r="AW217" t="str">
        <f t="shared" si="99"/>
        <v>MAC.o</v>
      </c>
      <c r="AX217">
        <f>SUMIF(AT217:$AT$651,AW217,AV217:$AV$651)</f>
        <v>1083</v>
      </c>
    </row>
    <row r="218" spans="1:50" x14ac:dyDescent="0.25">
      <c r="A218" s="50" t="s">
        <v>758</v>
      </c>
      <c r="B218" s="50"/>
      <c r="C218" s="50"/>
      <c r="D218" s="50"/>
      <c r="E218" s="50"/>
      <c r="F218" s="50"/>
      <c r="G218" s="50"/>
      <c r="H218" s="50"/>
      <c r="I218" s="50"/>
      <c r="K218" s="4" t="s">
        <v>421</v>
      </c>
      <c r="L218" t="s">
        <v>422</v>
      </c>
      <c r="M218" t="s">
        <v>3002</v>
      </c>
      <c r="N218" t="s">
        <v>126</v>
      </c>
      <c r="O218" t="s">
        <v>131</v>
      </c>
      <c r="P218" t="str">
        <f t="shared" si="1"/>
        <v>[1]</v>
      </c>
      <c r="Q218">
        <f t="shared" si="2"/>
        <v>8</v>
      </c>
      <c r="R218" t="str">
        <f t="shared" si="98"/>
        <v/>
      </c>
      <c r="S218">
        <f>SUMIF(O218:$O$2855,R218,Q218:$Q$2855)</f>
        <v>0</v>
      </c>
      <c r="AP218" s="4" t="s">
        <v>472</v>
      </c>
      <c r="AQ218" t="s">
        <v>479</v>
      </c>
      <c r="AR218" t="s">
        <v>1586</v>
      </c>
      <c r="AS218" t="s">
        <v>147</v>
      </c>
      <c r="AT218" t="s">
        <v>91</v>
      </c>
      <c r="AU218" t="str">
        <f t="shared" si="126"/>
        <v>[1]</v>
      </c>
      <c r="AV218">
        <f t="shared" si="127"/>
        <v>72</v>
      </c>
      <c r="AW218" t="str">
        <f t="shared" si="99"/>
        <v/>
      </c>
      <c r="AX218">
        <f>SUMIF(AT218:$AT$651,AW218,AV218:$AV$651)</f>
        <v>0</v>
      </c>
    </row>
    <row r="219" spans="1:50" x14ac:dyDescent="0.25">
      <c r="A219" s="4" t="s">
        <v>0</v>
      </c>
      <c r="B219" t="s">
        <v>449</v>
      </c>
      <c r="C219" t="s">
        <v>1293</v>
      </c>
      <c r="D219" t="s">
        <v>21</v>
      </c>
      <c r="E219" t="s">
        <v>349</v>
      </c>
      <c r="F219" t="str">
        <f t="shared" ref="F219:F259" si="128">VLOOKUP($A$218,$E$1:$F$26,2,FALSE)</f>
        <v>[5]</v>
      </c>
      <c r="G219">
        <f t="shared" si="120"/>
        <v>6</v>
      </c>
      <c r="H219" t="str">
        <f>IF(E219&lt;&gt;E218,E219,"")</f>
        <v>abort.o</v>
      </c>
      <c r="I219">
        <f>SUMIF(E219:$E$259,H219,G219:$G$259)</f>
        <v>6</v>
      </c>
      <c r="K219" s="4" t="s">
        <v>421</v>
      </c>
      <c r="L219" t="s">
        <v>422</v>
      </c>
      <c r="M219" t="s">
        <v>1755</v>
      </c>
      <c r="N219" t="s">
        <v>126</v>
      </c>
      <c r="O219" t="s">
        <v>131</v>
      </c>
      <c r="P219" t="str">
        <f t="shared" si="1"/>
        <v>[1]</v>
      </c>
      <c r="Q219">
        <f t="shared" si="2"/>
        <v>8</v>
      </c>
      <c r="R219" t="str">
        <f t="shared" si="98"/>
        <v/>
      </c>
      <c r="S219">
        <f>SUMIF(O219:$O$2855,R219,Q219:$Q$2855)</f>
        <v>0</v>
      </c>
      <c r="AP219" s="4" t="s">
        <v>472</v>
      </c>
      <c r="AQ219" t="s">
        <v>479</v>
      </c>
      <c r="AR219" t="s">
        <v>1587</v>
      </c>
      <c r="AS219" t="s">
        <v>6</v>
      </c>
      <c r="AT219" t="s">
        <v>91</v>
      </c>
      <c r="AU219" t="str">
        <f t="shared" si="126"/>
        <v>[1]</v>
      </c>
      <c r="AV219">
        <f t="shared" si="127"/>
        <v>28</v>
      </c>
      <c r="AW219" t="str">
        <f t="shared" si="99"/>
        <v/>
      </c>
      <c r="AX219">
        <f>SUMIF(AT219:$AT$651,AW219,AV219:$AV$651)</f>
        <v>0</v>
      </c>
    </row>
    <row r="220" spans="1:50" x14ac:dyDescent="0.25">
      <c r="A220" s="4" t="s">
        <v>0</v>
      </c>
      <c r="B220" t="s">
        <v>449</v>
      </c>
      <c r="C220" t="s">
        <v>1171</v>
      </c>
      <c r="D220" t="s">
        <v>126</v>
      </c>
      <c r="E220" t="s">
        <v>127</v>
      </c>
      <c r="F220" t="str">
        <f t="shared" si="128"/>
        <v>[5]</v>
      </c>
      <c r="G220">
        <f>HEX2DEC(MID(D220,3,LEN(D220)-2))</f>
        <v>8</v>
      </c>
      <c r="H220" t="str">
        <f>IF(E220&lt;&gt;E219,E220,"")</f>
        <v>abs.o</v>
      </c>
      <c r="I220">
        <f>SUMIF(E220:$E$259,H220,G220:$G$259)</f>
        <v>8</v>
      </c>
      <c r="K220" s="4" t="s">
        <v>421</v>
      </c>
      <c r="L220" t="s">
        <v>422</v>
      </c>
      <c r="M220" t="s">
        <v>1855</v>
      </c>
      <c r="N220" t="s">
        <v>13</v>
      </c>
      <c r="O220" t="s">
        <v>131</v>
      </c>
      <c r="P220" t="str">
        <f t="shared" si="1"/>
        <v>[1]</v>
      </c>
      <c r="Q220">
        <f t="shared" si="2"/>
        <v>12</v>
      </c>
      <c r="R220" t="str">
        <f t="shared" si="98"/>
        <v/>
      </c>
      <c r="S220">
        <f>SUMIF(O220:$O$2855,R220,Q220:$Q$2855)</f>
        <v>0</v>
      </c>
      <c r="AP220" s="4" t="s">
        <v>472</v>
      </c>
      <c r="AQ220" t="s">
        <v>479</v>
      </c>
      <c r="AR220" t="s">
        <v>1588</v>
      </c>
      <c r="AS220" t="s">
        <v>65</v>
      </c>
      <c r="AT220" t="s">
        <v>91</v>
      </c>
      <c r="AU220" t="str">
        <f t="shared" si="126"/>
        <v>[1]</v>
      </c>
      <c r="AV220">
        <f t="shared" si="127"/>
        <v>40</v>
      </c>
      <c r="AW220" t="str">
        <f t="shared" si="99"/>
        <v/>
      </c>
      <c r="AX220">
        <f>SUMIF(AT220:$AT$651,AW220,AV220:$AV$651)</f>
        <v>0</v>
      </c>
    </row>
    <row r="221" spans="1:50" x14ac:dyDescent="0.25">
      <c r="A221" s="4" t="s">
        <v>0</v>
      </c>
      <c r="B221" t="s">
        <v>449</v>
      </c>
      <c r="C221" t="s">
        <v>1166</v>
      </c>
      <c r="D221" t="s">
        <v>126</v>
      </c>
      <c r="E221" t="s">
        <v>196</v>
      </c>
      <c r="F221" t="str">
        <f t="shared" si="128"/>
        <v>[5]</v>
      </c>
      <c r="G221">
        <f>HEX2DEC(MID(D221,3,LEN(D221)-2))</f>
        <v>8</v>
      </c>
      <c r="H221" t="str">
        <f>IF(E221&lt;&gt;E220,E221,"")</f>
        <v>atoi.o</v>
      </c>
      <c r="I221">
        <f>SUMIF(E221:$E$259,H221,G221:$G$259)</f>
        <v>8</v>
      </c>
      <c r="K221" s="4" t="s">
        <v>421</v>
      </c>
      <c r="L221" t="s">
        <v>422</v>
      </c>
      <c r="M221" t="s">
        <v>3003</v>
      </c>
      <c r="N221" t="s">
        <v>13</v>
      </c>
      <c r="O221" t="s">
        <v>131</v>
      </c>
      <c r="P221" t="str">
        <f t="shared" si="1"/>
        <v>[1]</v>
      </c>
      <c r="Q221">
        <f t="shared" si="2"/>
        <v>12</v>
      </c>
      <c r="R221" t="str">
        <f t="shared" si="98"/>
        <v/>
      </c>
      <c r="S221">
        <f>SUMIF(O221:$O$2855,R221,Q221:$Q$2855)</f>
        <v>0</v>
      </c>
      <c r="AP221" s="4" t="s">
        <v>472</v>
      </c>
      <c r="AQ221" t="s">
        <v>479</v>
      </c>
      <c r="AR221" t="s">
        <v>1589</v>
      </c>
      <c r="AS221" t="s">
        <v>67</v>
      </c>
      <c r="AT221" t="s">
        <v>91</v>
      </c>
      <c r="AU221" t="str">
        <f t="shared" si="126"/>
        <v>[1]</v>
      </c>
      <c r="AV221">
        <f t="shared" si="127"/>
        <v>48</v>
      </c>
      <c r="AW221" t="str">
        <f t="shared" si="99"/>
        <v/>
      </c>
      <c r="AX221">
        <f>SUMIF(AT221:$AT$651,AW221,AV221:$AV$651)</f>
        <v>0</v>
      </c>
    </row>
    <row r="222" spans="1:50" x14ac:dyDescent="0.25">
      <c r="A222" s="4" t="s">
        <v>0</v>
      </c>
      <c r="B222" t="s">
        <v>449</v>
      </c>
      <c r="C222" t="s">
        <v>1167</v>
      </c>
      <c r="D222" t="s">
        <v>126</v>
      </c>
      <c r="E222" t="s">
        <v>208</v>
      </c>
      <c r="F222" t="str">
        <f t="shared" si="128"/>
        <v>[5]</v>
      </c>
      <c r="G222">
        <f t="shared" si="120"/>
        <v>8</v>
      </c>
      <c r="H222" t="str">
        <f t="shared" ref="H222:H248" si="129">IF(E222&lt;&gt;E221,E222,"")</f>
        <v>atol.o</v>
      </c>
      <c r="I222">
        <f>SUMIF(E222:$E$259,H222,G222:$G$259)</f>
        <v>8</v>
      </c>
      <c r="K222" s="4" t="s">
        <v>421</v>
      </c>
      <c r="L222" t="s">
        <v>422</v>
      </c>
      <c r="M222" t="s">
        <v>3004</v>
      </c>
      <c r="N222" t="s">
        <v>126</v>
      </c>
      <c r="O222" t="s">
        <v>131</v>
      </c>
      <c r="P222" t="str">
        <f t="shared" si="1"/>
        <v>[1]</v>
      </c>
      <c r="Q222">
        <f t="shared" si="2"/>
        <v>8</v>
      </c>
      <c r="R222" t="str">
        <f t="shared" si="98"/>
        <v/>
      </c>
      <c r="S222">
        <f>SUMIF(O222:$O$2855,R222,Q222:$Q$2855)</f>
        <v>0</v>
      </c>
      <c r="AP222" s="4" t="s">
        <v>472</v>
      </c>
      <c r="AQ222" t="s">
        <v>479</v>
      </c>
      <c r="AR222" t="s">
        <v>1590</v>
      </c>
      <c r="AS222" t="s">
        <v>67</v>
      </c>
      <c r="AT222" t="s">
        <v>91</v>
      </c>
      <c r="AU222" t="str">
        <f t="shared" si="126"/>
        <v>[1]</v>
      </c>
      <c r="AV222">
        <f t="shared" si="127"/>
        <v>48</v>
      </c>
      <c r="AW222" t="str">
        <f t="shared" si="99"/>
        <v/>
      </c>
      <c r="AX222">
        <f>SUMIF(AT222:$AT$651,AW222,AV222:$AV$651)</f>
        <v>0</v>
      </c>
    </row>
    <row r="223" spans="1:50" x14ac:dyDescent="0.25">
      <c r="A223" s="4" t="s">
        <v>0</v>
      </c>
      <c r="B223" t="s">
        <v>449</v>
      </c>
      <c r="C223" t="s">
        <v>1176</v>
      </c>
      <c r="D223" t="s">
        <v>126</v>
      </c>
      <c r="E223" t="s">
        <v>929</v>
      </c>
      <c r="F223" t="str">
        <f t="shared" si="128"/>
        <v>[5]</v>
      </c>
      <c r="G223">
        <f t="shared" si="120"/>
        <v>8</v>
      </c>
      <c r="H223" t="str">
        <f t="shared" si="129"/>
        <v>atoll.o</v>
      </c>
      <c r="I223">
        <f>SUMIF(E223:$E$259,H223,G223:$G$259)</f>
        <v>8</v>
      </c>
      <c r="K223" s="4" t="s">
        <v>421</v>
      </c>
      <c r="L223" t="s">
        <v>422</v>
      </c>
      <c r="M223" t="s">
        <v>1756</v>
      </c>
      <c r="N223" t="s">
        <v>126</v>
      </c>
      <c r="O223" t="s">
        <v>131</v>
      </c>
      <c r="P223" t="str">
        <f t="shared" si="1"/>
        <v>[1]</v>
      </c>
      <c r="Q223">
        <f t="shared" si="2"/>
        <v>8</v>
      </c>
      <c r="R223" t="str">
        <f t="shared" si="98"/>
        <v/>
      </c>
      <c r="S223">
        <f>SUMIF(O223:$O$2855,R223,Q223:$Q$2855)</f>
        <v>0</v>
      </c>
      <c r="AP223" s="4" t="s">
        <v>472</v>
      </c>
      <c r="AQ223" t="s">
        <v>479</v>
      </c>
      <c r="AR223" t="s">
        <v>1591</v>
      </c>
      <c r="AS223" t="s">
        <v>6</v>
      </c>
      <c r="AT223" t="s">
        <v>91</v>
      </c>
      <c r="AU223" t="str">
        <f t="shared" si="126"/>
        <v>[1]</v>
      </c>
      <c r="AV223">
        <f t="shared" si="127"/>
        <v>28</v>
      </c>
      <c r="AW223" t="str">
        <f t="shared" si="99"/>
        <v/>
      </c>
      <c r="AX223">
        <f>SUMIF(AT223:$AT$651,AW223,AV223:$AV$651)</f>
        <v>0</v>
      </c>
    </row>
    <row r="224" spans="1:50" x14ac:dyDescent="0.25">
      <c r="A224" s="4" t="s">
        <v>0</v>
      </c>
      <c r="B224" t="s">
        <v>449</v>
      </c>
      <c r="C224" t="s">
        <v>1150</v>
      </c>
      <c r="D224" t="s">
        <v>369</v>
      </c>
      <c r="E224" t="s">
        <v>370</v>
      </c>
      <c r="F224" t="str">
        <f t="shared" si="128"/>
        <v>[5]</v>
      </c>
      <c r="G224">
        <f t="shared" si="120"/>
        <v>14</v>
      </c>
      <c r="H224" t="str">
        <f t="shared" si="129"/>
        <v>div.o</v>
      </c>
      <c r="I224">
        <f>SUMIF(E224:$E$259,H224,G224:$G$259)</f>
        <v>14</v>
      </c>
      <c r="K224" s="4" t="s">
        <v>421</v>
      </c>
      <c r="L224" t="s">
        <v>422</v>
      </c>
      <c r="M224" t="s">
        <v>3005</v>
      </c>
      <c r="N224" t="s">
        <v>13</v>
      </c>
      <c r="O224" t="s">
        <v>131</v>
      </c>
      <c r="P224" t="str">
        <f t="shared" si="1"/>
        <v>[1]</v>
      </c>
      <c r="Q224">
        <f t="shared" si="2"/>
        <v>12</v>
      </c>
      <c r="R224" t="str">
        <f t="shared" ref="R224:R287" si="130">IF(O224&lt;&gt;O223,O224,"")</f>
        <v/>
      </c>
      <c r="S224">
        <f>SUMIF(O224:$O$2855,R224,Q224:$Q$2855)</f>
        <v>0</v>
      </c>
      <c r="AP224" s="4" t="s">
        <v>472</v>
      </c>
      <c r="AQ224" t="s">
        <v>479</v>
      </c>
      <c r="AR224" t="s">
        <v>1592</v>
      </c>
      <c r="AS224" t="s">
        <v>67</v>
      </c>
      <c r="AT224" t="s">
        <v>91</v>
      </c>
      <c r="AU224" t="str">
        <f t="shared" si="126"/>
        <v>[1]</v>
      </c>
      <c r="AV224">
        <f t="shared" si="127"/>
        <v>48</v>
      </c>
      <c r="AW224" t="str">
        <f t="shared" ref="AW224:AW287" si="131">IF(AT224&lt;&gt;AT223,AT224,"")</f>
        <v/>
      </c>
      <c r="AX224">
        <f>SUMIF(AT224:$AT$651,AW224,AV224:$AV$651)</f>
        <v>0</v>
      </c>
    </row>
    <row r="225" spans="1:50" x14ac:dyDescent="0.25">
      <c r="A225" s="4" t="s">
        <v>0</v>
      </c>
      <c r="B225" t="s">
        <v>449</v>
      </c>
      <c r="C225" t="s">
        <v>1162</v>
      </c>
      <c r="D225" t="s">
        <v>13</v>
      </c>
      <c r="E225" t="s">
        <v>185</v>
      </c>
      <c r="F225" t="str">
        <f t="shared" si="128"/>
        <v>[5]</v>
      </c>
      <c r="G225">
        <f t="shared" si="120"/>
        <v>12</v>
      </c>
      <c r="H225" t="str">
        <f t="shared" si="129"/>
        <v>errno.o</v>
      </c>
      <c r="I225">
        <f>SUMIF(E225:$E$259,H225,G225:$G$259)</f>
        <v>12</v>
      </c>
      <c r="K225" s="4" t="s">
        <v>421</v>
      </c>
      <c r="L225" t="s">
        <v>422</v>
      </c>
      <c r="M225" t="s">
        <v>3006</v>
      </c>
      <c r="N225" t="s">
        <v>13</v>
      </c>
      <c r="O225" t="s">
        <v>131</v>
      </c>
      <c r="P225" t="str">
        <f t="shared" si="1"/>
        <v>[1]</v>
      </c>
      <c r="Q225">
        <f t="shared" si="2"/>
        <v>12</v>
      </c>
      <c r="R225" t="str">
        <f t="shared" si="130"/>
        <v/>
      </c>
      <c r="S225">
        <f>SUMIF(O225:$O$2855,R225,Q225:$Q$2855)</f>
        <v>0</v>
      </c>
      <c r="AP225" s="4" t="s">
        <v>472</v>
      </c>
      <c r="AQ225" t="s">
        <v>479</v>
      </c>
      <c r="AR225" t="s">
        <v>1593</v>
      </c>
      <c r="AS225" t="s">
        <v>126</v>
      </c>
      <c r="AT225" t="s">
        <v>91</v>
      </c>
      <c r="AU225" t="str">
        <f t="shared" si="126"/>
        <v>[1]</v>
      </c>
      <c r="AV225">
        <f t="shared" si="127"/>
        <v>8</v>
      </c>
      <c r="AW225" t="str">
        <f t="shared" si="131"/>
        <v/>
      </c>
      <c r="AX225">
        <f>SUMIF(AT225:$AT$651,AW225,AV225:$AV$651)</f>
        <v>0</v>
      </c>
    </row>
    <row r="226" spans="1:50" x14ac:dyDescent="0.25">
      <c r="A226" s="4" t="s">
        <v>0</v>
      </c>
      <c r="B226" t="s">
        <v>449</v>
      </c>
      <c r="C226" t="s">
        <v>1294</v>
      </c>
      <c r="D226" t="s">
        <v>78</v>
      </c>
      <c r="E226" t="s">
        <v>79</v>
      </c>
      <c r="F226" t="str">
        <f t="shared" si="128"/>
        <v>[5]</v>
      </c>
      <c r="G226">
        <f t="shared" si="120"/>
        <v>4</v>
      </c>
      <c r="H226" t="str">
        <f t="shared" si="129"/>
        <v>exit.o</v>
      </c>
      <c r="I226">
        <f>SUMIF(E226:$E$259,H226,G226:$G$259)</f>
        <v>4</v>
      </c>
      <c r="K226" s="4" t="s">
        <v>421</v>
      </c>
      <c r="L226" t="s">
        <v>422</v>
      </c>
      <c r="M226" t="s">
        <v>1757</v>
      </c>
      <c r="N226" t="s">
        <v>13</v>
      </c>
      <c r="O226" t="s">
        <v>131</v>
      </c>
      <c r="P226" t="str">
        <f t="shared" si="1"/>
        <v>[1]</v>
      </c>
      <c r="Q226">
        <f t="shared" si="2"/>
        <v>12</v>
      </c>
      <c r="R226" t="str">
        <f t="shared" si="130"/>
        <v/>
      </c>
      <c r="S226">
        <f>SUMIF(O226:$O$2855,R226,Q226:$Q$2855)</f>
        <v>0</v>
      </c>
      <c r="AP226" s="4" t="s">
        <v>472</v>
      </c>
      <c r="AQ226" t="s">
        <v>479</v>
      </c>
      <c r="AR226" t="s">
        <v>1594</v>
      </c>
      <c r="AS226" t="s">
        <v>126</v>
      </c>
      <c r="AT226" t="s">
        <v>91</v>
      </c>
      <c r="AU226" t="str">
        <f t="shared" si="126"/>
        <v>[1]</v>
      </c>
      <c r="AV226">
        <f t="shared" si="127"/>
        <v>8</v>
      </c>
      <c r="AW226" t="str">
        <f t="shared" si="131"/>
        <v/>
      </c>
      <c r="AX226">
        <f>SUMIF(AT226:$AT$651,AW226,AV226:$AV$651)</f>
        <v>0</v>
      </c>
    </row>
    <row r="227" spans="1:50" x14ac:dyDescent="0.25">
      <c r="A227" s="4" t="s">
        <v>0</v>
      </c>
      <c r="B227" t="s">
        <v>449</v>
      </c>
      <c r="C227" t="s">
        <v>1036</v>
      </c>
      <c r="D227" t="s">
        <v>124</v>
      </c>
      <c r="E227" t="s">
        <v>288</v>
      </c>
      <c r="F227" t="str">
        <f t="shared" si="128"/>
        <v>[5]</v>
      </c>
      <c r="G227">
        <f t="shared" si="120"/>
        <v>68</v>
      </c>
      <c r="H227" t="str">
        <f t="shared" si="129"/>
        <v>snprintf.o</v>
      </c>
      <c r="I227">
        <f>SUMIF(E227:$E$259,H227,G227:$G$259)</f>
        <v>68</v>
      </c>
      <c r="K227" s="4" t="s">
        <v>421</v>
      </c>
      <c r="L227" t="s">
        <v>422</v>
      </c>
      <c r="M227" t="s">
        <v>3007</v>
      </c>
      <c r="N227" t="s">
        <v>165</v>
      </c>
      <c r="O227" t="s">
        <v>131</v>
      </c>
      <c r="P227" t="str">
        <f t="shared" si="1"/>
        <v>[1]</v>
      </c>
      <c r="Q227">
        <f t="shared" si="2"/>
        <v>20</v>
      </c>
      <c r="R227" t="str">
        <f t="shared" si="130"/>
        <v/>
      </c>
      <c r="S227">
        <f>SUMIF(O227:$O$2855,R227,Q227:$Q$2855)</f>
        <v>0</v>
      </c>
      <c r="AP227" s="4" t="s">
        <v>472</v>
      </c>
      <c r="AQ227" t="s">
        <v>479</v>
      </c>
      <c r="AR227" t="s">
        <v>1595</v>
      </c>
      <c r="AS227" t="s">
        <v>141</v>
      </c>
      <c r="AT227" t="s">
        <v>91</v>
      </c>
      <c r="AU227" t="str">
        <f t="shared" si="126"/>
        <v>[1]</v>
      </c>
      <c r="AV227">
        <f t="shared" si="127"/>
        <v>104</v>
      </c>
      <c r="AW227" t="str">
        <f t="shared" si="131"/>
        <v/>
      </c>
      <c r="AX227">
        <f>SUMIF(AT227:$AT$651,AW227,AV227:$AV$651)</f>
        <v>0</v>
      </c>
    </row>
    <row r="228" spans="1:50" x14ac:dyDescent="0.25">
      <c r="A228" s="4" t="s">
        <v>0</v>
      </c>
      <c r="B228" t="s">
        <v>449</v>
      </c>
      <c r="C228" t="s">
        <v>1156</v>
      </c>
      <c r="D228" t="s">
        <v>237</v>
      </c>
      <c r="E228" t="s">
        <v>238</v>
      </c>
      <c r="F228" t="str">
        <f t="shared" si="128"/>
        <v>[5]</v>
      </c>
      <c r="G228">
        <f t="shared" si="120"/>
        <v>52</v>
      </c>
      <c r="H228" t="str">
        <f t="shared" si="129"/>
        <v>sprintf.o</v>
      </c>
      <c r="I228">
        <f>SUMIF(E228:$E$259,H228,G228:$G$259)</f>
        <v>52</v>
      </c>
      <c r="K228" s="4" t="s">
        <v>421</v>
      </c>
      <c r="L228" t="s">
        <v>422</v>
      </c>
      <c r="M228" t="s">
        <v>3008</v>
      </c>
      <c r="N228" t="s">
        <v>126</v>
      </c>
      <c r="O228" t="s">
        <v>131</v>
      </c>
      <c r="P228" t="str">
        <f t="shared" si="1"/>
        <v>[1]</v>
      </c>
      <c r="Q228">
        <f t="shared" si="2"/>
        <v>8</v>
      </c>
      <c r="R228" t="str">
        <f t="shared" si="130"/>
        <v/>
      </c>
      <c r="S228">
        <f>SUMIF(O228:$O$2855,R228,Q228:$Q$2855)</f>
        <v>0</v>
      </c>
      <c r="AP228" s="4" t="s">
        <v>472</v>
      </c>
      <c r="AQ228" t="s">
        <v>479</v>
      </c>
      <c r="AR228" t="s">
        <v>1596</v>
      </c>
      <c r="AS228" t="s">
        <v>147</v>
      </c>
      <c r="AT228" t="s">
        <v>91</v>
      </c>
      <c r="AU228" t="str">
        <f t="shared" si="126"/>
        <v>[1]</v>
      </c>
      <c r="AV228">
        <f t="shared" si="127"/>
        <v>72</v>
      </c>
      <c r="AW228" t="str">
        <f t="shared" si="131"/>
        <v/>
      </c>
      <c r="AX228">
        <f>SUMIF(AT228:$AT$651,AW228,AV228:$AV$651)</f>
        <v>0</v>
      </c>
    </row>
    <row r="229" spans="1:50" x14ac:dyDescent="0.25">
      <c r="A229" s="4" t="s">
        <v>0</v>
      </c>
      <c r="B229" t="s">
        <v>449</v>
      </c>
      <c r="C229" t="s">
        <v>1157</v>
      </c>
      <c r="D229" t="s">
        <v>76</v>
      </c>
      <c r="E229" t="s">
        <v>287</v>
      </c>
      <c r="F229" t="str">
        <f t="shared" si="128"/>
        <v>[5]</v>
      </c>
      <c r="G229">
        <f t="shared" si="120"/>
        <v>36</v>
      </c>
      <c r="H229" t="str">
        <f t="shared" si="129"/>
        <v>sscanf.o</v>
      </c>
      <c r="I229">
        <f>SUMIF(E229:$E$259,H229,G229:$G$259)</f>
        <v>36</v>
      </c>
      <c r="K229" s="4" t="s">
        <v>421</v>
      </c>
      <c r="L229" t="s">
        <v>422</v>
      </c>
      <c r="M229" t="s">
        <v>3009</v>
      </c>
      <c r="N229" t="s">
        <v>13</v>
      </c>
      <c r="O229" t="s">
        <v>131</v>
      </c>
      <c r="P229" t="str">
        <f t="shared" si="1"/>
        <v>[1]</v>
      </c>
      <c r="Q229">
        <f t="shared" si="2"/>
        <v>12</v>
      </c>
      <c r="R229" t="str">
        <f t="shared" si="130"/>
        <v/>
      </c>
      <c r="S229">
        <f>SUMIF(O229:$O$2855,R229,Q229:$Q$2855)</f>
        <v>0</v>
      </c>
      <c r="AP229" s="4" t="s">
        <v>472</v>
      </c>
      <c r="AQ229" t="s">
        <v>479</v>
      </c>
      <c r="AR229" t="s">
        <v>1597</v>
      </c>
      <c r="AS229" t="s">
        <v>432</v>
      </c>
      <c r="AT229" t="s">
        <v>91</v>
      </c>
      <c r="AU229" t="str">
        <f t="shared" si="126"/>
        <v>[1]</v>
      </c>
      <c r="AV229">
        <f t="shared" si="127"/>
        <v>180</v>
      </c>
      <c r="AW229" t="str">
        <f t="shared" si="131"/>
        <v/>
      </c>
      <c r="AX229">
        <f>SUMIF(AT229:$AT$651,AW229,AV229:$AV$651)</f>
        <v>0</v>
      </c>
    </row>
    <row r="230" spans="1:50" x14ac:dyDescent="0.25">
      <c r="A230" s="4" t="s">
        <v>0</v>
      </c>
      <c r="B230" t="s">
        <v>449</v>
      </c>
      <c r="C230" t="s">
        <v>1168</v>
      </c>
      <c r="D230" t="s">
        <v>143</v>
      </c>
      <c r="E230" t="s">
        <v>192</v>
      </c>
      <c r="F230" t="str">
        <f t="shared" si="128"/>
        <v>[5]</v>
      </c>
      <c r="G230">
        <f t="shared" si="120"/>
        <v>84</v>
      </c>
      <c r="H230" t="str">
        <f t="shared" si="129"/>
        <v>strcasecmp.o</v>
      </c>
      <c r="I230">
        <f>SUMIF(E230:$E$259,H230,G230:$G$259)</f>
        <v>84</v>
      </c>
      <c r="K230" s="4" t="s">
        <v>421</v>
      </c>
      <c r="L230" t="s">
        <v>422</v>
      </c>
      <c r="M230" t="s">
        <v>1856</v>
      </c>
      <c r="N230" t="s">
        <v>126</v>
      </c>
      <c r="O230" t="s">
        <v>131</v>
      </c>
      <c r="P230" t="str">
        <f t="shared" si="1"/>
        <v>[1]</v>
      </c>
      <c r="Q230">
        <f t="shared" si="2"/>
        <v>8</v>
      </c>
      <c r="R230" t="str">
        <f t="shared" si="130"/>
        <v/>
      </c>
      <c r="S230">
        <f>SUMIF(O230:$O$2855,R230,Q230:$Q$2855)</f>
        <v>0</v>
      </c>
      <c r="AP230" s="4" t="s">
        <v>472</v>
      </c>
      <c r="AQ230" t="s">
        <v>479</v>
      </c>
      <c r="AR230" t="s">
        <v>1598</v>
      </c>
      <c r="AS230" t="s">
        <v>126</v>
      </c>
      <c r="AT230" t="s">
        <v>91</v>
      </c>
      <c r="AU230" t="str">
        <f t="shared" si="126"/>
        <v>[1]</v>
      </c>
      <c r="AV230">
        <f t="shared" si="127"/>
        <v>8</v>
      </c>
      <c r="AW230" t="str">
        <f t="shared" si="131"/>
        <v/>
      </c>
      <c r="AX230">
        <f>SUMIF(AT230:$AT$651,AW230,AV230:$AV$651)</f>
        <v>0</v>
      </c>
    </row>
    <row r="231" spans="1:50" x14ac:dyDescent="0.25">
      <c r="A231" s="4" t="s">
        <v>0</v>
      </c>
      <c r="B231" t="s">
        <v>449</v>
      </c>
      <c r="C231" t="s">
        <v>1172</v>
      </c>
      <c r="D231" t="s">
        <v>6</v>
      </c>
      <c r="E231" t="s">
        <v>56</v>
      </c>
      <c r="F231" t="str">
        <f t="shared" si="128"/>
        <v>[5]</v>
      </c>
      <c r="G231">
        <f t="shared" si="120"/>
        <v>28</v>
      </c>
      <c r="H231" t="str">
        <f t="shared" si="129"/>
        <v>strcat.o</v>
      </c>
      <c r="I231">
        <f>SUMIF(E231:$E$259,H231,G231:$G$259)</f>
        <v>28</v>
      </c>
      <c r="K231" s="4" t="s">
        <v>421</v>
      </c>
      <c r="L231" t="s">
        <v>422</v>
      </c>
      <c r="M231" t="s">
        <v>3010</v>
      </c>
      <c r="N231" t="s">
        <v>437</v>
      </c>
      <c r="O231" t="s">
        <v>131</v>
      </c>
      <c r="P231" t="str">
        <f t="shared" si="1"/>
        <v>[1]</v>
      </c>
      <c r="Q231">
        <f t="shared" si="2"/>
        <v>24</v>
      </c>
      <c r="R231" t="str">
        <f t="shared" si="130"/>
        <v/>
      </c>
      <c r="S231">
        <f>SUMIF(O231:$O$2855,R231,Q231:$Q$2855)</f>
        <v>0</v>
      </c>
      <c r="AP231" s="4" t="s">
        <v>472</v>
      </c>
      <c r="AQ231" t="s">
        <v>479</v>
      </c>
      <c r="AR231" t="s">
        <v>1599</v>
      </c>
      <c r="AS231" t="s">
        <v>124</v>
      </c>
      <c r="AT231" t="s">
        <v>91</v>
      </c>
      <c r="AU231" t="str">
        <f t="shared" si="126"/>
        <v>[1]</v>
      </c>
      <c r="AV231">
        <f t="shared" si="127"/>
        <v>68</v>
      </c>
      <c r="AW231" t="str">
        <f t="shared" si="131"/>
        <v/>
      </c>
      <c r="AX231">
        <f>SUMIF(AT231:$AT$651,AW231,AV231:$AV$651)</f>
        <v>0</v>
      </c>
    </row>
    <row r="232" spans="1:50" x14ac:dyDescent="0.25">
      <c r="A232" s="4" t="s">
        <v>0</v>
      </c>
      <c r="B232" t="s">
        <v>449</v>
      </c>
      <c r="C232" t="s">
        <v>1154</v>
      </c>
      <c r="D232" t="s">
        <v>31</v>
      </c>
      <c r="E232" t="s">
        <v>320</v>
      </c>
      <c r="F232" t="str">
        <f t="shared" si="128"/>
        <v>[5]</v>
      </c>
      <c r="G232">
        <f t="shared" si="120"/>
        <v>34</v>
      </c>
      <c r="H232" t="str">
        <f t="shared" si="129"/>
        <v>strcspn.o</v>
      </c>
      <c r="I232">
        <f>SUMIF(E232:$E$259,H232,G232:$G$259)</f>
        <v>34</v>
      </c>
      <c r="K232" s="4" t="s">
        <v>421</v>
      </c>
      <c r="L232" t="s">
        <v>422</v>
      </c>
      <c r="M232" t="s">
        <v>3011</v>
      </c>
      <c r="N232" t="s">
        <v>13</v>
      </c>
      <c r="O232" t="s">
        <v>131</v>
      </c>
      <c r="P232" t="str">
        <f t="shared" si="1"/>
        <v>[1]</v>
      </c>
      <c r="Q232">
        <f t="shared" si="2"/>
        <v>12</v>
      </c>
      <c r="R232" t="str">
        <f t="shared" si="130"/>
        <v/>
      </c>
      <c r="S232">
        <f>SUMIF(O232:$O$2855,R232,Q232:$Q$2855)</f>
        <v>0</v>
      </c>
      <c r="AP232" s="4" t="s">
        <v>472</v>
      </c>
      <c r="AQ232" t="s">
        <v>479</v>
      </c>
      <c r="AR232" t="s">
        <v>1600</v>
      </c>
      <c r="AS232" t="s">
        <v>13</v>
      </c>
      <c r="AT232" t="s">
        <v>91</v>
      </c>
      <c r="AU232" t="str">
        <f t="shared" si="126"/>
        <v>[1]</v>
      </c>
      <c r="AV232">
        <f t="shared" si="127"/>
        <v>12</v>
      </c>
      <c r="AW232" t="str">
        <f t="shared" si="131"/>
        <v/>
      </c>
      <c r="AX232">
        <f>SUMIF(AT232:$AT$651,AW232,AV232:$AV$651)</f>
        <v>0</v>
      </c>
    </row>
    <row r="233" spans="1:50" x14ac:dyDescent="0.25">
      <c r="A233" s="4" t="s">
        <v>0</v>
      </c>
      <c r="B233" t="s">
        <v>449</v>
      </c>
      <c r="C233" t="s">
        <v>1174</v>
      </c>
      <c r="D233" t="s">
        <v>65</v>
      </c>
      <c r="E233" t="s">
        <v>246</v>
      </c>
      <c r="F233" t="str">
        <f t="shared" si="128"/>
        <v>[5]</v>
      </c>
      <c r="G233">
        <f t="shared" si="120"/>
        <v>40</v>
      </c>
      <c r="H233" t="str">
        <f t="shared" si="129"/>
        <v>strncat.o</v>
      </c>
      <c r="I233">
        <f>SUMIF(E233:$E$259,H233,G233:$G$259)</f>
        <v>40</v>
      </c>
      <c r="K233" s="4" t="s">
        <v>421</v>
      </c>
      <c r="L233" t="s">
        <v>422</v>
      </c>
      <c r="M233" t="s">
        <v>3012</v>
      </c>
      <c r="N233" t="s">
        <v>13</v>
      </c>
      <c r="O233" t="s">
        <v>131</v>
      </c>
      <c r="P233" t="str">
        <f t="shared" si="1"/>
        <v>[1]</v>
      </c>
      <c r="Q233">
        <f t="shared" si="2"/>
        <v>12</v>
      </c>
      <c r="R233" t="str">
        <f t="shared" si="130"/>
        <v/>
      </c>
      <c r="S233">
        <f>SUMIF(O233:$O$2855,R233,Q233:$Q$2855)</f>
        <v>0</v>
      </c>
      <c r="AP233" s="4" t="s">
        <v>472</v>
      </c>
      <c r="AQ233" t="s">
        <v>479</v>
      </c>
      <c r="AR233" t="s">
        <v>1601</v>
      </c>
      <c r="AS233" t="s">
        <v>1073</v>
      </c>
      <c r="AT233" t="s">
        <v>91</v>
      </c>
      <c r="AU233" t="str">
        <f t="shared" si="126"/>
        <v>[1]</v>
      </c>
      <c r="AV233">
        <f t="shared" si="127"/>
        <v>300</v>
      </c>
      <c r="AW233" t="str">
        <f t="shared" si="131"/>
        <v/>
      </c>
      <c r="AX233">
        <f>SUMIF(AT233:$AT$651,AW233,AV233:$AV$651)</f>
        <v>0</v>
      </c>
    </row>
    <row r="234" spans="1:50" x14ac:dyDescent="0.25">
      <c r="A234" s="4" t="s">
        <v>0</v>
      </c>
      <c r="B234" t="s">
        <v>449</v>
      </c>
      <c r="C234" t="s">
        <v>1173</v>
      </c>
      <c r="D234" t="s">
        <v>48</v>
      </c>
      <c r="E234" t="s">
        <v>49</v>
      </c>
      <c r="F234" t="str">
        <f t="shared" si="128"/>
        <v>[5]</v>
      </c>
      <c r="G234">
        <f t="shared" si="120"/>
        <v>42</v>
      </c>
      <c r="H234" t="str">
        <f t="shared" si="129"/>
        <v>strncmp.o</v>
      </c>
      <c r="I234">
        <f>SUMIF(E234:$E$259,H234,G234:$G$259)</f>
        <v>42</v>
      </c>
      <c r="K234" s="4" t="s">
        <v>421</v>
      </c>
      <c r="L234" t="s">
        <v>422</v>
      </c>
      <c r="M234" t="s">
        <v>1857</v>
      </c>
      <c r="N234" t="s">
        <v>13</v>
      </c>
      <c r="O234" t="s">
        <v>131</v>
      </c>
      <c r="P234" t="str">
        <f t="shared" si="1"/>
        <v>[1]</v>
      </c>
      <c r="Q234">
        <f t="shared" si="2"/>
        <v>12</v>
      </c>
      <c r="R234" t="str">
        <f t="shared" si="130"/>
        <v/>
      </c>
      <c r="S234">
        <f>SUMIF(O234:$O$2855,R234,Q234:$Q$2855)</f>
        <v>0</v>
      </c>
      <c r="AP234" s="4" t="s">
        <v>472</v>
      </c>
      <c r="AQ234" t="s">
        <v>479</v>
      </c>
      <c r="AR234" t="s">
        <v>1602</v>
      </c>
      <c r="AS234" t="s">
        <v>78</v>
      </c>
      <c r="AT234" t="s">
        <v>91</v>
      </c>
      <c r="AU234" t="str">
        <f t="shared" si="126"/>
        <v>[1]</v>
      </c>
      <c r="AV234">
        <f t="shared" si="127"/>
        <v>4</v>
      </c>
      <c r="AW234" t="str">
        <f t="shared" si="131"/>
        <v/>
      </c>
      <c r="AX234">
        <f>SUMIF(AT234:$AT$651,AW234,AV234:$AV$651)</f>
        <v>0</v>
      </c>
    </row>
    <row r="235" spans="1:50" x14ac:dyDescent="0.25">
      <c r="A235" s="4" t="s">
        <v>0</v>
      </c>
      <c r="B235" t="s">
        <v>449</v>
      </c>
      <c r="C235" t="s">
        <v>1177</v>
      </c>
      <c r="D235" t="s">
        <v>338</v>
      </c>
      <c r="E235" t="s">
        <v>339</v>
      </c>
      <c r="F235" t="str">
        <f t="shared" si="128"/>
        <v>[5]</v>
      </c>
      <c r="G235">
        <f t="shared" si="120"/>
        <v>22</v>
      </c>
      <c r="H235" t="str">
        <f t="shared" si="129"/>
        <v>strnlen.o</v>
      </c>
      <c r="I235">
        <f>SUMIF(E235:$E$259,H235,G235:$G$259)</f>
        <v>22</v>
      </c>
      <c r="K235" s="4" t="s">
        <v>421</v>
      </c>
      <c r="L235" t="s">
        <v>422</v>
      </c>
      <c r="M235" t="s">
        <v>1858</v>
      </c>
      <c r="N235" t="s">
        <v>165</v>
      </c>
      <c r="O235" t="s">
        <v>131</v>
      </c>
      <c r="P235" t="str">
        <f t="shared" si="1"/>
        <v>[1]</v>
      </c>
      <c r="Q235">
        <f t="shared" si="2"/>
        <v>20</v>
      </c>
      <c r="R235" t="str">
        <f t="shared" si="130"/>
        <v/>
      </c>
      <c r="S235">
        <f>SUMIF(O235:$O$2855,R235,Q235:$Q$2855)</f>
        <v>0</v>
      </c>
      <c r="AP235" s="4" t="s">
        <v>472</v>
      </c>
      <c r="AQ235" t="s">
        <v>479</v>
      </c>
      <c r="AR235" t="s">
        <v>4473</v>
      </c>
      <c r="AS235" t="s">
        <v>442</v>
      </c>
      <c r="AT235" t="s">
        <v>91</v>
      </c>
      <c r="AU235" t="str">
        <f t="shared" si="126"/>
        <v>[1]</v>
      </c>
      <c r="AV235">
        <f t="shared" si="127"/>
        <v>1</v>
      </c>
      <c r="AW235" t="str">
        <f t="shared" si="131"/>
        <v/>
      </c>
      <c r="AX235">
        <f>SUMIF(AT235:$AT$651,AW235,AV235:$AV$651)</f>
        <v>0</v>
      </c>
    </row>
    <row r="236" spans="1:50" x14ac:dyDescent="0.25">
      <c r="A236" s="4" t="s">
        <v>0</v>
      </c>
      <c r="B236" t="s">
        <v>449</v>
      </c>
      <c r="C236" t="s">
        <v>1175</v>
      </c>
      <c r="D236" t="s">
        <v>31</v>
      </c>
      <c r="E236" t="s">
        <v>379</v>
      </c>
      <c r="F236" t="str">
        <f t="shared" si="128"/>
        <v>[5]</v>
      </c>
      <c r="G236">
        <f t="shared" si="120"/>
        <v>34</v>
      </c>
      <c r="H236" t="str">
        <f t="shared" si="129"/>
        <v>strpbrk.o</v>
      </c>
      <c r="I236">
        <f>SUMIF(E236:$E$259,H236,G236:$G$259)</f>
        <v>34</v>
      </c>
      <c r="K236" s="4" t="s">
        <v>421</v>
      </c>
      <c r="L236" t="s">
        <v>422</v>
      </c>
      <c r="M236" t="s">
        <v>3013</v>
      </c>
      <c r="N236" t="s">
        <v>13</v>
      </c>
      <c r="O236" t="s">
        <v>131</v>
      </c>
      <c r="P236" t="str">
        <f t="shared" si="1"/>
        <v>[1]</v>
      </c>
      <c r="Q236">
        <f t="shared" si="2"/>
        <v>12</v>
      </c>
      <c r="R236" t="str">
        <f t="shared" si="130"/>
        <v/>
      </c>
      <c r="S236">
        <f>SUMIF(O236:$O$2855,R236,Q236:$Q$2855)</f>
        <v>0</v>
      </c>
      <c r="AP236" s="4" t="s">
        <v>472</v>
      </c>
      <c r="AQ236" t="s">
        <v>479</v>
      </c>
      <c r="AR236" t="s">
        <v>4474</v>
      </c>
      <c r="AS236" t="s">
        <v>442</v>
      </c>
      <c r="AT236" t="s">
        <v>91</v>
      </c>
      <c r="AU236" t="str">
        <f t="shared" si="126"/>
        <v>[1]</v>
      </c>
      <c r="AV236">
        <f t="shared" si="127"/>
        <v>1</v>
      </c>
      <c r="AW236" t="str">
        <f t="shared" si="131"/>
        <v/>
      </c>
      <c r="AX236">
        <f>SUMIF(AT236:$AT$651,AW236,AV236:$AV$651)</f>
        <v>0</v>
      </c>
    </row>
    <row r="237" spans="1:50" x14ac:dyDescent="0.25">
      <c r="A237" s="4" t="s">
        <v>0</v>
      </c>
      <c r="B237" t="s">
        <v>449</v>
      </c>
      <c r="C237" t="s">
        <v>1153</v>
      </c>
      <c r="D237" t="s">
        <v>31</v>
      </c>
      <c r="E237" t="s">
        <v>319</v>
      </c>
      <c r="F237" t="str">
        <f t="shared" si="128"/>
        <v>[5]</v>
      </c>
      <c r="G237">
        <f t="shared" si="120"/>
        <v>34</v>
      </c>
      <c r="H237" t="str">
        <f t="shared" si="129"/>
        <v>strspn.o</v>
      </c>
      <c r="I237">
        <f>SUMIF(E237:$E$259,H237,G237:$G$259)</f>
        <v>34</v>
      </c>
      <c r="K237" s="4" t="s">
        <v>421</v>
      </c>
      <c r="L237" t="s">
        <v>422</v>
      </c>
      <c r="M237" t="s">
        <v>3014</v>
      </c>
      <c r="N237" t="s">
        <v>6</v>
      </c>
      <c r="O237" t="s">
        <v>131</v>
      </c>
      <c r="P237" t="str">
        <f t="shared" si="1"/>
        <v>[1]</v>
      </c>
      <c r="Q237">
        <f t="shared" si="2"/>
        <v>28</v>
      </c>
      <c r="R237" t="str">
        <f t="shared" si="130"/>
        <v/>
      </c>
      <c r="S237">
        <f>SUMIF(O237:$O$2855,R237,Q237:$Q$2855)</f>
        <v>0</v>
      </c>
      <c r="AP237" s="4" t="s">
        <v>472</v>
      </c>
      <c r="AQ237" t="s">
        <v>479</v>
      </c>
      <c r="AR237" t="s">
        <v>4475</v>
      </c>
      <c r="AS237" t="s">
        <v>442</v>
      </c>
      <c r="AT237" t="s">
        <v>91</v>
      </c>
      <c r="AU237" t="str">
        <f t="shared" si="126"/>
        <v>[1]</v>
      </c>
      <c r="AV237">
        <f t="shared" si="127"/>
        <v>1</v>
      </c>
      <c r="AW237" t="str">
        <f t="shared" si="131"/>
        <v/>
      </c>
      <c r="AX237">
        <f>SUMIF(AT237:$AT$651,AW237,AV237:$AV$651)</f>
        <v>0</v>
      </c>
    </row>
    <row r="238" spans="1:50" x14ac:dyDescent="0.25">
      <c r="A238" s="4" t="s">
        <v>0</v>
      </c>
      <c r="B238" t="s">
        <v>449</v>
      </c>
      <c r="C238" t="s">
        <v>1291</v>
      </c>
      <c r="D238" t="s">
        <v>44</v>
      </c>
      <c r="E238" t="s">
        <v>374</v>
      </c>
      <c r="F238" t="str">
        <f t="shared" si="128"/>
        <v>[5]</v>
      </c>
      <c r="G238">
        <f t="shared" si="120"/>
        <v>44</v>
      </c>
      <c r="H238" t="str">
        <f t="shared" si="129"/>
        <v>strstr.o</v>
      </c>
      <c r="I238">
        <f>SUMIF(E238:$E$259,H238,G238:$G$259)</f>
        <v>44</v>
      </c>
      <c r="K238" s="4" t="s">
        <v>421</v>
      </c>
      <c r="L238" t="s">
        <v>422</v>
      </c>
      <c r="M238" t="s">
        <v>3015</v>
      </c>
      <c r="N238" t="s">
        <v>126</v>
      </c>
      <c r="O238" t="s">
        <v>131</v>
      </c>
      <c r="P238" t="str">
        <f t="shared" si="1"/>
        <v>[1]</v>
      </c>
      <c r="Q238">
        <f t="shared" si="2"/>
        <v>8</v>
      </c>
      <c r="R238" t="str">
        <f t="shared" si="130"/>
        <v/>
      </c>
      <c r="S238">
        <f>SUMIF(O238:$O$2855,R238,Q238:$Q$2855)</f>
        <v>0</v>
      </c>
      <c r="AP238" s="4" t="s">
        <v>472</v>
      </c>
      <c r="AQ238" t="s">
        <v>479</v>
      </c>
      <c r="AR238" t="s">
        <v>1603</v>
      </c>
      <c r="AS238" t="s">
        <v>482</v>
      </c>
      <c r="AT238" t="s">
        <v>157</v>
      </c>
      <c r="AU238" t="str">
        <f t="shared" si="126"/>
        <v>[1]</v>
      </c>
      <c r="AV238">
        <f t="shared" si="127"/>
        <v>364</v>
      </c>
      <c r="AW238" t="str">
        <f t="shared" si="131"/>
        <v>MAC_FrameManagement.o</v>
      </c>
      <c r="AX238">
        <f>SUMIF(AT238:$AT$651,AW238,AV238:$AV$651)</f>
        <v>10985</v>
      </c>
    </row>
    <row r="239" spans="1:50" x14ac:dyDescent="0.25">
      <c r="A239" s="4" t="s">
        <v>0</v>
      </c>
      <c r="B239" t="s">
        <v>449</v>
      </c>
      <c r="C239" t="s">
        <v>1151</v>
      </c>
      <c r="D239" t="s">
        <v>89</v>
      </c>
      <c r="E239" s="1" t="s">
        <v>234</v>
      </c>
      <c r="F239" t="str">
        <f t="shared" si="128"/>
        <v>[5]</v>
      </c>
      <c r="G239">
        <f t="shared" si="120"/>
        <v>76</v>
      </c>
      <c r="H239" t="str">
        <f t="shared" si="129"/>
        <v>strtok.o</v>
      </c>
      <c r="I239">
        <f>SUMIF(E239:$E$259,H239,G239:$G$259)</f>
        <v>76</v>
      </c>
      <c r="K239" s="4" t="s">
        <v>421</v>
      </c>
      <c r="L239" t="s">
        <v>422</v>
      </c>
      <c r="M239" t="s">
        <v>3016</v>
      </c>
      <c r="N239" t="s">
        <v>6</v>
      </c>
      <c r="O239" t="s">
        <v>131</v>
      </c>
      <c r="P239" t="str">
        <f t="shared" si="1"/>
        <v>[1]</v>
      </c>
      <c r="Q239">
        <f t="shared" si="2"/>
        <v>28</v>
      </c>
      <c r="R239" t="str">
        <f t="shared" si="130"/>
        <v/>
      </c>
      <c r="S239">
        <f>SUMIF(O239:$O$2855,R239,Q239:$Q$2855)</f>
        <v>0</v>
      </c>
      <c r="AP239" s="4" t="s">
        <v>472</v>
      </c>
      <c r="AQ239" t="s">
        <v>479</v>
      </c>
      <c r="AR239" t="s">
        <v>1604</v>
      </c>
      <c r="AS239" t="s">
        <v>13</v>
      </c>
      <c r="AT239" t="s">
        <v>157</v>
      </c>
      <c r="AU239" t="str">
        <f t="shared" si="126"/>
        <v>[1]</v>
      </c>
      <c r="AV239">
        <f t="shared" si="127"/>
        <v>12</v>
      </c>
      <c r="AW239" t="str">
        <f t="shared" si="131"/>
        <v/>
      </c>
      <c r="AX239">
        <f>SUMIF(AT239:$AT$651,AW239,AV239:$AV$651)</f>
        <v>0</v>
      </c>
    </row>
    <row r="240" spans="1:50" x14ac:dyDescent="0.25">
      <c r="A240" s="4" t="s">
        <v>0</v>
      </c>
      <c r="B240" t="s">
        <v>449</v>
      </c>
      <c r="C240" t="s">
        <v>1170</v>
      </c>
      <c r="D240" t="s">
        <v>78</v>
      </c>
      <c r="E240" t="s">
        <v>197</v>
      </c>
      <c r="F240" t="str">
        <f t="shared" si="128"/>
        <v>[5]</v>
      </c>
      <c r="G240">
        <f t="shared" si="120"/>
        <v>4</v>
      </c>
      <c r="H240" t="str">
        <f t="shared" si="129"/>
        <v>strtoul.o</v>
      </c>
      <c r="I240">
        <f>SUMIF(E240:$E$259,H240,G240:$G$259)</f>
        <v>4</v>
      </c>
      <c r="K240" s="4" t="s">
        <v>421</v>
      </c>
      <c r="L240" t="s">
        <v>422</v>
      </c>
      <c r="M240" t="s">
        <v>3017</v>
      </c>
      <c r="N240" t="s">
        <v>126</v>
      </c>
      <c r="O240" t="s">
        <v>131</v>
      </c>
      <c r="P240" t="str">
        <f t="shared" si="1"/>
        <v>[1]</v>
      </c>
      <c r="Q240">
        <f t="shared" si="2"/>
        <v>8</v>
      </c>
      <c r="R240" t="str">
        <f t="shared" si="130"/>
        <v/>
      </c>
      <c r="S240">
        <f>SUMIF(O240:$O$2855,R240,Q240:$Q$2855)</f>
        <v>0</v>
      </c>
      <c r="AP240" s="4" t="s">
        <v>472</v>
      </c>
      <c r="AQ240" t="s">
        <v>479</v>
      </c>
      <c r="AR240" t="s">
        <v>1605</v>
      </c>
      <c r="AS240" t="s">
        <v>13</v>
      </c>
      <c r="AT240" t="s">
        <v>157</v>
      </c>
      <c r="AU240" t="str">
        <f t="shared" si="126"/>
        <v>[1]</v>
      </c>
      <c r="AV240">
        <f t="shared" si="127"/>
        <v>12</v>
      </c>
      <c r="AW240" t="str">
        <f t="shared" si="131"/>
        <v/>
      </c>
      <c r="AX240">
        <f>SUMIF(AT240:$AT$651,AW240,AV240:$AV$651)</f>
        <v>0</v>
      </c>
    </row>
    <row r="241" spans="1:50" x14ac:dyDescent="0.25">
      <c r="A241" s="4" t="s">
        <v>0</v>
      </c>
      <c r="B241" t="s">
        <v>449</v>
      </c>
      <c r="C241" t="s">
        <v>1178</v>
      </c>
      <c r="D241" t="s">
        <v>78</v>
      </c>
      <c r="E241" t="s">
        <v>340</v>
      </c>
      <c r="F241" t="str">
        <f t="shared" si="128"/>
        <v>[5]</v>
      </c>
      <c r="G241">
        <f t="shared" si="120"/>
        <v>4</v>
      </c>
      <c r="H241" t="str">
        <f t="shared" si="129"/>
        <v>strtoull.o</v>
      </c>
      <c r="I241">
        <f>SUMIF(E241:$E$259,H241,G241:$G$259)</f>
        <v>4</v>
      </c>
      <c r="K241" s="4" t="s">
        <v>421</v>
      </c>
      <c r="L241" t="s">
        <v>422</v>
      </c>
      <c r="M241" t="s">
        <v>3018</v>
      </c>
      <c r="N241" t="s">
        <v>435</v>
      </c>
      <c r="O241" t="s">
        <v>131</v>
      </c>
      <c r="P241" t="str">
        <f t="shared" si="1"/>
        <v>[1]</v>
      </c>
      <c r="Q241">
        <f t="shared" si="2"/>
        <v>60</v>
      </c>
      <c r="R241" t="str">
        <f t="shared" si="130"/>
        <v/>
      </c>
      <c r="S241">
        <f>SUMIF(O241:$O$2855,R241,Q241:$Q$2855)</f>
        <v>0</v>
      </c>
      <c r="AP241" s="4" t="s">
        <v>472</v>
      </c>
      <c r="AQ241" t="s">
        <v>479</v>
      </c>
      <c r="AR241" t="s">
        <v>1606</v>
      </c>
      <c r="AS241" t="s">
        <v>65</v>
      </c>
      <c r="AT241" t="s">
        <v>157</v>
      </c>
      <c r="AU241" t="str">
        <f t="shared" si="126"/>
        <v>[1]</v>
      </c>
      <c r="AV241">
        <f t="shared" si="127"/>
        <v>40</v>
      </c>
      <c r="AW241" t="str">
        <f t="shared" si="131"/>
        <v/>
      </c>
      <c r="AX241">
        <f>SUMIF(AT241:$AT$651,AW241,AV241:$AV$651)</f>
        <v>0</v>
      </c>
    </row>
    <row r="242" spans="1:50" x14ac:dyDescent="0.25">
      <c r="A242" s="4" t="s">
        <v>0</v>
      </c>
      <c r="B242" t="s">
        <v>449</v>
      </c>
      <c r="C242" t="s">
        <v>1169</v>
      </c>
      <c r="D242" t="s">
        <v>13</v>
      </c>
      <c r="E242" t="s">
        <v>285</v>
      </c>
      <c r="F242" t="str">
        <f t="shared" si="128"/>
        <v>[5]</v>
      </c>
      <c r="G242">
        <f t="shared" si="120"/>
        <v>12</v>
      </c>
      <c r="H242" t="str">
        <f t="shared" si="129"/>
        <v>tolower.o</v>
      </c>
      <c r="I242">
        <f>SUMIF(E242:$E$259,H242,G242:$G$259)</f>
        <v>12</v>
      </c>
      <c r="K242" s="4" t="s">
        <v>421</v>
      </c>
      <c r="L242" t="s">
        <v>422</v>
      </c>
      <c r="M242" t="s">
        <v>3019</v>
      </c>
      <c r="N242" t="s">
        <v>13</v>
      </c>
      <c r="O242" t="s">
        <v>131</v>
      </c>
      <c r="P242" t="str">
        <f t="shared" si="1"/>
        <v>[1]</v>
      </c>
      <c r="Q242">
        <f t="shared" si="2"/>
        <v>12</v>
      </c>
      <c r="R242" t="str">
        <f t="shared" si="130"/>
        <v/>
      </c>
      <c r="S242">
        <f>SUMIF(O242:$O$2855,R242,Q242:$Q$2855)</f>
        <v>0</v>
      </c>
      <c r="AP242" s="4" t="s">
        <v>472</v>
      </c>
      <c r="AQ242" t="s">
        <v>479</v>
      </c>
      <c r="AR242" t="s">
        <v>1607</v>
      </c>
      <c r="AS242" t="s">
        <v>165</v>
      </c>
      <c r="AT242" t="s">
        <v>157</v>
      </c>
      <c r="AU242" t="str">
        <f t="shared" si="126"/>
        <v>[1]</v>
      </c>
      <c r="AV242">
        <f t="shared" si="127"/>
        <v>20</v>
      </c>
      <c r="AW242" t="str">
        <f t="shared" si="131"/>
        <v/>
      </c>
      <c r="AX242">
        <f>SUMIF(AT242:$AT$651,AW242,AV242:$AV$651)</f>
        <v>0</v>
      </c>
    </row>
    <row r="243" spans="1:50" x14ac:dyDescent="0.25">
      <c r="A243" s="4" t="s">
        <v>0</v>
      </c>
      <c r="B243" t="s">
        <v>449</v>
      </c>
      <c r="C243" t="s">
        <v>1179</v>
      </c>
      <c r="D243" t="s">
        <v>13</v>
      </c>
      <c r="E243" t="s">
        <v>1313</v>
      </c>
      <c r="F243" t="str">
        <f t="shared" si="128"/>
        <v>[5]</v>
      </c>
      <c r="G243">
        <f t="shared" si="120"/>
        <v>12</v>
      </c>
      <c r="H243" t="str">
        <f t="shared" si="129"/>
        <v>toupper.o</v>
      </c>
      <c r="I243">
        <f>SUMIF(E243:$E$259,H243,G243:$G$259)</f>
        <v>12</v>
      </c>
      <c r="K243" s="4" t="s">
        <v>421</v>
      </c>
      <c r="L243" t="s">
        <v>422</v>
      </c>
      <c r="M243" t="s">
        <v>3020</v>
      </c>
      <c r="N243" t="s">
        <v>437</v>
      </c>
      <c r="O243" t="s">
        <v>131</v>
      </c>
      <c r="P243" t="str">
        <f t="shared" si="1"/>
        <v>[1]</v>
      </c>
      <c r="Q243">
        <f t="shared" si="2"/>
        <v>24</v>
      </c>
      <c r="R243" t="str">
        <f t="shared" si="130"/>
        <v/>
      </c>
      <c r="S243">
        <f>SUMIF(O243:$O$2855,R243,Q243:$Q$2855)</f>
        <v>0</v>
      </c>
      <c r="AP243" s="4" t="s">
        <v>472</v>
      </c>
      <c r="AQ243" t="s">
        <v>479</v>
      </c>
      <c r="AR243" t="s">
        <v>1608</v>
      </c>
      <c r="AS243" t="s">
        <v>165</v>
      </c>
      <c r="AT243" t="s">
        <v>157</v>
      </c>
      <c r="AU243" t="str">
        <f t="shared" si="126"/>
        <v>[1]</v>
      </c>
      <c r="AV243">
        <f t="shared" si="127"/>
        <v>20</v>
      </c>
      <c r="AW243" t="str">
        <f t="shared" si="131"/>
        <v/>
      </c>
      <c r="AX243">
        <f>SUMIF(AT243:$AT$651,AW243,AV243:$AV$651)</f>
        <v>0</v>
      </c>
    </row>
    <row r="244" spans="1:50" x14ac:dyDescent="0.25">
      <c r="A244" s="4" t="s">
        <v>0</v>
      </c>
      <c r="B244" t="s">
        <v>449</v>
      </c>
      <c r="C244" t="s">
        <v>1149</v>
      </c>
      <c r="D244" t="s">
        <v>325</v>
      </c>
      <c r="E244" t="s">
        <v>326</v>
      </c>
      <c r="F244" t="str">
        <f t="shared" si="128"/>
        <v>[5]</v>
      </c>
      <c r="G244">
        <f t="shared" si="120"/>
        <v>3502</v>
      </c>
      <c r="H244" t="str">
        <f t="shared" si="129"/>
        <v>xprintffull.o</v>
      </c>
      <c r="I244">
        <f>SUMIF(E244:$E$259,H244,G244:$G$259)</f>
        <v>3502</v>
      </c>
      <c r="K244" s="4" t="s">
        <v>421</v>
      </c>
      <c r="L244" t="s">
        <v>422</v>
      </c>
      <c r="M244" t="s">
        <v>1859</v>
      </c>
      <c r="N244" t="s">
        <v>13</v>
      </c>
      <c r="O244" t="s">
        <v>131</v>
      </c>
      <c r="P244" t="str">
        <f t="shared" si="1"/>
        <v>[1]</v>
      </c>
      <c r="Q244">
        <f t="shared" si="2"/>
        <v>12</v>
      </c>
      <c r="R244" t="str">
        <f t="shared" si="130"/>
        <v/>
      </c>
      <c r="S244">
        <f>SUMIF(O244:$O$2855,R244,Q244:$Q$2855)</f>
        <v>0</v>
      </c>
      <c r="AP244" s="4" t="s">
        <v>472</v>
      </c>
      <c r="AQ244" t="s">
        <v>479</v>
      </c>
      <c r="AR244" t="s">
        <v>1609</v>
      </c>
      <c r="AS244" t="s">
        <v>1255</v>
      </c>
      <c r="AT244" t="s">
        <v>157</v>
      </c>
      <c r="AU244" t="str">
        <f t="shared" si="126"/>
        <v>[1]</v>
      </c>
      <c r="AV244">
        <f t="shared" si="127"/>
        <v>6864</v>
      </c>
      <c r="AW244" t="str">
        <f t="shared" si="131"/>
        <v/>
      </c>
      <c r="AX244">
        <f>SUMIF(AT244:$AT$651,AW244,AV244:$AV$651)</f>
        <v>0</v>
      </c>
    </row>
    <row r="245" spans="1:50" x14ac:dyDescent="0.25">
      <c r="A245" s="4" t="s">
        <v>0</v>
      </c>
      <c r="B245" t="s">
        <v>449</v>
      </c>
      <c r="C245" t="s">
        <v>1158</v>
      </c>
      <c r="D245" t="s">
        <v>363</v>
      </c>
      <c r="E245" t="s">
        <v>364</v>
      </c>
      <c r="F245" t="str">
        <f t="shared" si="128"/>
        <v>[5]</v>
      </c>
      <c r="G245">
        <f t="shared" si="120"/>
        <v>2912</v>
      </c>
      <c r="H245" t="str">
        <f t="shared" si="129"/>
        <v>xscanffull.o</v>
      </c>
      <c r="I245">
        <f>SUMIF(E245:$E$259,H245,G245:$G$259)</f>
        <v>2912</v>
      </c>
      <c r="K245" s="4" t="s">
        <v>421</v>
      </c>
      <c r="L245" t="s">
        <v>422</v>
      </c>
      <c r="M245" t="s">
        <v>3021</v>
      </c>
      <c r="N245" t="s">
        <v>165</v>
      </c>
      <c r="O245" t="s">
        <v>131</v>
      </c>
      <c r="P245" t="str">
        <f t="shared" si="1"/>
        <v>[1]</v>
      </c>
      <c r="Q245">
        <f t="shared" si="2"/>
        <v>20</v>
      </c>
      <c r="R245" t="str">
        <f t="shared" si="130"/>
        <v/>
      </c>
      <c r="S245">
        <f>SUMIF(O245:$O$2855,R245,Q245:$Q$2855)</f>
        <v>0</v>
      </c>
      <c r="AP245" s="4" t="s">
        <v>472</v>
      </c>
      <c r="AQ245" t="s">
        <v>479</v>
      </c>
      <c r="AR245" t="s">
        <v>1610</v>
      </c>
      <c r="AS245" t="s">
        <v>4</v>
      </c>
      <c r="AT245" t="s">
        <v>157</v>
      </c>
      <c r="AU245" t="str">
        <f t="shared" si="126"/>
        <v>[1]</v>
      </c>
      <c r="AV245">
        <f t="shared" si="127"/>
        <v>100</v>
      </c>
      <c r="AW245" t="str">
        <f t="shared" si="131"/>
        <v/>
      </c>
      <c r="AX245">
        <f>SUMIF(AT245:$AT$651,AW245,AV245:$AV$651)</f>
        <v>0</v>
      </c>
    </row>
    <row r="246" spans="1:50" x14ac:dyDescent="0.25">
      <c r="A246" s="4" t="s">
        <v>0</v>
      </c>
      <c r="B246" t="s">
        <v>449</v>
      </c>
      <c r="C246" t="s">
        <v>1155</v>
      </c>
      <c r="D246" t="s">
        <v>10</v>
      </c>
      <c r="E246" t="s">
        <v>11</v>
      </c>
      <c r="F246" t="str">
        <f t="shared" si="128"/>
        <v>[5]</v>
      </c>
      <c r="G246">
        <f t="shared" si="120"/>
        <v>26</v>
      </c>
      <c r="H246" t="str">
        <f t="shared" si="129"/>
        <v>xsnprout.o</v>
      </c>
      <c r="I246">
        <f>SUMIF(E246:$E$259,H246,G246:$G$259)</f>
        <v>26</v>
      </c>
      <c r="K246" s="4" t="s">
        <v>421</v>
      </c>
      <c r="L246" t="s">
        <v>422</v>
      </c>
      <c r="M246" t="s">
        <v>3022</v>
      </c>
      <c r="N246" t="s">
        <v>126</v>
      </c>
      <c r="O246" t="s">
        <v>131</v>
      </c>
      <c r="P246" t="str">
        <f t="shared" si="1"/>
        <v>[1]</v>
      </c>
      <c r="Q246">
        <f t="shared" si="2"/>
        <v>8</v>
      </c>
      <c r="R246" t="str">
        <f t="shared" si="130"/>
        <v/>
      </c>
      <c r="S246">
        <f>SUMIF(O246:$O$2855,R246,Q246:$Q$2855)</f>
        <v>0</v>
      </c>
      <c r="AP246" s="4" t="s">
        <v>472</v>
      </c>
      <c r="AQ246" t="s">
        <v>479</v>
      </c>
      <c r="AR246" t="s">
        <v>1611</v>
      </c>
      <c r="AS246" t="s">
        <v>1256</v>
      </c>
      <c r="AT246" t="s">
        <v>157</v>
      </c>
      <c r="AU246" t="str">
        <f t="shared" si="126"/>
        <v>[1]</v>
      </c>
      <c r="AV246">
        <f t="shared" si="127"/>
        <v>3552</v>
      </c>
      <c r="AW246" t="str">
        <f t="shared" si="131"/>
        <v/>
      </c>
      <c r="AX246">
        <f>SUMIF(AT246:$AT$651,AW246,AV246:$AV$651)</f>
        <v>0</v>
      </c>
    </row>
    <row r="247" spans="1:50" x14ac:dyDescent="0.25">
      <c r="A247" s="4" t="s">
        <v>0</v>
      </c>
      <c r="B247" t="s">
        <v>449</v>
      </c>
      <c r="C247" t="s">
        <v>1160</v>
      </c>
      <c r="D247" t="s">
        <v>23</v>
      </c>
      <c r="E247" t="s">
        <v>24</v>
      </c>
      <c r="F247" t="str">
        <f t="shared" si="128"/>
        <v>[5]</v>
      </c>
      <c r="G247">
        <f t="shared" si="120"/>
        <v>10</v>
      </c>
      <c r="H247" t="str">
        <f t="shared" si="129"/>
        <v>xsprout.o</v>
      </c>
      <c r="I247">
        <f>SUMIF(E247:$E$259,H247,G247:$G$259)</f>
        <v>10</v>
      </c>
      <c r="K247" s="4" t="s">
        <v>421</v>
      </c>
      <c r="L247" t="s">
        <v>422</v>
      </c>
      <c r="M247" t="s">
        <v>3023</v>
      </c>
      <c r="N247" t="s">
        <v>202</v>
      </c>
      <c r="O247" t="s">
        <v>131</v>
      </c>
      <c r="P247" t="str">
        <f t="shared" si="1"/>
        <v>[1]</v>
      </c>
      <c r="Q247">
        <f t="shared" si="2"/>
        <v>16</v>
      </c>
      <c r="R247" t="str">
        <f t="shared" si="130"/>
        <v/>
      </c>
      <c r="S247">
        <f>SUMIF(O247:$O$2855,R247,Q247:$Q$2855)</f>
        <v>0</v>
      </c>
      <c r="AP247" s="4" t="s">
        <v>472</v>
      </c>
      <c r="AQ247" t="s">
        <v>479</v>
      </c>
      <c r="AR247" t="s">
        <v>4476</v>
      </c>
      <c r="AS247" t="s">
        <v>442</v>
      </c>
      <c r="AT247" t="s">
        <v>157</v>
      </c>
      <c r="AU247" t="str">
        <f t="shared" si="126"/>
        <v>[1]</v>
      </c>
      <c r="AV247">
        <f t="shared" si="127"/>
        <v>1</v>
      </c>
      <c r="AW247" t="str">
        <f t="shared" si="131"/>
        <v/>
      </c>
      <c r="AX247">
        <f>SUMIF(AT247:$AT$651,AW247,AV247:$AV$651)</f>
        <v>0</v>
      </c>
    </row>
    <row r="248" spans="1:50" x14ac:dyDescent="0.25">
      <c r="A248" s="4" t="s">
        <v>0</v>
      </c>
      <c r="B248" t="s">
        <v>449</v>
      </c>
      <c r="C248" t="s">
        <v>1292</v>
      </c>
      <c r="D248" t="s">
        <v>26</v>
      </c>
      <c r="E248" t="s">
        <v>27</v>
      </c>
      <c r="F248" t="str">
        <f t="shared" si="128"/>
        <v>[5]</v>
      </c>
      <c r="G248">
        <f t="shared" si="120"/>
        <v>30</v>
      </c>
      <c r="H248" t="str">
        <f t="shared" si="129"/>
        <v>xsscin.o</v>
      </c>
      <c r="I248">
        <f>SUMIF(E248:$E$259,H248,G248:$G$259)</f>
        <v>30</v>
      </c>
      <c r="K248" s="4" t="s">
        <v>421</v>
      </c>
      <c r="L248" t="s">
        <v>422</v>
      </c>
      <c r="M248" t="s">
        <v>3024</v>
      </c>
      <c r="N248" t="s">
        <v>13</v>
      </c>
      <c r="O248" t="s">
        <v>131</v>
      </c>
      <c r="P248" t="str">
        <f t="shared" si="1"/>
        <v>[1]</v>
      </c>
      <c r="Q248">
        <f t="shared" si="2"/>
        <v>12</v>
      </c>
      <c r="R248" t="str">
        <f t="shared" si="130"/>
        <v/>
      </c>
      <c r="S248">
        <f>SUMIF(O248:$O$2855,R248,Q248:$Q$2855)</f>
        <v>0</v>
      </c>
      <c r="AP248" s="4" t="s">
        <v>472</v>
      </c>
      <c r="AQ248" t="s">
        <v>479</v>
      </c>
      <c r="AR248" t="s">
        <v>1612</v>
      </c>
      <c r="AS248" t="s">
        <v>437</v>
      </c>
      <c r="AT248" t="s">
        <v>158</v>
      </c>
      <c r="AU248" t="str">
        <f t="shared" si="126"/>
        <v>[1]</v>
      </c>
      <c r="AV248">
        <f t="shared" si="127"/>
        <v>24</v>
      </c>
      <c r="AW248" t="str">
        <f t="shared" si="131"/>
        <v>MAC_PacketManagement.o</v>
      </c>
      <c r="AX248">
        <f>SUMIF(AT248:$AT$651,AW248,AV248:$AV$651)</f>
        <v>616</v>
      </c>
    </row>
    <row r="249" spans="1:50" x14ac:dyDescent="0.25">
      <c r="A249" s="4" t="s">
        <v>0</v>
      </c>
      <c r="B249" t="s">
        <v>449</v>
      </c>
      <c r="C249" t="s">
        <v>1164</v>
      </c>
      <c r="D249" t="s">
        <v>376</v>
      </c>
      <c r="E249" t="s">
        <v>393</v>
      </c>
      <c r="F249" t="str">
        <f t="shared" si="128"/>
        <v>[5]</v>
      </c>
      <c r="G249">
        <f t="shared" ref="G249:G259" si="132">HEX2DEC(MID(D249,3,LEN(D249)-2))</f>
        <v>436</v>
      </c>
      <c r="H249" t="str">
        <f t="shared" ref="H249:H259" si="133">IF(E249&lt;&gt;E248,E249,"")</f>
        <v>xstoflt.o</v>
      </c>
      <c r="I249">
        <f>SUMIF(E249:$E$259,H249,G249:$G$259)</f>
        <v>436</v>
      </c>
      <c r="K249" s="4" t="s">
        <v>421</v>
      </c>
      <c r="L249" t="s">
        <v>422</v>
      </c>
      <c r="M249" t="s">
        <v>3025</v>
      </c>
      <c r="N249" t="s">
        <v>76</v>
      </c>
      <c r="O249" t="s">
        <v>131</v>
      </c>
      <c r="P249" t="str">
        <f t="shared" si="1"/>
        <v>[1]</v>
      </c>
      <c r="Q249">
        <f t="shared" si="2"/>
        <v>36</v>
      </c>
      <c r="R249" t="str">
        <f t="shared" si="130"/>
        <v/>
      </c>
      <c r="S249">
        <f>SUMIF(O249:$O$2855,R249,Q249:$Q$2855)</f>
        <v>0</v>
      </c>
      <c r="AP249" s="4" t="s">
        <v>472</v>
      </c>
      <c r="AQ249" t="s">
        <v>479</v>
      </c>
      <c r="AR249" t="s">
        <v>1613</v>
      </c>
      <c r="AS249" t="s">
        <v>13</v>
      </c>
      <c r="AT249" t="s">
        <v>158</v>
      </c>
      <c r="AU249" t="str">
        <f t="shared" si="126"/>
        <v>[1]</v>
      </c>
      <c r="AV249">
        <f t="shared" si="127"/>
        <v>12</v>
      </c>
      <c r="AW249" t="str">
        <f t="shared" si="131"/>
        <v/>
      </c>
      <c r="AX249">
        <f>SUMIF(AT249:$AT$651,AW249,AV249:$AV$651)</f>
        <v>0</v>
      </c>
    </row>
    <row r="250" spans="1:50" x14ac:dyDescent="0.25">
      <c r="A250" s="4" t="s">
        <v>0</v>
      </c>
      <c r="B250" t="s">
        <v>449</v>
      </c>
      <c r="C250" t="s">
        <v>1159</v>
      </c>
      <c r="D250" t="s">
        <v>385</v>
      </c>
      <c r="E250" t="s">
        <v>386</v>
      </c>
      <c r="F250" t="str">
        <f t="shared" si="128"/>
        <v>[5]</v>
      </c>
      <c r="G250">
        <f t="shared" si="132"/>
        <v>162</v>
      </c>
      <c r="H250" t="str">
        <f t="shared" si="133"/>
        <v>xstoll.o</v>
      </c>
      <c r="I250">
        <f>SUMIF(E250:$E$259,H250,G250:$G$259)</f>
        <v>162</v>
      </c>
      <c r="K250" s="4" t="s">
        <v>421</v>
      </c>
      <c r="L250" t="s">
        <v>422</v>
      </c>
      <c r="M250" t="s">
        <v>3026</v>
      </c>
      <c r="N250" t="s">
        <v>13</v>
      </c>
      <c r="O250" t="s">
        <v>131</v>
      </c>
      <c r="P250" t="str">
        <f t="shared" si="1"/>
        <v>[1]</v>
      </c>
      <c r="Q250">
        <f t="shared" si="2"/>
        <v>12</v>
      </c>
      <c r="R250" t="str">
        <f t="shared" si="130"/>
        <v/>
      </c>
      <c r="S250">
        <f>SUMIF(O250:$O$2855,R250,Q250:$Q$2855)</f>
        <v>0</v>
      </c>
      <c r="AP250" s="4" t="s">
        <v>472</v>
      </c>
      <c r="AQ250" t="s">
        <v>479</v>
      </c>
      <c r="AR250" t="s">
        <v>1614</v>
      </c>
      <c r="AS250" t="s">
        <v>165</v>
      </c>
      <c r="AT250" t="s">
        <v>158</v>
      </c>
      <c r="AU250" t="str">
        <f t="shared" si="126"/>
        <v>[1]</v>
      </c>
      <c r="AV250">
        <f t="shared" si="127"/>
        <v>20</v>
      </c>
      <c r="AW250" t="str">
        <f t="shared" si="131"/>
        <v/>
      </c>
      <c r="AX250">
        <f>SUMIF(AT250:$AT$651,AW250,AV250:$AV$651)</f>
        <v>0</v>
      </c>
    </row>
    <row r="251" spans="1:50" x14ac:dyDescent="0.25">
      <c r="A251" s="4" t="s">
        <v>0</v>
      </c>
      <c r="B251" t="s">
        <v>449</v>
      </c>
      <c r="C251" t="s">
        <v>1295</v>
      </c>
      <c r="D251" t="s">
        <v>391</v>
      </c>
      <c r="E251" t="s">
        <v>392</v>
      </c>
      <c r="F251" t="str">
        <f t="shared" si="128"/>
        <v>[5]</v>
      </c>
      <c r="G251">
        <f t="shared" si="132"/>
        <v>288</v>
      </c>
      <c r="H251" t="str">
        <f t="shared" si="133"/>
        <v>xstopfx.o</v>
      </c>
      <c r="I251">
        <f>SUMIF(E251:$E$259,H251,G251:$G$259)</f>
        <v>288</v>
      </c>
      <c r="K251" s="4" t="s">
        <v>421</v>
      </c>
      <c r="L251" t="s">
        <v>422</v>
      </c>
      <c r="M251" t="s">
        <v>3027</v>
      </c>
      <c r="N251" t="s">
        <v>65</v>
      </c>
      <c r="O251" t="s">
        <v>131</v>
      </c>
      <c r="P251" t="str">
        <f t="shared" si="1"/>
        <v>[1]</v>
      </c>
      <c r="Q251">
        <f t="shared" si="2"/>
        <v>40</v>
      </c>
      <c r="R251" t="str">
        <f t="shared" si="130"/>
        <v/>
      </c>
      <c r="S251">
        <f>SUMIF(O251:$O$2855,R251,Q251:$Q$2855)</f>
        <v>0</v>
      </c>
      <c r="AP251" s="4" t="s">
        <v>472</v>
      </c>
      <c r="AQ251" t="s">
        <v>479</v>
      </c>
      <c r="AR251" t="s">
        <v>1257</v>
      </c>
      <c r="AS251" t="s">
        <v>1080</v>
      </c>
      <c r="AT251" t="s">
        <v>158</v>
      </c>
      <c r="AU251" t="str">
        <f t="shared" si="126"/>
        <v>[1]</v>
      </c>
      <c r="AV251">
        <f t="shared" si="127"/>
        <v>560</v>
      </c>
      <c r="AW251" t="str">
        <f t="shared" si="131"/>
        <v/>
      </c>
      <c r="AX251">
        <f>SUMIF(AT251:$AT$651,AW251,AV251:$AV$651)</f>
        <v>0</v>
      </c>
    </row>
    <row r="252" spans="1:50" x14ac:dyDescent="0.25">
      <c r="A252" s="4" t="s">
        <v>0</v>
      </c>
      <c r="B252" t="s">
        <v>449</v>
      </c>
      <c r="C252" t="s">
        <v>1163</v>
      </c>
      <c r="D252" t="s">
        <v>114</v>
      </c>
      <c r="E252" t="s">
        <v>289</v>
      </c>
      <c r="F252" t="str">
        <f t="shared" si="128"/>
        <v>[5]</v>
      </c>
      <c r="G252">
        <f t="shared" si="132"/>
        <v>412</v>
      </c>
      <c r="H252" t="str">
        <f t="shared" si="133"/>
        <v>xstoul.o</v>
      </c>
      <c r="I252">
        <f>SUMIF(E252:$E$259,H252,G252:$G$259)</f>
        <v>412</v>
      </c>
      <c r="K252" s="4" t="s">
        <v>421</v>
      </c>
      <c r="L252" t="s">
        <v>422</v>
      </c>
      <c r="M252" t="s">
        <v>3028</v>
      </c>
      <c r="N252" t="s">
        <v>126</v>
      </c>
      <c r="O252" t="s">
        <v>131</v>
      </c>
      <c r="P252" t="str">
        <f t="shared" si="1"/>
        <v>[1]</v>
      </c>
      <c r="Q252">
        <f t="shared" si="2"/>
        <v>8</v>
      </c>
      <c r="R252" t="str">
        <f t="shared" si="130"/>
        <v/>
      </c>
      <c r="S252">
        <f>SUMIF(O252:$O$2855,R252,Q252:$Q$2855)</f>
        <v>0</v>
      </c>
      <c r="AP252" s="4" t="s">
        <v>472</v>
      </c>
      <c r="AQ252" t="s">
        <v>479</v>
      </c>
      <c r="AR252" t="s">
        <v>4557</v>
      </c>
      <c r="AS252" t="s">
        <v>78</v>
      </c>
      <c r="AT252" t="s">
        <v>248</v>
      </c>
      <c r="AU252" t="str">
        <f t="shared" si="126"/>
        <v>[1]</v>
      </c>
      <c r="AV252">
        <f t="shared" si="127"/>
        <v>4</v>
      </c>
      <c r="AW252" t="str">
        <f t="shared" si="131"/>
        <v>MFG_Dtls.o</v>
      </c>
      <c r="AX252">
        <f>SUMIF(AT252:$AT$651,AW252,AV252:$AV$651)</f>
        <v>35</v>
      </c>
    </row>
    <row r="253" spans="1:50" x14ac:dyDescent="0.25">
      <c r="A253" s="4" t="s">
        <v>0</v>
      </c>
      <c r="B253" t="s">
        <v>449</v>
      </c>
      <c r="C253" t="s">
        <v>1161</v>
      </c>
      <c r="D253" t="s">
        <v>376</v>
      </c>
      <c r="E253" t="s">
        <v>377</v>
      </c>
      <c r="F253" t="str">
        <f t="shared" si="128"/>
        <v>[5]</v>
      </c>
      <c r="G253">
        <f t="shared" si="132"/>
        <v>436</v>
      </c>
      <c r="H253" t="str">
        <f t="shared" si="133"/>
        <v>xstoull.o</v>
      </c>
      <c r="I253">
        <f>SUMIF(E253:$E$259,H253,G253:$G$259)</f>
        <v>436</v>
      </c>
      <c r="K253" s="4" t="s">
        <v>421</v>
      </c>
      <c r="L253" t="s">
        <v>422</v>
      </c>
      <c r="M253" t="s">
        <v>3029</v>
      </c>
      <c r="N253" t="s">
        <v>65</v>
      </c>
      <c r="O253" t="s">
        <v>131</v>
      </c>
      <c r="P253" t="str">
        <f t="shared" si="1"/>
        <v>[1]</v>
      </c>
      <c r="Q253">
        <f t="shared" si="2"/>
        <v>40</v>
      </c>
      <c r="R253" t="str">
        <f t="shared" si="130"/>
        <v/>
      </c>
      <c r="S253">
        <f>SUMIF(O253:$O$2855,R253,Q253:$Q$2855)</f>
        <v>0</v>
      </c>
      <c r="AP253" s="4" t="s">
        <v>472</v>
      </c>
      <c r="AQ253" t="s">
        <v>479</v>
      </c>
      <c r="AR253" t="s">
        <v>2057</v>
      </c>
      <c r="AS253" t="s">
        <v>78</v>
      </c>
      <c r="AT253" t="s">
        <v>248</v>
      </c>
      <c r="AU253" t="str">
        <f t="shared" si="126"/>
        <v>[1]</v>
      </c>
      <c r="AV253">
        <f t="shared" si="127"/>
        <v>4</v>
      </c>
      <c r="AW253" t="str">
        <f t="shared" si="131"/>
        <v/>
      </c>
      <c r="AX253">
        <f>SUMIF(AT253:$AT$651,AW253,AV253:$AV$651)</f>
        <v>0</v>
      </c>
    </row>
    <row r="254" spans="1:50" x14ac:dyDescent="0.25">
      <c r="A254" s="4" t="s">
        <v>0</v>
      </c>
      <c r="B254" t="s">
        <v>449</v>
      </c>
      <c r="C254" t="s">
        <v>1165</v>
      </c>
      <c r="D254" t="s">
        <v>395</v>
      </c>
      <c r="E254" t="s">
        <v>397</v>
      </c>
      <c r="F254" t="str">
        <f t="shared" si="128"/>
        <v>[5]</v>
      </c>
      <c r="G254">
        <f t="shared" si="132"/>
        <v>512</v>
      </c>
      <c r="H254" t="str">
        <f t="shared" si="133"/>
        <v>xstoxflt.o</v>
      </c>
      <c r="I254">
        <f>SUMIF(E254:$E$259,H254,G254:$G$259)</f>
        <v>512</v>
      </c>
      <c r="K254" s="4" t="s">
        <v>421</v>
      </c>
      <c r="L254" t="s">
        <v>422</v>
      </c>
      <c r="M254" t="s">
        <v>3030</v>
      </c>
      <c r="N254" t="s">
        <v>126</v>
      </c>
      <c r="O254" t="s">
        <v>131</v>
      </c>
      <c r="P254" t="str">
        <f t="shared" si="1"/>
        <v>[1]</v>
      </c>
      <c r="Q254">
        <f t="shared" si="2"/>
        <v>8</v>
      </c>
      <c r="R254" t="str">
        <f t="shared" si="130"/>
        <v/>
      </c>
      <c r="S254">
        <f>SUMIF(O254:$O$2855,R254,Q254:$Q$2855)</f>
        <v>0</v>
      </c>
      <c r="AP254" s="4" t="s">
        <v>472</v>
      </c>
      <c r="AQ254" t="s">
        <v>479</v>
      </c>
      <c r="AR254" t="s">
        <v>4558</v>
      </c>
      <c r="AS254" t="s">
        <v>78</v>
      </c>
      <c r="AT254" t="s">
        <v>248</v>
      </c>
      <c r="AU254" t="str">
        <f t="shared" si="126"/>
        <v>[1]</v>
      </c>
      <c r="AV254">
        <f t="shared" si="127"/>
        <v>4</v>
      </c>
      <c r="AW254" t="str">
        <f t="shared" si="131"/>
        <v/>
      </c>
      <c r="AX254">
        <f>SUMIF(AT254:$AT$651,AW254,AV254:$AV$651)</f>
        <v>0</v>
      </c>
    </row>
    <row r="255" spans="1:50" x14ac:dyDescent="0.25">
      <c r="A255" s="4" t="s">
        <v>0</v>
      </c>
      <c r="B255" t="s">
        <v>449</v>
      </c>
      <c r="C255" t="s">
        <v>1152</v>
      </c>
      <c r="D255" t="s">
        <v>46</v>
      </c>
      <c r="E255" t="s">
        <v>278</v>
      </c>
      <c r="F255" t="str">
        <f t="shared" si="128"/>
        <v>[5]</v>
      </c>
      <c r="G255">
        <f t="shared" si="132"/>
        <v>2</v>
      </c>
      <c r="H255" t="str">
        <f t="shared" si="133"/>
        <v>xtls.o</v>
      </c>
      <c r="I255">
        <f>SUMIF(E255:$E$259,H255,G255:$G$259)</f>
        <v>2</v>
      </c>
      <c r="K255" s="4" t="s">
        <v>421</v>
      </c>
      <c r="L255" t="s">
        <v>422</v>
      </c>
      <c r="M255" t="s">
        <v>3031</v>
      </c>
      <c r="N255" t="s">
        <v>6</v>
      </c>
      <c r="O255" t="s">
        <v>131</v>
      </c>
      <c r="P255" t="str">
        <f t="shared" si="1"/>
        <v>[1]</v>
      </c>
      <c r="Q255">
        <f t="shared" si="2"/>
        <v>28</v>
      </c>
      <c r="R255" t="str">
        <f t="shared" si="130"/>
        <v/>
      </c>
      <c r="S255">
        <f>SUMIF(O255:$O$2855,R255,Q255:$Q$2855)</f>
        <v>0</v>
      </c>
      <c r="AP255" s="4" t="s">
        <v>472</v>
      </c>
      <c r="AQ255" t="s">
        <v>479</v>
      </c>
      <c r="AR255" t="s">
        <v>4559</v>
      </c>
      <c r="AS255" t="s">
        <v>78</v>
      </c>
      <c r="AT255" t="s">
        <v>248</v>
      </c>
      <c r="AU255" t="str">
        <f t="shared" si="126"/>
        <v>[1]</v>
      </c>
      <c r="AV255">
        <f t="shared" si="127"/>
        <v>4</v>
      </c>
      <c r="AW255" t="str">
        <f t="shared" si="131"/>
        <v/>
      </c>
      <c r="AX255">
        <f>SUMIF(AT255:$AT$651,AW255,AV255:$AV$651)</f>
        <v>0</v>
      </c>
    </row>
    <row r="256" spans="1:50" x14ac:dyDescent="0.25">
      <c r="A256" s="4" t="s">
        <v>0</v>
      </c>
      <c r="B256" t="s">
        <v>449</v>
      </c>
      <c r="C256" t="s">
        <v>443</v>
      </c>
      <c r="D256" t="s">
        <v>443</v>
      </c>
      <c r="E256" t="s">
        <v>612</v>
      </c>
      <c r="F256" t="str">
        <f t="shared" si="128"/>
        <v>[5]</v>
      </c>
      <c r="G256">
        <f t="shared" si="132"/>
        <v>0</v>
      </c>
      <c r="H256" t="str">
        <f t="shared" si="133"/>
        <v>placeholder</v>
      </c>
      <c r="I256">
        <f>SUMIF(E256:$E$259,H256,G256:$G$259)</f>
        <v>0</v>
      </c>
      <c r="K256" s="4" t="s">
        <v>421</v>
      </c>
      <c r="L256" t="s">
        <v>422</v>
      </c>
      <c r="M256" t="s">
        <v>3032</v>
      </c>
      <c r="N256" t="s">
        <v>126</v>
      </c>
      <c r="O256" t="s">
        <v>131</v>
      </c>
      <c r="P256" t="str">
        <f t="shared" si="1"/>
        <v>[1]</v>
      </c>
      <c r="Q256">
        <f t="shared" si="2"/>
        <v>8</v>
      </c>
      <c r="R256" t="str">
        <f t="shared" si="130"/>
        <v/>
      </c>
      <c r="S256">
        <f>SUMIF(O256:$O$2855,R256,Q256:$Q$2855)</f>
        <v>0</v>
      </c>
      <c r="AP256" s="4" t="s">
        <v>472</v>
      </c>
      <c r="AQ256" t="s">
        <v>479</v>
      </c>
      <c r="AR256" t="s">
        <v>4560</v>
      </c>
      <c r="AS256" t="s">
        <v>78</v>
      </c>
      <c r="AT256" t="s">
        <v>248</v>
      </c>
      <c r="AU256" t="str">
        <f t="shared" si="126"/>
        <v>[1]</v>
      </c>
      <c r="AV256">
        <f t="shared" si="127"/>
        <v>4</v>
      </c>
      <c r="AW256" t="str">
        <f t="shared" si="131"/>
        <v/>
      </c>
      <c r="AX256">
        <f>SUMIF(AT256:$AT$651,AW256,AV256:$AV$651)</f>
        <v>0</v>
      </c>
    </row>
    <row r="257" spans="1:50" x14ac:dyDescent="0.25">
      <c r="A257" s="4" t="s">
        <v>0</v>
      </c>
      <c r="B257" t="s">
        <v>449</v>
      </c>
      <c r="C257" t="s">
        <v>443</v>
      </c>
      <c r="D257" t="s">
        <v>443</v>
      </c>
      <c r="E257" t="s">
        <v>612</v>
      </c>
      <c r="F257" t="str">
        <f t="shared" si="128"/>
        <v>[5]</v>
      </c>
      <c r="G257">
        <f t="shared" si="132"/>
        <v>0</v>
      </c>
      <c r="H257" t="str">
        <f t="shared" si="133"/>
        <v/>
      </c>
      <c r="I257">
        <f>SUMIF(E257:$E$259,H257,G257:$G$259)</f>
        <v>0</v>
      </c>
      <c r="K257" s="4" t="s">
        <v>421</v>
      </c>
      <c r="L257" t="s">
        <v>422</v>
      </c>
      <c r="M257" t="s">
        <v>3033</v>
      </c>
      <c r="N257" t="s">
        <v>200</v>
      </c>
      <c r="O257" t="s">
        <v>131</v>
      </c>
      <c r="P257" t="str">
        <f t="shared" si="1"/>
        <v>[1]</v>
      </c>
      <c r="Q257">
        <f t="shared" si="2"/>
        <v>108</v>
      </c>
      <c r="R257" t="str">
        <f t="shared" si="130"/>
        <v/>
      </c>
      <c r="S257">
        <f>SUMIF(O257:$O$2855,R257,Q257:$Q$2855)</f>
        <v>0</v>
      </c>
      <c r="AP257" s="4" t="s">
        <v>472</v>
      </c>
      <c r="AQ257" t="s">
        <v>479</v>
      </c>
      <c r="AR257" t="s">
        <v>2058</v>
      </c>
      <c r="AS257" t="s">
        <v>126</v>
      </c>
      <c r="AT257" t="s">
        <v>248</v>
      </c>
      <c r="AU257" t="str">
        <f t="shared" si="126"/>
        <v>[1]</v>
      </c>
      <c r="AV257">
        <f t="shared" si="127"/>
        <v>8</v>
      </c>
      <c r="AW257" t="str">
        <f t="shared" si="131"/>
        <v/>
      </c>
      <c r="AX257">
        <f>SUMIF(AT257:$AT$651,AW257,AV257:$AV$651)</f>
        <v>0</v>
      </c>
    </row>
    <row r="258" spans="1:50" x14ac:dyDescent="0.25">
      <c r="A258" s="4" t="s">
        <v>0</v>
      </c>
      <c r="B258" t="s">
        <v>449</v>
      </c>
      <c r="C258" t="s">
        <v>443</v>
      </c>
      <c r="D258" t="s">
        <v>443</v>
      </c>
      <c r="E258" t="s">
        <v>612</v>
      </c>
      <c r="F258" t="str">
        <f t="shared" si="128"/>
        <v>[5]</v>
      </c>
      <c r="G258">
        <f t="shared" si="132"/>
        <v>0</v>
      </c>
      <c r="H258" t="str">
        <f t="shared" si="133"/>
        <v/>
      </c>
      <c r="I258">
        <f>SUMIF(E258:$E$259,H258,G258:$G$259)</f>
        <v>0</v>
      </c>
      <c r="K258" s="4" t="s">
        <v>421</v>
      </c>
      <c r="L258" t="s">
        <v>422</v>
      </c>
      <c r="M258" t="s">
        <v>3034</v>
      </c>
      <c r="N258" t="s">
        <v>13</v>
      </c>
      <c r="O258" t="s">
        <v>131</v>
      </c>
      <c r="P258" t="str">
        <f t="shared" ref="P258:P321" si="134">VLOOKUP($K$30,$E$1:$F$26,2,FALSE)</f>
        <v>[1]</v>
      </c>
      <c r="Q258">
        <f>HEX2DEC(MID(N258,3,LEN(N258)-2))</f>
        <v>12</v>
      </c>
      <c r="R258" t="str">
        <f t="shared" si="130"/>
        <v/>
      </c>
      <c r="S258">
        <f>SUMIF(O258:$O$2855,R258,Q258:$Q$2855)</f>
        <v>0</v>
      </c>
      <c r="AP258" s="4" t="s">
        <v>472</v>
      </c>
      <c r="AQ258" t="s">
        <v>479</v>
      </c>
      <c r="AR258" t="s">
        <v>4561</v>
      </c>
      <c r="AS258" t="s">
        <v>78</v>
      </c>
      <c r="AT258" t="s">
        <v>248</v>
      </c>
      <c r="AU258" t="str">
        <f t="shared" si="126"/>
        <v>[1]</v>
      </c>
      <c r="AV258">
        <f t="shared" si="127"/>
        <v>4</v>
      </c>
      <c r="AW258" t="str">
        <f t="shared" si="131"/>
        <v/>
      </c>
      <c r="AX258">
        <f>SUMIF(AT258:$AT$651,AW258,AV258:$AV$651)</f>
        <v>0</v>
      </c>
    </row>
    <row r="259" spans="1:50" x14ac:dyDescent="0.25">
      <c r="A259" s="4" t="s">
        <v>0</v>
      </c>
      <c r="B259" t="s">
        <v>449</v>
      </c>
      <c r="C259" t="s">
        <v>443</v>
      </c>
      <c r="D259" t="s">
        <v>443</v>
      </c>
      <c r="E259" t="s">
        <v>612</v>
      </c>
      <c r="F259" t="str">
        <f t="shared" si="128"/>
        <v>[5]</v>
      </c>
      <c r="G259">
        <f t="shared" si="132"/>
        <v>0</v>
      </c>
      <c r="H259" t="str">
        <f t="shared" si="133"/>
        <v/>
      </c>
      <c r="I259">
        <f>SUMIF(E259:$E$259,H259,G259:$G$259)</f>
        <v>0</v>
      </c>
      <c r="K259" s="4" t="s">
        <v>421</v>
      </c>
      <c r="L259" t="s">
        <v>422</v>
      </c>
      <c r="M259" t="s">
        <v>3035</v>
      </c>
      <c r="N259" t="s">
        <v>267</v>
      </c>
      <c r="O259" t="s">
        <v>131</v>
      </c>
      <c r="P259" t="str">
        <f t="shared" si="134"/>
        <v>[1]</v>
      </c>
      <c r="Q259">
        <f t="shared" ref="Q259:Q322" si="135">HEX2DEC(MID(N259,3,LEN(N259)-2))</f>
        <v>116</v>
      </c>
      <c r="R259" t="str">
        <f t="shared" si="130"/>
        <v/>
      </c>
      <c r="S259">
        <f>SUMIF(O259:$O$2855,R259,Q259:$Q$2855)</f>
        <v>0</v>
      </c>
      <c r="AP259" s="4" t="s">
        <v>472</v>
      </c>
      <c r="AQ259" t="s">
        <v>479</v>
      </c>
      <c r="AR259" t="s">
        <v>4626</v>
      </c>
      <c r="AS259" t="s">
        <v>442</v>
      </c>
      <c r="AT259" t="s">
        <v>248</v>
      </c>
      <c r="AU259" t="str">
        <f t="shared" si="126"/>
        <v>[1]</v>
      </c>
      <c r="AV259">
        <f t="shared" si="127"/>
        <v>1</v>
      </c>
      <c r="AW259" t="str">
        <f t="shared" si="131"/>
        <v/>
      </c>
      <c r="AX259">
        <f>SUMIF(AT259:$AT$651,AW259,AV259:$AV$651)</f>
        <v>0</v>
      </c>
    </row>
    <row r="260" spans="1:50" x14ac:dyDescent="0.25">
      <c r="G260">
        <f>SUM(G219:G259)</f>
        <v>9422</v>
      </c>
      <c r="H260" t="s">
        <v>673</v>
      </c>
      <c r="I260">
        <f>SUM(I219:I259)</f>
        <v>9422</v>
      </c>
      <c r="K260" s="4" t="s">
        <v>421</v>
      </c>
      <c r="L260" t="s">
        <v>422</v>
      </c>
      <c r="M260" t="s">
        <v>3036</v>
      </c>
      <c r="N260" t="s">
        <v>13</v>
      </c>
      <c r="O260" t="s">
        <v>131</v>
      </c>
      <c r="P260" t="str">
        <f t="shared" si="134"/>
        <v>[1]</v>
      </c>
      <c r="Q260">
        <f t="shared" si="135"/>
        <v>12</v>
      </c>
      <c r="R260" t="str">
        <f t="shared" si="130"/>
        <v/>
      </c>
      <c r="S260">
        <f>SUMIF(O260:$O$2855,R260,Q260:$Q$2855)</f>
        <v>0</v>
      </c>
      <c r="AP260" s="4" t="s">
        <v>472</v>
      </c>
      <c r="AQ260" t="s">
        <v>479</v>
      </c>
      <c r="AR260" t="s">
        <v>4627</v>
      </c>
      <c r="AS260" t="s">
        <v>442</v>
      </c>
      <c r="AT260" t="s">
        <v>248</v>
      </c>
      <c r="AU260" t="str">
        <f t="shared" si="126"/>
        <v>[1]</v>
      </c>
      <c r="AV260">
        <f t="shared" si="127"/>
        <v>1</v>
      </c>
      <c r="AW260" t="str">
        <f t="shared" si="131"/>
        <v/>
      </c>
      <c r="AX260">
        <f>SUMIF(AT260:$AT$651,AW260,AV260:$AV$651)</f>
        <v>0</v>
      </c>
    </row>
    <row r="261" spans="1:50" x14ac:dyDescent="0.25">
      <c r="K261" s="4" t="s">
        <v>421</v>
      </c>
      <c r="L261" t="s">
        <v>422</v>
      </c>
      <c r="M261" t="s">
        <v>3037</v>
      </c>
      <c r="N261" t="s">
        <v>65</v>
      </c>
      <c r="O261" t="s">
        <v>131</v>
      </c>
      <c r="P261" t="str">
        <f t="shared" si="134"/>
        <v>[1]</v>
      </c>
      <c r="Q261">
        <f t="shared" si="135"/>
        <v>40</v>
      </c>
      <c r="R261" t="str">
        <f t="shared" si="130"/>
        <v/>
      </c>
      <c r="S261">
        <f>SUMIF(O261:$O$2855,R261,Q261:$Q$2855)</f>
        <v>0</v>
      </c>
      <c r="AP261" s="4" t="s">
        <v>472</v>
      </c>
      <c r="AQ261" t="s">
        <v>479</v>
      </c>
      <c r="AR261" t="s">
        <v>4628</v>
      </c>
      <c r="AS261" t="s">
        <v>442</v>
      </c>
      <c r="AT261" t="s">
        <v>248</v>
      </c>
      <c r="AU261" t="str">
        <f t="shared" si="126"/>
        <v>[1]</v>
      </c>
      <c r="AV261">
        <f t="shared" si="127"/>
        <v>1</v>
      </c>
      <c r="AW261" t="str">
        <f t="shared" si="131"/>
        <v/>
      </c>
      <c r="AX261">
        <f>SUMIF(AT261:$AT$651,AW261,AV261:$AV$651)</f>
        <v>0</v>
      </c>
    </row>
    <row r="262" spans="1:50" x14ac:dyDescent="0.25">
      <c r="K262" s="4" t="s">
        <v>421</v>
      </c>
      <c r="L262" t="s">
        <v>422</v>
      </c>
      <c r="M262" t="s">
        <v>3038</v>
      </c>
      <c r="N262" t="s">
        <v>13</v>
      </c>
      <c r="O262" t="s">
        <v>131</v>
      </c>
      <c r="P262" t="str">
        <f t="shared" si="134"/>
        <v>[1]</v>
      </c>
      <c r="Q262">
        <f t="shared" si="135"/>
        <v>12</v>
      </c>
      <c r="R262" t="str">
        <f t="shared" si="130"/>
        <v/>
      </c>
      <c r="S262">
        <f>SUMIF(O262:$O$2855,R262,Q262:$Q$2855)</f>
        <v>0</v>
      </c>
      <c r="AP262" s="4" t="s">
        <v>472</v>
      </c>
      <c r="AQ262" t="s">
        <v>479</v>
      </c>
      <c r="AR262" t="s">
        <v>2059</v>
      </c>
      <c r="AS262" t="s">
        <v>483</v>
      </c>
      <c r="AT262" t="s">
        <v>244</v>
      </c>
      <c r="AU262" t="str">
        <f t="shared" si="126"/>
        <v>[1]</v>
      </c>
      <c r="AV262">
        <f t="shared" si="127"/>
        <v>1028</v>
      </c>
      <c r="AW262" t="str">
        <f t="shared" si="131"/>
        <v>MFG_Port.o</v>
      </c>
      <c r="AX262">
        <f>SUMIF(AT262:$AT$651,AW262,AV262:$AV$651)</f>
        <v>1213</v>
      </c>
    </row>
    <row r="263" spans="1:50" x14ac:dyDescent="0.25">
      <c r="A263" s="50" t="s">
        <v>757</v>
      </c>
      <c r="B263" s="50"/>
      <c r="C263" s="50"/>
      <c r="D263" s="50"/>
      <c r="E263" s="50"/>
      <c r="F263" s="50"/>
      <c r="G263" s="50"/>
      <c r="H263" s="50"/>
      <c r="I263" s="50"/>
      <c r="K263" s="4" t="s">
        <v>421</v>
      </c>
      <c r="L263" t="s">
        <v>422</v>
      </c>
      <c r="M263" t="s">
        <v>3039</v>
      </c>
      <c r="N263" t="s">
        <v>76</v>
      </c>
      <c r="O263" t="s">
        <v>131</v>
      </c>
      <c r="P263" t="str">
        <f t="shared" si="134"/>
        <v>[1]</v>
      </c>
      <c r="Q263">
        <f t="shared" si="135"/>
        <v>36</v>
      </c>
      <c r="R263" t="str">
        <f t="shared" si="130"/>
        <v/>
      </c>
      <c r="S263">
        <f>SUMIF(O263:$O$2855,R263,Q263:$Q$2855)</f>
        <v>0</v>
      </c>
      <c r="AP263" s="4" t="s">
        <v>472</v>
      </c>
      <c r="AQ263" t="s">
        <v>479</v>
      </c>
      <c r="AR263" t="s">
        <v>4562</v>
      </c>
      <c r="AS263" t="s">
        <v>6</v>
      </c>
      <c r="AT263" t="s">
        <v>244</v>
      </c>
      <c r="AU263" t="str">
        <f t="shared" si="126"/>
        <v>[1]</v>
      </c>
      <c r="AV263">
        <f t="shared" si="127"/>
        <v>28</v>
      </c>
      <c r="AW263" t="str">
        <f t="shared" si="131"/>
        <v/>
      </c>
      <c r="AX263">
        <f>SUMIF(AT263:$AT$651,AW263,AV263:$AV$651)</f>
        <v>0</v>
      </c>
    </row>
    <row r="264" spans="1:50" x14ac:dyDescent="0.25">
      <c r="A264" s="4" t="s">
        <v>0</v>
      </c>
      <c r="B264" t="s">
        <v>449</v>
      </c>
      <c r="C264" t="s">
        <v>1353</v>
      </c>
      <c r="D264" t="s">
        <v>202</v>
      </c>
      <c r="E264" t="s">
        <v>1100</v>
      </c>
      <c r="F264" t="str">
        <f t="shared" ref="F264:F306" si="136">VLOOKUP($A$263,$E$1:$F$26,2,FALSE)</f>
        <v>[6]</v>
      </c>
      <c r="G264">
        <f t="shared" ref="G264:G298" si="137">HEX2DEC(MID(D264,3,LEN(D264)-2))</f>
        <v>16</v>
      </c>
      <c r="H264" t="str">
        <f t="shared" ref="H264:H306" si="138">IF(E264&lt;&gt;E263,E264,"")</f>
        <v>atof.o</v>
      </c>
      <c r="I264">
        <f>SUMIF(E264:$E$306,H264,G264:$G$306)</f>
        <v>16</v>
      </c>
      <c r="K264" s="4" t="s">
        <v>421</v>
      </c>
      <c r="L264" t="s">
        <v>422</v>
      </c>
      <c r="M264" t="s">
        <v>3040</v>
      </c>
      <c r="N264" t="s">
        <v>126</v>
      </c>
      <c r="O264" t="s">
        <v>131</v>
      </c>
      <c r="P264" t="str">
        <f t="shared" si="134"/>
        <v>[1]</v>
      </c>
      <c r="Q264">
        <f t="shared" si="135"/>
        <v>8</v>
      </c>
      <c r="R264" t="str">
        <f t="shared" si="130"/>
        <v/>
      </c>
      <c r="S264">
        <f>SUMIF(O264:$O$2855,R264,Q264:$Q$2855)</f>
        <v>0</v>
      </c>
      <c r="AP264" s="4" t="s">
        <v>472</v>
      </c>
      <c r="AQ264" t="s">
        <v>479</v>
      </c>
      <c r="AR264" t="s">
        <v>4563</v>
      </c>
      <c r="AS264" t="s">
        <v>78</v>
      </c>
      <c r="AT264" t="s">
        <v>244</v>
      </c>
      <c r="AU264" t="str">
        <f t="shared" si="126"/>
        <v>[1]</v>
      </c>
      <c r="AV264">
        <f t="shared" si="127"/>
        <v>4</v>
      </c>
      <c r="AW264" t="str">
        <f t="shared" si="131"/>
        <v/>
      </c>
      <c r="AX264">
        <f>SUMIF(AT264:$AT$651,AW264,AV264:$AV$651)</f>
        <v>0</v>
      </c>
    </row>
    <row r="265" spans="1:50" x14ac:dyDescent="0.25">
      <c r="A265" s="4" t="s">
        <v>0</v>
      </c>
      <c r="B265" t="s">
        <v>449</v>
      </c>
      <c r="C265" t="s">
        <v>1347</v>
      </c>
      <c r="D265" t="s">
        <v>943</v>
      </c>
      <c r="E265" t="s">
        <v>944</v>
      </c>
      <c r="F265" t="str">
        <f t="shared" si="136"/>
        <v>[6]</v>
      </c>
      <c r="G265">
        <f t="shared" ref="G265:G269" si="139">HEX2DEC(MID(D265,3,LEN(D265)-2))</f>
        <v>110</v>
      </c>
      <c r="H265" t="str">
        <f t="shared" si="138"/>
        <v>ceil.o</v>
      </c>
      <c r="I265">
        <f>SUMIF(E265:$E$306,H265,G265:$G$306)</f>
        <v>110</v>
      </c>
      <c r="K265" s="4" t="s">
        <v>421</v>
      </c>
      <c r="L265" t="s">
        <v>422</v>
      </c>
      <c r="M265" t="s">
        <v>3041</v>
      </c>
      <c r="N265" t="s">
        <v>65</v>
      </c>
      <c r="O265" t="s">
        <v>131</v>
      </c>
      <c r="P265" t="str">
        <f t="shared" si="134"/>
        <v>[1]</v>
      </c>
      <c r="Q265">
        <f t="shared" si="135"/>
        <v>40</v>
      </c>
      <c r="R265" t="str">
        <f t="shared" si="130"/>
        <v/>
      </c>
      <c r="S265">
        <f>SUMIF(O265:$O$2855,R265,Q265:$Q$2855)</f>
        <v>0</v>
      </c>
      <c r="AP265" s="4" t="s">
        <v>472</v>
      </c>
      <c r="AQ265" t="s">
        <v>479</v>
      </c>
      <c r="AR265" t="s">
        <v>4564</v>
      </c>
      <c r="AS265" t="s">
        <v>76</v>
      </c>
      <c r="AT265" t="s">
        <v>244</v>
      </c>
      <c r="AU265" t="str">
        <f t="shared" si="126"/>
        <v>[1]</v>
      </c>
      <c r="AV265">
        <f t="shared" si="127"/>
        <v>36</v>
      </c>
      <c r="AW265" t="str">
        <f t="shared" si="131"/>
        <v/>
      </c>
      <c r="AX265">
        <f>SUMIF(AT265:$AT$651,AW265,AV265:$AV$651)</f>
        <v>0</v>
      </c>
    </row>
    <row r="266" spans="1:50" x14ac:dyDescent="0.25">
      <c r="A266" s="4" t="s">
        <v>0</v>
      </c>
      <c r="B266" t="s">
        <v>449</v>
      </c>
      <c r="C266" t="s">
        <v>1322</v>
      </c>
      <c r="D266" t="s">
        <v>108</v>
      </c>
      <c r="E266" t="s">
        <v>109</v>
      </c>
      <c r="F266" t="str">
        <f t="shared" si="136"/>
        <v>[6]</v>
      </c>
      <c r="G266">
        <f t="shared" si="139"/>
        <v>232</v>
      </c>
      <c r="H266" t="str">
        <f t="shared" si="138"/>
        <v>DblAdd.o</v>
      </c>
      <c r="I266">
        <f>SUMIF(E266:$E$306,H266,G266:$G$306)</f>
        <v>232</v>
      </c>
      <c r="K266" s="4" t="s">
        <v>421</v>
      </c>
      <c r="L266" t="s">
        <v>422</v>
      </c>
      <c r="M266" t="s">
        <v>3042</v>
      </c>
      <c r="N266" t="s">
        <v>13</v>
      </c>
      <c r="O266" t="s">
        <v>131</v>
      </c>
      <c r="P266" t="str">
        <f t="shared" si="134"/>
        <v>[1]</v>
      </c>
      <c r="Q266">
        <f t="shared" si="135"/>
        <v>12</v>
      </c>
      <c r="R266" t="str">
        <f t="shared" si="130"/>
        <v/>
      </c>
      <c r="S266">
        <f>SUMIF(O266:$O$2855,R266,Q266:$Q$2855)</f>
        <v>0</v>
      </c>
      <c r="AP266" s="4" t="s">
        <v>472</v>
      </c>
      <c r="AQ266" t="s">
        <v>479</v>
      </c>
      <c r="AR266" t="s">
        <v>4565</v>
      </c>
      <c r="AS266" t="s">
        <v>76</v>
      </c>
      <c r="AT266" t="s">
        <v>244</v>
      </c>
      <c r="AU266" t="str">
        <f t="shared" si="126"/>
        <v>[1]</v>
      </c>
      <c r="AV266">
        <f t="shared" si="127"/>
        <v>36</v>
      </c>
      <c r="AW266" t="str">
        <f t="shared" si="131"/>
        <v/>
      </c>
      <c r="AX266">
        <f>SUMIF(AT266:$AT$651,AW266,AV266:$AV$651)</f>
        <v>0</v>
      </c>
    </row>
    <row r="267" spans="1:50" x14ac:dyDescent="0.25">
      <c r="A267" s="4" t="s">
        <v>0</v>
      </c>
      <c r="B267" t="s">
        <v>449</v>
      </c>
      <c r="C267" t="s">
        <v>1318</v>
      </c>
      <c r="D267" t="s">
        <v>119</v>
      </c>
      <c r="E267" t="s">
        <v>184</v>
      </c>
      <c r="F267" t="str">
        <f t="shared" si="136"/>
        <v>[6]</v>
      </c>
      <c r="G267">
        <f t="shared" si="139"/>
        <v>32</v>
      </c>
      <c r="H267" t="str">
        <f t="shared" si="138"/>
        <v>DblCmpEq.o</v>
      </c>
      <c r="I267">
        <f>SUMIF(E267:$E$306,H267,G267:$G$306)</f>
        <v>32</v>
      </c>
      <c r="K267" s="4" t="s">
        <v>421</v>
      </c>
      <c r="L267" t="s">
        <v>422</v>
      </c>
      <c r="M267" t="s">
        <v>3043</v>
      </c>
      <c r="N267" t="s">
        <v>71</v>
      </c>
      <c r="O267" t="s">
        <v>131</v>
      </c>
      <c r="P267" t="str">
        <f t="shared" si="134"/>
        <v>[1]</v>
      </c>
      <c r="Q267">
        <f t="shared" si="135"/>
        <v>144</v>
      </c>
      <c r="R267" t="str">
        <f t="shared" si="130"/>
        <v/>
      </c>
      <c r="S267">
        <f>SUMIF(O267:$O$2855,R267,Q267:$Q$2855)</f>
        <v>0</v>
      </c>
      <c r="AP267" s="4" t="s">
        <v>472</v>
      </c>
      <c r="AQ267" t="s">
        <v>479</v>
      </c>
      <c r="AR267" t="s">
        <v>4566</v>
      </c>
      <c r="AS267" t="s">
        <v>65</v>
      </c>
      <c r="AT267" t="s">
        <v>244</v>
      </c>
      <c r="AU267" t="str">
        <f t="shared" ref="AU267:AU330" si="140">VLOOKUP($AP$30,$E$1:$F$26,2,FALSE)</f>
        <v>[1]</v>
      </c>
      <c r="AV267">
        <f t="shared" si="127"/>
        <v>40</v>
      </c>
      <c r="AW267" t="str">
        <f t="shared" si="131"/>
        <v/>
      </c>
      <c r="AX267">
        <f>SUMIF(AT267:$AT$651,AW267,AV267:$AV$651)</f>
        <v>0</v>
      </c>
    </row>
    <row r="268" spans="1:50" x14ac:dyDescent="0.25">
      <c r="A268" s="4" t="s">
        <v>0</v>
      </c>
      <c r="B268" t="s">
        <v>449</v>
      </c>
      <c r="C268" t="s">
        <v>1319</v>
      </c>
      <c r="D268" t="s">
        <v>1</v>
      </c>
      <c r="E268" t="s">
        <v>113</v>
      </c>
      <c r="F268" t="str">
        <f t="shared" si="136"/>
        <v>[6]</v>
      </c>
      <c r="G268">
        <f t="shared" si="139"/>
        <v>46</v>
      </c>
      <c r="H268" t="str">
        <f t="shared" si="138"/>
        <v>DblCmpGe.o</v>
      </c>
      <c r="I268">
        <f>SUMIF(E268:$E$306,H268,G268:$G$306)</f>
        <v>46</v>
      </c>
      <c r="K268" s="4" t="s">
        <v>421</v>
      </c>
      <c r="L268" t="s">
        <v>422</v>
      </c>
      <c r="M268" t="s">
        <v>3044</v>
      </c>
      <c r="N268" t="s">
        <v>126</v>
      </c>
      <c r="O268" t="s">
        <v>131</v>
      </c>
      <c r="P268" t="str">
        <f t="shared" si="134"/>
        <v>[1]</v>
      </c>
      <c r="Q268">
        <f t="shared" si="135"/>
        <v>8</v>
      </c>
      <c r="R268" t="str">
        <f t="shared" si="130"/>
        <v/>
      </c>
      <c r="S268">
        <f>SUMIF(O268:$O$2855,R268,Q268:$Q$2855)</f>
        <v>0</v>
      </c>
      <c r="AP268" s="4" t="s">
        <v>472</v>
      </c>
      <c r="AQ268" t="s">
        <v>479</v>
      </c>
      <c r="AR268" t="s">
        <v>4567</v>
      </c>
      <c r="AS268" t="s">
        <v>119</v>
      </c>
      <c r="AT268" t="s">
        <v>244</v>
      </c>
      <c r="AU268" t="str">
        <f t="shared" si="140"/>
        <v>[1]</v>
      </c>
      <c r="AV268">
        <f t="shared" ref="AV268:AV331" si="141">HEX2DEC(MID(AS268,3,LEN(AS268)-2))</f>
        <v>32</v>
      </c>
      <c r="AW268" t="str">
        <f t="shared" si="131"/>
        <v/>
      </c>
      <c r="AX268">
        <f>SUMIF(AT268:$AT$651,AW268,AV268:$AV$651)</f>
        <v>0</v>
      </c>
    </row>
    <row r="269" spans="1:50" x14ac:dyDescent="0.25">
      <c r="A269" s="4" t="s">
        <v>0</v>
      </c>
      <c r="B269" t="s">
        <v>449</v>
      </c>
      <c r="C269" t="s">
        <v>1320</v>
      </c>
      <c r="D269" t="s">
        <v>1</v>
      </c>
      <c r="E269" t="s">
        <v>110</v>
      </c>
      <c r="F269" t="str">
        <f t="shared" si="136"/>
        <v>[6]</v>
      </c>
      <c r="G269">
        <f t="shared" si="139"/>
        <v>46</v>
      </c>
      <c r="H269" t="str">
        <f t="shared" si="138"/>
        <v>DblCmpLe.o</v>
      </c>
      <c r="I269">
        <f>SUMIF(E269:$E$306,H269,G269:$G$306)</f>
        <v>46</v>
      </c>
      <c r="K269" s="4" t="s">
        <v>421</v>
      </c>
      <c r="L269" t="s">
        <v>422</v>
      </c>
      <c r="M269" t="s">
        <v>3045</v>
      </c>
      <c r="N269" t="s">
        <v>67</v>
      </c>
      <c r="O269" t="s">
        <v>131</v>
      </c>
      <c r="P269" t="str">
        <f t="shared" si="134"/>
        <v>[1]</v>
      </c>
      <c r="Q269">
        <f t="shared" si="135"/>
        <v>48</v>
      </c>
      <c r="R269" t="str">
        <f t="shared" si="130"/>
        <v/>
      </c>
      <c r="S269">
        <f>SUMIF(O269:$O$2855,R269,Q269:$Q$2855)</f>
        <v>0</v>
      </c>
      <c r="AP269" s="4" t="s">
        <v>472</v>
      </c>
      <c r="AQ269" t="s">
        <v>479</v>
      </c>
      <c r="AR269" t="s">
        <v>4613</v>
      </c>
      <c r="AS269" t="s">
        <v>46</v>
      </c>
      <c r="AT269" t="s">
        <v>244</v>
      </c>
      <c r="AU269" t="str">
        <f t="shared" si="140"/>
        <v>[1]</v>
      </c>
      <c r="AV269">
        <f t="shared" si="141"/>
        <v>2</v>
      </c>
      <c r="AW269" t="str">
        <f t="shared" si="131"/>
        <v/>
      </c>
      <c r="AX269">
        <f>SUMIF(AT269:$AT$651,AW269,AV269:$AV$651)</f>
        <v>0</v>
      </c>
    </row>
    <row r="270" spans="1:50" x14ac:dyDescent="0.25">
      <c r="A270" s="4" t="s">
        <v>0</v>
      </c>
      <c r="B270" t="s">
        <v>449</v>
      </c>
      <c r="C270" t="s">
        <v>1326</v>
      </c>
      <c r="D270" t="s">
        <v>69</v>
      </c>
      <c r="E270" t="s">
        <v>70</v>
      </c>
      <c r="F270" t="str">
        <f t="shared" si="136"/>
        <v>[6]</v>
      </c>
      <c r="G270">
        <f t="shared" ref="G270:G271" si="142">HEX2DEC(MID(D270,3,LEN(D270)-2))</f>
        <v>598</v>
      </c>
      <c r="H270" t="str">
        <f t="shared" si="138"/>
        <v>DblDiv.o</v>
      </c>
      <c r="I270">
        <f>SUMIF(E270:$E$306,H270,G270:$G$306)</f>
        <v>598</v>
      </c>
      <c r="K270" s="4" t="s">
        <v>421</v>
      </c>
      <c r="L270" t="s">
        <v>422</v>
      </c>
      <c r="M270" t="s">
        <v>3046</v>
      </c>
      <c r="N270" t="s">
        <v>13</v>
      </c>
      <c r="O270" t="s">
        <v>131</v>
      </c>
      <c r="P270" t="str">
        <f t="shared" si="134"/>
        <v>[1]</v>
      </c>
      <c r="Q270">
        <f t="shared" si="135"/>
        <v>12</v>
      </c>
      <c r="R270" t="str">
        <f t="shared" si="130"/>
        <v/>
      </c>
      <c r="S270">
        <f>SUMIF(O270:$O$2855,R270,Q270:$Q$2855)</f>
        <v>0</v>
      </c>
      <c r="AP270" s="4" t="s">
        <v>472</v>
      </c>
      <c r="AQ270" t="s">
        <v>479</v>
      </c>
      <c r="AR270" t="s">
        <v>4614</v>
      </c>
      <c r="AS270" t="s">
        <v>46</v>
      </c>
      <c r="AT270" t="s">
        <v>244</v>
      </c>
      <c r="AU270" t="str">
        <f t="shared" si="140"/>
        <v>[1]</v>
      </c>
      <c r="AV270">
        <f t="shared" si="141"/>
        <v>2</v>
      </c>
      <c r="AW270" t="str">
        <f t="shared" si="131"/>
        <v/>
      </c>
      <c r="AX270">
        <f>SUMIF(AT270:$AT$651,AW270,AV270:$AV$651)</f>
        <v>0</v>
      </c>
    </row>
    <row r="271" spans="1:50" x14ac:dyDescent="0.25">
      <c r="A271" s="4" t="s">
        <v>0</v>
      </c>
      <c r="B271" t="s">
        <v>449</v>
      </c>
      <c r="C271" t="s">
        <v>1321</v>
      </c>
      <c r="D271" t="s">
        <v>61</v>
      </c>
      <c r="E271" t="s">
        <v>62</v>
      </c>
      <c r="F271" t="str">
        <f t="shared" si="136"/>
        <v>[6]</v>
      </c>
      <c r="G271">
        <f t="shared" si="142"/>
        <v>418</v>
      </c>
      <c r="H271" t="str">
        <f t="shared" si="138"/>
        <v>DblMul.o</v>
      </c>
      <c r="I271">
        <f>SUMIF(E271:$E$306,H271,G271:$G$306)</f>
        <v>418</v>
      </c>
      <c r="K271" s="4" t="s">
        <v>421</v>
      </c>
      <c r="L271" t="s">
        <v>422</v>
      </c>
      <c r="M271" t="s">
        <v>3047</v>
      </c>
      <c r="N271" t="s">
        <v>237</v>
      </c>
      <c r="O271" t="s">
        <v>131</v>
      </c>
      <c r="P271" t="str">
        <f t="shared" si="134"/>
        <v>[1]</v>
      </c>
      <c r="Q271">
        <f t="shared" si="135"/>
        <v>52</v>
      </c>
      <c r="R271" t="str">
        <f t="shared" si="130"/>
        <v/>
      </c>
      <c r="S271">
        <f>SUMIF(O271:$O$2855,R271,Q271:$Q$2855)</f>
        <v>0</v>
      </c>
      <c r="AP271" s="4" t="s">
        <v>472</v>
      </c>
      <c r="AQ271" t="s">
        <v>479</v>
      </c>
      <c r="AR271" t="s">
        <v>4615</v>
      </c>
      <c r="AS271" t="s">
        <v>46</v>
      </c>
      <c r="AT271" t="s">
        <v>244</v>
      </c>
      <c r="AU271" t="str">
        <f t="shared" si="140"/>
        <v>[1]</v>
      </c>
      <c r="AV271">
        <f t="shared" si="141"/>
        <v>2</v>
      </c>
      <c r="AW271" t="str">
        <f t="shared" si="131"/>
        <v/>
      </c>
      <c r="AX271">
        <f>SUMIF(AT271:$AT$651,AW271,AV271:$AV$651)</f>
        <v>0</v>
      </c>
    </row>
    <row r="272" spans="1:50" x14ac:dyDescent="0.25">
      <c r="A272" s="4" t="s">
        <v>0</v>
      </c>
      <c r="B272" t="s">
        <v>449</v>
      </c>
      <c r="C272" t="s">
        <v>1325</v>
      </c>
      <c r="D272" t="s">
        <v>111</v>
      </c>
      <c r="E272" t="s">
        <v>112</v>
      </c>
      <c r="F272" t="str">
        <f t="shared" si="136"/>
        <v>[6]</v>
      </c>
      <c r="G272">
        <f t="shared" si="137"/>
        <v>384</v>
      </c>
      <c r="H272" t="str">
        <f t="shared" si="138"/>
        <v>DblSub.o</v>
      </c>
      <c r="I272">
        <f>SUMIF(E272:$E$306,H272,G272:$G$306)</f>
        <v>384</v>
      </c>
      <c r="K272" s="4" t="s">
        <v>421</v>
      </c>
      <c r="L272" t="s">
        <v>422</v>
      </c>
      <c r="M272" t="s">
        <v>3048</v>
      </c>
      <c r="N272" t="s">
        <v>13</v>
      </c>
      <c r="O272" t="s">
        <v>131</v>
      </c>
      <c r="P272" t="str">
        <f t="shared" si="134"/>
        <v>[1]</v>
      </c>
      <c r="Q272">
        <f t="shared" si="135"/>
        <v>12</v>
      </c>
      <c r="R272" t="str">
        <f t="shared" si="130"/>
        <v/>
      </c>
      <c r="S272">
        <f>SUMIF(O272:$O$2855,R272,Q272:$Q$2855)</f>
        <v>0</v>
      </c>
      <c r="AP272" s="4" t="s">
        <v>472</v>
      </c>
      <c r="AQ272" t="s">
        <v>479</v>
      </c>
      <c r="AR272" t="s">
        <v>4616</v>
      </c>
      <c r="AS272" t="s">
        <v>46</v>
      </c>
      <c r="AT272" t="s">
        <v>244</v>
      </c>
      <c r="AU272" t="str">
        <f t="shared" si="140"/>
        <v>[1]</v>
      </c>
      <c r="AV272">
        <f t="shared" si="141"/>
        <v>2</v>
      </c>
      <c r="AW272" t="str">
        <f t="shared" si="131"/>
        <v/>
      </c>
      <c r="AX272">
        <f>SUMIF(AT272:$AT$651,AW272,AV272:$AV$651)</f>
        <v>0</v>
      </c>
    </row>
    <row r="273" spans="1:50" x14ac:dyDescent="0.25">
      <c r="A273" s="4" t="s">
        <v>0</v>
      </c>
      <c r="B273" t="s">
        <v>449</v>
      </c>
      <c r="C273" t="s">
        <v>1334</v>
      </c>
      <c r="D273" t="s">
        <v>71</v>
      </c>
      <c r="E273" t="s">
        <v>72</v>
      </c>
      <c r="F273" t="str">
        <f t="shared" si="136"/>
        <v>[6]</v>
      </c>
      <c r="G273">
        <f t="shared" si="137"/>
        <v>144</v>
      </c>
      <c r="H273" t="str">
        <f t="shared" si="138"/>
        <v>DblToFlt.o</v>
      </c>
      <c r="I273">
        <f>SUMIF(E273:$E$306,H273,G273:$G$306)</f>
        <v>144</v>
      </c>
      <c r="K273" s="4" t="s">
        <v>421</v>
      </c>
      <c r="L273" t="s">
        <v>422</v>
      </c>
      <c r="M273" t="s">
        <v>3049</v>
      </c>
      <c r="N273" t="s">
        <v>202</v>
      </c>
      <c r="O273" t="s">
        <v>131</v>
      </c>
      <c r="P273" t="str">
        <f t="shared" si="134"/>
        <v>[1]</v>
      </c>
      <c r="Q273">
        <f t="shared" si="135"/>
        <v>16</v>
      </c>
      <c r="R273" t="str">
        <f t="shared" si="130"/>
        <v/>
      </c>
      <c r="S273">
        <f>SUMIF(O273:$O$2855,R273,Q273:$Q$2855)</f>
        <v>0</v>
      </c>
      <c r="AP273" s="4" t="s">
        <v>472</v>
      </c>
      <c r="AQ273" t="s">
        <v>479</v>
      </c>
      <c r="AR273" t="s">
        <v>4629</v>
      </c>
      <c r="AS273" t="s">
        <v>442</v>
      </c>
      <c r="AT273" t="s">
        <v>244</v>
      </c>
      <c r="AU273" t="str">
        <f t="shared" si="140"/>
        <v>[1]</v>
      </c>
      <c r="AV273">
        <f t="shared" si="141"/>
        <v>1</v>
      </c>
      <c r="AW273" t="str">
        <f t="shared" si="131"/>
        <v/>
      </c>
      <c r="AX273">
        <f>SUMIF(AT273:$AT$651,AW273,AV273:$AV$651)</f>
        <v>0</v>
      </c>
    </row>
    <row r="274" spans="1:50" x14ac:dyDescent="0.25">
      <c r="A274" s="4" t="s">
        <v>0</v>
      </c>
      <c r="B274" t="s">
        <v>449</v>
      </c>
      <c r="C274" t="s">
        <v>1323</v>
      </c>
      <c r="D274" t="s">
        <v>63</v>
      </c>
      <c r="E274" t="s">
        <v>64</v>
      </c>
      <c r="F274" t="str">
        <f t="shared" si="136"/>
        <v>[6]</v>
      </c>
      <c r="G274">
        <f t="shared" si="137"/>
        <v>88</v>
      </c>
      <c r="H274" t="str">
        <f t="shared" si="138"/>
        <v>DblToI32.o</v>
      </c>
      <c r="I274">
        <f>SUMIF(E274:$E$306,H274,G274:$G$306)</f>
        <v>88</v>
      </c>
      <c r="K274" s="4" t="s">
        <v>421</v>
      </c>
      <c r="L274" t="s">
        <v>422</v>
      </c>
      <c r="M274" t="s">
        <v>3050</v>
      </c>
      <c r="N274" t="s">
        <v>67</v>
      </c>
      <c r="O274" t="s">
        <v>131</v>
      </c>
      <c r="P274" t="str">
        <f t="shared" si="134"/>
        <v>[1]</v>
      </c>
      <c r="Q274">
        <f t="shared" si="135"/>
        <v>48</v>
      </c>
      <c r="R274" t="str">
        <f t="shared" si="130"/>
        <v/>
      </c>
      <c r="S274">
        <f>SUMIF(O274:$O$2855,R274,Q274:$Q$2855)</f>
        <v>0</v>
      </c>
      <c r="AP274" s="4" t="s">
        <v>472</v>
      </c>
      <c r="AQ274" t="s">
        <v>479</v>
      </c>
      <c r="AR274" t="s">
        <v>4515</v>
      </c>
      <c r="AS274" t="s">
        <v>190</v>
      </c>
      <c r="AT274" t="s">
        <v>919</v>
      </c>
      <c r="AU274" t="str">
        <f t="shared" si="140"/>
        <v>[1]</v>
      </c>
      <c r="AV274">
        <f t="shared" si="141"/>
        <v>56</v>
      </c>
      <c r="AW274" t="str">
        <f t="shared" si="131"/>
        <v>MIMT_info.o</v>
      </c>
      <c r="AX274">
        <f>SUMIF(AT274:$AT$651,AW274,AV274:$AV$651)</f>
        <v>116</v>
      </c>
    </row>
    <row r="275" spans="1:50" x14ac:dyDescent="0.25">
      <c r="A275" s="4" t="s">
        <v>0</v>
      </c>
      <c r="B275" t="s">
        <v>449</v>
      </c>
      <c r="C275" t="s">
        <v>1346</v>
      </c>
      <c r="D275" t="s">
        <v>190</v>
      </c>
      <c r="E275" t="s">
        <v>1229</v>
      </c>
      <c r="F275" t="str">
        <f t="shared" si="136"/>
        <v>[6]</v>
      </c>
      <c r="G275">
        <f t="shared" si="137"/>
        <v>56</v>
      </c>
      <c r="H275" t="str">
        <f t="shared" si="138"/>
        <v>floorf.o</v>
      </c>
      <c r="I275">
        <f>SUMIF(E275:$E$306,H275,G275:$G$306)</f>
        <v>56</v>
      </c>
      <c r="K275" s="4" t="s">
        <v>421</v>
      </c>
      <c r="L275" t="s">
        <v>422</v>
      </c>
      <c r="M275" t="s">
        <v>3051</v>
      </c>
      <c r="N275" t="s">
        <v>13</v>
      </c>
      <c r="O275" t="s">
        <v>131</v>
      </c>
      <c r="P275" t="str">
        <f t="shared" si="134"/>
        <v>[1]</v>
      </c>
      <c r="Q275">
        <f t="shared" si="135"/>
        <v>12</v>
      </c>
      <c r="R275" t="str">
        <f t="shared" si="130"/>
        <v/>
      </c>
      <c r="S275">
        <f>SUMIF(O275:$O$2855,R275,Q275:$Q$2855)</f>
        <v>0</v>
      </c>
      <c r="AP275" s="4" t="s">
        <v>472</v>
      </c>
      <c r="AQ275" t="s">
        <v>479</v>
      </c>
      <c r="AR275" t="s">
        <v>4568</v>
      </c>
      <c r="AS275" t="s">
        <v>13</v>
      </c>
      <c r="AT275" t="s">
        <v>919</v>
      </c>
      <c r="AU275" t="str">
        <f t="shared" si="140"/>
        <v>[1]</v>
      </c>
      <c r="AV275">
        <f t="shared" si="141"/>
        <v>12</v>
      </c>
      <c r="AW275" t="str">
        <f t="shared" si="131"/>
        <v/>
      </c>
      <c r="AX275">
        <f>SUMIF(AT275:$AT$651,AW275,AV275:$AV$651)</f>
        <v>0</v>
      </c>
    </row>
    <row r="276" spans="1:50" x14ac:dyDescent="0.25">
      <c r="A276" s="4" t="s">
        <v>0</v>
      </c>
      <c r="B276" t="s">
        <v>449</v>
      </c>
      <c r="C276" t="s">
        <v>1335</v>
      </c>
      <c r="D276" t="s">
        <v>59</v>
      </c>
      <c r="E276" t="s">
        <v>60</v>
      </c>
      <c r="F276" t="str">
        <f t="shared" si="136"/>
        <v>[6]</v>
      </c>
      <c r="G276">
        <f t="shared" si="137"/>
        <v>78</v>
      </c>
      <c r="H276" t="str">
        <f t="shared" si="138"/>
        <v>FltToDbl.o</v>
      </c>
      <c r="I276">
        <f>SUMIF(E276:$E$306,H276,G276:$G$306)</f>
        <v>78</v>
      </c>
      <c r="K276" s="4" t="s">
        <v>421</v>
      </c>
      <c r="L276" t="s">
        <v>422</v>
      </c>
      <c r="M276" t="s">
        <v>3052</v>
      </c>
      <c r="N276" t="s">
        <v>67</v>
      </c>
      <c r="O276" t="s">
        <v>131</v>
      </c>
      <c r="P276" t="str">
        <f t="shared" si="134"/>
        <v>[1]</v>
      </c>
      <c r="Q276">
        <f t="shared" si="135"/>
        <v>48</v>
      </c>
      <c r="R276" t="str">
        <f t="shared" si="130"/>
        <v/>
      </c>
      <c r="S276">
        <f>SUMIF(O276:$O$2855,R276,Q276:$Q$2855)</f>
        <v>0</v>
      </c>
      <c r="AP276" s="4" t="s">
        <v>472</v>
      </c>
      <c r="AQ276" t="s">
        <v>479</v>
      </c>
      <c r="AR276" t="s">
        <v>4569</v>
      </c>
      <c r="AS276" t="s">
        <v>67</v>
      </c>
      <c r="AT276" t="s">
        <v>919</v>
      </c>
      <c r="AU276" t="str">
        <f t="shared" si="140"/>
        <v>[1]</v>
      </c>
      <c r="AV276">
        <f t="shared" si="141"/>
        <v>48</v>
      </c>
      <c r="AW276" t="str">
        <f t="shared" si="131"/>
        <v/>
      </c>
      <c r="AX276">
        <f>SUMIF(AT276:$AT$651,AW276,AV276:$AV$651)</f>
        <v>0</v>
      </c>
    </row>
    <row r="277" spans="1:50" x14ac:dyDescent="0.25">
      <c r="A277" s="4" t="s">
        <v>0</v>
      </c>
      <c r="B277" t="s">
        <v>449</v>
      </c>
      <c r="C277" t="s">
        <v>1340</v>
      </c>
      <c r="D277" t="s">
        <v>1193</v>
      </c>
      <c r="E277" t="s">
        <v>1228</v>
      </c>
      <c r="F277" t="str">
        <f t="shared" si="136"/>
        <v>[6]</v>
      </c>
      <c r="G277">
        <f t="shared" si="137"/>
        <v>230</v>
      </c>
      <c r="H277" t="str">
        <f t="shared" si="138"/>
        <v>fmodf.o</v>
      </c>
      <c r="I277">
        <f>SUMIF(E277:$E$306,H277,G277:$G$306)</f>
        <v>230</v>
      </c>
      <c r="K277" s="4" t="s">
        <v>421</v>
      </c>
      <c r="L277" t="s">
        <v>422</v>
      </c>
      <c r="M277" t="s">
        <v>3053</v>
      </c>
      <c r="N277" t="s">
        <v>13</v>
      </c>
      <c r="O277" t="s">
        <v>131</v>
      </c>
      <c r="P277" t="str">
        <f t="shared" si="134"/>
        <v>[1]</v>
      </c>
      <c r="Q277">
        <f t="shared" si="135"/>
        <v>12</v>
      </c>
      <c r="R277" t="str">
        <f t="shared" si="130"/>
        <v/>
      </c>
      <c r="S277">
        <f>SUMIF(O277:$O$2855,R277,Q277:$Q$2855)</f>
        <v>0</v>
      </c>
      <c r="AP277" s="4" t="s">
        <v>472</v>
      </c>
      <c r="AQ277" t="s">
        <v>479</v>
      </c>
      <c r="AR277" t="s">
        <v>4570</v>
      </c>
      <c r="AS277" t="s">
        <v>13</v>
      </c>
      <c r="AT277" t="s">
        <v>86</v>
      </c>
      <c r="AU277" t="str">
        <f t="shared" si="140"/>
        <v>[1]</v>
      </c>
      <c r="AV277">
        <f t="shared" si="141"/>
        <v>12</v>
      </c>
      <c r="AW277" t="str">
        <f t="shared" si="131"/>
        <v>mode_config.o</v>
      </c>
      <c r="AX277">
        <f>SUMIF(AT277:$AT$651,AW277,AV277:$AV$651)</f>
        <v>70</v>
      </c>
    </row>
    <row r="278" spans="1:50" x14ac:dyDescent="0.25">
      <c r="A278" s="4" t="s">
        <v>0</v>
      </c>
      <c r="B278" t="s">
        <v>449</v>
      </c>
      <c r="C278" t="s">
        <v>1349</v>
      </c>
      <c r="D278" t="s">
        <v>31</v>
      </c>
      <c r="E278" t="s">
        <v>33</v>
      </c>
      <c r="F278" t="str">
        <f t="shared" si="136"/>
        <v>[6]</v>
      </c>
      <c r="G278">
        <f t="shared" si="137"/>
        <v>34</v>
      </c>
      <c r="H278" t="str">
        <f t="shared" si="138"/>
        <v>fpinit_M.o</v>
      </c>
      <c r="I278">
        <f>SUMIF(E278:$E$306,H278,G278:$G$306)</f>
        <v>34</v>
      </c>
      <c r="K278" s="4" t="s">
        <v>421</v>
      </c>
      <c r="L278" t="s">
        <v>422</v>
      </c>
      <c r="M278" t="s">
        <v>3054</v>
      </c>
      <c r="N278" t="s">
        <v>202</v>
      </c>
      <c r="O278" t="s">
        <v>131</v>
      </c>
      <c r="P278" t="str">
        <f t="shared" si="134"/>
        <v>[1]</v>
      </c>
      <c r="Q278">
        <f t="shared" si="135"/>
        <v>16</v>
      </c>
      <c r="R278" t="str">
        <f t="shared" si="130"/>
        <v/>
      </c>
      <c r="S278">
        <f>SUMIF(O278:$O$2855,R278,Q278:$Q$2855)</f>
        <v>0</v>
      </c>
      <c r="AP278" s="4" t="s">
        <v>472</v>
      </c>
      <c r="AQ278" t="s">
        <v>479</v>
      </c>
      <c r="AR278" t="s">
        <v>4571</v>
      </c>
      <c r="AS278" t="s">
        <v>67</v>
      </c>
      <c r="AT278" t="s">
        <v>86</v>
      </c>
      <c r="AU278" t="str">
        <f t="shared" si="140"/>
        <v>[1]</v>
      </c>
      <c r="AV278">
        <f t="shared" si="141"/>
        <v>48</v>
      </c>
      <c r="AW278" t="str">
        <f t="shared" si="131"/>
        <v/>
      </c>
      <c r="AX278">
        <f>SUMIF(AT278:$AT$651,AW278,AV278:$AV$651)</f>
        <v>0</v>
      </c>
    </row>
    <row r="279" spans="1:50" x14ac:dyDescent="0.25">
      <c r="A279" s="4" t="s">
        <v>0</v>
      </c>
      <c r="B279" t="s">
        <v>449</v>
      </c>
      <c r="C279" t="s">
        <v>1324</v>
      </c>
      <c r="D279" t="s">
        <v>67</v>
      </c>
      <c r="E279" t="s">
        <v>68</v>
      </c>
      <c r="F279" t="str">
        <f t="shared" si="136"/>
        <v>[6]</v>
      </c>
      <c r="G279">
        <f t="shared" si="137"/>
        <v>48</v>
      </c>
      <c r="H279" t="str">
        <f t="shared" si="138"/>
        <v>I32ToDbl.o</v>
      </c>
      <c r="I279">
        <f>SUMIF(E279:$E$306,H279,G279:$G$306)</f>
        <v>48</v>
      </c>
      <c r="K279" s="4" t="s">
        <v>421</v>
      </c>
      <c r="L279" t="s">
        <v>422</v>
      </c>
      <c r="M279" t="s">
        <v>3055</v>
      </c>
      <c r="N279" t="s">
        <v>200</v>
      </c>
      <c r="O279" t="s">
        <v>131</v>
      </c>
      <c r="P279" t="str">
        <f t="shared" si="134"/>
        <v>[1]</v>
      </c>
      <c r="Q279">
        <f t="shared" si="135"/>
        <v>108</v>
      </c>
      <c r="R279" t="str">
        <f t="shared" si="130"/>
        <v/>
      </c>
      <c r="S279">
        <f>SUMIF(O279:$O$2855,R279,Q279:$Q$2855)</f>
        <v>0</v>
      </c>
      <c r="AP279" s="4" t="s">
        <v>472</v>
      </c>
      <c r="AQ279" t="s">
        <v>479</v>
      </c>
      <c r="AR279" t="s">
        <v>4572</v>
      </c>
      <c r="AS279" t="s">
        <v>126</v>
      </c>
      <c r="AT279" t="s">
        <v>86</v>
      </c>
      <c r="AU279" t="str">
        <f t="shared" si="140"/>
        <v>[1]</v>
      </c>
      <c r="AV279">
        <f t="shared" si="141"/>
        <v>8</v>
      </c>
      <c r="AW279" t="str">
        <f t="shared" si="131"/>
        <v/>
      </c>
      <c r="AX279">
        <f>SUMIF(AT279:$AT$651,AW279,AV279:$AV$651)</f>
        <v>0</v>
      </c>
    </row>
    <row r="280" spans="1:50" x14ac:dyDescent="0.25">
      <c r="A280" s="4" t="s">
        <v>0</v>
      </c>
      <c r="B280" t="s">
        <v>449</v>
      </c>
      <c r="C280" t="s">
        <v>1356</v>
      </c>
      <c r="D280" t="s">
        <v>212</v>
      </c>
      <c r="E280" t="s">
        <v>1314</v>
      </c>
      <c r="F280" t="str">
        <f t="shared" si="136"/>
        <v>[6]</v>
      </c>
      <c r="G280">
        <f t="shared" si="137"/>
        <v>18</v>
      </c>
      <c r="H280" t="str">
        <f t="shared" si="138"/>
        <v>log.o</v>
      </c>
      <c r="I280">
        <f>SUMIF(E280:$E$306,H280,G280:$G$306)</f>
        <v>18</v>
      </c>
      <c r="K280" s="4" t="s">
        <v>421</v>
      </c>
      <c r="L280" t="s">
        <v>422</v>
      </c>
      <c r="M280" t="s">
        <v>3056</v>
      </c>
      <c r="N280" t="s">
        <v>202</v>
      </c>
      <c r="O280" t="s">
        <v>131</v>
      </c>
      <c r="P280" t="str">
        <f t="shared" si="134"/>
        <v>[1]</v>
      </c>
      <c r="Q280">
        <f t="shared" si="135"/>
        <v>16</v>
      </c>
      <c r="R280" t="str">
        <f t="shared" si="130"/>
        <v/>
      </c>
      <c r="S280">
        <f>SUMIF(O280:$O$2855,R280,Q280:$Q$2855)</f>
        <v>0</v>
      </c>
      <c r="AP280" s="4" t="s">
        <v>472</v>
      </c>
      <c r="AQ280" t="s">
        <v>479</v>
      </c>
      <c r="AR280" t="s">
        <v>4630</v>
      </c>
      <c r="AS280" t="s">
        <v>442</v>
      </c>
      <c r="AT280" t="s">
        <v>86</v>
      </c>
      <c r="AU280" t="str">
        <f t="shared" si="140"/>
        <v>[1]</v>
      </c>
      <c r="AV280">
        <f t="shared" si="141"/>
        <v>1</v>
      </c>
      <c r="AW280" t="str">
        <f t="shared" si="131"/>
        <v/>
      </c>
      <c r="AX280">
        <f>SUMIF(AT280:$AT$651,AW280,AV280:$AV$651)</f>
        <v>0</v>
      </c>
    </row>
    <row r="281" spans="1:50" x14ac:dyDescent="0.25">
      <c r="A281" s="4" t="s">
        <v>0</v>
      </c>
      <c r="B281" t="s">
        <v>449</v>
      </c>
      <c r="C281" t="s">
        <v>1352</v>
      </c>
      <c r="D281" t="s">
        <v>212</v>
      </c>
      <c r="E281" t="s">
        <v>213</v>
      </c>
      <c r="F281" t="str">
        <f t="shared" si="136"/>
        <v>[6]</v>
      </c>
      <c r="G281">
        <f t="shared" si="137"/>
        <v>18</v>
      </c>
      <c r="H281" t="str">
        <f t="shared" si="138"/>
        <v>log10.o</v>
      </c>
      <c r="I281">
        <f>SUMIF(E281:$E$306,H281,G281:$G$306)</f>
        <v>18</v>
      </c>
      <c r="K281" s="4" t="s">
        <v>421</v>
      </c>
      <c r="L281" t="s">
        <v>422</v>
      </c>
      <c r="M281" t="s">
        <v>3057</v>
      </c>
      <c r="N281" t="s">
        <v>237</v>
      </c>
      <c r="O281" t="s">
        <v>131</v>
      </c>
      <c r="P281" t="str">
        <f t="shared" si="134"/>
        <v>[1]</v>
      </c>
      <c r="Q281">
        <f t="shared" si="135"/>
        <v>52</v>
      </c>
      <c r="R281" t="str">
        <f t="shared" si="130"/>
        <v/>
      </c>
      <c r="S281">
        <f>SUMIF(O281:$O$2855,R281,Q281:$Q$2855)</f>
        <v>0</v>
      </c>
      <c r="AP281" s="4" t="s">
        <v>472</v>
      </c>
      <c r="AQ281" t="s">
        <v>479</v>
      </c>
      <c r="AR281" t="s">
        <v>4631</v>
      </c>
      <c r="AS281" t="s">
        <v>442</v>
      </c>
      <c r="AT281" t="s">
        <v>86</v>
      </c>
      <c r="AU281" t="str">
        <f t="shared" si="140"/>
        <v>[1]</v>
      </c>
      <c r="AV281">
        <f t="shared" si="141"/>
        <v>1</v>
      </c>
      <c r="AW281" t="str">
        <f t="shared" si="131"/>
        <v/>
      </c>
      <c r="AX281">
        <f>SUMIF(AT281:$AT$651,AW281,AV281:$AV$651)</f>
        <v>0</v>
      </c>
    </row>
    <row r="282" spans="1:50" x14ac:dyDescent="0.25">
      <c r="A282" s="4" t="s">
        <v>0</v>
      </c>
      <c r="B282" t="s">
        <v>449</v>
      </c>
      <c r="C282" t="s">
        <v>1354</v>
      </c>
      <c r="D282" t="s">
        <v>21</v>
      </c>
      <c r="E282" t="s">
        <v>324</v>
      </c>
      <c r="F282" t="str">
        <f t="shared" si="136"/>
        <v>[6]</v>
      </c>
      <c r="G282">
        <f t="shared" si="137"/>
        <v>6</v>
      </c>
      <c r="H282" t="str">
        <f t="shared" si="138"/>
        <v>log10f.o</v>
      </c>
      <c r="I282">
        <f>SUMIF(E282:$E$306,H282,G282:$G$306)</f>
        <v>6</v>
      </c>
      <c r="K282" s="4" t="s">
        <v>421</v>
      </c>
      <c r="L282" t="s">
        <v>422</v>
      </c>
      <c r="M282" t="s">
        <v>3058</v>
      </c>
      <c r="N282" t="s">
        <v>126</v>
      </c>
      <c r="O282" t="s">
        <v>131</v>
      </c>
      <c r="P282" t="str">
        <f t="shared" si="134"/>
        <v>[1]</v>
      </c>
      <c r="Q282">
        <f t="shared" si="135"/>
        <v>8</v>
      </c>
      <c r="R282" t="str">
        <f t="shared" si="130"/>
        <v/>
      </c>
      <c r="S282">
        <f>SUMIF(O282:$O$2855,R282,Q282:$Q$2855)</f>
        <v>0</v>
      </c>
      <c r="AP282" s="4" t="s">
        <v>472</v>
      </c>
      <c r="AQ282" t="s">
        <v>479</v>
      </c>
      <c r="AR282" t="s">
        <v>1615</v>
      </c>
      <c r="AS282" t="s">
        <v>65</v>
      </c>
      <c r="AT282" t="s">
        <v>1046</v>
      </c>
      <c r="AU282" t="str">
        <f t="shared" si="140"/>
        <v>[1]</v>
      </c>
      <c r="AV282">
        <f t="shared" si="141"/>
        <v>40</v>
      </c>
      <c r="AW282" t="str">
        <f t="shared" si="131"/>
        <v>mtls.o</v>
      </c>
      <c r="AX282">
        <f>SUMIF(AT282:$AT$651,AW282,AV282:$AV$651)</f>
        <v>406</v>
      </c>
    </row>
    <row r="283" spans="1:50" x14ac:dyDescent="0.25">
      <c r="A283" s="4" t="s">
        <v>0</v>
      </c>
      <c r="B283" t="s">
        <v>449</v>
      </c>
      <c r="C283" t="s">
        <v>1355</v>
      </c>
      <c r="D283" t="s">
        <v>165</v>
      </c>
      <c r="E283" t="s">
        <v>946</v>
      </c>
      <c r="F283" t="str">
        <f t="shared" si="136"/>
        <v>[6]</v>
      </c>
      <c r="G283">
        <f t="shared" si="137"/>
        <v>20</v>
      </c>
      <c r="H283" t="str">
        <f t="shared" si="138"/>
        <v>log2.o</v>
      </c>
      <c r="I283">
        <f>SUMIF(E283:$E$306,H283,G283:$G$306)</f>
        <v>20</v>
      </c>
      <c r="K283" s="4" t="s">
        <v>421</v>
      </c>
      <c r="L283" t="s">
        <v>422</v>
      </c>
      <c r="M283" t="s">
        <v>3059</v>
      </c>
      <c r="N283" t="s">
        <v>267</v>
      </c>
      <c r="O283" t="s">
        <v>131</v>
      </c>
      <c r="P283" t="str">
        <f t="shared" si="134"/>
        <v>[1]</v>
      </c>
      <c r="Q283">
        <f t="shared" si="135"/>
        <v>116</v>
      </c>
      <c r="R283" t="str">
        <f t="shared" si="130"/>
        <v/>
      </c>
      <c r="S283">
        <f>SUMIF(O283:$O$2855,R283,Q283:$Q$2855)</f>
        <v>0</v>
      </c>
      <c r="AP283" s="4" t="s">
        <v>472</v>
      </c>
      <c r="AQ283" t="s">
        <v>479</v>
      </c>
      <c r="AR283" t="s">
        <v>1616</v>
      </c>
      <c r="AS283" t="s">
        <v>126</v>
      </c>
      <c r="AT283" t="s">
        <v>1046</v>
      </c>
      <c r="AU283" t="str">
        <f t="shared" si="140"/>
        <v>[1]</v>
      </c>
      <c r="AV283">
        <f t="shared" si="141"/>
        <v>8</v>
      </c>
      <c r="AW283" t="str">
        <f t="shared" si="131"/>
        <v/>
      </c>
      <c r="AX283">
        <f>SUMIF(AT283:$AT$651,AW283,AV283:$AV$651)</f>
        <v>0</v>
      </c>
    </row>
    <row r="284" spans="1:50" x14ac:dyDescent="0.25">
      <c r="A284" s="4" t="s">
        <v>0</v>
      </c>
      <c r="B284" t="s">
        <v>449</v>
      </c>
      <c r="C284" t="s">
        <v>1315</v>
      </c>
      <c r="D284" t="s">
        <v>128</v>
      </c>
      <c r="E284" t="s">
        <v>129</v>
      </c>
      <c r="F284" t="str">
        <f t="shared" si="136"/>
        <v>[6]</v>
      </c>
      <c r="G284">
        <f t="shared" si="137"/>
        <v>2240</v>
      </c>
      <c r="H284" t="str">
        <f t="shared" si="138"/>
        <v>pow.o</v>
      </c>
      <c r="I284">
        <f>SUMIF(E284:$E$306,H284,G284:$G$306)</f>
        <v>2240</v>
      </c>
      <c r="K284" s="4" t="s">
        <v>421</v>
      </c>
      <c r="L284" t="s">
        <v>422</v>
      </c>
      <c r="M284" t="s">
        <v>3060</v>
      </c>
      <c r="N284" t="s">
        <v>202</v>
      </c>
      <c r="O284" t="s">
        <v>131</v>
      </c>
      <c r="P284" t="str">
        <f t="shared" si="134"/>
        <v>[1]</v>
      </c>
      <c r="Q284">
        <f t="shared" si="135"/>
        <v>16</v>
      </c>
      <c r="R284" t="str">
        <f t="shared" si="130"/>
        <v/>
      </c>
      <c r="S284">
        <f>SUMIF(O284:$O$2855,R284,Q284:$Q$2855)</f>
        <v>0</v>
      </c>
      <c r="AP284" s="4" t="s">
        <v>472</v>
      </c>
      <c r="AQ284" t="s">
        <v>479</v>
      </c>
      <c r="AR284" t="s">
        <v>1617</v>
      </c>
      <c r="AS284" t="s">
        <v>237</v>
      </c>
      <c r="AT284" t="s">
        <v>1046</v>
      </c>
      <c r="AU284" t="str">
        <f t="shared" si="140"/>
        <v>[1]</v>
      </c>
      <c r="AV284">
        <f t="shared" si="141"/>
        <v>52</v>
      </c>
      <c r="AW284" t="str">
        <f t="shared" si="131"/>
        <v/>
      </c>
      <c r="AX284">
        <f>SUMIF(AT284:$AT$651,AW284,AV284:$AV$651)</f>
        <v>0</v>
      </c>
    </row>
    <row r="285" spans="1:50" x14ac:dyDescent="0.25">
      <c r="A285" s="4" t="s">
        <v>0</v>
      </c>
      <c r="B285" t="s">
        <v>449</v>
      </c>
      <c r="C285" t="s">
        <v>1341</v>
      </c>
      <c r="D285" t="s">
        <v>257</v>
      </c>
      <c r="E285" t="s">
        <v>258</v>
      </c>
      <c r="F285" t="str">
        <f t="shared" si="136"/>
        <v>[6]</v>
      </c>
      <c r="G285">
        <f t="shared" si="137"/>
        <v>774</v>
      </c>
      <c r="H285" t="str">
        <f t="shared" si="138"/>
        <v>powf.o</v>
      </c>
      <c r="I285">
        <f>SUMIF(E285:$E$306,H285,G285:$G$306)</f>
        <v>774</v>
      </c>
      <c r="K285" s="4" t="s">
        <v>421</v>
      </c>
      <c r="L285" t="s">
        <v>422</v>
      </c>
      <c r="M285" t="s">
        <v>3061</v>
      </c>
      <c r="N285" t="s">
        <v>190</v>
      </c>
      <c r="O285" t="s">
        <v>131</v>
      </c>
      <c r="P285" t="str">
        <f t="shared" si="134"/>
        <v>[1]</v>
      </c>
      <c r="Q285">
        <f t="shared" si="135"/>
        <v>56</v>
      </c>
      <c r="R285" t="str">
        <f t="shared" si="130"/>
        <v/>
      </c>
      <c r="S285">
        <f>SUMIF(O285:$O$2855,R285,Q285:$Q$2855)</f>
        <v>0</v>
      </c>
      <c r="AP285" s="4" t="s">
        <v>472</v>
      </c>
      <c r="AQ285" t="s">
        <v>479</v>
      </c>
      <c r="AR285" t="s">
        <v>1618</v>
      </c>
      <c r="AS285" t="s">
        <v>1073</v>
      </c>
      <c r="AT285" t="s">
        <v>1046</v>
      </c>
      <c r="AU285" t="str">
        <f t="shared" si="140"/>
        <v>[1]</v>
      </c>
      <c r="AV285">
        <f t="shared" si="141"/>
        <v>300</v>
      </c>
      <c r="AW285" t="str">
        <f t="shared" si="131"/>
        <v/>
      </c>
      <c r="AX285">
        <f>SUMIF(AT285:$AT$651,AW285,AV285:$AV$651)</f>
        <v>0</v>
      </c>
    </row>
    <row r="286" spans="1:50" x14ac:dyDescent="0.25">
      <c r="A286" s="4" t="s">
        <v>0</v>
      </c>
      <c r="B286" t="s">
        <v>449</v>
      </c>
      <c r="C286" t="s">
        <v>1348</v>
      </c>
      <c r="D286" t="s">
        <v>89</v>
      </c>
      <c r="E286" t="s">
        <v>945</v>
      </c>
      <c r="F286" t="str">
        <f t="shared" si="136"/>
        <v>[6]</v>
      </c>
      <c r="G286">
        <f t="shared" si="137"/>
        <v>76</v>
      </c>
      <c r="H286" t="str">
        <f t="shared" si="138"/>
        <v>round.o</v>
      </c>
      <c r="I286">
        <f>SUMIF(E286:$E$306,H286,G286:$G$306)</f>
        <v>76</v>
      </c>
      <c r="K286" s="4" t="s">
        <v>421</v>
      </c>
      <c r="L286" t="s">
        <v>422</v>
      </c>
      <c r="M286" t="s">
        <v>3062</v>
      </c>
      <c r="N286" t="s">
        <v>13</v>
      </c>
      <c r="O286" t="s">
        <v>131</v>
      </c>
      <c r="P286" t="str">
        <f t="shared" si="134"/>
        <v>[1]</v>
      </c>
      <c r="Q286">
        <f t="shared" si="135"/>
        <v>12</v>
      </c>
      <c r="R286" t="str">
        <f t="shared" si="130"/>
        <v/>
      </c>
      <c r="S286">
        <f>SUMIF(O286:$O$2855,R286,Q286:$Q$2855)</f>
        <v>0</v>
      </c>
      <c r="AP286" s="4" t="s">
        <v>472</v>
      </c>
      <c r="AQ286" t="s">
        <v>479</v>
      </c>
      <c r="AR286" t="s">
        <v>1619</v>
      </c>
      <c r="AS286" t="s">
        <v>78</v>
      </c>
      <c r="AT286" t="s">
        <v>1046</v>
      </c>
      <c r="AU286" t="str">
        <f t="shared" si="140"/>
        <v>[1]</v>
      </c>
      <c r="AV286">
        <f t="shared" si="141"/>
        <v>4</v>
      </c>
      <c r="AW286" t="str">
        <f t="shared" si="131"/>
        <v/>
      </c>
      <c r="AX286">
        <f>SUMIF(AT286:$AT$651,AW286,AV286:$AV$651)</f>
        <v>0</v>
      </c>
    </row>
    <row r="287" spans="1:50" x14ac:dyDescent="0.25">
      <c r="A287" s="4" t="s">
        <v>0</v>
      </c>
      <c r="B287" t="s">
        <v>449</v>
      </c>
      <c r="C287" t="s">
        <v>1331</v>
      </c>
      <c r="D287" t="s">
        <v>190</v>
      </c>
      <c r="E287" t="s">
        <v>1225</v>
      </c>
      <c r="F287" t="str">
        <f t="shared" si="136"/>
        <v>[6]</v>
      </c>
      <c r="G287">
        <f t="shared" si="137"/>
        <v>56</v>
      </c>
      <c r="H287" t="str">
        <f t="shared" si="138"/>
        <v>roundf.o</v>
      </c>
      <c r="I287">
        <f>SUMIF(E287:$E$306,H287,G287:$G$306)</f>
        <v>56</v>
      </c>
      <c r="K287" s="4" t="s">
        <v>421</v>
      </c>
      <c r="L287" t="s">
        <v>422</v>
      </c>
      <c r="M287" t="s">
        <v>3063</v>
      </c>
      <c r="N287" t="s">
        <v>190</v>
      </c>
      <c r="O287" t="s">
        <v>131</v>
      </c>
      <c r="P287" t="str">
        <f t="shared" si="134"/>
        <v>[1]</v>
      </c>
      <c r="Q287">
        <f t="shared" si="135"/>
        <v>56</v>
      </c>
      <c r="R287" t="str">
        <f t="shared" si="130"/>
        <v/>
      </c>
      <c r="S287">
        <f>SUMIF(O287:$O$2855,R287,Q287:$Q$2855)</f>
        <v>0</v>
      </c>
      <c r="AP287" s="4" t="s">
        <v>472</v>
      </c>
      <c r="AQ287" t="s">
        <v>479</v>
      </c>
      <c r="AR287" t="s">
        <v>4463</v>
      </c>
      <c r="AS287" t="s">
        <v>46</v>
      </c>
      <c r="AT287" t="s">
        <v>1046</v>
      </c>
      <c r="AU287" t="str">
        <f t="shared" si="140"/>
        <v>[1]</v>
      </c>
      <c r="AV287">
        <f t="shared" si="141"/>
        <v>2</v>
      </c>
      <c r="AW287" t="str">
        <f t="shared" si="131"/>
        <v/>
      </c>
      <c r="AX287">
        <f>SUMIF(AT287:$AT$651,AW287,AV287:$AV$651)</f>
        <v>0</v>
      </c>
    </row>
    <row r="288" spans="1:50" x14ac:dyDescent="0.25">
      <c r="A288" s="4" t="s">
        <v>0</v>
      </c>
      <c r="B288" t="s">
        <v>449</v>
      </c>
      <c r="C288" t="s">
        <v>1336</v>
      </c>
      <c r="D288" t="s">
        <v>1076</v>
      </c>
      <c r="E288" t="s">
        <v>1098</v>
      </c>
      <c r="F288" t="str">
        <f t="shared" si="136"/>
        <v>[6]</v>
      </c>
      <c r="G288">
        <f t="shared" si="137"/>
        <v>256</v>
      </c>
      <c r="H288" t="str">
        <f t="shared" si="138"/>
        <v>sqrt.o</v>
      </c>
      <c r="I288">
        <f>SUMIF(E288:$E$306,H288,G288:$G$306)</f>
        <v>256</v>
      </c>
      <c r="K288" s="4" t="s">
        <v>421</v>
      </c>
      <c r="L288" t="s">
        <v>422</v>
      </c>
      <c r="M288" t="s">
        <v>3064</v>
      </c>
      <c r="N288" t="s">
        <v>165</v>
      </c>
      <c r="O288" t="s">
        <v>131</v>
      </c>
      <c r="P288" t="str">
        <f t="shared" si="134"/>
        <v>[1]</v>
      </c>
      <c r="Q288">
        <f t="shared" si="135"/>
        <v>20</v>
      </c>
      <c r="R288" t="str">
        <f t="shared" ref="R288:R351" si="143">IF(O288&lt;&gt;O287,O288,"")</f>
        <v/>
      </c>
      <c r="S288">
        <f>SUMIF(O288:$O$2855,R288,Q288:$Q$2855)</f>
        <v>0</v>
      </c>
      <c r="AP288" s="4" t="s">
        <v>472</v>
      </c>
      <c r="AQ288" t="s">
        <v>479</v>
      </c>
      <c r="AR288" t="s">
        <v>4573</v>
      </c>
      <c r="AS288" t="s">
        <v>126</v>
      </c>
      <c r="AT288" t="s">
        <v>177</v>
      </c>
      <c r="AU288" t="str">
        <f t="shared" si="140"/>
        <v>[1]</v>
      </c>
      <c r="AV288">
        <f t="shared" si="141"/>
        <v>8</v>
      </c>
      <c r="AW288" t="str">
        <f t="shared" ref="AW288:AW351" si="144">IF(AT288&lt;&gt;AT287,AT288,"")</f>
        <v>partitions.o</v>
      </c>
      <c r="AX288">
        <f>SUMIF(AT288:$AT$651,AW288,AV288:$AV$651)</f>
        <v>41</v>
      </c>
    </row>
    <row r="289" spans="1:50" x14ac:dyDescent="0.25">
      <c r="A289" s="4" t="s">
        <v>0</v>
      </c>
      <c r="B289" t="s">
        <v>449</v>
      </c>
      <c r="C289" t="s">
        <v>1317</v>
      </c>
      <c r="D289" t="s">
        <v>182</v>
      </c>
      <c r="E289" t="s">
        <v>183</v>
      </c>
      <c r="F289" t="str">
        <f t="shared" si="136"/>
        <v>[6]</v>
      </c>
      <c r="G289">
        <f t="shared" si="137"/>
        <v>126</v>
      </c>
      <c r="H289" t="str">
        <f t="shared" si="138"/>
        <v>xdint.o</v>
      </c>
      <c r="I289">
        <f>SUMIF(E289:$E$306,H289,G289:$G$306)</f>
        <v>126</v>
      </c>
      <c r="K289" s="4" t="s">
        <v>421</v>
      </c>
      <c r="L289" t="s">
        <v>422</v>
      </c>
      <c r="M289" t="s">
        <v>3065</v>
      </c>
      <c r="N289" t="s">
        <v>190</v>
      </c>
      <c r="O289" t="s">
        <v>131</v>
      </c>
      <c r="P289" t="str">
        <f t="shared" si="134"/>
        <v>[1]</v>
      </c>
      <c r="Q289">
        <f t="shared" si="135"/>
        <v>56</v>
      </c>
      <c r="R289" t="str">
        <f t="shared" si="143"/>
        <v/>
      </c>
      <c r="S289">
        <f>SUMIF(O289:$O$2855,R289,Q289:$Q$2855)</f>
        <v>0</v>
      </c>
      <c r="AP289" s="4" t="s">
        <v>472</v>
      </c>
      <c r="AQ289" t="s">
        <v>479</v>
      </c>
      <c r="AR289" t="s">
        <v>4574</v>
      </c>
      <c r="AS289" t="s">
        <v>126</v>
      </c>
      <c r="AT289" t="s">
        <v>177</v>
      </c>
      <c r="AU289" t="str">
        <f t="shared" si="140"/>
        <v>[1]</v>
      </c>
      <c r="AV289">
        <f t="shared" si="141"/>
        <v>8</v>
      </c>
      <c r="AW289" t="str">
        <f t="shared" si="144"/>
        <v/>
      </c>
      <c r="AX289">
        <f>SUMIF(AT289:$AT$651,AW289,AV289:$AV$651)</f>
        <v>0</v>
      </c>
    </row>
    <row r="290" spans="1:50" x14ac:dyDescent="0.25">
      <c r="A290" s="4" t="s">
        <v>0</v>
      </c>
      <c r="B290" t="s">
        <v>449</v>
      </c>
      <c r="C290" t="s">
        <v>1316</v>
      </c>
      <c r="D290" t="s">
        <v>180</v>
      </c>
      <c r="E290" t="s">
        <v>181</v>
      </c>
      <c r="F290" t="str">
        <f t="shared" si="136"/>
        <v>[6]</v>
      </c>
      <c r="G290">
        <f t="shared" si="137"/>
        <v>66</v>
      </c>
      <c r="H290" t="str">
        <f t="shared" si="138"/>
        <v>xdnorm.o</v>
      </c>
      <c r="I290">
        <f>SUMIF(E290:$E$306,H290,G290:$G$306)</f>
        <v>66</v>
      </c>
      <c r="K290" s="4" t="s">
        <v>421</v>
      </c>
      <c r="L290" t="s">
        <v>422</v>
      </c>
      <c r="M290" t="s">
        <v>3066</v>
      </c>
      <c r="N290" t="s">
        <v>165</v>
      </c>
      <c r="O290" t="s">
        <v>131</v>
      </c>
      <c r="P290" t="str">
        <f t="shared" si="134"/>
        <v>[1]</v>
      </c>
      <c r="Q290">
        <f t="shared" si="135"/>
        <v>20</v>
      </c>
      <c r="R290" t="str">
        <f t="shared" si="143"/>
        <v/>
      </c>
      <c r="S290">
        <f>SUMIF(O290:$O$2855,R290,Q290:$Q$2855)</f>
        <v>0</v>
      </c>
      <c r="AP290" s="4" t="s">
        <v>472</v>
      </c>
      <c r="AQ290" t="s">
        <v>479</v>
      </c>
      <c r="AR290" t="s">
        <v>4575</v>
      </c>
      <c r="AS290" t="s">
        <v>126</v>
      </c>
      <c r="AT290" t="s">
        <v>177</v>
      </c>
      <c r="AU290" t="str">
        <f t="shared" si="140"/>
        <v>[1]</v>
      </c>
      <c r="AV290">
        <f t="shared" si="141"/>
        <v>8</v>
      </c>
      <c r="AW290" t="str">
        <f t="shared" si="144"/>
        <v/>
      </c>
      <c r="AX290">
        <f>SUMIF(AT290:$AT$651,AW290,AV290:$AV$651)</f>
        <v>0</v>
      </c>
    </row>
    <row r="291" spans="1:50" x14ac:dyDescent="0.25">
      <c r="A291" s="4" t="s">
        <v>0</v>
      </c>
      <c r="B291" t="s">
        <v>449</v>
      </c>
      <c r="C291" t="s">
        <v>1330</v>
      </c>
      <c r="D291" t="s">
        <v>280</v>
      </c>
      <c r="E291" t="s">
        <v>281</v>
      </c>
      <c r="F291" t="str">
        <f t="shared" si="136"/>
        <v>[6]</v>
      </c>
      <c r="G291">
        <f t="shared" si="137"/>
        <v>280</v>
      </c>
      <c r="H291" t="str">
        <f t="shared" si="138"/>
        <v>xdscale.o</v>
      </c>
      <c r="I291">
        <f>SUMIF(E291:$E$306,H291,G291:$G$306)</f>
        <v>280</v>
      </c>
      <c r="K291" s="4" t="s">
        <v>421</v>
      </c>
      <c r="L291" t="s">
        <v>422</v>
      </c>
      <c r="M291" t="s">
        <v>3067</v>
      </c>
      <c r="N291" t="s">
        <v>44</v>
      </c>
      <c r="O291" t="s">
        <v>131</v>
      </c>
      <c r="P291" t="str">
        <f t="shared" si="134"/>
        <v>[1]</v>
      </c>
      <c r="Q291">
        <f t="shared" si="135"/>
        <v>44</v>
      </c>
      <c r="R291" t="str">
        <f t="shared" si="143"/>
        <v/>
      </c>
      <c r="S291">
        <f>SUMIF(O291:$O$2855,R291,Q291:$Q$2855)</f>
        <v>0</v>
      </c>
      <c r="AP291" s="4" t="s">
        <v>472</v>
      </c>
      <c r="AQ291" t="s">
        <v>479</v>
      </c>
      <c r="AR291" t="s">
        <v>4576</v>
      </c>
      <c r="AS291" t="s">
        <v>126</v>
      </c>
      <c r="AT291" t="s">
        <v>177</v>
      </c>
      <c r="AU291" t="str">
        <f t="shared" si="140"/>
        <v>[1]</v>
      </c>
      <c r="AV291">
        <f t="shared" si="141"/>
        <v>8</v>
      </c>
      <c r="AW291" t="str">
        <f t="shared" si="144"/>
        <v/>
      </c>
      <c r="AX291">
        <f>SUMIF(AT291:$AT$651,AW291,AV291:$AV$651)</f>
        <v>0</v>
      </c>
    </row>
    <row r="292" spans="1:50" x14ac:dyDescent="0.25">
      <c r="A292" s="4" t="s">
        <v>0</v>
      </c>
      <c r="B292" t="s">
        <v>449</v>
      </c>
      <c r="C292" t="s">
        <v>1332</v>
      </c>
      <c r="D292" t="s">
        <v>395</v>
      </c>
      <c r="E292" t="s">
        <v>396</v>
      </c>
      <c r="F292" t="str">
        <f t="shared" si="136"/>
        <v>[6]</v>
      </c>
      <c r="G292">
        <f t="shared" si="137"/>
        <v>512</v>
      </c>
      <c r="H292" t="str">
        <f t="shared" si="138"/>
        <v>xdtento.o</v>
      </c>
      <c r="I292">
        <f>SUMIF(E292:$E$306,H292,G292:$G$306)</f>
        <v>512</v>
      </c>
      <c r="K292" s="4" t="s">
        <v>421</v>
      </c>
      <c r="L292" t="s">
        <v>422</v>
      </c>
      <c r="M292" t="s">
        <v>3068</v>
      </c>
      <c r="N292" t="s">
        <v>165</v>
      </c>
      <c r="O292" t="s">
        <v>131</v>
      </c>
      <c r="P292" t="str">
        <f t="shared" si="134"/>
        <v>[1]</v>
      </c>
      <c r="Q292">
        <f t="shared" si="135"/>
        <v>20</v>
      </c>
      <c r="R292" t="str">
        <f t="shared" si="143"/>
        <v/>
      </c>
      <c r="S292">
        <f>SUMIF(O292:$O$2855,R292,Q292:$Q$2855)</f>
        <v>0</v>
      </c>
      <c r="AP292" s="4" t="s">
        <v>472</v>
      </c>
      <c r="AQ292" t="s">
        <v>479</v>
      </c>
      <c r="AR292" t="s">
        <v>4577</v>
      </c>
      <c r="AS292" t="s">
        <v>126</v>
      </c>
      <c r="AT292" t="s">
        <v>177</v>
      </c>
      <c r="AU292" t="str">
        <f t="shared" si="140"/>
        <v>[1]</v>
      </c>
      <c r="AV292">
        <f t="shared" si="141"/>
        <v>8</v>
      </c>
      <c r="AW292" t="str">
        <f t="shared" si="144"/>
        <v/>
      </c>
      <c r="AX292">
        <f>SUMIF(AT292:$AT$651,AW292,AV292:$AV$651)</f>
        <v>0</v>
      </c>
    </row>
    <row r="293" spans="1:50" x14ac:dyDescent="0.25">
      <c r="A293" s="4" t="s">
        <v>0</v>
      </c>
      <c r="B293" t="s">
        <v>449</v>
      </c>
      <c r="C293" t="s">
        <v>1329</v>
      </c>
      <c r="D293" t="s">
        <v>103</v>
      </c>
      <c r="E293" t="s">
        <v>279</v>
      </c>
      <c r="F293" t="str">
        <f t="shared" si="136"/>
        <v>[6]</v>
      </c>
      <c r="G293">
        <f t="shared" si="137"/>
        <v>64</v>
      </c>
      <c r="H293" t="str">
        <f t="shared" si="138"/>
        <v>xdtest.o</v>
      </c>
      <c r="I293">
        <f>SUMIF(E293:$E$306,H293,G293:$G$306)</f>
        <v>64</v>
      </c>
      <c r="K293" s="4" t="s">
        <v>421</v>
      </c>
      <c r="L293" t="s">
        <v>422</v>
      </c>
      <c r="M293" t="s">
        <v>3069</v>
      </c>
      <c r="N293" t="s">
        <v>44</v>
      </c>
      <c r="O293" t="s">
        <v>131</v>
      </c>
      <c r="P293" t="str">
        <f t="shared" si="134"/>
        <v>[1]</v>
      </c>
      <c r="Q293">
        <f t="shared" si="135"/>
        <v>44</v>
      </c>
      <c r="R293" t="str">
        <f t="shared" si="143"/>
        <v/>
      </c>
      <c r="S293">
        <f>SUMIF(O293:$O$2855,R293,Q293:$Q$2855)</f>
        <v>0</v>
      </c>
      <c r="AP293" s="4" t="s">
        <v>472</v>
      </c>
      <c r="AQ293" t="s">
        <v>479</v>
      </c>
      <c r="AR293" t="s">
        <v>4632</v>
      </c>
      <c r="AS293" t="s">
        <v>442</v>
      </c>
      <c r="AT293" t="s">
        <v>177</v>
      </c>
      <c r="AU293" t="str">
        <f t="shared" si="140"/>
        <v>[1]</v>
      </c>
      <c r="AV293">
        <f t="shared" si="141"/>
        <v>1</v>
      </c>
      <c r="AW293" t="str">
        <f t="shared" si="144"/>
        <v/>
      </c>
      <c r="AX293">
        <f>SUMIF(AT293:$AT$651,AW293,AV293:$AV$651)</f>
        <v>0</v>
      </c>
    </row>
    <row r="294" spans="1:50" x14ac:dyDescent="0.25">
      <c r="A294" s="4" t="s">
        <v>0</v>
      </c>
      <c r="B294" t="s">
        <v>449</v>
      </c>
      <c r="C294" t="s">
        <v>1333</v>
      </c>
      <c r="D294" t="s">
        <v>306</v>
      </c>
      <c r="E294" t="s">
        <v>400</v>
      </c>
      <c r="F294" t="str">
        <f t="shared" si="136"/>
        <v>[6]</v>
      </c>
      <c r="G294">
        <f t="shared" si="137"/>
        <v>86</v>
      </c>
      <c r="H294" t="str">
        <f t="shared" si="138"/>
        <v>xdunscal.o</v>
      </c>
      <c r="I294">
        <f>SUMIF(E294:$E$306,H294,G294:$G$306)</f>
        <v>86</v>
      </c>
      <c r="K294" s="4" t="s">
        <v>421</v>
      </c>
      <c r="L294" t="s">
        <v>422</v>
      </c>
      <c r="M294" t="s">
        <v>3070</v>
      </c>
      <c r="N294" t="s">
        <v>126</v>
      </c>
      <c r="O294" t="s">
        <v>131</v>
      </c>
      <c r="P294" t="str">
        <f t="shared" si="134"/>
        <v>[1]</v>
      </c>
      <c r="Q294">
        <f t="shared" si="135"/>
        <v>8</v>
      </c>
      <c r="R294" t="str">
        <f t="shared" si="143"/>
        <v/>
      </c>
      <c r="S294">
        <f>SUMIF(O294:$O$2855,R294,Q294:$Q$2855)</f>
        <v>0</v>
      </c>
      <c r="AP294" s="4" t="s">
        <v>472</v>
      </c>
      <c r="AQ294" t="s">
        <v>479</v>
      </c>
      <c r="AR294" t="s">
        <v>1620</v>
      </c>
      <c r="AS294" t="s">
        <v>78</v>
      </c>
      <c r="AT294" t="s">
        <v>1117</v>
      </c>
      <c r="AU294" t="str">
        <f t="shared" si="140"/>
        <v>[1]</v>
      </c>
      <c r="AV294">
        <f t="shared" si="141"/>
        <v>4</v>
      </c>
      <c r="AW294" t="str">
        <f t="shared" si="144"/>
        <v>phase2freq_wi_unwrap.o</v>
      </c>
      <c r="AX294">
        <f>SUMIF(AT294:$AT$651,AW294,AV294:$AV$651)</f>
        <v>4</v>
      </c>
    </row>
    <row r="295" spans="1:50" x14ac:dyDescent="0.25">
      <c r="A295" s="4" t="s">
        <v>0</v>
      </c>
      <c r="B295" t="s">
        <v>449</v>
      </c>
      <c r="C295" t="s">
        <v>1328</v>
      </c>
      <c r="D295" t="s">
        <v>187</v>
      </c>
      <c r="E295" t="s">
        <v>188</v>
      </c>
      <c r="F295" t="str">
        <f t="shared" si="136"/>
        <v>[6]</v>
      </c>
      <c r="G295">
        <f t="shared" si="137"/>
        <v>710</v>
      </c>
      <c r="H295" t="str">
        <f t="shared" si="138"/>
        <v>xexp.o</v>
      </c>
      <c r="I295">
        <f>SUMIF(E295:$E$306,H295,G295:$G$306)</f>
        <v>710</v>
      </c>
      <c r="K295" s="4" t="s">
        <v>421</v>
      </c>
      <c r="L295" t="s">
        <v>422</v>
      </c>
      <c r="M295" t="s">
        <v>1860</v>
      </c>
      <c r="N295" t="s">
        <v>165</v>
      </c>
      <c r="O295" t="s">
        <v>131</v>
      </c>
      <c r="P295" t="str">
        <f t="shared" si="134"/>
        <v>[1]</v>
      </c>
      <c r="Q295">
        <f t="shared" si="135"/>
        <v>20</v>
      </c>
      <c r="R295" t="str">
        <f t="shared" si="143"/>
        <v/>
      </c>
      <c r="S295">
        <f>SUMIF(O295:$O$2855,R295,Q295:$Q$2855)</f>
        <v>0</v>
      </c>
      <c r="AP295" s="4" t="s">
        <v>472</v>
      </c>
      <c r="AQ295" t="s">
        <v>479</v>
      </c>
      <c r="AR295" t="s">
        <v>1621</v>
      </c>
      <c r="AS295" t="s">
        <v>13</v>
      </c>
      <c r="AT295" t="s">
        <v>159</v>
      </c>
      <c r="AU295" t="str">
        <f t="shared" si="140"/>
        <v>[1]</v>
      </c>
      <c r="AV295">
        <f t="shared" si="141"/>
        <v>12</v>
      </c>
      <c r="AW295" t="str">
        <f t="shared" si="144"/>
        <v>PHY.o</v>
      </c>
      <c r="AX295">
        <f>SUMIF(AT295:$AT$651,AW295,AV295:$AV$651)</f>
        <v>640</v>
      </c>
    </row>
    <row r="296" spans="1:50" x14ac:dyDescent="0.25">
      <c r="A296" s="4" t="s">
        <v>0</v>
      </c>
      <c r="B296" t="s">
        <v>449</v>
      </c>
      <c r="C296" t="s">
        <v>1339</v>
      </c>
      <c r="D296" t="s">
        <v>275</v>
      </c>
      <c r="E296" t="s">
        <v>346</v>
      </c>
      <c r="F296" t="str">
        <f t="shared" si="136"/>
        <v>[6]</v>
      </c>
      <c r="G296">
        <f t="shared" si="137"/>
        <v>80</v>
      </c>
      <c r="H296" t="str">
        <f t="shared" si="138"/>
        <v>xfdint.o</v>
      </c>
      <c r="I296">
        <f>SUMIF(E296:$E$306,H296,G296:$G$306)</f>
        <v>80</v>
      </c>
      <c r="K296" s="4" t="s">
        <v>421</v>
      </c>
      <c r="L296" t="s">
        <v>422</v>
      </c>
      <c r="M296" t="s">
        <v>3071</v>
      </c>
      <c r="N296" t="s">
        <v>13</v>
      </c>
      <c r="O296" t="s">
        <v>131</v>
      </c>
      <c r="P296" t="str">
        <f t="shared" si="134"/>
        <v>[1]</v>
      </c>
      <c r="Q296">
        <f t="shared" si="135"/>
        <v>12</v>
      </c>
      <c r="R296" t="str">
        <f t="shared" si="143"/>
        <v/>
      </c>
      <c r="S296">
        <f>SUMIF(O296:$O$2855,R296,Q296:$Q$2855)</f>
        <v>0</v>
      </c>
      <c r="AP296" s="4" t="s">
        <v>472</v>
      </c>
      <c r="AQ296" t="s">
        <v>479</v>
      </c>
      <c r="AR296" t="s">
        <v>1622</v>
      </c>
      <c r="AS296" t="s">
        <v>65</v>
      </c>
      <c r="AT296" t="s">
        <v>159</v>
      </c>
      <c r="AU296" t="str">
        <f t="shared" si="140"/>
        <v>[1]</v>
      </c>
      <c r="AV296">
        <f t="shared" si="141"/>
        <v>40</v>
      </c>
      <c r="AW296" t="str">
        <f t="shared" si="144"/>
        <v/>
      </c>
      <c r="AX296">
        <f>SUMIF(AT296:$AT$651,AW296,AV296:$AV$651)</f>
        <v>0</v>
      </c>
    </row>
    <row r="297" spans="1:50" x14ac:dyDescent="0.25">
      <c r="A297" s="4" t="s">
        <v>0</v>
      </c>
      <c r="B297" t="s">
        <v>449</v>
      </c>
      <c r="C297" t="s">
        <v>1342</v>
      </c>
      <c r="D297" t="s">
        <v>153</v>
      </c>
      <c r="E297" t="s">
        <v>345</v>
      </c>
      <c r="F297" t="str">
        <f t="shared" si="136"/>
        <v>[6]</v>
      </c>
      <c r="G297">
        <f t="shared" si="137"/>
        <v>38</v>
      </c>
      <c r="H297" t="str">
        <f t="shared" si="138"/>
        <v>xfdnorm.o</v>
      </c>
      <c r="I297">
        <f>SUMIF(E297:$E$306,H297,G297:$G$306)</f>
        <v>38</v>
      </c>
      <c r="K297" s="4" t="s">
        <v>421</v>
      </c>
      <c r="L297" t="s">
        <v>422</v>
      </c>
      <c r="M297" t="s">
        <v>3072</v>
      </c>
      <c r="N297" t="s">
        <v>6</v>
      </c>
      <c r="O297" t="s">
        <v>131</v>
      </c>
      <c r="P297" t="str">
        <f t="shared" si="134"/>
        <v>[1]</v>
      </c>
      <c r="Q297">
        <f t="shared" si="135"/>
        <v>28</v>
      </c>
      <c r="R297" t="str">
        <f t="shared" si="143"/>
        <v/>
      </c>
      <c r="S297">
        <f>SUMIF(O297:$O$2855,R297,Q297:$Q$2855)</f>
        <v>0</v>
      </c>
      <c r="AP297" s="4" t="s">
        <v>472</v>
      </c>
      <c r="AQ297" t="s">
        <v>479</v>
      </c>
      <c r="AR297" t="s">
        <v>1623</v>
      </c>
      <c r="AS297" t="s">
        <v>67</v>
      </c>
      <c r="AT297" t="s">
        <v>159</v>
      </c>
      <c r="AU297" t="str">
        <f t="shared" si="140"/>
        <v>[1]</v>
      </c>
      <c r="AV297">
        <f t="shared" si="141"/>
        <v>48</v>
      </c>
      <c r="AW297" t="str">
        <f t="shared" si="144"/>
        <v/>
      </c>
      <c r="AX297">
        <f>SUMIF(AT297:$AT$651,AW297,AV297:$AV$651)</f>
        <v>0</v>
      </c>
    </row>
    <row r="298" spans="1:50" x14ac:dyDescent="0.25">
      <c r="A298" s="4" t="s">
        <v>0</v>
      </c>
      <c r="B298" t="s">
        <v>449</v>
      </c>
      <c r="C298" t="s">
        <v>1345</v>
      </c>
      <c r="D298" t="s">
        <v>381</v>
      </c>
      <c r="E298" t="s">
        <v>382</v>
      </c>
      <c r="F298" t="str">
        <f t="shared" si="136"/>
        <v>[6]</v>
      </c>
      <c r="G298">
        <f t="shared" si="137"/>
        <v>200</v>
      </c>
      <c r="H298" t="str">
        <f t="shared" si="138"/>
        <v>xfdscale.o</v>
      </c>
      <c r="I298">
        <f>SUMIF(E298:$E$306,H298,G298:$G$306)</f>
        <v>200</v>
      </c>
      <c r="K298" s="4" t="s">
        <v>421</v>
      </c>
      <c r="L298" t="s">
        <v>422</v>
      </c>
      <c r="M298" t="s">
        <v>3073</v>
      </c>
      <c r="N298" t="s">
        <v>13</v>
      </c>
      <c r="O298" t="s">
        <v>131</v>
      </c>
      <c r="P298" t="str">
        <f t="shared" si="134"/>
        <v>[1]</v>
      </c>
      <c r="Q298">
        <f t="shared" si="135"/>
        <v>12</v>
      </c>
      <c r="R298" t="str">
        <f t="shared" si="143"/>
        <v/>
      </c>
      <c r="S298">
        <f>SUMIF(O298:$O$2855,R298,Q298:$Q$2855)</f>
        <v>0</v>
      </c>
      <c r="AP298" s="4" t="s">
        <v>472</v>
      </c>
      <c r="AQ298" t="s">
        <v>479</v>
      </c>
      <c r="AR298" t="s">
        <v>1624</v>
      </c>
      <c r="AS298" t="s">
        <v>67</v>
      </c>
      <c r="AT298" t="s">
        <v>159</v>
      </c>
      <c r="AU298" t="str">
        <f t="shared" si="140"/>
        <v>[1]</v>
      </c>
      <c r="AV298">
        <f t="shared" si="141"/>
        <v>48</v>
      </c>
      <c r="AW298" t="str">
        <f t="shared" si="144"/>
        <v/>
      </c>
      <c r="AX298">
        <f>SUMIF(AT298:$AT$651,AW298,AV298:$AV$651)</f>
        <v>0</v>
      </c>
    </row>
    <row r="299" spans="1:50" x14ac:dyDescent="0.25">
      <c r="A299" s="4" t="s">
        <v>0</v>
      </c>
      <c r="B299" t="s">
        <v>449</v>
      </c>
      <c r="C299" t="s">
        <v>1344</v>
      </c>
      <c r="D299" t="s">
        <v>194</v>
      </c>
      <c r="E299" t="s">
        <v>348</v>
      </c>
      <c r="F299" t="str">
        <f t="shared" si="136"/>
        <v>[6]</v>
      </c>
      <c r="G299">
        <f t="shared" ref="G299:G306" si="145">HEX2DEC(MID(D299,3,LEN(D299)-2))</f>
        <v>540</v>
      </c>
      <c r="H299" t="str">
        <f t="shared" si="138"/>
        <v>xfexp.o</v>
      </c>
      <c r="I299">
        <f>SUMIF(E299:$E$306,H299,G299:$G$306)</f>
        <v>540</v>
      </c>
      <c r="K299" s="4" t="s">
        <v>421</v>
      </c>
      <c r="L299" t="s">
        <v>422</v>
      </c>
      <c r="M299" t="s">
        <v>1861</v>
      </c>
      <c r="N299" t="s">
        <v>119</v>
      </c>
      <c r="O299" t="s">
        <v>131</v>
      </c>
      <c r="P299" t="str">
        <f t="shared" si="134"/>
        <v>[1]</v>
      </c>
      <c r="Q299">
        <f t="shared" si="135"/>
        <v>32</v>
      </c>
      <c r="R299" t="str">
        <f t="shared" si="143"/>
        <v/>
      </c>
      <c r="S299">
        <f>SUMIF(O299:$O$2855,R299,Q299:$Q$2855)</f>
        <v>0</v>
      </c>
      <c r="AP299" s="4" t="s">
        <v>472</v>
      </c>
      <c r="AQ299" t="s">
        <v>479</v>
      </c>
      <c r="AR299" t="s">
        <v>1625</v>
      </c>
      <c r="AS299" t="s">
        <v>6</v>
      </c>
      <c r="AT299" t="s">
        <v>159</v>
      </c>
      <c r="AU299" t="str">
        <f t="shared" si="140"/>
        <v>[1]</v>
      </c>
      <c r="AV299">
        <f t="shared" si="141"/>
        <v>28</v>
      </c>
      <c r="AW299" t="str">
        <f t="shared" si="144"/>
        <v/>
      </c>
      <c r="AX299">
        <f>SUMIF(AT299:$AT$651,AW299,AV299:$AV$651)</f>
        <v>0</v>
      </c>
    </row>
    <row r="300" spans="1:50" x14ac:dyDescent="0.25">
      <c r="A300" s="4" t="s">
        <v>0</v>
      </c>
      <c r="B300" t="s">
        <v>449</v>
      </c>
      <c r="C300" t="s">
        <v>1343</v>
      </c>
      <c r="D300" t="s">
        <v>225</v>
      </c>
      <c r="E300" t="s">
        <v>347</v>
      </c>
      <c r="F300" t="str">
        <f t="shared" si="136"/>
        <v>[6]</v>
      </c>
      <c r="G300">
        <f t="shared" si="145"/>
        <v>388</v>
      </c>
      <c r="H300" t="str">
        <f t="shared" si="138"/>
        <v>xflog.o</v>
      </c>
      <c r="I300">
        <f>SUMIF(E300:$E$306,H300,G300:$G$306)</f>
        <v>388</v>
      </c>
      <c r="K300" s="4" t="s">
        <v>421</v>
      </c>
      <c r="L300" t="s">
        <v>422</v>
      </c>
      <c r="M300" t="s">
        <v>1862</v>
      </c>
      <c r="N300" t="s">
        <v>13</v>
      </c>
      <c r="O300" t="s">
        <v>131</v>
      </c>
      <c r="P300" t="str">
        <f t="shared" si="134"/>
        <v>[1]</v>
      </c>
      <c r="Q300">
        <f t="shared" si="135"/>
        <v>12</v>
      </c>
      <c r="R300" t="str">
        <f t="shared" si="143"/>
        <v/>
      </c>
      <c r="S300">
        <f>SUMIF(O300:$O$2855,R300,Q300:$Q$2855)</f>
        <v>0</v>
      </c>
      <c r="AP300" s="4" t="s">
        <v>472</v>
      </c>
      <c r="AQ300" t="s">
        <v>479</v>
      </c>
      <c r="AR300" t="s">
        <v>1626</v>
      </c>
      <c r="AS300" t="s">
        <v>78</v>
      </c>
      <c r="AT300" t="s">
        <v>159</v>
      </c>
      <c r="AU300" t="str">
        <f t="shared" si="140"/>
        <v>[1]</v>
      </c>
      <c r="AV300">
        <f t="shared" si="141"/>
        <v>4</v>
      </c>
      <c r="AW300" t="str">
        <f t="shared" si="144"/>
        <v/>
      </c>
      <c r="AX300">
        <f>SUMIF(AT300:$AT$651,AW300,AV300:$AV$651)</f>
        <v>0</v>
      </c>
    </row>
    <row r="301" spans="1:50" x14ac:dyDescent="0.25">
      <c r="A301" s="4" t="s">
        <v>0</v>
      </c>
      <c r="B301" t="s">
        <v>449</v>
      </c>
      <c r="C301" t="s">
        <v>1338</v>
      </c>
      <c r="D301" t="s">
        <v>1192</v>
      </c>
      <c r="E301" t="s">
        <v>1227</v>
      </c>
      <c r="F301" t="str">
        <f t="shared" si="136"/>
        <v>[6]</v>
      </c>
      <c r="G301">
        <f t="shared" si="145"/>
        <v>236</v>
      </c>
      <c r="H301" t="str">
        <f t="shared" si="138"/>
        <v>xfquad.o</v>
      </c>
      <c r="I301">
        <f>SUMIF(E301:$E$306,H301,G301:$G$306)</f>
        <v>236</v>
      </c>
      <c r="K301" s="4" t="s">
        <v>421</v>
      </c>
      <c r="L301" t="s">
        <v>422</v>
      </c>
      <c r="M301" t="s">
        <v>3074</v>
      </c>
      <c r="N301" t="s">
        <v>165</v>
      </c>
      <c r="O301" t="s">
        <v>131</v>
      </c>
      <c r="P301" t="str">
        <f t="shared" si="134"/>
        <v>[1]</v>
      </c>
      <c r="Q301">
        <f t="shared" si="135"/>
        <v>20</v>
      </c>
      <c r="R301" t="str">
        <f t="shared" si="143"/>
        <v/>
      </c>
      <c r="S301">
        <f>SUMIF(O301:$O$2855,R301,Q301:$Q$2855)</f>
        <v>0</v>
      </c>
      <c r="AP301" s="4" t="s">
        <v>472</v>
      </c>
      <c r="AQ301" t="s">
        <v>479</v>
      </c>
      <c r="AR301" t="s">
        <v>1258</v>
      </c>
      <c r="AS301" t="s">
        <v>78</v>
      </c>
      <c r="AT301" t="s">
        <v>159</v>
      </c>
      <c r="AU301" t="str">
        <f t="shared" si="140"/>
        <v>[1]</v>
      </c>
      <c r="AV301">
        <f t="shared" si="141"/>
        <v>4</v>
      </c>
      <c r="AW301" t="str">
        <f t="shared" si="144"/>
        <v/>
      </c>
      <c r="AX301">
        <f>SUMIF(AT301:$AT$651,AW301,AV301:$AV$651)</f>
        <v>0</v>
      </c>
    </row>
    <row r="302" spans="1:50" x14ac:dyDescent="0.25">
      <c r="A302" s="4" t="s">
        <v>0</v>
      </c>
      <c r="B302" t="s">
        <v>449</v>
      </c>
      <c r="C302" t="s">
        <v>1337</v>
      </c>
      <c r="D302" t="s">
        <v>482</v>
      </c>
      <c r="E302" t="s">
        <v>1226</v>
      </c>
      <c r="F302" t="str">
        <f t="shared" si="136"/>
        <v>[6]</v>
      </c>
      <c r="G302">
        <f t="shared" si="145"/>
        <v>364</v>
      </c>
      <c r="H302" t="str">
        <f t="shared" si="138"/>
        <v>xfsin.o</v>
      </c>
      <c r="I302">
        <f>SUMIF(E302:$E$306,H302,G302:$G$306)</f>
        <v>364</v>
      </c>
      <c r="K302" s="4" t="s">
        <v>421</v>
      </c>
      <c r="L302" t="s">
        <v>422</v>
      </c>
      <c r="M302" t="s">
        <v>3075</v>
      </c>
      <c r="N302" t="s">
        <v>126</v>
      </c>
      <c r="O302" t="s">
        <v>131</v>
      </c>
      <c r="P302" t="str">
        <f t="shared" si="134"/>
        <v>[1]</v>
      </c>
      <c r="Q302">
        <f t="shared" si="135"/>
        <v>8</v>
      </c>
      <c r="R302" t="str">
        <f t="shared" si="143"/>
        <v/>
      </c>
      <c r="S302">
        <f>SUMIF(O302:$O$2855,R302,Q302:$Q$2855)</f>
        <v>0</v>
      </c>
      <c r="AP302" s="4" t="s">
        <v>472</v>
      </c>
      <c r="AQ302" t="s">
        <v>479</v>
      </c>
      <c r="AR302" t="s">
        <v>1627</v>
      </c>
      <c r="AS302" t="s">
        <v>76</v>
      </c>
      <c r="AT302" t="s">
        <v>159</v>
      </c>
      <c r="AU302" t="str">
        <f t="shared" si="140"/>
        <v>[1]</v>
      </c>
      <c r="AV302">
        <f t="shared" si="141"/>
        <v>36</v>
      </c>
      <c r="AW302" t="str">
        <f t="shared" si="144"/>
        <v/>
      </c>
      <c r="AX302">
        <f>SUMIF(AT302:$AT$651,AW302,AV302:$AV$651)</f>
        <v>0</v>
      </c>
    </row>
    <row r="303" spans="1:50" x14ac:dyDescent="0.25">
      <c r="A303" s="4" t="s">
        <v>0</v>
      </c>
      <c r="B303" t="s">
        <v>449</v>
      </c>
      <c r="C303" t="s">
        <v>1327</v>
      </c>
      <c r="D303" t="s">
        <v>1296</v>
      </c>
      <c r="E303" t="s">
        <v>186</v>
      </c>
      <c r="F303" t="str">
        <f t="shared" si="136"/>
        <v>[6]</v>
      </c>
      <c r="G303">
        <f t="shared" si="145"/>
        <v>864</v>
      </c>
      <c r="H303" t="str">
        <f t="shared" si="138"/>
        <v>xlog.o</v>
      </c>
      <c r="I303">
        <f>SUMIF(E303:$E$306,H303,G303:$G$306)</f>
        <v>864</v>
      </c>
      <c r="K303" s="4" t="s">
        <v>421</v>
      </c>
      <c r="L303" t="s">
        <v>422</v>
      </c>
      <c r="M303" t="s">
        <v>3076</v>
      </c>
      <c r="N303" t="s">
        <v>141</v>
      </c>
      <c r="O303" t="s">
        <v>131</v>
      </c>
      <c r="P303" t="str">
        <f t="shared" si="134"/>
        <v>[1]</v>
      </c>
      <c r="Q303">
        <f t="shared" si="135"/>
        <v>104</v>
      </c>
      <c r="R303" t="str">
        <f t="shared" si="143"/>
        <v/>
      </c>
      <c r="S303">
        <f>SUMIF(O303:$O$2855,R303,Q303:$Q$2855)</f>
        <v>0</v>
      </c>
      <c r="AP303" s="4" t="s">
        <v>472</v>
      </c>
      <c r="AQ303" t="s">
        <v>479</v>
      </c>
      <c r="AR303" t="s">
        <v>1628</v>
      </c>
      <c r="AS303" t="s">
        <v>13</v>
      </c>
      <c r="AT303" t="s">
        <v>159</v>
      </c>
      <c r="AU303" t="str">
        <f t="shared" si="140"/>
        <v>[1]</v>
      </c>
      <c r="AV303">
        <f t="shared" si="141"/>
        <v>12</v>
      </c>
      <c r="AW303" t="str">
        <f t="shared" si="144"/>
        <v/>
      </c>
      <c r="AX303">
        <f>SUMIF(AT303:$AT$651,AW303,AV303:$AV$651)</f>
        <v>0</v>
      </c>
    </row>
    <row r="304" spans="1:50" x14ac:dyDescent="0.25">
      <c r="A304" s="4" t="s">
        <v>0</v>
      </c>
      <c r="B304" t="s">
        <v>449</v>
      </c>
      <c r="C304" t="s">
        <v>1350</v>
      </c>
      <c r="D304" t="s">
        <v>387</v>
      </c>
      <c r="E304" t="s">
        <v>1099</v>
      </c>
      <c r="F304" t="str">
        <f t="shared" si="136"/>
        <v>[6]</v>
      </c>
      <c r="G304">
        <f t="shared" si="145"/>
        <v>360</v>
      </c>
      <c r="H304" t="str">
        <f t="shared" si="138"/>
        <v>xstod.o</v>
      </c>
      <c r="I304">
        <f>SUMIF(E304:$E$306,H304,G304:$G$306)</f>
        <v>360</v>
      </c>
      <c r="K304" s="4" t="s">
        <v>421</v>
      </c>
      <c r="L304" t="s">
        <v>422</v>
      </c>
      <c r="M304" t="s">
        <v>3077</v>
      </c>
      <c r="N304" t="s">
        <v>126</v>
      </c>
      <c r="O304" t="s">
        <v>131</v>
      </c>
      <c r="P304" t="str">
        <f t="shared" si="134"/>
        <v>[1]</v>
      </c>
      <c r="Q304">
        <f t="shared" si="135"/>
        <v>8</v>
      </c>
      <c r="R304" t="str">
        <f t="shared" si="143"/>
        <v/>
      </c>
      <c r="S304">
        <f>SUMIF(O304:$O$2855,R304,Q304:$Q$2855)</f>
        <v>0</v>
      </c>
      <c r="AP304" s="4" t="s">
        <v>472</v>
      </c>
      <c r="AQ304" t="s">
        <v>479</v>
      </c>
      <c r="AR304" t="s">
        <v>1629</v>
      </c>
      <c r="AS304" t="s">
        <v>147</v>
      </c>
      <c r="AT304" t="s">
        <v>159</v>
      </c>
      <c r="AU304" t="str">
        <f t="shared" si="140"/>
        <v>[1]</v>
      </c>
      <c r="AV304">
        <f t="shared" si="141"/>
        <v>72</v>
      </c>
      <c r="AW304" t="str">
        <f t="shared" si="144"/>
        <v/>
      </c>
      <c r="AX304">
        <f>SUMIF(AT304:$AT$651,AW304,AV304:$AV$651)</f>
        <v>0</v>
      </c>
    </row>
    <row r="305" spans="1:50" x14ac:dyDescent="0.25">
      <c r="A305" s="4" t="s">
        <v>0</v>
      </c>
      <c r="B305" t="s">
        <v>449</v>
      </c>
      <c r="C305" t="s">
        <v>1351</v>
      </c>
      <c r="D305" t="s">
        <v>387</v>
      </c>
      <c r="E305" t="s">
        <v>388</v>
      </c>
      <c r="F305" t="str">
        <f t="shared" si="136"/>
        <v>[6]</v>
      </c>
      <c r="G305">
        <f t="shared" si="145"/>
        <v>360</v>
      </c>
      <c r="H305" t="str">
        <f t="shared" si="138"/>
        <v>xstold.o</v>
      </c>
      <c r="I305">
        <f>SUMIF(E305:$E$306,H305,G305:$G$306)</f>
        <v>360</v>
      </c>
      <c r="K305" s="4" t="s">
        <v>421</v>
      </c>
      <c r="L305" t="s">
        <v>422</v>
      </c>
      <c r="M305" t="s">
        <v>3078</v>
      </c>
      <c r="N305" t="s">
        <v>65</v>
      </c>
      <c r="O305" t="s">
        <v>131</v>
      </c>
      <c r="P305" t="str">
        <f t="shared" si="134"/>
        <v>[1]</v>
      </c>
      <c r="Q305">
        <f t="shared" si="135"/>
        <v>40</v>
      </c>
      <c r="R305" t="str">
        <f t="shared" si="143"/>
        <v/>
      </c>
      <c r="S305">
        <f>SUMIF(O305:$O$2855,R305,Q305:$Q$2855)</f>
        <v>0</v>
      </c>
      <c r="AP305" s="4" t="s">
        <v>472</v>
      </c>
      <c r="AQ305" t="s">
        <v>479</v>
      </c>
      <c r="AR305" t="s">
        <v>1630</v>
      </c>
      <c r="AS305" t="s">
        <v>147</v>
      </c>
      <c r="AT305" t="s">
        <v>159</v>
      </c>
      <c r="AU305" t="str">
        <f t="shared" si="140"/>
        <v>[1]</v>
      </c>
      <c r="AV305">
        <f t="shared" si="141"/>
        <v>72</v>
      </c>
      <c r="AW305" t="str">
        <f t="shared" si="144"/>
        <v/>
      </c>
      <c r="AX305">
        <f>SUMIF(AT305:$AT$651,AW305,AV305:$AV$651)</f>
        <v>0</v>
      </c>
    </row>
    <row r="306" spans="1:50" x14ac:dyDescent="0.25">
      <c r="A306" s="4" t="s">
        <v>0</v>
      </c>
      <c r="B306" t="s">
        <v>449</v>
      </c>
      <c r="C306" t="s">
        <v>443</v>
      </c>
      <c r="D306" t="s">
        <v>443</v>
      </c>
      <c r="E306" t="s">
        <v>612</v>
      </c>
      <c r="F306" t="str">
        <f t="shared" si="136"/>
        <v>[6]</v>
      </c>
      <c r="G306">
        <f t="shared" si="145"/>
        <v>0</v>
      </c>
      <c r="H306" t="str">
        <f t="shared" si="138"/>
        <v>placeholder</v>
      </c>
      <c r="I306">
        <f>SUMIF(E306:$E$306,H306,G306:$G$306)</f>
        <v>0</v>
      </c>
      <c r="K306" s="4" t="s">
        <v>421</v>
      </c>
      <c r="L306" t="s">
        <v>422</v>
      </c>
      <c r="M306" t="s">
        <v>3079</v>
      </c>
      <c r="N306" t="s">
        <v>13</v>
      </c>
      <c r="O306" t="s">
        <v>131</v>
      </c>
      <c r="P306" t="str">
        <f t="shared" si="134"/>
        <v>[1]</v>
      </c>
      <c r="Q306">
        <f t="shared" si="135"/>
        <v>12</v>
      </c>
      <c r="R306" t="str">
        <f t="shared" si="143"/>
        <v/>
      </c>
      <c r="S306">
        <f>SUMIF(O306:$O$2855,R306,Q306:$Q$2855)</f>
        <v>0</v>
      </c>
      <c r="AP306" s="4" t="s">
        <v>472</v>
      </c>
      <c r="AQ306" t="s">
        <v>479</v>
      </c>
      <c r="AR306" t="s">
        <v>1631</v>
      </c>
      <c r="AS306" t="s">
        <v>13</v>
      </c>
      <c r="AT306" t="s">
        <v>159</v>
      </c>
      <c r="AU306" t="str">
        <f t="shared" si="140"/>
        <v>[1]</v>
      </c>
      <c r="AV306">
        <f t="shared" si="141"/>
        <v>12</v>
      </c>
      <c r="AW306" t="str">
        <f t="shared" si="144"/>
        <v/>
      </c>
      <c r="AX306">
        <f>SUMIF(AT306:$AT$651,AW306,AV306:$AV$651)</f>
        <v>0</v>
      </c>
    </row>
    <row r="307" spans="1:50" x14ac:dyDescent="0.25">
      <c r="G307">
        <f>SUM(G264:G306)</f>
        <v>11298</v>
      </c>
      <c r="H307" t="s">
        <v>674</v>
      </c>
      <c r="I307">
        <f>SUM(I264:I306)</f>
        <v>11298</v>
      </c>
      <c r="K307" s="4" t="s">
        <v>421</v>
      </c>
      <c r="L307" t="s">
        <v>422</v>
      </c>
      <c r="M307" t="s">
        <v>3080</v>
      </c>
      <c r="N307" t="s">
        <v>267</v>
      </c>
      <c r="O307" t="s">
        <v>131</v>
      </c>
      <c r="P307" t="str">
        <f t="shared" si="134"/>
        <v>[1]</v>
      </c>
      <c r="Q307">
        <f t="shared" si="135"/>
        <v>116</v>
      </c>
      <c r="R307" t="str">
        <f t="shared" si="143"/>
        <v/>
      </c>
      <c r="S307">
        <f>SUMIF(O307:$O$2855,R307,Q307:$Q$2855)</f>
        <v>0</v>
      </c>
      <c r="AP307" s="4" t="s">
        <v>472</v>
      </c>
      <c r="AQ307" t="s">
        <v>479</v>
      </c>
      <c r="AR307" t="s">
        <v>1632</v>
      </c>
      <c r="AS307" t="s">
        <v>261</v>
      </c>
      <c r="AT307" t="s">
        <v>159</v>
      </c>
      <c r="AU307" t="str">
        <f t="shared" si="140"/>
        <v>[1]</v>
      </c>
      <c r="AV307">
        <f t="shared" si="141"/>
        <v>228</v>
      </c>
      <c r="AW307" t="str">
        <f t="shared" si="144"/>
        <v/>
      </c>
      <c r="AX307">
        <f>SUMIF(AT307:$AT$651,AW307,AV307:$AV$651)</f>
        <v>0</v>
      </c>
    </row>
    <row r="308" spans="1:50" x14ac:dyDescent="0.25">
      <c r="K308" s="4" t="s">
        <v>421</v>
      </c>
      <c r="L308" t="s">
        <v>422</v>
      </c>
      <c r="M308" t="s">
        <v>3081</v>
      </c>
      <c r="N308" t="s">
        <v>126</v>
      </c>
      <c r="O308" t="s">
        <v>131</v>
      </c>
      <c r="P308" t="str">
        <f t="shared" si="134"/>
        <v>[1]</v>
      </c>
      <c r="Q308">
        <f t="shared" si="135"/>
        <v>8</v>
      </c>
      <c r="R308" t="str">
        <f t="shared" si="143"/>
        <v/>
      </c>
      <c r="S308">
        <f>SUMIF(O308:$O$2855,R308,Q308:$Q$2855)</f>
        <v>0</v>
      </c>
      <c r="AP308" s="4" t="s">
        <v>472</v>
      </c>
      <c r="AQ308" t="s">
        <v>479</v>
      </c>
      <c r="AR308" t="s">
        <v>1633</v>
      </c>
      <c r="AS308" t="s">
        <v>165</v>
      </c>
      <c r="AT308" t="s">
        <v>159</v>
      </c>
      <c r="AU308" t="str">
        <f t="shared" si="140"/>
        <v>[1]</v>
      </c>
      <c r="AV308">
        <f t="shared" si="141"/>
        <v>20</v>
      </c>
      <c r="AW308" t="str">
        <f t="shared" si="144"/>
        <v/>
      </c>
      <c r="AX308">
        <f>SUMIF(AT308:$AT$651,AW308,AV308:$AV$651)</f>
        <v>0</v>
      </c>
    </row>
    <row r="309" spans="1:50" x14ac:dyDescent="0.25">
      <c r="K309" s="4" t="s">
        <v>421</v>
      </c>
      <c r="L309" t="s">
        <v>422</v>
      </c>
      <c r="M309" t="s">
        <v>3082</v>
      </c>
      <c r="N309" t="s">
        <v>290</v>
      </c>
      <c r="O309" t="s">
        <v>131</v>
      </c>
      <c r="P309" t="str">
        <f t="shared" si="134"/>
        <v>[1]</v>
      </c>
      <c r="Q309">
        <f t="shared" si="135"/>
        <v>244</v>
      </c>
      <c r="R309" t="str">
        <f t="shared" si="143"/>
        <v/>
      </c>
      <c r="S309">
        <f>SUMIF(O309:$O$2855,R309,Q309:$Q$2855)</f>
        <v>0</v>
      </c>
      <c r="AP309" s="4" t="s">
        <v>472</v>
      </c>
      <c r="AQ309" t="s">
        <v>479</v>
      </c>
      <c r="AR309" t="s">
        <v>4464</v>
      </c>
      <c r="AS309" t="s">
        <v>46</v>
      </c>
      <c r="AT309" t="s">
        <v>159</v>
      </c>
      <c r="AU309" t="str">
        <f t="shared" si="140"/>
        <v>[1]</v>
      </c>
      <c r="AV309">
        <f t="shared" si="141"/>
        <v>2</v>
      </c>
      <c r="AW309" t="str">
        <f t="shared" si="144"/>
        <v/>
      </c>
      <c r="AX309">
        <f>SUMIF(AT309:$AT$651,AW309,AV309:$AV$651)</f>
        <v>0</v>
      </c>
    </row>
    <row r="310" spans="1:50" x14ac:dyDescent="0.25">
      <c r="A310" s="50" t="s">
        <v>540</v>
      </c>
      <c r="B310" s="50"/>
      <c r="C310" s="50"/>
      <c r="D310" s="50"/>
      <c r="E310" s="50"/>
      <c r="F310" s="50"/>
      <c r="G310" s="50"/>
      <c r="H310" s="50"/>
      <c r="I310" s="50"/>
      <c r="K310" s="4" t="s">
        <v>421</v>
      </c>
      <c r="L310" t="s">
        <v>422</v>
      </c>
      <c r="M310" t="s">
        <v>3083</v>
      </c>
      <c r="N310" t="s">
        <v>78</v>
      </c>
      <c r="O310" t="s">
        <v>131</v>
      </c>
      <c r="P310" t="str">
        <f t="shared" si="134"/>
        <v>[1]</v>
      </c>
      <c r="Q310">
        <f t="shared" si="135"/>
        <v>4</v>
      </c>
      <c r="R310" t="str">
        <f t="shared" si="143"/>
        <v/>
      </c>
      <c r="S310">
        <f>SUMIF(O310:$O$2855,R310,Q310:$Q$2855)</f>
        <v>0</v>
      </c>
      <c r="AP310" s="4" t="s">
        <v>472</v>
      </c>
      <c r="AQ310" t="s">
        <v>479</v>
      </c>
      <c r="AR310" t="s">
        <v>4477</v>
      </c>
      <c r="AS310" t="s">
        <v>442</v>
      </c>
      <c r="AT310" t="s">
        <v>159</v>
      </c>
      <c r="AU310" t="str">
        <f t="shared" si="140"/>
        <v>[1]</v>
      </c>
      <c r="AV310">
        <f t="shared" si="141"/>
        <v>1</v>
      </c>
      <c r="AW310" t="str">
        <f t="shared" si="144"/>
        <v/>
      </c>
      <c r="AX310">
        <f>SUMIF(AT310:$AT$651,AW310,AV310:$AV$651)</f>
        <v>0</v>
      </c>
    </row>
    <row r="311" spans="1:50" x14ac:dyDescent="0.25">
      <c r="A311" s="4" t="s">
        <v>0</v>
      </c>
      <c r="B311" t="s">
        <v>449</v>
      </c>
      <c r="C311" t="s">
        <v>1386</v>
      </c>
      <c r="D311" t="s">
        <v>4</v>
      </c>
      <c r="E311" t="s">
        <v>5</v>
      </c>
      <c r="F311" t="str">
        <f t="shared" ref="F311:F342" si="146">VLOOKUP($A$310,$E$1:$F$26,2,FALSE)</f>
        <v>[7]</v>
      </c>
      <c r="G311">
        <f>HEX2DEC(MID(D311,3,LEN(D311)-2))</f>
        <v>100</v>
      </c>
      <c r="H311" t="str">
        <f>IF(E311&lt;&gt;E310,E311,"")</f>
        <v>boot.o</v>
      </c>
      <c r="I311">
        <f>SUMIF(E311:$E$379,H311,G311:$G$379)</f>
        <v>100</v>
      </c>
      <c r="K311" s="4" t="s">
        <v>421</v>
      </c>
      <c r="L311" t="s">
        <v>422</v>
      </c>
      <c r="M311" t="s">
        <v>3084</v>
      </c>
      <c r="N311" t="s">
        <v>44</v>
      </c>
      <c r="O311" t="s">
        <v>131</v>
      </c>
      <c r="P311" t="str">
        <f t="shared" si="134"/>
        <v>[1]</v>
      </c>
      <c r="Q311">
        <f t="shared" si="135"/>
        <v>44</v>
      </c>
      <c r="R311" t="str">
        <f t="shared" si="143"/>
        <v/>
      </c>
      <c r="S311">
        <f>SUMIF(O311:$O$2855,R311,Q311:$Q$2855)</f>
        <v>0</v>
      </c>
      <c r="AP311" s="4" t="s">
        <v>472</v>
      </c>
      <c r="AQ311" t="s">
        <v>479</v>
      </c>
      <c r="AR311" t="s">
        <v>4478</v>
      </c>
      <c r="AS311" t="s">
        <v>442</v>
      </c>
      <c r="AT311" t="s">
        <v>159</v>
      </c>
      <c r="AU311" t="str">
        <f t="shared" si="140"/>
        <v>[1]</v>
      </c>
      <c r="AV311">
        <f t="shared" si="141"/>
        <v>1</v>
      </c>
      <c r="AW311" t="str">
        <f t="shared" si="144"/>
        <v/>
      </c>
      <c r="AX311">
        <f>SUMIF(AT311:$AT$651,AW311,AV311:$AV$651)</f>
        <v>0</v>
      </c>
    </row>
    <row r="312" spans="1:50" x14ac:dyDescent="0.25">
      <c r="A312" s="4" t="s">
        <v>0</v>
      </c>
      <c r="B312" t="s">
        <v>449</v>
      </c>
      <c r="C312" t="s">
        <v>1387</v>
      </c>
      <c r="D312" t="s">
        <v>338</v>
      </c>
      <c r="E312" t="s">
        <v>7</v>
      </c>
      <c r="F312" t="str">
        <f t="shared" si="146"/>
        <v>[7]</v>
      </c>
      <c r="G312">
        <f>HEX2DEC(MID(D312,3,LEN(D312)-2))</f>
        <v>22</v>
      </c>
      <c r="H312" t="str">
        <f t="shared" ref="H312:H375" si="147">IF(E312&lt;&gt;E311,E312,"")</f>
        <v>comp.o</v>
      </c>
      <c r="I312">
        <f>SUMIF(E312:$E$379,H312,G312:$G$379)</f>
        <v>22</v>
      </c>
      <c r="K312" s="4" t="s">
        <v>421</v>
      </c>
      <c r="L312" t="s">
        <v>422</v>
      </c>
      <c r="M312" t="s">
        <v>3085</v>
      </c>
      <c r="N312" t="s">
        <v>126</v>
      </c>
      <c r="O312" t="s">
        <v>131</v>
      </c>
      <c r="P312" t="str">
        <f t="shared" si="134"/>
        <v>[1]</v>
      </c>
      <c r="Q312">
        <f t="shared" si="135"/>
        <v>8</v>
      </c>
      <c r="R312" t="str">
        <f t="shared" si="143"/>
        <v/>
      </c>
      <c r="S312">
        <f>SUMIF(O312:$O$2855,R312,Q312:$Q$2855)</f>
        <v>0</v>
      </c>
      <c r="AP312" s="4" t="s">
        <v>472</v>
      </c>
      <c r="AQ312" t="s">
        <v>479</v>
      </c>
      <c r="AR312" t="s">
        <v>1634</v>
      </c>
      <c r="AS312" t="s">
        <v>1123</v>
      </c>
      <c r="AT312" t="s">
        <v>1109</v>
      </c>
      <c r="AU312" t="str">
        <f t="shared" si="140"/>
        <v>[1]</v>
      </c>
      <c r="AV312">
        <f t="shared" si="141"/>
        <v>728</v>
      </c>
      <c r="AW312" t="str">
        <f t="shared" si="144"/>
        <v>preamble_detect.o</v>
      </c>
      <c r="AX312">
        <f>SUMIF(AT312:$AT$651,AW312,AV312:$AV$651)</f>
        <v>760</v>
      </c>
    </row>
    <row r="313" spans="1:50" x14ac:dyDescent="0.25">
      <c r="A313" s="4" t="s">
        <v>0</v>
      </c>
      <c r="B313" t="s">
        <v>449</v>
      </c>
      <c r="C313" t="s">
        <v>1425</v>
      </c>
      <c r="D313" t="s">
        <v>124</v>
      </c>
      <c r="E313" t="s">
        <v>394</v>
      </c>
      <c r="F313" t="str">
        <f t="shared" si="146"/>
        <v>[7]</v>
      </c>
      <c r="G313">
        <f>HEX2DEC(MID(D313,3,LEN(D313)-2))</f>
        <v>68</v>
      </c>
      <c r="H313" t="str">
        <f t="shared" si="147"/>
        <v>idletask.o</v>
      </c>
      <c r="I313">
        <f>SUMIF(E313:$E$379,H313,G313:$G$379)</f>
        <v>68</v>
      </c>
      <c r="K313" s="4" t="s">
        <v>421</v>
      </c>
      <c r="L313" t="s">
        <v>422</v>
      </c>
      <c r="M313" t="s">
        <v>3086</v>
      </c>
      <c r="N313" t="s">
        <v>65</v>
      </c>
      <c r="O313" t="s">
        <v>131</v>
      </c>
      <c r="P313" t="str">
        <f t="shared" si="134"/>
        <v>[1]</v>
      </c>
      <c r="Q313">
        <f t="shared" si="135"/>
        <v>40</v>
      </c>
      <c r="R313" t="str">
        <f t="shared" si="143"/>
        <v/>
      </c>
      <c r="S313">
        <f>SUMIF(O313:$O$2855,R313,Q313:$Q$2855)</f>
        <v>0</v>
      </c>
      <c r="AP313" s="4" t="s">
        <v>472</v>
      </c>
      <c r="AQ313" t="s">
        <v>479</v>
      </c>
      <c r="AR313" t="s">
        <v>1635</v>
      </c>
      <c r="AS313" t="s">
        <v>119</v>
      </c>
      <c r="AT313" t="s">
        <v>1109</v>
      </c>
      <c r="AU313" t="str">
        <f t="shared" si="140"/>
        <v>[1]</v>
      </c>
      <c r="AV313">
        <f t="shared" si="141"/>
        <v>32</v>
      </c>
      <c r="AW313" t="str">
        <f t="shared" si="144"/>
        <v/>
      </c>
      <c r="AX313">
        <f>SUMIF(AT313:$AT$651,AW313,AV313:$AV$651)</f>
        <v>0</v>
      </c>
    </row>
    <row r="314" spans="1:50" x14ac:dyDescent="0.25">
      <c r="A314" s="4" t="s">
        <v>0</v>
      </c>
      <c r="B314" t="s">
        <v>449</v>
      </c>
      <c r="C314" t="s">
        <v>1426</v>
      </c>
      <c r="D314" t="s">
        <v>141</v>
      </c>
      <c r="E314" t="s">
        <v>412</v>
      </c>
      <c r="F314" t="str">
        <f t="shared" si="146"/>
        <v>[7]</v>
      </c>
      <c r="G314">
        <f t="shared" ref="G314:G345" si="148">HEX2DEC(MID(D314,3,LEN(D314)-2))</f>
        <v>104</v>
      </c>
      <c r="H314" t="str">
        <f t="shared" si="147"/>
        <v>inittask.o</v>
      </c>
      <c r="I314">
        <f>SUMIF(E314:$E$379,H314,G314:$G$379)</f>
        <v>104</v>
      </c>
      <c r="K314" s="4" t="s">
        <v>421</v>
      </c>
      <c r="L314" t="s">
        <v>422</v>
      </c>
      <c r="M314" t="s">
        <v>3087</v>
      </c>
      <c r="N314" t="s">
        <v>13</v>
      </c>
      <c r="O314" t="s">
        <v>131</v>
      </c>
      <c r="P314" t="str">
        <f t="shared" si="134"/>
        <v>[1]</v>
      </c>
      <c r="Q314">
        <f t="shared" si="135"/>
        <v>12</v>
      </c>
      <c r="R314" t="str">
        <f t="shared" si="143"/>
        <v/>
      </c>
      <c r="S314">
        <f>SUMIF(O314:$O$2855,R314,Q314:$Q$2855)</f>
        <v>0</v>
      </c>
      <c r="AP314" s="4" t="s">
        <v>472</v>
      </c>
      <c r="AQ314" t="s">
        <v>479</v>
      </c>
      <c r="AR314" t="s">
        <v>1288</v>
      </c>
      <c r="AS314" t="s">
        <v>1223</v>
      </c>
      <c r="AT314" t="s">
        <v>1110</v>
      </c>
      <c r="AU314" t="str">
        <f t="shared" si="140"/>
        <v>[1]</v>
      </c>
      <c r="AV314">
        <f t="shared" si="141"/>
        <v>5600</v>
      </c>
      <c r="AW314" t="str">
        <f t="shared" si="144"/>
        <v>preambleDetector.o</v>
      </c>
      <c r="AX314">
        <f>SUMIF(AT314:$AT$651,AW314,AV314:$AV$651)</f>
        <v>5600</v>
      </c>
    </row>
    <row r="315" spans="1:50" x14ac:dyDescent="0.25">
      <c r="A315" s="4" t="s">
        <v>0</v>
      </c>
      <c r="B315" t="s">
        <v>449</v>
      </c>
      <c r="C315" t="s">
        <v>1389</v>
      </c>
      <c r="D315" t="s">
        <v>19</v>
      </c>
      <c r="E315" t="s">
        <v>20</v>
      </c>
      <c r="F315" t="str">
        <f t="shared" si="146"/>
        <v>[7]</v>
      </c>
      <c r="G315">
        <f t="shared" si="148"/>
        <v>788</v>
      </c>
      <c r="H315" t="str">
        <f t="shared" si="147"/>
        <v>int.o</v>
      </c>
      <c r="I315">
        <f>SUMIF(E315:$E$379,H315,G315:$G$379)</f>
        <v>788</v>
      </c>
      <c r="K315" s="4" t="s">
        <v>421</v>
      </c>
      <c r="L315" t="s">
        <v>422</v>
      </c>
      <c r="M315" t="s">
        <v>3088</v>
      </c>
      <c r="N315" t="s">
        <v>124</v>
      </c>
      <c r="O315" t="s">
        <v>131</v>
      </c>
      <c r="P315" t="str">
        <f t="shared" si="134"/>
        <v>[1]</v>
      </c>
      <c r="Q315">
        <f t="shared" si="135"/>
        <v>68</v>
      </c>
      <c r="R315" t="str">
        <f t="shared" si="143"/>
        <v/>
      </c>
      <c r="S315">
        <f>SUMIF(O315:$O$2855,R315,Q315:$Q$2855)</f>
        <v>0</v>
      </c>
      <c r="AP315" s="4" t="s">
        <v>472</v>
      </c>
      <c r="AQ315" t="s">
        <v>479</v>
      </c>
      <c r="AR315" t="s">
        <v>1636</v>
      </c>
      <c r="AS315" t="s">
        <v>78</v>
      </c>
      <c r="AT315" t="s">
        <v>1230</v>
      </c>
      <c r="AU315" t="str">
        <f t="shared" si="140"/>
        <v>[1]</v>
      </c>
      <c r="AV315">
        <f t="shared" si="141"/>
        <v>4</v>
      </c>
      <c r="AW315" t="str">
        <f t="shared" si="144"/>
        <v>preambleDetector_data.o</v>
      </c>
      <c r="AX315">
        <f>SUMIF(AT315:$AT$651,AW315,AV315:$AV$651)</f>
        <v>892</v>
      </c>
    </row>
    <row r="316" spans="1:50" x14ac:dyDescent="0.25">
      <c r="A316" s="4" t="s">
        <v>0</v>
      </c>
      <c r="B316" t="s">
        <v>449</v>
      </c>
      <c r="C316" t="s">
        <v>1278</v>
      </c>
      <c r="D316" t="s">
        <v>202</v>
      </c>
      <c r="E316" t="s">
        <v>350</v>
      </c>
      <c r="F316" t="str">
        <f t="shared" si="146"/>
        <v>[7]</v>
      </c>
      <c r="G316">
        <f t="shared" si="148"/>
        <v>16</v>
      </c>
      <c r="H316" t="str">
        <f t="shared" si="147"/>
        <v>int_inst.o</v>
      </c>
      <c r="I316">
        <f>SUMIF(E316:$E$379,H316,G316:$G$379)</f>
        <v>16</v>
      </c>
      <c r="K316" s="4" t="s">
        <v>421</v>
      </c>
      <c r="L316" t="s">
        <v>422</v>
      </c>
      <c r="M316" t="s">
        <v>3089</v>
      </c>
      <c r="N316" t="s">
        <v>202</v>
      </c>
      <c r="O316" t="s">
        <v>131</v>
      </c>
      <c r="P316" t="str">
        <f t="shared" si="134"/>
        <v>[1]</v>
      </c>
      <c r="Q316">
        <f t="shared" si="135"/>
        <v>16</v>
      </c>
      <c r="R316" t="str">
        <f t="shared" si="143"/>
        <v/>
      </c>
      <c r="S316">
        <f>SUMIF(O316:$O$2855,R316,Q316:$Q$2855)</f>
        <v>0</v>
      </c>
      <c r="AP316" s="4" t="s">
        <v>472</v>
      </c>
      <c r="AQ316" t="s">
        <v>479</v>
      </c>
      <c r="AR316" t="s">
        <v>1637</v>
      </c>
      <c r="AS316" t="s">
        <v>78</v>
      </c>
      <c r="AT316" t="s">
        <v>1230</v>
      </c>
      <c r="AU316" t="str">
        <f t="shared" si="140"/>
        <v>[1]</v>
      </c>
      <c r="AV316">
        <f t="shared" si="141"/>
        <v>4</v>
      </c>
      <c r="AW316" t="str">
        <f t="shared" si="144"/>
        <v/>
      </c>
      <c r="AX316">
        <f>SUMIF(AT316:$AT$651,AW316,AV316:$AV$651)</f>
        <v>0</v>
      </c>
    </row>
    <row r="317" spans="1:50" x14ac:dyDescent="0.25">
      <c r="A317" s="4" t="s">
        <v>0</v>
      </c>
      <c r="B317" t="s">
        <v>449</v>
      </c>
      <c r="C317" t="s">
        <v>1277</v>
      </c>
      <c r="D317" t="s">
        <v>202</v>
      </c>
      <c r="E317" t="s">
        <v>266</v>
      </c>
      <c r="F317" t="str">
        <f t="shared" si="146"/>
        <v>[7]</v>
      </c>
      <c r="G317">
        <f t="shared" si="148"/>
        <v>16</v>
      </c>
      <c r="H317" t="str">
        <f t="shared" si="147"/>
        <v>int_vtab.o</v>
      </c>
      <c r="I317">
        <f>SUMIF(E317:$E$379,H317,G317:$G$379)</f>
        <v>16</v>
      </c>
      <c r="K317" s="4" t="s">
        <v>421</v>
      </c>
      <c r="L317" t="s">
        <v>422</v>
      </c>
      <c r="M317" t="s">
        <v>1675</v>
      </c>
      <c r="N317" t="s">
        <v>165</v>
      </c>
      <c r="O317" t="s">
        <v>131</v>
      </c>
      <c r="P317" t="str">
        <f t="shared" si="134"/>
        <v>[1]</v>
      </c>
      <c r="Q317">
        <f t="shared" si="135"/>
        <v>20</v>
      </c>
      <c r="R317" t="str">
        <f t="shared" si="143"/>
        <v/>
      </c>
      <c r="S317">
        <f>SUMIF(O317:$O$2855,R317,Q317:$Q$2855)</f>
        <v>0</v>
      </c>
      <c r="AP317" s="4" t="s">
        <v>472</v>
      </c>
      <c r="AQ317" t="s">
        <v>479</v>
      </c>
      <c r="AR317" t="s">
        <v>1638</v>
      </c>
      <c r="AS317" t="s">
        <v>78</v>
      </c>
      <c r="AT317" t="s">
        <v>1230</v>
      </c>
      <c r="AU317" t="str">
        <f t="shared" si="140"/>
        <v>[1]</v>
      </c>
      <c r="AV317">
        <f t="shared" si="141"/>
        <v>4</v>
      </c>
      <c r="AW317" t="str">
        <f t="shared" si="144"/>
        <v/>
      </c>
      <c r="AX317">
        <f>SUMIF(AT317:$AT$651,AW317,AV317:$AV$651)</f>
        <v>0</v>
      </c>
    </row>
    <row r="318" spans="1:50" x14ac:dyDescent="0.25">
      <c r="A318" s="4" t="s">
        <v>0</v>
      </c>
      <c r="B318" t="s">
        <v>449</v>
      </c>
      <c r="C318" t="s">
        <v>1427</v>
      </c>
      <c r="D318" t="s">
        <v>413</v>
      </c>
      <c r="E318" t="s">
        <v>414</v>
      </c>
      <c r="F318" t="str">
        <f t="shared" si="146"/>
        <v>[7]</v>
      </c>
      <c r="G318">
        <f t="shared" si="148"/>
        <v>136</v>
      </c>
      <c r="H318" t="str">
        <f t="shared" si="147"/>
        <v>int_xcpt.o</v>
      </c>
      <c r="I318">
        <f>SUMIF(E318:$E$379,H318,G318:$G$379)</f>
        <v>136</v>
      </c>
      <c r="K318" s="4" t="s">
        <v>421</v>
      </c>
      <c r="L318" t="s">
        <v>422</v>
      </c>
      <c r="M318" t="s">
        <v>1758</v>
      </c>
      <c r="N318" t="s">
        <v>13</v>
      </c>
      <c r="O318" t="s">
        <v>131</v>
      </c>
      <c r="P318" t="str">
        <f t="shared" si="134"/>
        <v>[1]</v>
      </c>
      <c r="Q318">
        <f t="shared" si="135"/>
        <v>12</v>
      </c>
      <c r="R318" t="str">
        <f t="shared" si="143"/>
        <v/>
      </c>
      <c r="S318">
        <f>SUMIF(O318:$O$2855,R318,Q318:$Q$2855)</f>
        <v>0</v>
      </c>
      <c r="AP318" s="4" t="s">
        <v>472</v>
      </c>
      <c r="AQ318" t="s">
        <v>479</v>
      </c>
      <c r="AR318" t="s">
        <v>1639</v>
      </c>
      <c r="AS318" t="s">
        <v>78</v>
      </c>
      <c r="AT318" t="s">
        <v>1230</v>
      </c>
      <c r="AU318" t="str">
        <f t="shared" si="140"/>
        <v>[1]</v>
      </c>
      <c r="AV318">
        <f t="shared" si="141"/>
        <v>4</v>
      </c>
      <c r="AW318" t="str">
        <f t="shared" si="144"/>
        <v/>
      </c>
      <c r="AX318">
        <f>SUMIF(AT318:$AT$651,AW318,AV318:$AV$651)</f>
        <v>0</v>
      </c>
    </row>
    <row r="319" spans="1:50" x14ac:dyDescent="0.25">
      <c r="A319" s="4" t="s">
        <v>0</v>
      </c>
      <c r="B319" t="s">
        <v>449</v>
      </c>
      <c r="C319" t="s">
        <v>1414</v>
      </c>
      <c r="D319" t="s">
        <v>101</v>
      </c>
      <c r="E319" t="s">
        <v>102</v>
      </c>
      <c r="F319" t="str">
        <f t="shared" si="146"/>
        <v>[7]</v>
      </c>
      <c r="G319">
        <f t="shared" si="148"/>
        <v>2384</v>
      </c>
      <c r="H319" t="str">
        <f t="shared" si="147"/>
        <v>io_dopr.o</v>
      </c>
      <c r="I319">
        <f>SUMIF(E319:$E$379,H319,G319:$G$379)</f>
        <v>2384</v>
      </c>
      <c r="K319" s="4" t="s">
        <v>421</v>
      </c>
      <c r="L319" t="s">
        <v>422</v>
      </c>
      <c r="M319" t="s">
        <v>1863</v>
      </c>
      <c r="N319" t="s">
        <v>165</v>
      </c>
      <c r="O319" t="s">
        <v>131</v>
      </c>
      <c r="P319" t="str">
        <f t="shared" si="134"/>
        <v>[1]</v>
      </c>
      <c r="Q319">
        <f t="shared" si="135"/>
        <v>20</v>
      </c>
      <c r="R319" t="str">
        <f t="shared" si="143"/>
        <v/>
      </c>
      <c r="S319">
        <f>SUMIF(O319:$O$2855,R319,Q319:$Q$2855)</f>
        <v>0</v>
      </c>
      <c r="AP319" s="4" t="s">
        <v>472</v>
      </c>
      <c r="AQ319" t="s">
        <v>479</v>
      </c>
      <c r="AR319" t="s">
        <v>1640</v>
      </c>
      <c r="AS319" t="s">
        <v>78</v>
      </c>
      <c r="AT319" t="s">
        <v>1230</v>
      </c>
      <c r="AU319" t="str">
        <f t="shared" si="140"/>
        <v>[1]</v>
      </c>
      <c r="AV319">
        <f t="shared" si="141"/>
        <v>4</v>
      </c>
      <c r="AW319" t="str">
        <f t="shared" si="144"/>
        <v/>
      </c>
      <c r="AX319">
        <f>SUMIF(AT319:$AT$651,AW319,AV319:$AV$651)</f>
        <v>0</v>
      </c>
    </row>
    <row r="320" spans="1:50" x14ac:dyDescent="0.25">
      <c r="A320" s="4" t="s">
        <v>0</v>
      </c>
      <c r="B320" t="s">
        <v>449</v>
      </c>
      <c r="C320" t="s">
        <v>1801</v>
      </c>
      <c r="D320" t="s">
        <v>48</v>
      </c>
      <c r="E320" t="s">
        <v>305</v>
      </c>
      <c r="F320" t="str">
        <f t="shared" si="146"/>
        <v>[7]</v>
      </c>
      <c r="G320">
        <f t="shared" si="148"/>
        <v>42</v>
      </c>
      <c r="H320" t="str">
        <f t="shared" si="147"/>
        <v>io_fclos.o</v>
      </c>
      <c r="I320">
        <f>SUMIF(E320:$E$379,H320,G320:$G$379)</f>
        <v>42</v>
      </c>
      <c r="K320" s="4" t="s">
        <v>421</v>
      </c>
      <c r="L320" t="s">
        <v>422</v>
      </c>
      <c r="M320" t="s">
        <v>1864</v>
      </c>
      <c r="N320" t="s">
        <v>13</v>
      </c>
      <c r="O320" t="s">
        <v>131</v>
      </c>
      <c r="P320" t="str">
        <f t="shared" si="134"/>
        <v>[1]</v>
      </c>
      <c r="Q320">
        <f t="shared" si="135"/>
        <v>12</v>
      </c>
      <c r="R320" t="str">
        <f t="shared" si="143"/>
        <v/>
      </c>
      <c r="S320">
        <f>SUMIF(O320:$O$2855,R320,Q320:$Q$2855)</f>
        <v>0</v>
      </c>
      <c r="AP320" s="4" t="s">
        <v>472</v>
      </c>
      <c r="AQ320" t="s">
        <v>479</v>
      </c>
      <c r="AR320" t="s">
        <v>1641</v>
      </c>
      <c r="AS320" t="s">
        <v>1224</v>
      </c>
      <c r="AT320" t="s">
        <v>1230</v>
      </c>
      <c r="AU320" t="str">
        <f t="shared" si="140"/>
        <v>[1]</v>
      </c>
      <c r="AV320">
        <f t="shared" si="141"/>
        <v>800</v>
      </c>
      <c r="AW320" t="str">
        <f t="shared" si="144"/>
        <v/>
      </c>
      <c r="AX320">
        <f>SUMIF(AT320:$AT$651,AW320,AV320:$AV$651)</f>
        <v>0</v>
      </c>
    </row>
    <row r="321" spans="1:50" x14ac:dyDescent="0.25">
      <c r="A321" s="4" t="s">
        <v>0</v>
      </c>
      <c r="B321" t="s">
        <v>449</v>
      </c>
      <c r="C321" t="s">
        <v>1802</v>
      </c>
      <c r="D321" t="s">
        <v>190</v>
      </c>
      <c r="E321" t="s">
        <v>191</v>
      </c>
      <c r="F321" t="str">
        <f t="shared" si="146"/>
        <v>[7]</v>
      </c>
      <c r="G321">
        <f t="shared" si="148"/>
        <v>56</v>
      </c>
      <c r="H321" t="str">
        <f t="shared" si="147"/>
        <v>io_fflsh.o</v>
      </c>
      <c r="I321">
        <f>SUMIF(E321:$E$379,H321,G321:$G$379)</f>
        <v>56</v>
      </c>
      <c r="K321" s="4" t="s">
        <v>421</v>
      </c>
      <c r="L321" t="s">
        <v>422</v>
      </c>
      <c r="M321" t="s">
        <v>3090</v>
      </c>
      <c r="N321" t="s">
        <v>165</v>
      </c>
      <c r="O321" t="s">
        <v>131</v>
      </c>
      <c r="P321" t="str">
        <f t="shared" si="134"/>
        <v>[1]</v>
      </c>
      <c r="Q321">
        <f t="shared" si="135"/>
        <v>20</v>
      </c>
      <c r="R321" t="str">
        <f t="shared" si="143"/>
        <v/>
      </c>
      <c r="S321">
        <f>SUMIF(O321:$O$2855,R321,Q321:$Q$2855)</f>
        <v>0</v>
      </c>
      <c r="AP321" s="4" t="s">
        <v>472</v>
      </c>
      <c r="AQ321" t="s">
        <v>479</v>
      </c>
      <c r="AR321" t="s">
        <v>1642</v>
      </c>
      <c r="AS321" t="s">
        <v>237</v>
      </c>
      <c r="AT321" t="s">
        <v>1230</v>
      </c>
      <c r="AU321" t="str">
        <f t="shared" si="140"/>
        <v>[1]</v>
      </c>
      <c r="AV321">
        <f t="shared" si="141"/>
        <v>52</v>
      </c>
      <c r="AW321" t="str">
        <f t="shared" si="144"/>
        <v/>
      </c>
      <c r="AX321">
        <f>SUMIF(AT321:$AT$651,AW321,AV321:$AV$651)</f>
        <v>0</v>
      </c>
    </row>
    <row r="322" spans="1:50" x14ac:dyDescent="0.25">
      <c r="A322" s="4" t="s">
        <v>0</v>
      </c>
      <c r="B322" t="s">
        <v>449</v>
      </c>
      <c r="C322" t="s">
        <v>1809</v>
      </c>
      <c r="D322" t="s">
        <v>169</v>
      </c>
      <c r="E322" t="s">
        <v>361</v>
      </c>
      <c r="F322" t="str">
        <f t="shared" si="146"/>
        <v>[7]</v>
      </c>
      <c r="G322">
        <f t="shared" si="148"/>
        <v>58</v>
      </c>
      <c r="H322" t="str">
        <f t="shared" si="147"/>
        <v>io_fgetc.o</v>
      </c>
      <c r="I322">
        <f>SUMIF(E322:$E$379,H322,G322:$G$379)</f>
        <v>58</v>
      </c>
      <c r="K322" s="4" t="s">
        <v>421</v>
      </c>
      <c r="L322" t="s">
        <v>422</v>
      </c>
      <c r="M322" t="s">
        <v>3091</v>
      </c>
      <c r="N322" t="s">
        <v>165</v>
      </c>
      <c r="O322" t="s">
        <v>131</v>
      </c>
      <c r="P322" t="str">
        <f t="shared" ref="P322:P385" si="149">VLOOKUP($K$30,$E$1:$F$26,2,FALSE)</f>
        <v>[1]</v>
      </c>
      <c r="Q322">
        <f t="shared" si="135"/>
        <v>20</v>
      </c>
      <c r="R322" t="str">
        <f t="shared" si="143"/>
        <v/>
      </c>
      <c r="S322">
        <f>SUMIF(O322:$O$2855,R322,Q322:$Q$2855)</f>
        <v>0</v>
      </c>
      <c r="AP322" s="4" t="s">
        <v>472</v>
      </c>
      <c r="AQ322" t="s">
        <v>479</v>
      </c>
      <c r="AR322" t="s">
        <v>1643</v>
      </c>
      <c r="AS322" t="s">
        <v>78</v>
      </c>
      <c r="AT322" t="s">
        <v>1230</v>
      </c>
      <c r="AU322" t="str">
        <f t="shared" si="140"/>
        <v>[1]</v>
      </c>
      <c r="AV322">
        <f t="shared" si="141"/>
        <v>4</v>
      </c>
      <c r="AW322" t="str">
        <f t="shared" si="144"/>
        <v/>
      </c>
      <c r="AX322">
        <f>SUMIF(AT322:$AT$651,AW322,AV322:$AV$651)</f>
        <v>0</v>
      </c>
    </row>
    <row r="323" spans="1:50" x14ac:dyDescent="0.25">
      <c r="A323" s="4" t="s">
        <v>0</v>
      </c>
      <c r="B323" t="s">
        <v>449</v>
      </c>
      <c r="C323" t="s">
        <v>1808</v>
      </c>
      <c r="D323" t="s">
        <v>84</v>
      </c>
      <c r="E323" t="s">
        <v>282</v>
      </c>
      <c r="F323" t="str">
        <f t="shared" si="146"/>
        <v>[7]</v>
      </c>
      <c r="G323">
        <f t="shared" si="148"/>
        <v>138</v>
      </c>
      <c r="H323" t="str">
        <f t="shared" si="147"/>
        <v>io_fgetl.o</v>
      </c>
      <c r="I323">
        <f>SUMIF(E323:$E$379,H323,G323:$G$379)</f>
        <v>138</v>
      </c>
      <c r="K323" s="4" t="s">
        <v>421</v>
      </c>
      <c r="L323" t="s">
        <v>422</v>
      </c>
      <c r="M323" t="s">
        <v>3092</v>
      </c>
      <c r="N323" t="s">
        <v>202</v>
      </c>
      <c r="O323" t="s">
        <v>131</v>
      </c>
      <c r="P323" t="str">
        <f t="shared" si="149"/>
        <v>[1]</v>
      </c>
      <c r="Q323">
        <f t="shared" ref="Q323:Q386" si="150">HEX2DEC(MID(N323,3,LEN(N323)-2))</f>
        <v>16</v>
      </c>
      <c r="R323" t="str">
        <f t="shared" si="143"/>
        <v/>
      </c>
      <c r="S323">
        <f>SUMIF(O323:$O$2855,R323,Q323:$Q$2855)</f>
        <v>0</v>
      </c>
      <c r="AP323" s="4" t="s">
        <v>472</v>
      </c>
      <c r="AQ323" t="s">
        <v>479</v>
      </c>
      <c r="AR323" t="s">
        <v>1644</v>
      </c>
      <c r="AS323" t="s">
        <v>78</v>
      </c>
      <c r="AT323" t="s">
        <v>1230</v>
      </c>
      <c r="AU323" t="str">
        <f t="shared" si="140"/>
        <v>[1]</v>
      </c>
      <c r="AV323">
        <f t="shared" si="141"/>
        <v>4</v>
      </c>
      <c r="AW323" t="str">
        <f t="shared" si="144"/>
        <v/>
      </c>
      <c r="AX323">
        <f>SUMIF(AT323:$AT$651,AW323,AV323:$AV$651)</f>
        <v>0</v>
      </c>
    </row>
    <row r="324" spans="1:50" x14ac:dyDescent="0.25">
      <c r="A324" s="4" t="s">
        <v>0</v>
      </c>
      <c r="B324" t="s">
        <v>449</v>
      </c>
      <c r="C324" t="s">
        <v>1807</v>
      </c>
      <c r="D324" t="s">
        <v>65</v>
      </c>
      <c r="E324" t="s">
        <v>189</v>
      </c>
      <c r="F324" t="str">
        <f t="shared" si="146"/>
        <v>[7]</v>
      </c>
      <c r="G324">
        <f t="shared" si="148"/>
        <v>40</v>
      </c>
      <c r="H324" t="str">
        <f t="shared" si="147"/>
        <v>io_fgets.o</v>
      </c>
      <c r="I324">
        <f>SUMIF(E324:$E$379,H324,G324:$G$379)</f>
        <v>40</v>
      </c>
      <c r="K324" s="4" t="s">
        <v>421</v>
      </c>
      <c r="L324" t="s">
        <v>422</v>
      </c>
      <c r="M324" t="s">
        <v>3093</v>
      </c>
      <c r="N324" t="s">
        <v>126</v>
      </c>
      <c r="O324" t="s">
        <v>131</v>
      </c>
      <c r="P324" t="str">
        <f t="shared" si="149"/>
        <v>[1]</v>
      </c>
      <c r="Q324">
        <f t="shared" si="150"/>
        <v>8</v>
      </c>
      <c r="R324" t="str">
        <f t="shared" si="143"/>
        <v/>
      </c>
      <c r="S324">
        <f>SUMIF(O324:$O$2855,R324,Q324:$Q$2855)</f>
        <v>0</v>
      </c>
      <c r="AP324" s="4" t="s">
        <v>472</v>
      </c>
      <c r="AQ324" t="s">
        <v>479</v>
      </c>
      <c r="AR324" t="s">
        <v>1645</v>
      </c>
      <c r="AS324" t="s">
        <v>78</v>
      </c>
      <c r="AT324" t="s">
        <v>1230</v>
      </c>
      <c r="AU324" t="str">
        <f t="shared" si="140"/>
        <v>[1]</v>
      </c>
      <c r="AV324">
        <f t="shared" si="141"/>
        <v>4</v>
      </c>
      <c r="AW324" t="str">
        <f t="shared" si="144"/>
        <v/>
      </c>
      <c r="AX324">
        <f>SUMIF(AT324:$AT$651,AW324,AV324:$AV$651)</f>
        <v>0</v>
      </c>
    </row>
    <row r="325" spans="1:50" x14ac:dyDescent="0.25">
      <c r="A325" s="4" t="s">
        <v>0</v>
      </c>
      <c r="B325" t="s">
        <v>449</v>
      </c>
      <c r="C325" t="s">
        <v>1419</v>
      </c>
      <c r="D325" t="s">
        <v>250</v>
      </c>
      <c r="E325" t="s">
        <v>303</v>
      </c>
      <c r="F325" t="str">
        <f t="shared" si="146"/>
        <v>[7]</v>
      </c>
      <c r="G325">
        <f t="shared" si="148"/>
        <v>140</v>
      </c>
      <c r="H325" t="str">
        <f t="shared" si="147"/>
        <v>io_fopen.o</v>
      </c>
      <c r="I325">
        <f>SUMIF(E325:$E$379,H325,G325:$G$379)</f>
        <v>140</v>
      </c>
      <c r="K325" s="4" t="s">
        <v>421</v>
      </c>
      <c r="L325" t="s">
        <v>422</v>
      </c>
      <c r="M325" t="s">
        <v>3094</v>
      </c>
      <c r="N325" t="s">
        <v>202</v>
      </c>
      <c r="O325" t="s">
        <v>131</v>
      </c>
      <c r="P325" t="str">
        <f t="shared" si="149"/>
        <v>[1]</v>
      </c>
      <c r="Q325">
        <f t="shared" si="150"/>
        <v>16</v>
      </c>
      <c r="R325" t="str">
        <f t="shared" si="143"/>
        <v/>
      </c>
      <c r="S325">
        <f>SUMIF(O325:$O$2855,R325,Q325:$Q$2855)</f>
        <v>0</v>
      </c>
      <c r="AP325" s="4" t="s">
        <v>472</v>
      </c>
      <c r="AQ325" t="s">
        <v>479</v>
      </c>
      <c r="AR325" t="s">
        <v>1646</v>
      </c>
      <c r="AS325" t="s">
        <v>78</v>
      </c>
      <c r="AT325" t="s">
        <v>1230</v>
      </c>
      <c r="AU325" t="str">
        <f t="shared" si="140"/>
        <v>[1]</v>
      </c>
      <c r="AV325">
        <f t="shared" si="141"/>
        <v>4</v>
      </c>
      <c r="AW325" t="str">
        <f t="shared" si="144"/>
        <v/>
      </c>
      <c r="AX325">
        <f>SUMIF(AT325:$AT$651,AW325,AV325:$AV$651)</f>
        <v>0</v>
      </c>
    </row>
    <row r="326" spans="1:50" x14ac:dyDescent="0.25">
      <c r="A326" s="4" t="s">
        <v>0</v>
      </c>
      <c r="B326" t="s">
        <v>449</v>
      </c>
      <c r="C326" t="s">
        <v>1423</v>
      </c>
      <c r="D326" t="s">
        <v>65</v>
      </c>
      <c r="E326" t="s">
        <v>314</v>
      </c>
      <c r="F326" t="str">
        <f t="shared" si="146"/>
        <v>[7]</v>
      </c>
      <c r="G326">
        <f t="shared" si="148"/>
        <v>40</v>
      </c>
      <c r="H326" t="str">
        <f t="shared" si="147"/>
        <v>io_fprt.o</v>
      </c>
      <c r="I326">
        <f>SUMIF(E326:$E$379,H326,G326:$G$379)</f>
        <v>40</v>
      </c>
      <c r="K326" s="4" t="s">
        <v>421</v>
      </c>
      <c r="L326" t="s">
        <v>422</v>
      </c>
      <c r="M326" t="s">
        <v>3095</v>
      </c>
      <c r="N326" t="s">
        <v>13</v>
      </c>
      <c r="O326" t="s">
        <v>131</v>
      </c>
      <c r="P326" t="str">
        <f t="shared" si="149"/>
        <v>[1]</v>
      </c>
      <c r="Q326">
        <f t="shared" si="150"/>
        <v>12</v>
      </c>
      <c r="R326" t="str">
        <f t="shared" si="143"/>
        <v/>
      </c>
      <c r="S326">
        <f>SUMIF(O326:$O$2855,R326,Q326:$Q$2855)</f>
        <v>0</v>
      </c>
      <c r="AP326" s="4" t="s">
        <v>472</v>
      </c>
      <c r="AQ326" t="s">
        <v>479</v>
      </c>
      <c r="AR326" t="s">
        <v>1647</v>
      </c>
      <c r="AS326" t="s">
        <v>78</v>
      </c>
      <c r="AT326" t="s">
        <v>1230</v>
      </c>
      <c r="AU326" t="str">
        <f t="shared" si="140"/>
        <v>[1]</v>
      </c>
      <c r="AV326">
        <f t="shared" si="141"/>
        <v>4</v>
      </c>
      <c r="AW326" t="str">
        <f t="shared" si="144"/>
        <v/>
      </c>
      <c r="AX326">
        <f>SUMIF(AT326:$AT$651,AW326,AV326:$AV$651)</f>
        <v>0</v>
      </c>
    </row>
    <row r="327" spans="1:50" x14ac:dyDescent="0.25">
      <c r="A327" s="4" t="s">
        <v>0</v>
      </c>
      <c r="B327" t="s">
        <v>449</v>
      </c>
      <c r="C327" t="s">
        <v>1806</v>
      </c>
      <c r="D327" t="s">
        <v>67</v>
      </c>
      <c r="E327" t="s">
        <v>323</v>
      </c>
      <c r="F327" t="str">
        <f t="shared" si="146"/>
        <v>[7]</v>
      </c>
      <c r="G327">
        <f t="shared" si="148"/>
        <v>48</v>
      </c>
      <c r="H327" t="str">
        <f t="shared" si="147"/>
        <v>io_fputc.o</v>
      </c>
      <c r="I327">
        <f>SUMIF(E327:$E$379,H327,G327:$G$379)</f>
        <v>48</v>
      </c>
      <c r="K327" s="4" t="s">
        <v>421</v>
      </c>
      <c r="L327" t="s">
        <v>422</v>
      </c>
      <c r="M327" t="s">
        <v>3096</v>
      </c>
      <c r="N327" t="s">
        <v>126</v>
      </c>
      <c r="O327" t="s">
        <v>131</v>
      </c>
      <c r="P327" t="str">
        <f t="shared" si="149"/>
        <v>[1]</v>
      </c>
      <c r="Q327">
        <f t="shared" si="150"/>
        <v>8</v>
      </c>
      <c r="R327" t="str">
        <f t="shared" si="143"/>
        <v/>
      </c>
      <c r="S327">
        <f>SUMIF(O327:$O$2855,R327,Q327:$Q$2855)</f>
        <v>0</v>
      </c>
      <c r="AP327" s="4" t="s">
        <v>472</v>
      </c>
      <c r="AQ327" t="s">
        <v>479</v>
      </c>
      <c r="AR327" t="s">
        <v>4672</v>
      </c>
      <c r="AS327" t="s">
        <v>13</v>
      </c>
      <c r="AT327" t="s">
        <v>98</v>
      </c>
      <c r="AU327" t="str">
        <f t="shared" si="140"/>
        <v>[1]</v>
      </c>
      <c r="AV327">
        <f t="shared" si="141"/>
        <v>12</v>
      </c>
      <c r="AW327" t="str">
        <f t="shared" si="144"/>
        <v>pwr_config.o</v>
      </c>
      <c r="AX327">
        <f>SUMIF(AT327:$AT$651,AW327,AV327:$AV$651)</f>
        <v>72</v>
      </c>
    </row>
    <row r="328" spans="1:50" x14ac:dyDescent="0.25">
      <c r="A328" s="4" t="s">
        <v>0</v>
      </c>
      <c r="B328" t="s">
        <v>449</v>
      </c>
      <c r="C328" t="s">
        <v>1799</v>
      </c>
      <c r="D328" t="s">
        <v>119</v>
      </c>
      <c r="E328" t="s">
        <v>120</v>
      </c>
      <c r="F328" t="str">
        <f t="shared" si="146"/>
        <v>[7]</v>
      </c>
      <c r="G328">
        <f t="shared" si="148"/>
        <v>32</v>
      </c>
      <c r="H328" t="str">
        <f t="shared" si="147"/>
        <v>io_fputs.o</v>
      </c>
      <c r="I328">
        <f>SUMIF(E328:$E$379,H328,G328:$G$379)</f>
        <v>32</v>
      </c>
      <c r="K328" s="4" t="s">
        <v>421</v>
      </c>
      <c r="L328" t="s">
        <v>422</v>
      </c>
      <c r="M328" t="s">
        <v>3097</v>
      </c>
      <c r="N328" t="s">
        <v>202</v>
      </c>
      <c r="O328" t="s">
        <v>131</v>
      </c>
      <c r="P328" t="str">
        <f t="shared" si="149"/>
        <v>[1]</v>
      </c>
      <c r="Q328">
        <f t="shared" si="150"/>
        <v>16</v>
      </c>
      <c r="R328" t="str">
        <f t="shared" si="143"/>
        <v/>
      </c>
      <c r="S328">
        <f>SUMIF(O328:$O$2855,R328,Q328:$Q$2855)</f>
        <v>0</v>
      </c>
      <c r="AP328" s="4" t="s">
        <v>472</v>
      </c>
      <c r="AQ328" t="s">
        <v>479</v>
      </c>
      <c r="AR328" t="s">
        <v>4673</v>
      </c>
      <c r="AS328" t="s">
        <v>67</v>
      </c>
      <c r="AT328" t="s">
        <v>98</v>
      </c>
      <c r="AU328" t="str">
        <f t="shared" si="140"/>
        <v>[1]</v>
      </c>
      <c r="AV328">
        <f t="shared" si="141"/>
        <v>48</v>
      </c>
      <c r="AW328" t="str">
        <f t="shared" si="144"/>
        <v/>
      </c>
      <c r="AX328">
        <f>SUMIF(AT328:$AT$651,AW328,AV328:$AV$651)</f>
        <v>0</v>
      </c>
    </row>
    <row r="329" spans="1:50" x14ac:dyDescent="0.25">
      <c r="A329" s="4" t="s">
        <v>0</v>
      </c>
      <c r="B329" t="s">
        <v>449</v>
      </c>
      <c r="C329" t="s">
        <v>1803</v>
      </c>
      <c r="D329" t="s">
        <v>283</v>
      </c>
      <c r="E329" t="s">
        <v>284</v>
      </c>
      <c r="F329" t="str">
        <f t="shared" si="146"/>
        <v>[7]</v>
      </c>
      <c r="G329">
        <f t="shared" si="148"/>
        <v>210</v>
      </c>
      <c r="H329" t="str">
        <f t="shared" si="147"/>
        <v>io_fseek.o</v>
      </c>
      <c r="I329">
        <f>SUMIF(E329:$E$379,H329,G329:$G$379)</f>
        <v>210</v>
      </c>
      <c r="K329" s="4" t="s">
        <v>421</v>
      </c>
      <c r="L329" t="s">
        <v>422</v>
      </c>
      <c r="M329" t="s">
        <v>3098</v>
      </c>
      <c r="N329" t="s">
        <v>13</v>
      </c>
      <c r="O329" t="s">
        <v>131</v>
      </c>
      <c r="P329" t="str">
        <f t="shared" si="149"/>
        <v>[1]</v>
      </c>
      <c r="Q329">
        <f t="shared" si="150"/>
        <v>12</v>
      </c>
      <c r="R329" t="str">
        <f t="shared" si="143"/>
        <v/>
      </c>
      <c r="S329">
        <f>SUMIF(O329:$O$2855,R329,Q329:$Q$2855)</f>
        <v>0</v>
      </c>
      <c r="AP329" s="4" t="s">
        <v>472</v>
      </c>
      <c r="AQ329" t="s">
        <v>479</v>
      </c>
      <c r="AR329" t="s">
        <v>4674</v>
      </c>
      <c r="AS329" t="s">
        <v>13</v>
      </c>
      <c r="AT329" t="s">
        <v>98</v>
      </c>
      <c r="AU329" t="str">
        <f t="shared" si="140"/>
        <v>[1]</v>
      </c>
      <c r="AV329">
        <f t="shared" si="141"/>
        <v>12</v>
      </c>
      <c r="AW329" t="str">
        <f t="shared" si="144"/>
        <v/>
      </c>
      <c r="AX329">
        <f>SUMIF(AT329:$AT$651,AW329,AV329:$AV$651)</f>
        <v>0</v>
      </c>
    </row>
    <row r="330" spans="1:50" x14ac:dyDescent="0.25">
      <c r="A330" s="4" t="s">
        <v>0</v>
      </c>
      <c r="B330" t="s">
        <v>449</v>
      </c>
      <c r="C330" t="s">
        <v>1810</v>
      </c>
      <c r="D330" t="s">
        <v>153</v>
      </c>
      <c r="E330" t="s">
        <v>362</v>
      </c>
      <c r="F330" t="str">
        <f t="shared" si="146"/>
        <v>[7]</v>
      </c>
      <c r="G330">
        <f t="shared" si="148"/>
        <v>38</v>
      </c>
      <c r="H330" t="str">
        <f t="shared" si="147"/>
        <v>io_fung.o</v>
      </c>
      <c r="I330">
        <f>SUMIF(E330:$E$379,H330,G330:$G$379)</f>
        <v>38</v>
      </c>
      <c r="K330" s="4" t="s">
        <v>421</v>
      </c>
      <c r="L330" t="s">
        <v>422</v>
      </c>
      <c r="M330" t="s">
        <v>3099</v>
      </c>
      <c r="N330" t="s">
        <v>13</v>
      </c>
      <c r="O330" t="s">
        <v>131</v>
      </c>
      <c r="P330" t="str">
        <f t="shared" si="149"/>
        <v>[1]</v>
      </c>
      <c r="Q330">
        <f t="shared" si="150"/>
        <v>12</v>
      </c>
      <c r="R330" t="str">
        <f t="shared" si="143"/>
        <v/>
      </c>
      <c r="S330">
        <f>SUMIF(O330:$O$2855,R330,Q330:$Q$2855)</f>
        <v>0</v>
      </c>
      <c r="AP330" s="4" t="s">
        <v>472</v>
      </c>
      <c r="AQ330" t="s">
        <v>479</v>
      </c>
      <c r="AR330" t="s">
        <v>4675</v>
      </c>
      <c r="AS330" t="s">
        <v>6</v>
      </c>
      <c r="AT330" t="s">
        <v>36</v>
      </c>
      <c r="AU330" t="str">
        <f t="shared" si="140"/>
        <v>[1]</v>
      </c>
      <c r="AV330">
        <f t="shared" si="141"/>
        <v>28</v>
      </c>
      <c r="AW330" t="str">
        <f t="shared" si="144"/>
        <v>pwr_last_gasp.o</v>
      </c>
      <c r="AX330">
        <f>SUMIF(AT330:$AT$651,AW330,AV330:$AV$651)</f>
        <v>32</v>
      </c>
    </row>
    <row r="331" spans="1:50" x14ac:dyDescent="0.25">
      <c r="A331" s="4" t="s">
        <v>0</v>
      </c>
      <c r="B331" t="s">
        <v>449</v>
      </c>
      <c r="C331" t="s">
        <v>1416</v>
      </c>
      <c r="D331" t="s">
        <v>124</v>
      </c>
      <c r="E331" t="s">
        <v>104</v>
      </c>
      <c r="F331" t="str">
        <f t="shared" si="146"/>
        <v>[7]</v>
      </c>
      <c r="G331">
        <f t="shared" si="148"/>
        <v>68</v>
      </c>
      <c r="H331" t="str">
        <f t="shared" si="147"/>
        <v>io_ghand.o</v>
      </c>
      <c r="I331">
        <f>SUMIF(E331:$E$379,H331,G331:$G$379)</f>
        <v>68</v>
      </c>
      <c r="K331" s="4" t="s">
        <v>421</v>
      </c>
      <c r="L331" t="s">
        <v>422</v>
      </c>
      <c r="M331" t="s">
        <v>3100</v>
      </c>
      <c r="N331" t="s">
        <v>44</v>
      </c>
      <c r="O331" t="s">
        <v>131</v>
      </c>
      <c r="P331" t="str">
        <f t="shared" si="149"/>
        <v>[1]</v>
      </c>
      <c r="Q331">
        <f t="shared" si="150"/>
        <v>44</v>
      </c>
      <c r="R331" t="str">
        <f t="shared" si="143"/>
        <v/>
      </c>
      <c r="S331">
        <f>SUMIF(O331:$O$2855,R331,Q331:$Q$2855)</f>
        <v>0</v>
      </c>
      <c r="AP331" s="4" t="s">
        <v>472</v>
      </c>
      <c r="AQ331" t="s">
        <v>479</v>
      </c>
      <c r="AR331" t="s">
        <v>4694</v>
      </c>
      <c r="AS331" t="s">
        <v>442</v>
      </c>
      <c r="AT331" t="s">
        <v>36</v>
      </c>
      <c r="AU331" t="str">
        <f t="shared" ref="AU331:AU394" si="151">VLOOKUP($AP$30,$E$1:$F$26,2,FALSE)</f>
        <v>[1]</v>
      </c>
      <c r="AV331">
        <f t="shared" si="141"/>
        <v>1</v>
      </c>
      <c r="AW331" t="str">
        <f t="shared" si="144"/>
        <v/>
      </c>
      <c r="AX331">
        <f>SUMIF(AT331:$AT$651,AW331,AV331:$AV$651)</f>
        <v>0</v>
      </c>
    </row>
    <row r="332" spans="1:50" x14ac:dyDescent="0.25">
      <c r="A332" s="4" t="s">
        <v>0</v>
      </c>
      <c r="B332" t="s">
        <v>449</v>
      </c>
      <c r="C332" t="s">
        <v>1424</v>
      </c>
      <c r="D332" t="s">
        <v>76</v>
      </c>
      <c r="E332" t="s">
        <v>269</v>
      </c>
      <c r="F332" t="str">
        <f t="shared" si="146"/>
        <v>[7]</v>
      </c>
      <c r="G332">
        <f t="shared" si="148"/>
        <v>36</v>
      </c>
      <c r="H332" t="str">
        <f t="shared" si="147"/>
        <v>io_init.o</v>
      </c>
      <c r="I332">
        <f>SUMIF(E332:$E$379,H332,G332:$G$379)</f>
        <v>36</v>
      </c>
      <c r="K332" s="4" t="s">
        <v>421</v>
      </c>
      <c r="L332" t="s">
        <v>422</v>
      </c>
      <c r="M332" t="s">
        <v>3101</v>
      </c>
      <c r="N332" t="s">
        <v>6</v>
      </c>
      <c r="O332" t="s">
        <v>131</v>
      </c>
      <c r="P332" t="str">
        <f t="shared" si="149"/>
        <v>[1]</v>
      </c>
      <c r="Q332">
        <f t="shared" si="150"/>
        <v>28</v>
      </c>
      <c r="R332" t="str">
        <f t="shared" si="143"/>
        <v/>
      </c>
      <c r="S332">
        <f>SUMIF(O332:$O$2855,R332,Q332:$Q$2855)</f>
        <v>0</v>
      </c>
      <c r="AP332" s="4" t="s">
        <v>472</v>
      </c>
      <c r="AQ332" t="s">
        <v>479</v>
      </c>
      <c r="AR332" t="s">
        <v>4695</v>
      </c>
      <c r="AS332" t="s">
        <v>442</v>
      </c>
      <c r="AT332" t="s">
        <v>36</v>
      </c>
      <c r="AU332" t="str">
        <f t="shared" si="151"/>
        <v>[1]</v>
      </c>
      <c r="AV332">
        <f t="shared" ref="AV332:AV399" si="152">HEX2DEC(MID(AS332,3,LEN(AS332)-2))</f>
        <v>1</v>
      </c>
      <c r="AW332" t="str">
        <f t="shared" si="144"/>
        <v/>
      </c>
      <c r="AX332">
        <f>SUMIF(AT332:$AT$651,AW332,AV332:$AV$651)</f>
        <v>0</v>
      </c>
    </row>
    <row r="333" spans="1:50" x14ac:dyDescent="0.25">
      <c r="A333" s="4" t="s">
        <v>0</v>
      </c>
      <c r="B333" t="s">
        <v>449</v>
      </c>
      <c r="C333" t="s">
        <v>1434</v>
      </c>
      <c r="D333" t="s">
        <v>76</v>
      </c>
      <c r="E333" t="s">
        <v>355</v>
      </c>
      <c r="F333" t="str">
        <f t="shared" si="146"/>
        <v>[7]</v>
      </c>
      <c r="G333">
        <f t="shared" si="148"/>
        <v>36</v>
      </c>
      <c r="H333" t="str">
        <f t="shared" si="147"/>
        <v>io_inst.o</v>
      </c>
      <c r="I333">
        <f>SUMIF(E333:$E$379,H333,G333:$G$379)</f>
        <v>36</v>
      </c>
      <c r="K333" s="4" t="s">
        <v>421</v>
      </c>
      <c r="L333" t="s">
        <v>422</v>
      </c>
      <c r="M333" t="s">
        <v>1865</v>
      </c>
      <c r="N333" t="s">
        <v>165</v>
      </c>
      <c r="O333" t="s">
        <v>131</v>
      </c>
      <c r="P333" t="str">
        <f t="shared" si="149"/>
        <v>[1]</v>
      </c>
      <c r="Q333">
        <f t="shared" si="150"/>
        <v>20</v>
      </c>
      <c r="R333" t="str">
        <f t="shared" si="143"/>
        <v/>
      </c>
      <c r="S333">
        <f>SUMIF(O333:$O$2855,R333,Q333:$Q$2855)</f>
        <v>0</v>
      </c>
      <c r="AP333" s="4" t="s">
        <v>472</v>
      </c>
      <c r="AQ333" t="s">
        <v>479</v>
      </c>
      <c r="AR333" t="s">
        <v>4696</v>
      </c>
      <c r="AS333" t="s">
        <v>442</v>
      </c>
      <c r="AT333" t="s">
        <v>36</v>
      </c>
      <c r="AU333" t="str">
        <f t="shared" si="151"/>
        <v>[1]</v>
      </c>
      <c r="AV333">
        <f t="shared" si="152"/>
        <v>1</v>
      </c>
      <c r="AW333" t="str">
        <f t="shared" si="144"/>
        <v/>
      </c>
      <c r="AX333">
        <f>SUMIF(AT333:$AT$651,AW333,AV333:$AV$651)</f>
        <v>0</v>
      </c>
    </row>
    <row r="334" spans="1:50" x14ac:dyDescent="0.25">
      <c r="A334" s="4" t="s">
        <v>0</v>
      </c>
      <c r="B334" t="s">
        <v>449</v>
      </c>
      <c r="C334" t="s">
        <v>1430</v>
      </c>
      <c r="D334" t="s">
        <v>383</v>
      </c>
      <c r="E334" t="s">
        <v>384</v>
      </c>
      <c r="F334" t="str">
        <f t="shared" si="146"/>
        <v>[7]</v>
      </c>
      <c r="G334">
        <f t="shared" si="148"/>
        <v>238</v>
      </c>
      <c r="H334" t="str">
        <f t="shared" si="147"/>
        <v>io_instx.o</v>
      </c>
      <c r="I334">
        <f>SUMIF(E334:$E$379,H334,G334:$G$379)</f>
        <v>238</v>
      </c>
      <c r="K334" s="4" t="s">
        <v>421</v>
      </c>
      <c r="L334" t="s">
        <v>422</v>
      </c>
      <c r="M334" t="s">
        <v>3102</v>
      </c>
      <c r="N334" t="s">
        <v>13</v>
      </c>
      <c r="O334" t="s">
        <v>131</v>
      </c>
      <c r="P334" t="str">
        <f t="shared" si="149"/>
        <v>[1]</v>
      </c>
      <c r="Q334">
        <f t="shared" si="150"/>
        <v>12</v>
      </c>
      <c r="R334" t="str">
        <f t="shared" si="143"/>
        <v/>
      </c>
      <c r="S334">
        <f>SUMIF(O334:$O$2855,R334,Q334:$Q$2855)</f>
        <v>0</v>
      </c>
      <c r="AP334" s="4" t="s">
        <v>472</v>
      </c>
      <c r="AQ334" t="s">
        <v>479</v>
      </c>
      <c r="AR334" t="s">
        <v>4697</v>
      </c>
      <c r="AS334" t="s">
        <v>442</v>
      </c>
      <c r="AT334" t="s">
        <v>36</v>
      </c>
      <c r="AU334" t="str">
        <f t="shared" si="151"/>
        <v>[1]</v>
      </c>
      <c r="AV334">
        <f t="shared" si="152"/>
        <v>1</v>
      </c>
      <c r="AW334" t="str">
        <f t="shared" si="144"/>
        <v/>
      </c>
      <c r="AX334">
        <f>SUMIF(AT334:$AT$651,AW334,AV334:$AV$651)</f>
        <v>0</v>
      </c>
    </row>
    <row r="335" spans="1:50" x14ac:dyDescent="0.25">
      <c r="A335" s="4" t="s">
        <v>0</v>
      </c>
      <c r="B335" t="s">
        <v>449</v>
      </c>
      <c r="C335" t="s">
        <v>1804</v>
      </c>
      <c r="D335" t="s">
        <v>190</v>
      </c>
      <c r="E335" t="s">
        <v>304</v>
      </c>
      <c r="F335" t="str">
        <f t="shared" si="146"/>
        <v>[7]</v>
      </c>
      <c r="G335">
        <f t="shared" si="148"/>
        <v>56</v>
      </c>
      <c r="H335" t="str">
        <f t="shared" si="147"/>
        <v>io_ioctl.o</v>
      </c>
      <c r="I335">
        <f>SUMIF(E335:$E$379,H335,G335:$G$379)</f>
        <v>56</v>
      </c>
      <c r="K335" s="4" t="s">
        <v>421</v>
      </c>
      <c r="L335" t="s">
        <v>422</v>
      </c>
      <c r="M335" t="s">
        <v>3103</v>
      </c>
      <c r="N335" t="s">
        <v>437</v>
      </c>
      <c r="O335" t="s">
        <v>131</v>
      </c>
      <c r="P335" t="str">
        <f t="shared" si="149"/>
        <v>[1]</v>
      </c>
      <c r="Q335">
        <f t="shared" si="150"/>
        <v>24</v>
      </c>
      <c r="R335" t="str">
        <f t="shared" si="143"/>
        <v/>
      </c>
      <c r="S335">
        <f>SUMIF(O335:$O$2855,R335,Q335:$Q$2855)</f>
        <v>0</v>
      </c>
      <c r="AP335" s="4" t="s">
        <v>472</v>
      </c>
      <c r="AQ335" t="s">
        <v>479</v>
      </c>
      <c r="AR335" t="s">
        <v>4676</v>
      </c>
      <c r="AS335" t="s">
        <v>6</v>
      </c>
      <c r="AT335" t="s">
        <v>312</v>
      </c>
      <c r="AU335" t="str">
        <f t="shared" si="151"/>
        <v>[1]</v>
      </c>
      <c r="AV335">
        <f t="shared" si="152"/>
        <v>28</v>
      </c>
      <c r="AW335" t="str">
        <f t="shared" si="144"/>
        <v>pwr_restore.o</v>
      </c>
      <c r="AX335">
        <f>SUMIF(AT335:$AT$651,AW335,AV335:$AV$651)</f>
        <v>56</v>
      </c>
    </row>
    <row r="336" spans="1:50" x14ac:dyDescent="0.25">
      <c r="A336" s="4" t="s">
        <v>0</v>
      </c>
      <c r="B336" t="s">
        <v>449</v>
      </c>
      <c r="C336" t="s">
        <v>1415</v>
      </c>
      <c r="D336" t="s">
        <v>65</v>
      </c>
      <c r="E336" t="s">
        <v>66</v>
      </c>
      <c r="F336" t="str">
        <f t="shared" si="146"/>
        <v>[7]</v>
      </c>
      <c r="G336">
        <f t="shared" si="148"/>
        <v>40</v>
      </c>
      <c r="H336" t="str">
        <f t="shared" si="147"/>
        <v>io_pntf.o</v>
      </c>
      <c r="I336">
        <f>SUMIF(E336:$E$379,H336,G336:$G$379)</f>
        <v>40</v>
      </c>
      <c r="K336" s="4" t="s">
        <v>421</v>
      </c>
      <c r="L336" t="s">
        <v>422</v>
      </c>
      <c r="M336" t="s">
        <v>3104</v>
      </c>
      <c r="N336" t="s">
        <v>13</v>
      </c>
      <c r="O336" t="s">
        <v>131</v>
      </c>
      <c r="P336" t="str">
        <f t="shared" si="149"/>
        <v>[1]</v>
      </c>
      <c r="Q336">
        <f t="shared" si="150"/>
        <v>12</v>
      </c>
      <c r="R336" t="str">
        <f t="shared" si="143"/>
        <v/>
      </c>
      <c r="S336">
        <f>SUMIF(O336:$O$2855,R336,Q336:$Q$2855)</f>
        <v>0</v>
      </c>
      <c r="AP336" s="4" t="s">
        <v>472</v>
      </c>
      <c r="AQ336" t="s">
        <v>479</v>
      </c>
      <c r="AR336" t="s">
        <v>4677</v>
      </c>
      <c r="AS336" t="s">
        <v>6</v>
      </c>
      <c r="AT336" t="s">
        <v>312</v>
      </c>
      <c r="AU336" t="str">
        <f t="shared" si="151"/>
        <v>[1]</v>
      </c>
      <c r="AV336">
        <f t="shared" si="152"/>
        <v>28</v>
      </c>
      <c r="AW336" t="str">
        <f t="shared" si="144"/>
        <v/>
      </c>
      <c r="AX336">
        <f>SUMIF(AT336:$AT$651,AW336,AV336:$AV$651)</f>
        <v>0</v>
      </c>
    </row>
    <row r="337" spans="1:50" x14ac:dyDescent="0.25">
      <c r="A337" s="4" t="s">
        <v>0</v>
      </c>
      <c r="B337" t="s">
        <v>449</v>
      </c>
      <c r="C337" t="s">
        <v>1805</v>
      </c>
      <c r="D337" t="s">
        <v>306</v>
      </c>
      <c r="E337" t="s">
        <v>307</v>
      </c>
      <c r="F337" t="str">
        <f t="shared" si="146"/>
        <v>[7]</v>
      </c>
      <c r="G337">
        <f t="shared" si="148"/>
        <v>86</v>
      </c>
      <c r="H337" t="str">
        <f t="shared" si="147"/>
        <v>io_read.o</v>
      </c>
      <c r="I337">
        <f>SUMIF(E337:$E$379,H337,G337:$G$379)</f>
        <v>86</v>
      </c>
      <c r="K337" s="4" t="s">
        <v>421</v>
      </c>
      <c r="L337" t="s">
        <v>422</v>
      </c>
      <c r="M337" t="s">
        <v>3105</v>
      </c>
      <c r="N337" t="s">
        <v>67</v>
      </c>
      <c r="O337" t="s">
        <v>131</v>
      </c>
      <c r="P337" t="str">
        <f t="shared" si="149"/>
        <v>[1]</v>
      </c>
      <c r="Q337">
        <f t="shared" si="150"/>
        <v>48</v>
      </c>
      <c r="R337" t="str">
        <f t="shared" si="143"/>
        <v/>
      </c>
      <c r="S337">
        <f>SUMIF(O337:$O$2855,R337,Q337:$Q$2855)</f>
        <v>0</v>
      </c>
      <c r="AP337" s="4" t="s">
        <v>472</v>
      </c>
      <c r="AQ337" t="s">
        <v>479</v>
      </c>
      <c r="AR337" t="s">
        <v>4678</v>
      </c>
      <c r="AS337" t="s">
        <v>13</v>
      </c>
      <c r="AT337" t="s">
        <v>220</v>
      </c>
      <c r="AU337" t="str">
        <f t="shared" si="151"/>
        <v>[1]</v>
      </c>
      <c r="AV337">
        <f t="shared" si="152"/>
        <v>12</v>
      </c>
      <c r="AW337" t="str">
        <f t="shared" si="144"/>
        <v>pwr_task.o</v>
      </c>
      <c r="AX337">
        <f>SUMIF(AT337:$AT$651,AW337,AV337:$AV$651)</f>
        <v>182</v>
      </c>
    </row>
    <row r="338" spans="1:50" x14ac:dyDescent="0.25">
      <c r="A338" s="4" t="s">
        <v>0</v>
      </c>
      <c r="B338" t="s">
        <v>449</v>
      </c>
      <c r="C338" t="s">
        <v>1798</v>
      </c>
      <c r="D338" t="s">
        <v>933</v>
      </c>
      <c r="E338" t="s">
        <v>297</v>
      </c>
      <c r="F338" t="str">
        <f t="shared" si="146"/>
        <v>[7]</v>
      </c>
      <c r="G338">
        <f t="shared" si="148"/>
        <v>1138</v>
      </c>
      <c r="H338" t="str">
        <f t="shared" si="147"/>
        <v>io_scanl.o</v>
      </c>
      <c r="I338">
        <f>SUMIF(E338:$E$379,H338,G338:$G$379)</f>
        <v>1138</v>
      </c>
      <c r="K338" s="4" t="s">
        <v>421</v>
      </c>
      <c r="L338" t="s">
        <v>422</v>
      </c>
      <c r="M338" t="s">
        <v>1866</v>
      </c>
      <c r="N338" t="s">
        <v>119</v>
      </c>
      <c r="O338" t="s">
        <v>131</v>
      </c>
      <c r="P338" t="str">
        <f t="shared" si="149"/>
        <v>[1]</v>
      </c>
      <c r="Q338">
        <f t="shared" si="150"/>
        <v>32</v>
      </c>
      <c r="R338" t="str">
        <f t="shared" si="143"/>
        <v/>
      </c>
      <c r="S338">
        <f>SUMIF(O338:$O$2855,R338,Q338:$Q$2855)</f>
        <v>0</v>
      </c>
      <c r="AP338" s="4" t="s">
        <v>472</v>
      </c>
      <c r="AQ338" t="s">
        <v>479</v>
      </c>
      <c r="AR338" t="s">
        <v>4679</v>
      </c>
      <c r="AS338" t="s">
        <v>67</v>
      </c>
      <c r="AT338" t="s">
        <v>220</v>
      </c>
      <c r="AU338" t="str">
        <f t="shared" si="151"/>
        <v>[1]</v>
      </c>
      <c r="AV338">
        <f t="shared" si="152"/>
        <v>48</v>
      </c>
      <c r="AW338" t="str">
        <f t="shared" si="144"/>
        <v/>
      </c>
      <c r="AX338">
        <f>SUMIF(AT338:$AT$651,AW338,AV338:$AV$651)</f>
        <v>0</v>
      </c>
    </row>
    <row r="339" spans="1:50" x14ac:dyDescent="0.25">
      <c r="A339" s="4" t="s">
        <v>0</v>
      </c>
      <c r="B339" t="s">
        <v>449</v>
      </c>
      <c r="C339" t="s">
        <v>1422</v>
      </c>
      <c r="D339" t="s">
        <v>398</v>
      </c>
      <c r="E339" t="s">
        <v>337</v>
      </c>
      <c r="F339" t="str">
        <f t="shared" si="146"/>
        <v>[7]</v>
      </c>
      <c r="G339">
        <f t="shared" si="148"/>
        <v>132</v>
      </c>
      <c r="H339" t="str">
        <f t="shared" si="147"/>
        <v>io_shand.o</v>
      </c>
      <c r="I339">
        <f>SUMIF(E339:$E$379,H339,G339:$G$379)</f>
        <v>132</v>
      </c>
      <c r="K339" s="4" t="s">
        <v>421</v>
      </c>
      <c r="L339" t="s">
        <v>422</v>
      </c>
      <c r="M339" t="s">
        <v>3106</v>
      </c>
      <c r="N339" t="s">
        <v>65</v>
      </c>
      <c r="O339" t="s">
        <v>131</v>
      </c>
      <c r="P339" t="str">
        <f t="shared" si="149"/>
        <v>[1]</v>
      </c>
      <c r="Q339">
        <f t="shared" si="150"/>
        <v>40</v>
      </c>
      <c r="R339" t="str">
        <f t="shared" si="143"/>
        <v/>
      </c>
      <c r="S339">
        <f>SUMIF(O339:$O$2855,R339,Q339:$Q$2855)</f>
        <v>0</v>
      </c>
      <c r="AP339" s="4" t="s">
        <v>472</v>
      </c>
      <c r="AQ339" t="s">
        <v>479</v>
      </c>
      <c r="AR339" t="s">
        <v>4680</v>
      </c>
      <c r="AS339" t="s">
        <v>67</v>
      </c>
      <c r="AT339" t="s">
        <v>220</v>
      </c>
      <c r="AU339" t="str">
        <f t="shared" si="151"/>
        <v>[1]</v>
      </c>
      <c r="AV339">
        <f t="shared" si="152"/>
        <v>48</v>
      </c>
      <c r="AW339" t="str">
        <f t="shared" si="144"/>
        <v/>
      </c>
      <c r="AX339">
        <f>SUMIF(AT339:$AT$651,AW339,AV339:$AV$651)</f>
        <v>0</v>
      </c>
    </row>
    <row r="340" spans="1:50" x14ac:dyDescent="0.25">
      <c r="A340" s="4" t="s">
        <v>0</v>
      </c>
      <c r="B340" t="s">
        <v>449</v>
      </c>
      <c r="C340" t="s">
        <v>1413</v>
      </c>
      <c r="D340" t="s">
        <v>54</v>
      </c>
      <c r="E340" t="s">
        <v>55</v>
      </c>
      <c r="F340" t="str">
        <f t="shared" si="146"/>
        <v>[7]</v>
      </c>
      <c r="G340">
        <f t="shared" si="148"/>
        <v>90</v>
      </c>
      <c r="H340" t="str">
        <f t="shared" si="147"/>
        <v>io_spr.o</v>
      </c>
      <c r="I340">
        <f>SUMIF(E340:$E$379,H340,G340:$G$379)</f>
        <v>90</v>
      </c>
      <c r="K340" s="4" t="s">
        <v>421</v>
      </c>
      <c r="L340" t="s">
        <v>422</v>
      </c>
      <c r="M340" t="s">
        <v>3107</v>
      </c>
      <c r="N340" t="s">
        <v>126</v>
      </c>
      <c r="O340" t="s">
        <v>131</v>
      </c>
      <c r="P340" t="str">
        <f t="shared" si="149"/>
        <v>[1]</v>
      </c>
      <c r="Q340">
        <f t="shared" si="150"/>
        <v>8</v>
      </c>
      <c r="R340" t="str">
        <f t="shared" si="143"/>
        <v/>
      </c>
      <c r="S340">
        <f>SUMIF(O340:$O$2855,R340,Q340:$Q$2855)</f>
        <v>0</v>
      </c>
      <c r="AP340" s="4" t="s">
        <v>472</v>
      </c>
      <c r="AQ340" t="s">
        <v>479</v>
      </c>
      <c r="AR340" t="s">
        <v>4681</v>
      </c>
      <c r="AS340" t="s">
        <v>6</v>
      </c>
      <c r="AT340" t="s">
        <v>220</v>
      </c>
      <c r="AU340" t="str">
        <f t="shared" si="151"/>
        <v>[1]</v>
      </c>
      <c r="AV340">
        <f t="shared" si="152"/>
        <v>28</v>
      </c>
      <c r="AW340" t="str">
        <f t="shared" si="144"/>
        <v/>
      </c>
      <c r="AX340">
        <f>SUMIF(AT340:$AT$651,AW340,AV340:$AV$651)</f>
        <v>0</v>
      </c>
    </row>
    <row r="341" spans="1:50" x14ac:dyDescent="0.25">
      <c r="A341" s="4" t="s">
        <v>0</v>
      </c>
      <c r="B341" t="s">
        <v>449</v>
      </c>
      <c r="C341" t="s">
        <v>1431</v>
      </c>
      <c r="D341" t="s">
        <v>202</v>
      </c>
      <c r="E341" t="s">
        <v>203</v>
      </c>
      <c r="F341" t="str">
        <f t="shared" si="146"/>
        <v>[7]</v>
      </c>
      <c r="G341">
        <f t="shared" si="148"/>
        <v>16</v>
      </c>
      <c r="H341" t="str">
        <f t="shared" si="147"/>
        <v>io_sscan.o</v>
      </c>
      <c r="I341">
        <f>SUMIF(E341:$E$379,H341,G341:$G$379)</f>
        <v>16</v>
      </c>
      <c r="K341" s="4" t="s">
        <v>421</v>
      </c>
      <c r="L341" t="s">
        <v>422</v>
      </c>
      <c r="M341" t="s">
        <v>1867</v>
      </c>
      <c r="N341" t="s">
        <v>119</v>
      </c>
      <c r="O341" t="s">
        <v>131</v>
      </c>
      <c r="P341" t="str">
        <f t="shared" si="149"/>
        <v>[1]</v>
      </c>
      <c r="Q341">
        <f t="shared" si="150"/>
        <v>32</v>
      </c>
      <c r="R341" t="str">
        <f t="shared" si="143"/>
        <v/>
      </c>
      <c r="S341">
        <f>SUMIF(O341:$O$2855,R341,Q341:$Q$2855)</f>
        <v>0</v>
      </c>
      <c r="AP341" s="4" t="s">
        <v>472</v>
      </c>
      <c r="AQ341" t="s">
        <v>479</v>
      </c>
      <c r="AR341" t="s">
        <v>4682</v>
      </c>
      <c r="AS341" t="s">
        <v>44</v>
      </c>
      <c r="AT341" t="s">
        <v>220</v>
      </c>
      <c r="AU341" t="str">
        <f t="shared" si="151"/>
        <v>[1]</v>
      </c>
      <c r="AV341">
        <f t="shared" si="152"/>
        <v>44</v>
      </c>
      <c r="AW341" t="str">
        <f t="shared" si="144"/>
        <v/>
      </c>
      <c r="AX341">
        <f>SUMIF(AT341:$AT$651,AW341,AV341:$AV$651)</f>
        <v>0</v>
      </c>
    </row>
    <row r="342" spans="1:50" x14ac:dyDescent="0.25">
      <c r="A342" s="4" t="s">
        <v>0</v>
      </c>
      <c r="B342" t="s">
        <v>449</v>
      </c>
      <c r="C342" t="s">
        <v>1417</v>
      </c>
      <c r="D342" t="s">
        <v>76</v>
      </c>
      <c r="E342" t="s">
        <v>121</v>
      </c>
      <c r="F342" t="str">
        <f t="shared" si="146"/>
        <v>[7]</v>
      </c>
      <c r="G342">
        <f t="shared" si="148"/>
        <v>36</v>
      </c>
      <c r="H342" t="str">
        <f t="shared" si="147"/>
        <v>io_vpr.o</v>
      </c>
      <c r="I342">
        <f>SUMIF(E342:$E$379,H342,G342:$G$379)</f>
        <v>36</v>
      </c>
      <c r="K342" s="4" t="s">
        <v>421</v>
      </c>
      <c r="L342" t="s">
        <v>422</v>
      </c>
      <c r="M342" t="s">
        <v>1868</v>
      </c>
      <c r="N342" t="s">
        <v>119</v>
      </c>
      <c r="O342" t="s">
        <v>131</v>
      </c>
      <c r="P342" t="str">
        <f t="shared" si="149"/>
        <v>[1]</v>
      </c>
      <c r="Q342">
        <f t="shared" si="150"/>
        <v>32</v>
      </c>
      <c r="R342" t="str">
        <f t="shared" si="143"/>
        <v/>
      </c>
      <c r="S342">
        <f>SUMIF(O342:$O$2855,R342,Q342:$Q$2855)</f>
        <v>0</v>
      </c>
      <c r="AP342" s="4" t="s">
        <v>472</v>
      </c>
      <c r="AQ342" t="s">
        <v>479</v>
      </c>
      <c r="AR342" t="s">
        <v>4691</v>
      </c>
      <c r="AS342" t="s">
        <v>46</v>
      </c>
      <c r="AT342" t="s">
        <v>220</v>
      </c>
      <c r="AU342" t="str">
        <f t="shared" si="151"/>
        <v>[1]</v>
      </c>
      <c r="AV342">
        <f t="shared" si="152"/>
        <v>2</v>
      </c>
      <c r="AW342" t="str">
        <f t="shared" si="144"/>
        <v/>
      </c>
      <c r="AX342">
        <f>SUMIF(AT342:$AT$651,AW342,AV342:$AV$651)</f>
        <v>0</v>
      </c>
    </row>
    <row r="343" spans="1:50" x14ac:dyDescent="0.25">
      <c r="A343" s="4" t="s">
        <v>0</v>
      </c>
      <c r="B343" t="s">
        <v>449</v>
      </c>
      <c r="C343" t="s">
        <v>1800</v>
      </c>
      <c r="D343" t="s">
        <v>6</v>
      </c>
      <c r="E343" t="s">
        <v>179</v>
      </c>
      <c r="F343" t="str">
        <f t="shared" ref="F343:F379" si="153">VLOOKUP($A$310,$E$1:$F$26,2,FALSE)</f>
        <v>[7]</v>
      </c>
      <c r="G343">
        <f t="shared" si="148"/>
        <v>28</v>
      </c>
      <c r="H343" t="str">
        <f t="shared" si="147"/>
        <v>io_write.o</v>
      </c>
      <c r="I343">
        <f>SUMIF(E343:$E$379,H343,G343:$G$379)</f>
        <v>28</v>
      </c>
      <c r="K343" s="4" t="s">
        <v>421</v>
      </c>
      <c r="L343" t="s">
        <v>422</v>
      </c>
      <c r="M343" t="s">
        <v>3108</v>
      </c>
      <c r="N343" t="s">
        <v>44</v>
      </c>
      <c r="O343" t="s">
        <v>131</v>
      </c>
      <c r="P343" t="str">
        <f t="shared" si="149"/>
        <v>[1]</v>
      </c>
      <c r="Q343">
        <f t="shared" si="150"/>
        <v>44</v>
      </c>
      <c r="R343" t="str">
        <f t="shared" si="143"/>
        <v/>
      </c>
      <c r="S343">
        <f>SUMIF(O343:$O$2855,R343,Q343:$Q$2855)</f>
        <v>0</v>
      </c>
      <c r="AP343" s="4" t="s">
        <v>472</v>
      </c>
      <c r="AQ343" t="s">
        <v>479</v>
      </c>
      <c r="AR343" t="s">
        <v>2035</v>
      </c>
      <c r="AS343" t="s">
        <v>78</v>
      </c>
      <c r="AT343" t="s">
        <v>235</v>
      </c>
      <c r="AU343" t="str">
        <f t="shared" si="151"/>
        <v>[1]</v>
      </c>
      <c r="AV343">
        <f t="shared" si="152"/>
        <v>4</v>
      </c>
      <c r="AW343" t="str">
        <f t="shared" si="144"/>
        <v>radio.o</v>
      </c>
      <c r="AX343">
        <f>SUMIF(AT343:$AT$651,AW343,AV343:$AV$651)</f>
        <v>867</v>
      </c>
    </row>
    <row r="344" spans="1:50" x14ac:dyDescent="0.25">
      <c r="A344" s="4" t="s">
        <v>0</v>
      </c>
      <c r="B344" t="s">
        <v>449</v>
      </c>
      <c r="C344" t="s">
        <v>1420</v>
      </c>
      <c r="D344" t="s">
        <v>44</v>
      </c>
      <c r="E344" t="s">
        <v>45</v>
      </c>
      <c r="F344" t="str">
        <f t="shared" si="153"/>
        <v>[7]</v>
      </c>
      <c r="G344">
        <f t="shared" si="148"/>
        <v>44</v>
      </c>
      <c r="H344" t="str">
        <f t="shared" si="147"/>
        <v>k_assert.o</v>
      </c>
      <c r="I344">
        <f>SUMIF(E344:$E$379,H344,G344:$G$379)</f>
        <v>44</v>
      </c>
      <c r="K344" s="4" t="s">
        <v>421</v>
      </c>
      <c r="L344" t="s">
        <v>422</v>
      </c>
      <c r="M344" t="s">
        <v>3109</v>
      </c>
      <c r="N344" t="s">
        <v>76</v>
      </c>
      <c r="O344" t="s">
        <v>131</v>
      </c>
      <c r="P344" t="str">
        <f t="shared" si="149"/>
        <v>[1]</v>
      </c>
      <c r="Q344">
        <f t="shared" si="150"/>
        <v>36</v>
      </c>
      <c r="R344" t="str">
        <f t="shared" si="143"/>
        <v/>
      </c>
      <c r="S344">
        <f>SUMIF(O344:$O$2855,R344,Q344:$Q$2855)</f>
        <v>0</v>
      </c>
      <c r="AP344" s="4" t="s">
        <v>472</v>
      </c>
      <c r="AQ344" t="s">
        <v>479</v>
      </c>
      <c r="AR344" t="s">
        <v>2036</v>
      </c>
      <c r="AS344" t="s">
        <v>202</v>
      </c>
      <c r="AT344" t="s">
        <v>235</v>
      </c>
      <c r="AU344" t="str">
        <f t="shared" si="151"/>
        <v>[1]</v>
      </c>
      <c r="AV344">
        <f t="shared" si="152"/>
        <v>16</v>
      </c>
      <c r="AW344" t="str">
        <f t="shared" si="144"/>
        <v/>
      </c>
      <c r="AX344">
        <f>SUMIF(AT344:$AT$651,AW344,AV344:$AV$651)</f>
        <v>0</v>
      </c>
    </row>
    <row r="345" spans="1:50" x14ac:dyDescent="0.25">
      <c r="A345" s="4" t="s">
        <v>0</v>
      </c>
      <c r="B345" t="s">
        <v>449</v>
      </c>
      <c r="C345" t="s">
        <v>1390</v>
      </c>
      <c r="D345" t="s">
        <v>1236</v>
      </c>
      <c r="E345" t="s">
        <v>28</v>
      </c>
      <c r="F345" t="str">
        <f t="shared" si="153"/>
        <v>[7]</v>
      </c>
      <c r="G345">
        <f t="shared" si="148"/>
        <v>532</v>
      </c>
      <c r="H345" t="str">
        <f t="shared" si="147"/>
        <v>klog.o</v>
      </c>
      <c r="I345">
        <f>SUMIF(E345:$E$379,H345,G345:$G$379)</f>
        <v>532</v>
      </c>
      <c r="K345" s="4" t="s">
        <v>421</v>
      </c>
      <c r="L345" t="s">
        <v>422</v>
      </c>
      <c r="M345" t="s">
        <v>3110</v>
      </c>
      <c r="N345" t="s">
        <v>437</v>
      </c>
      <c r="O345" t="s">
        <v>131</v>
      </c>
      <c r="P345" t="str">
        <f t="shared" si="149"/>
        <v>[1]</v>
      </c>
      <c r="Q345">
        <f t="shared" si="150"/>
        <v>24</v>
      </c>
      <c r="R345" t="str">
        <f t="shared" si="143"/>
        <v/>
      </c>
      <c r="S345">
        <f>SUMIF(O345:$O$2855,R345,Q345:$Q$2855)</f>
        <v>0</v>
      </c>
      <c r="AP345" s="4" t="s">
        <v>472</v>
      </c>
      <c r="AQ345" t="s">
        <v>479</v>
      </c>
      <c r="AR345" t="s">
        <v>2037</v>
      </c>
      <c r="AS345" t="s">
        <v>4482</v>
      </c>
      <c r="AT345" t="s">
        <v>235</v>
      </c>
      <c r="AU345" t="str">
        <f t="shared" si="151"/>
        <v>[1]</v>
      </c>
      <c r="AV345">
        <f t="shared" si="152"/>
        <v>692</v>
      </c>
      <c r="AW345" t="str">
        <f t="shared" si="144"/>
        <v/>
      </c>
      <c r="AX345">
        <f>SUMIF(AT345:$AT$651,AW345,AV345:$AV$651)</f>
        <v>0</v>
      </c>
    </row>
    <row r="346" spans="1:50" x14ac:dyDescent="0.25">
      <c r="A346" s="4" t="s">
        <v>0</v>
      </c>
      <c r="B346" t="s">
        <v>449</v>
      </c>
      <c r="C346" t="s">
        <v>1421</v>
      </c>
      <c r="D346" t="s">
        <v>327</v>
      </c>
      <c r="E346" t="s">
        <v>328</v>
      </c>
      <c r="F346" t="str">
        <f t="shared" si="153"/>
        <v>[7]</v>
      </c>
      <c r="G346">
        <f t="shared" ref="G346:G379" si="154">HEX2DEC(MID(D346,3,LEN(D346)-2))</f>
        <v>1044</v>
      </c>
      <c r="H346" t="str">
        <f t="shared" si="147"/>
        <v>lwevent.o</v>
      </c>
      <c r="I346">
        <f>SUMIF(E346:$E$379,H346,G346:$G$379)</f>
        <v>1044</v>
      </c>
      <c r="K346" s="4" t="s">
        <v>421</v>
      </c>
      <c r="L346" t="s">
        <v>422</v>
      </c>
      <c r="M346" t="s">
        <v>3111</v>
      </c>
      <c r="N346" t="s">
        <v>437</v>
      </c>
      <c r="O346" t="s">
        <v>131</v>
      </c>
      <c r="P346" t="str">
        <f t="shared" si="149"/>
        <v>[1]</v>
      </c>
      <c r="Q346">
        <f t="shared" si="150"/>
        <v>24</v>
      </c>
      <c r="R346" t="str">
        <f t="shared" si="143"/>
        <v/>
      </c>
      <c r="S346">
        <f>SUMIF(O346:$O$2855,R346,Q346:$Q$2855)</f>
        <v>0</v>
      </c>
      <c r="AP346" s="4" t="s">
        <v>472</v>
      </c>
      <c r="AQ346" t="s">
        <v>479</v>
      </c>
      <c r="AR346" t="s">
        <v>2038</v>
      </c>
      <c r="AS346" t="s">
        <v>78</v>
      </c>
      <c r="AT346" t="s">
        <v>235</v>
      </c>
      <c r="AU346" t="str">
        <f t="shared" si="151"/>
        <v>[1]</v>
      </c>
      <c r="AV346">
        <f t="shared" si="152"/>
        <v>4</v>
      </c>
      <c r="AW346" t="str">
        <f t="shared" si="144"/>
        <v/>
      </c>
      <c r="AX346">
        <f>SUMIF(AT346:$AT$651,AW346,AV346:$AV$651)</f>
        <v>0</v>
      </c>
    </row>
    <row r="347" spans="1:50" x14ac:dyDescent="0.25">
      <c r="A347" s="4" t="s">
        <v>0</v>
      </c>
      <c r="B347" t="s">
        <v>449</v>
      </c>
      <c r="C347" t="s">
        <v>1391</v>
      </c>
      <c r="D347" t="s">
        <v>73</v>
      </c>
      <c r="E347" t="s">
        <v>74</v>
      </c>
      <c r="F347" t="str">
        <f t="shared" si="153"/>
        <v>[7]</v>
      </c>
      <c r="G347">
        <f t="shared" si="154"/>
        <v>272</v>
      </c>
      <c r="H347" t="str">
        <f t="shared" si="147"/>
        <v>lwlog.o</v>
      </c>
      <c r="I347">
        <f>SUMIF(E347:$E$379,H347,G347:$G$379)</f>
        <v>272</v>
      </c>
      <c r="K347" s="4" t="s">
        <v>421</v>
      </c>
      <c r="L347" t="s">
        <v>422</v>
      </c>
      <c r="M347" t="s">
        <v>3112</v>
      </c>
      <c r="N347" t="s">
        <v>437</v>
      </c>
      <c r="O347" t="s">
        <v>131</v>
      </c>
      <c r="P347" t="str">
        <f t="shared" si="149"/>
        <v>[1]</v>
      </c>
      <c r="Q347">
        <f t="shared" si="150"/>
        <v>24</v>
      </c>
      <c r="R347" t="str">
        <f t="shared" si="143"/>
        <v/>
      </c>
      <c r="S347">
        <f>SUMIF(O347:$O$2855,R347,Q347:$Q$2855)</f>
        <v>0</v>
      </c>
      <c r="AP347" s="4" t="s">
        <v>472</v>
      </c>
      <c r="AQ347" t="s">
        <v>479</v>
      </c>
      <c r="AR347" t="s">
        <v>2039</v>
      </c>
      <c r="AS347" t="s">
        <v>78</v>
      </c>
      <c r="AT347" t="s">
        <v>235</v>
      </c>
      <c r="AU347" t="str">
        <f t="shared" si="151"/>
        <v>[1]</v>
      </c>
      <c r="AV347">
        <f t="shared" si="152"/>
        <v>4</v>
      </c>
      <c r="AW347" t="str">
        <f t="shared" si="144"/>
        <v/>
      </c>
      <c r="AX347">
        <f>SUMIF(AT347:$AT$651,AW347,AV347:$AV$651)</f>
        <v>0</v>
      </c>
    </row>
    <row r="348" spans="1:50" x14ac:dyDescent="0.25">
      <c r="A348" s="4" t="s">
        <v>0</v>
      </c>
      <c r="B348" t="s">
        <v>449</v>
      </c>
      <c r="C348" t="s">
        <v>1388</v>
      </c>
      <c r="D348" t="s">
        <v>1103</v>
      </c>
      <c r="E348" t="s">
        <v>1105</v>
      </c>
      <c r="F348" t="str">
        <f t="shared" si="153"/>
        <v>[7]</v>
      </c>
      <c r="G348">
        <f t="shared" si="154"/>
        <v>2096</v>
      </c>
      <c r="H348" t="str">
        <f t="shared" si="147"/>
        <v>lwmem.o</v>
      </c>
      <c r="I348">
        <f>SUMIF(E348:$E$379,H348,G348:$G$379)</f>
        <v>2096</v>
      </c>
      <c r="K348" s="4" t="s">
        <v>421</v>
      </c>
      <c r="L348" t="s">
        <v>422</v>
      </c>
      <c r="M348" t="s">
        <v>3113</v>
      </c>
      <c r="N348" t="s">
        <v>165</v>
      </c>
      <c r="O348" t="s">
        <v>131</v>
      </c>
      <c r="P348" t="str">
        <f t="shared" si="149"/>
        <v>[1]</v>
      </c>
      <c r="Q348">
        <f t="shared" si="150"/>
        <v>20</v>
      </c>
      <c r="R348" t="str">
        <f t="shared" si="143"/>
        <v/>
      </c>
      <c r="S348">
        <f>SUMIF(O348:$O$2855,R348,Q348:$Q$2855)</f>
        <v>0</v>
      </c>
      <c r="AP348" s="4" t="s">
        <v>472</v>
      </c>
      <c r="AQ348" t="s">
        <v>479</v>
      </c>
      <c r="AR348" t="s">
        <v>4483</v>
      </c>
      <c r="AS348" t="s">
        <v>67</v>
      </c>
      <c r="AT348" t="s">
        <v>235</v>
      </c>
      <c r="AU348" t="str">
        <f t="shared" si="151"/>
        <v>[1]</v>
      </c>
      <c r="AV348">
        <f t="shared" si="152"/>
        <v>48</v>
      </c>
      <c r="AW348" t="str">
        <f t="shared" si="144"/>
        <v/>
      </c>
      <c r="AX348">
        <f>SUMIF(AT348:$AT$651,AW348,AV348:$AV$651)</f>
        <v>0</v>
      </c>
    </row>
    <row r="349" spans="1:50" x14ac:dyDescent="0.25">
      <c r="A349" s="4" t="s">
        <v>0</v>
      </c>
      <c r="B349" t="s">
        <v>449</v>
      </c>
      <c r="C349" t="s">
        <v>1412</v>
      </c>
      <c r="D349" t="s">
        <v>42</v>
      </c>
      <c r="E349" t="s">
        <v>43</v>
      </c>
      <c r="F349" t="str">
        <f t="shared" si="153"/>
        <v>[7]</v>
      </c>
      <c r="G349">
        <f t="shared" si="154"/>
        <v>1184</v>
      </c>
      <c r="H349" t="str">
        <f t="shared" si="147"/>
        <v>lwsem.o</v>
      </c>
      <c r="I349">
        <f>SUMIF(E349:$E$379,H349,G349:$G$379)</f>
        <v>1184</v>
      </c>
      <c r="K349" s="4" t="s">
        <v>421</v>
      </c>
      <c r="L349" t="s">
        <v>422</v>
      </c>
      <c r="M349" t="s">
        <v>3114</v>
      </c>
      <c r="N349" t="s">
        <v>165</v>
      </c>
      <c r="O349" t="s">
        <v>131</v>
      </c>
      <c r="P349" t="str">
        <f t="shared" si="149"/>
        <v>[1]</v>
      </c>
      <c r="Q349">
        <f t="shared" si="150"/>
        <v>20</v>
      </c>
      <c r="R349" t="str">
        <f t="shared" si="143"/>
        <v/>
      </c>
      <c r="S349">
        <f>SUMIF(O349:$O$2855,R349,Q349:$Q$2855)</f>
        <v>0</v>
      </c>
      <c r="AP349" s="4" t="s">
        <v>472</v>
      </c>
      <c r="AQ349" t="s">
        <v>479</v>
      </c>
      <c r="AR349" t="s">
        <v>2040</v>
      </c>
      <c r="AS349" t="s">
        <v>78</v>
      </c>
      <c r="AT349" t="s">
        <v>235</v>
      </c>
      <c r="AU349" t="str">
        <f t="shared" si="151"/>
        <v>[1]</v>
      </c>
      <c r="AV349">
        <f t="shared" si="152"/>
        <v>4</v>
      </c>
      <c r="AW349" t="str">
        <f t="shared" si="144"/>
        <v/>
      </c>
      <c r="AX349">
        <f>SUMIF(AT349:$AT$651,AW349,AV349:$AV$651)</f>
        <v>0</v>
      </c>
    </row>
    <row r="350" spans="1:50" x14ac:dyDescent="0.25">
      <c r="A350" s="4" t="s">
        <v>0</v>
      </c>
      <c r="B350" t="s">
        <v>449</v>
      </c>
      <c r="C350" t="s">
        <v>1410</v>
      </c>
      <c r="D350" t="s">
        <v>1097</v>
      </c>
      <c r="E350" t="s">
        <v>106</v>
      </c>
      <c r="F350" t="str">
        <f t="shared" si="153"/>
        <v>[7]</v>
      </c>
      <c r="G350">
        <f t="shared" si="154"/>
        <v>912</v>
      </c>
      <c r="H350" t="str">
        <f t="shared" si="147"/>
        <v>mqx.o</v>
      </c>
      <c r="I350">
        <f>SUMIF(E350:$E$379,H350,G350:$G$379)</f>
        <v>912</v>
      </c>
      <c r="K350" s="4" t="s">
        <v>421</v>
      </c>
      <c r="L350" t="s">
        <v>422</v>
      </c>
      <c r="M350" t="s">
        <v>3115</v>
      </c>
      <c r="N350" t="s">
        <v>165</v>
      </c>
      <c r="O350" t="s">
        <v>131</v>
      </c>
      <c r="P350" t="str">
        <f t="shared" si="149"/>
        <v>[1]</v>
      </c>
      <c r="Q350">
        <f t="shared" si="150"/>
        <v>20</v>
      </c>
      <c r="R350" t="str">
        <f t="shared" si="143"/>
        <v/>
      </c>
      <c r="S350">
        <f>SUMIF(O350:$O$2855,R350,Q350:$Q$2855)</f>
        <v>0</v>
      </c>
      <c r="AP350" s="4" t="s">
        <v>472</v>
      </c>
      <c r="AQ350" t="s">
        <v>479</v>
      </c>
      <c r="AR350" t="s">
        <v>2041</v>
      </c>
      <c r="AS350" t="s">
        <v>78</v>
      </c>
      <c r="AT350" t="s">
        <v>235</v>
      </c>
      <c r="AU350" t="str">
        <f t="shared" si="151"/>
        <v>[1]</v>
      </c>
      <c r="AV350">
        <f t="shared" si="152"/>
        <v>4</v>
      </c>
      <c r="AW350" t="str">
        <f t="shared" si="144"/>
        <v/>
      </c>
      <c r="AX350">
        <f>SUMIF(AT350:$AT$651,AW350,AV350:$AV$651)</f>
        <v>0</v>
      </c>
    </row>
    <row r="351" spans="1:50" x14ac:dyDescent="0.25">
      <c r="A351" s="4" t="s">
        <v>0</v>
      </c>
      <c r="B351" t="s">
        <v>449</v>
      </c>
      <c r="C351" t="s">
        <v>1435</v>
      </c>
      <c r="D351" t="s">
        <v>16</v>
      </c>
      <c r="E351" t="s">
        <v>176</v>
      </c>
      <c r="F351" t="str">
        <f t="shared" si="153"/>
        <v>[7]</v>
      </c>
      <c r="G351">
        <f t="shared" si="154"/>
        <v>1528</v>
      </c>
      <c r="H351" t="str">
        <f t="shared" si="147"/>
        <v>mutex.o</v>
      </c>
      <c r="I351">
        <f>SUMIF(E351:$E$379,H351,G351:$G$379)</f>
        <v>1528</v>
      </c>
      <c r="K351" s="4" t="s">
        <v>421</v>
      </c>
      <c r="L351" t="s">
        <v>422</v>
      </c>
      <c r="M351" t="s">
        <v>3116</v>
      </c>
      <c r="N351" t="s">
        <v>147</v>
      </c>
      <c r="O351" t="s">
        <v>131</v>
      </c>
      <c r="P351" t="str">
        <f t="shared" si="149"/>
        <v>[1]</v>
      </c>
      <c r="Q351">
        <f t="shared" si="150"/>
        <v>72</v>
      </c>
      <c r="R351" t="str">
        <f t="shared" si="143"/>
        <v/>
      </c>
      <c r="S351">
        <f>SUMIF(O351:$O$2855,R351,Q351:$Q$2855)</f>
        <v>0</v>
      </c>
      <c r="AP351" s="4" t="s">
        <v>472</v>
      </c>
      <c r="AQ351" t="s">
        <v>479</v>
      </c>
      <c r="AR351" t="s">
        <v>2042</v>
      </c>
      <c r="AS351" t="s">
        <v>78</v>
      </c>
      <c r="AT351" t="s">
        <v>235</v>
      </c>
      <c r="AU351" t="str">
        <f t="shared" si="151"/>
        <v>[1]</v>
      </c>
      <c r="AV351">
        <f t="shared" si="152"/>
        <v>4</v>
      </c>
      <c r="AW351" t="str">
        <f t="shared" si="144"/>
        <v/>
      </c>
      <c r="AX351">
        <f>SUMIF(AT351:$AT$651,AW351,AV351:$AV$651)</f>
        <v>0</v>
      </c>
    </row>
    <row r="352" spans="1:50" x14ac:dyDescent="0.25">
      <c r="A352" s="4" t="s">
        <v>0</v>
      </c>
      <c r="B352" t="s">
        <v>449</v>
      </c>
      <c r="C352" t="s">
        <v>1418</v>
      </c>
      <c r="D352" t="s">
        <v>250</v>
      </c>
      <c r="E352" t="s">
        <v>293</v>
      </c>
      <c r="F352" t="str">
        <f t="shared" si="153"/>
        <v>[7]</v>
      </c>
      <c r="G352">
        <f t="shared" si="154"/>
        <v>140</v>
      </c>
      <c r="H352" t="str">
        <f t="shared" si="147"/>
        <v>nvic.o</v>
      </c>
      <c r="I352">
        <f>SUMIF(E352:$E$379,H352,G352:$G$379)</f>
        <v>140</v>
      </c>
      <c r="K352" s="4" t="s">
        <v>421</v>
      </c>
      <c r="L352" t="s">
        <v>422</v>
      </c>
      <c r="M352" t="s">
        <v>3117</v>
      </c>
      <c r="N352" t="s">
        <v>202</v>
      </c>
      <c r="O352" t="s">
        <v>131</v>
      </c>
      <c r="P352" t="str">
        <f t="shared" si="149"/>
        <v>[1]</v>
      </c>
      <c r="Q352">
        <f t="shared" si="150"/>
        <v>16</v>
      </c>
      <c r="R352" t="str">
        <f t="shared" ref="R352:R415" si="155">IF(O352&lt;&gt;O351,O352,"")</f>
        <v/>
      </c>
      <c r="S352">
        <f>SUMIF(O352:$O$2855,R352,Q352:$Q$2855)</f>
        <v>0</v>
      </c>
      <c r="AP352" s="4" t="s">
        <v>472</v>
      </c>
      <c r="AQ352" t="s">
        <v>479</v>
      </c>
      <c r="AR352" t="s">
        <v>4484</v>
      </c>
      <c r="AS352" t="s">
        <v>275</v>
      </c>
      <c r="AT352" t="s">
        <v>235</v>
      </c>
      <c r="AU352" t="str">
        <f t="shared" si="151"/>
        <v>[1]</v>
      </c>
      <c r="AV352">
        <f t="shared" si="152"/>
        <v>80</v>
      </c>
      <c r="AW352" t="str">
        <f t="shared" ref="AW352:AW415" si="156">IF(AT352&lt;&gt;AT351,AT352,"")</f>
        <v/>
      </c>
      <c r="AX352">
        <f>SUMIF(AT352:$AT$651,AW352,AV352:$AV$651)</f>
        <v>0</v>
      </c>
    </row>
    <row r="353" spans="1:50" x14ac:dyDescent="0.25">
      <c r="A353" s="4" t="s">
        <v>0</v>
      </c>
      <c r="B353" t="s">
        <v>449</v>
      </c>
      <c r="C353" t="s">
        <v>1432</v>
      </c>
      <c r="D353" t="s">
        <v>212</v>
      </c>
      <c r="E353" t="s">
        <v>265</v>
      </c>
      <c r="F353" t="str">
        <f t="shared" si="153"/>
        <v>[7]</v>
      </c>
      <c r="G353">
        <f t="shared" si="154"/>
        <v>18</v>
      </c>
      <c r="H353" t="str">
        <f t="shared" si="147"/>
        <v>psp_iinit.o</v>
      </c>
      <c r="I353">
        <f>SUMIF(E353:$E$379,H353,G353:$G$379)</f>
        <v>18</v>
      </c>
      <c r="K353" s="4" t="s">
        <v>421</v>
      </c>
      <c r="L353" t="s">
        <v>422</v>
      </c>
      <c r="M353" t="s">
        <v>3118</v>
      </c>
      <c r="N353" t="s">
        <v>126</v>
      </c>
      <c r="O353" t="s">
        <v>131</v>
      </c>
      <c r="P353" t="str">
        <f t="shared" si="149"/>
        <v>[1]</v>
      </c>
      <c r="Q353">
        <f t="shared" si="150"/>
        <v>8</v>
      </c>
      <c r="R353" t="str">
        <f t="shared" si="155"/>
        <v/>
      </c>
      <c r="S353">
        <f>SUMIF(O353:$O$2855,R353,Q353:$Q$2855)</f>
        <v>0</v>
      </c>
      <c r="AP353" s="4" t="s">
        <v>472</v>
      </c>
      <c r="AQ353" t="s">
        <v>479</v>
      </c>
      <c r="AR353" t="s">
        <v>2049</v>
      </c>
      <c r="AS353" t="s">
        <v>442</v>
      </c>
      <c r="AT353" t="s">
        <v>235</v>
      </c>
      <c r="AU353" t="str">
        <f t="shared" si="151"/>
        <v>[1]</v>
      </c>
      <c r="AV353">
        <f t="shared" si="152"/>
        <v>1</v>
      </c>
      <c r="AW353" t="str">
        <f t="shared" si="156"/>
        <v/>
      </c>
      <c r="AX353">
        <f>SUMIF(AT353:$AT$651,AW353,AV353:$AV$651)</f>
        <v>0</v>
      </c>
    </row>
    <row r="354" spans="1:50" x14ac:dyDescent="0.25">
      <c r="A354" s="4" t="s">
        <v>0</v>
      </c>
      <c r="B354" t="s">
        <v>449</v>
      </c>
      <c r="C354" t="s">
        <v>1406</v>
      </c>
      <c r="D354" t="s">
        <v>250</v>
      </c>
      <c r="E354" t="s">
        <v>251</v>
      </c>
      <c r="F354" t="str">
        <f t="shared" si="153"/>
        <v>[7]</v>
      </c>
      <c r="G354">
        <f t="shared" si="154"/>
        <v>140</v>
      </c>
      <c r="H354" t="str">
        <f t="shared" si="147"/>
        <v>psp_mat1.o</v>
      </c>
      <c r="I354">
        <f>SUMIF(E354:$E$379,H354,G354:$G$379)</f>
        <v>140</v>
      </c>
      <c r="K354" s="4" t="s">
        <v>421</v>
      </c>
      <c r="L354" t="s">
        <v>422</v>
      </c>
      <c r="M354" t="s">
        <v>3119</v>
      </c>
      <c r="N354" t="s">
        <v>65</v>
      </c>
      <c r="O354" t="s">
        <v>131</v>
      </c>
      <c r="P354" t="str">
        <f t="shared" si="149"/>
        <v>[1]</v>
      </c>
      <c r="Q354">
        <f t="shared" si="150"/>
        <v>40</v>
      </c>
      <c r="R354" t="str">
        <f t="shared" si="155"/>
        <v/>
      </c>
      <c r="S354">
        <f>SUMIF(O354:$O$2855,R354,Q354:$Q$2855)</f>
        <v>0</v>
      </c>
      <c r="AP354" s="4" t="s">
        <v>472</v>
      </c>
      <c r="AQ354" t="s">
        <v>479</v>
      </c>
      <c r="AR354" t="s">
        <v>2050</v>
      </c>
      <c r="AS354" t="s">
        <v>442</v>
      </c>
      <c r="AT354" t="s">
        <v>235</v>
      </c>
      <c r="AU354" t="str">
        <f t="shared" si="151"/>
        <v>[1]</v>
      </c>
      <c r="AV354">
        <f t="shared" si="152"/>
        <v>1</v>
      </c>
      <c r="AW354" t="str">
        <f t="shared" si="156"/>
        <v/>
      </c>
      <c r="AX354">
        <f>SUMIF(AT354:$AT$651,AW354,AV354:$AV$651)</f>
        <v>0</v>
      </c>
    </row>
    <row r="355" spans="1:50" x14ac:dyDescent="0.25">
      <c r="A355" s="4" t="s">
        <v>0</v>
      </c>
      <c r="B355" t="s">
        <v>449</v>
      </c>
      <c r="C355" t="s">
        <v>1408</v>
      </c>
      <c r="D355" t="s">
        <v>253</v>
      </c>
      <c r="E355" t="s">
        <v>254</v>
      </c>
      <c r="F355" t="str">
        <f t="shared" si="153"/>
        <v>[7]</v>
      </c>
      <c r="G355">
        <f t="shared" si="154"/>
        <v>152</v>
      </c>
      <c r="H355" t="str">
        <f t="shared" si="147"/>
        <v>psp_mat2.o</v>
      </c>
      <c r="I355">
        <f>SUMIF(E355:$E$379,H355,G355:$G$379)</f>
        <v>152</v>
      </c>
      <c r="K355" s="4" t="s">
        <v>421</v>
      </c>
      <c r="L355" t="s">
        <v>422</v>
      </c>
      <c r="M355" t="s">
        <v>3120</v>
      </c>
      <c r="N355" t="s">
        <v>437</v>
      </c>
      <c r="O355" t="s">
        <v>131</v>
      </c>
      <c r="P355" t="str">
        <f t="shared" si="149"/>
        <v>[1]</v>
      </c>
      <c r="Q355">
        <f t="shared" si="150"/>
        <v>24</v>
      </c>
      <c r="R355" t="str">
        <f t="shared" si="155"/>
        <v/>
      </c>
      <c r="S355">
        <f>SUMIF(O355:$O$2855,R355,Q355:$Q$2855)</f>
        <v>0</v>
      </c>
      <c r="AP355" s="4" t="s">
        <v>472</v>
      </c>
      <c r="AQ355" t="s">
        <v>479</v>
      </c>
      <c r="AR355" t="s">
        <v>2051</v>
      </c>
      <c r="AS355" t="s">
        <v>442</v>
      </c>
      <c r="AT355" t="s">
        <v>235</v>
      </c>
      <c r="AU355" t="str">
        <f t="shared" si="151"/>
        <v>[1]</v>
      </c>
      <c r="AV355">
        <f t="shared" si="152"/>
        <v>1</v>
      </c>
      <c r="AW355" t="str">
        <f t="shared" si="156"/>
        <v/>
      </c>
      <c r="AX355">
        <f>SUMIF(AT355:$AT$651,AW355,AV355:$AV$651)</f>
        <v>0</v>
      </c>
    </row>
    <row r="356" spans="1:50" x14ac:dyDescent="0.25">
      <c r="A356" s="4" t="s">
        <v>0</v>
      </c>
      <c r="B356" t="s">
        <v>449</v>
      </c>
      <c r="C356" t="s">
        <v>1407</v>
      </c>
      <c r="D356" t="s">
        <v>44</v>
      </c>
      <c r="E356" t="s">
        <v>252</v>
      </c>
      <c r="F356" t="str">
        <f t="shared" si="153"/>
        <v>[7]</v>
      </c>
      <c r="G356">
        <f t="shared" si="154"/>
        <v>44</v>
      </c>
      <c r="H356" t="str">
        <f t="shared" si="147"/>
        <v>psp_mat3.o</v>
      </c>
      <c r="I356">
        <f>SUMIF(E356:$E$379,H356,G356:$G$379)</f>
        <v>44</v>
      </c>
      <c r="K356" s="4" t="s">
        <v>421</v>
      </c>
      <c r="L356" t="s">
        <v>422</v>
      </c>
      <c r="M356" t="s">
        <v>3121</v>
      </c>
      <c r="N356" t="s">
        <v>13</v>
      </c>
      <c r="O356" t="s">
        <v>131</v>
      </c>
      <c r="P356" t="str">
        <f t="shared" si="149"/>
        <v>[1]</v>
      </c>
      <c r="Q356">
        <f t="shared" si="150"/>
        <v>12</v>
      </c>
      <c r="R356" t="str">
        <f t="shared" si="155"/>
        <v/>
      </c>
      <c r="S356">
        <f>SUMIF(O356:$O$2855,R356,Q356:$Q$2855)</f>
        <v>0</v>
      </c>
      <c r="AP356" s="4" t="s">
        <v>472</v>
      </c>
      <c r="AQ356" t="s">
        <v>479</v>
      </c>
      <c r="AR356" t="s">
        <v>2052</v>
      </c>
      <c r="AS356" t="s">
        <v>442</v>
      </c>
      <c r="AT356" t="s">
        <v>235</v>
      </c>
      <c r="AU356" t="str">
        <f t="shared" si="151"/>
        <v>[1]</v>
      </c>
      <c r="AV356">
        <f t="shared" si="152"/>
        <v>1</v>
      </c>
      <c r="AW356" t="str">
        <f t="shared" si="156"/>
        <v/>
      </c>
      <c r="AX356">
        <f>SUMIF(AT356:$AT$651,AW356,AV356:$AV$651)</f>
        <v>0</v>
      </c>
    </row>
    <row r="357" spans="1:50" x14ac:dyDescent="0.25">
      <c r="A357" s="4" t="s">
        <v>0</v>
      </c>
      <c r="B357" t="s">
        <v>449</v>
      </c>
      <c r="C357" t="s">
        <v>1394</v>
      </c>
      <c r="D357" t="s">
        <v>139</v>
      </c>
      <c r="E357" t="s">
        <v>140</v>
      </c>
      <c r="F357" t="str">
        <f t="shared" si="153"/>
        <v>[7]</v>
      </c>
      <c r="G357">
        <f t="shared" si="154"/>
        <v>96</v>
      </c>
      <c r="H357" t="str">
        <f t="shared" si="147"/>
        <v>psp_msti.o</v>
      </c>
      <c r="I357">
        <f>SUMIF(E357:$E$379,H357,G357:$G$379)</f>
        <v>96</v>
      </c>
      <c r="K357" s="4" t="s">
        <v>421</v>
      </c>
      <c r="L357" t="s">
        <v>422</v>
      </c>
      <c r="M357" t="s">
        <v>3122</v>
      </c>
      <c r="N357" t="s">
        <v>13</v>
      </c>
      <c r="O357" t="s">
        <v>131</v>
      </c>
      <c r="P357" t="str">
        <f t="shared" si="149"/>
        <v>[1]</v>
      </c>
      <c r="Q357">
        <f t="shared" si="150"/>
        <v>12</v>
      </c>
      <c r="R357" t="str">
        <f t="shared" si="155"/>
        <v/>
      </c>
      <c r="S357">
        <f>SUMIF(O357:$O$2855,R357,Q357:$Q$2855)</f>
        <v>0</v>
      </c>
      <c r="AP357" s="4" t="s">
        <v>472</v>
      </c>
      <c r="AQ357" t="s">
        <v>479</v>
      </c>
      <c r="AR357" t="s">
        <v>2053</v>
      </c>
      <c r="AS357" t="s">
        <v>442</v>
      </c>
      <c r="AT357" t="s">
        <v>235</v>
      </c>
      <c r="AU357" t="str">
        <f t="shared" si="151"/>
        <v>[1]</v>
      </c>
      <c r="AV357">
        <f t="shared" si="152"/>
        <v>1</v>
      </c>
      <c r="AW357" t="str">
        <f t="shared" si="156"/>
        <v/>
      </c>
      <c r="AX357">
        <f>SUMIF(AT357:$AT$651,AW357,AV357:$AV$651)</f>
        <v>0</v>
      </c>
    </row>
    <row r="358" spans="1:50" x14ac:dyDescent="0.25">
      <c r="A358" s="4" t="s">
        <v>0</v>
      </c>
      <c r="B358" t="s">
        <v>449</v>
      </c>
      <c r="C358" t="s">
        <v>1396</v>
      </c>
      <c r="D358" t="s">
        <v>141</v>
      </c>
      <c r="E358" t="s">
        <v>142</v>
      </c>
      <c r="F358" t="str">
        <f t="shared" si="153"/>
        <v>[7]</v>
      </c>
      <c r="G358">
        <f t="shared" si="154"/>
        <v>104</v>
      </c>
      <c r="H358" t="str">
        <f t="shared" si="147"/>
        <v>psp_mstiq.o</v>
      </c>
      <c r="I358">
        <f>SUMIF(E358:$E$379,H358,G358:$G$379)</f>
        <v>104</v>
      </c>
      <c r="K358" s="4" t="s">
        <v>421</v>
      </c>
      <c r="L358" t="s">
        <v>422</v>
      </c>
      <c r="M358" t="s">
        <v>3123</v>
      </c>
      <c r="N358" t="s">
        <v>13</v>
      </c>
      <c r="O358" t="s">
        <v>131</v>
      </c>
      <c r="P358" t="str">
        <f t="shared" si="149"/>
        <v>[1]</v>
      </c>
      <c r="Q358">
        <f t="shared" si="150"/>
        <v>12</v>
      </c>
      <c r="R358" t="str">
        <f t="shared" si="155"/>
        <v/>
      </c>
      <c r="S358">
        <f>SUMIF(O358:$O$2855,R358,Q358:$Q$2855)</f>
        <v>0</v>
      </c>
      <c r="AP358" s="4" t="s">
        <v>472</v>
      </c>
      <c r="AQ358" t="s">
        <v>479</v>
      </c>
      <c r="AR358" t="s">
        <v>2054</v>
      </c>
      <c r="AS358" t="s">
        <v>442</v>
      </c>
      <c r="AT358" t="s">
        <v>235</v>
      </c>
      <c r="AU358" t="str">
        <f t="shared" si="151"/>
        <v>[1]</v>
      </c>
      <c r="AV358">
        <f t="shared" si="152"/>
        <v>1</v>
      </c>
      <c r="AW358" t="str">
        <f t="shared" si="156"/>
        <v/>
      </c>
      <c r="AX358">
        <f>SUMIF(AT358:$AT$651,AW358,AV358:$AV$651)</f>
        <v>0</v>
      </c>
    </row>
    <row r="359" spans="1:50" x14ac:dyDescent="0.25">
      <c r="A359" s="4" t="s">
        <v>0</v>
      </c>
      <c r="B359" t="s">
        <v>449</v>
      </c>
      <c r="C359" t="s">
        <v>1409</v>
      </c>
      <c r="D359" t="s">
        <v>6</v>
      </c>
      <c r="E359" t="s">
        <v>255</v>
      </c>
      <c r="F359" t="str">
        <f t="shared" si="153"/>
        <v>[7]</v>
      </c>
      <c r="G359">
        <f t="shared" si="154"/>
        <v>28</v>
      </c>
      <c r="H359" t="str">
        <f t="shared" si="147"/>
        <v>psp_seti.o</v>
      </c>
      <c r="I359">
        <f>SUMIF(E359:$E$379,H359,G359:$G$379)</f>
        <v>28</v>
      </c>
      <c r="K359" s="4" t="s">
        <v>421</v>
      </c>
      <c r="L359" t="s">
        <v>422</v>
      </c>
      <c r="M359" t="s">
        <v>3124</v>
      </c>
      <c r="N359" t="s">
        <v>13</v>
      </c>
      <c r="O359" t="s">
        <v>131</v>
      </c>
      <c r="P359" t="str">
        <f t="shared" si="149"/>
        <v>[1]</v>
      </c>
      <c r="Q359">
        <f t="shared" si="150"/>
        <v>12</v>
      </c>
      <c r="R359" t="str">
        <f t="shared" si="155"/>
        <v/>
      </c>
      <c r="S359">
        <f>SUMIF(O359:$O$2855,R359,Q359:$Q$2855)</f>
        <v>0</v>
      </c>
      <c r="AP359" s="4" t="s">
        <v>472</v>
      </c>
      <c r="AQ359" t="s">
        <v>479</v>
      </c>
      <c r="AR359" t="s">
        <v>4492</v>
      </c>
      <c r="AS359" t="s">
        <v>442</v>
      </c>
      <c r="AT359" t="s">
        <v>235</v>
      </c>
      <c r="AU359" t="str">
        <f t="shared" si="151"/>
        <v>[1]</v>
      </c>
      <c r="AV359">
        <f t="shared" si="152"/>
        <v>1</v>
      </c>
      <c r="AW359" t="str">
        <f t="shared" si="156"/>
        <v/>
      </c>
      <c r="AX359">
        <f>SUMIF(AT359:$AT$651,AW359,AV359:$AV$651)</f>
        <v>0</v>
      </c>
    </row>
    <row r="360" spans="1:50" x14ac:dyDescent="0.25">
      <c r="A360" s="4" t="s">
        <v>0</v>
      </c>
      <c r="B360" t="s">
        <v>449</v>
      </c>
      <c r="C360" t="s">
        <v>1393</v>
      </c>
      <c r="D360" t="s">
        <v>103</v>
      </c>
      <c r="E360" t="s">
        <v>105</v>
      </c>
      <c r="F360" t="str">
        <f t="shared" si="153"/>
        <v>[7]</v>
      </c>
      <c r="G360">
        <f t="shared" si="154"/>
        <v>64</v>
      </c>
      <c r="H360" t="str">
        <f t="shared" si="147"/>
        <v>psp_tiad.o</v>
      </c>
      <c r="I360">
        <f>SUMIF(E360:$E$379,H360,G360:$G$379)</f>
        <v>64</v>
      </c>
      <c r="K360" s="4" t="s">
        <v>421</v>
      </c>
      <c r="L360" t="s">
        <v>422</v>
      </c>
      <c r="M360" t="s">
        <v>1869</v>
      </c>
      <c r="N360" t="s">
        <v>119</v>
      </c>
      <c r="O360" t="s">
        <v>131</v>
      </c>
      <c r="P360" t="str">
        <f t="shared" si="149"/>
        <v>[1]</v>
      </c>
      <c r="Q360">
        <f t="shared" si="150"/>
        <v>32</v>
      </c>
      <c r="R360" t="str">
        <f t="shared" si="155"/>
        <v/>
      </c>
      <c r="S360">
        <f>SUMIF(O360:$O$2855,R360,Q360:$Q$2855)</f>
        <v>0</v>
      </c>
      <c r="AP360" s="4" t="s">
        <v>472</v>
      </c>
      <c r="AQ360" t="s">
        <v>479</v>
      </c>
      <c r="AR360" t="s">
        <v>4493</v>
      </c>
      <c r="AS360" t="s">
        <v>442</v>
      </c>
      <c r="AT360" t="s">
        <v>316</v>
      </c>
      <c r="AU360" t="str">
        <f t="shared" si="151"/>
        <v>[1]</v>
      </c>
      <c r="AV360">
        <f t="shared" si="152"/>
        <v>1</v>
      </c>
      <c r="AW360" t="str">
        <f t="shared" si="156"/>
        <v>radio_comm.o</v>
      </c>
      <c r="AX360">
        <f>SUMIF(AT360:$AT$651,AW360,AV360:$AV$651)</f>
        <v>2</v>
      </c>
    </row>
    <row r="361" spans="1:50" x14ac:dyDescent="0.25">
      <c r="A361" s="4" t="s">
        <v>0</v>
      </c>
      <c r="B361" t="s">
        <v>449</v>
      </c>
      <c r="C361" t="s">
        <v>1398</v>
      </c>
      <c r="D361" t="s">
        <v>275</v>
      </c>
      <c r="E361" t="s">
        <v>1069</v>
      </c>
      <c r="F361" t="str">
        <f t="shared" si="153"/>
        <v>[7]</v>
      </c>
      <c r="G361">
        <f t="shared" si="154"/>
        <v>80</v>
      </c>
      <c r="H361" t="str">
        <f t="shared" si="147"/>
        <v>psp_tihr.o</v>
      </c>
      <c r="I361">
        <f>SUMIF(E361:$E$379,H361,G361:$G$379)</f>
        <v>80</v>
      </c>
      <c r="K361" s="4" t="s">
        <v>421</v>
      </c>
      <c r="L361" t="s">
        <v>422</v>
      </c>
      <c r="M361" t="s">
        <v>3125</v>
      </c>
      <c r="N361" t="s">
        <v>13</v>
      </c>
      <c r="O361" t="s">
        <v>131</v>
      </c>
      <c r="P361" t="str">
        <f t="shared" si="149"/>
        <v>[1]</v>
      </c>
      <c r="Q361">
        <f t="shared" si="150"/>
        <v>12</v>
      </c>
      <c r="R361" t="str">
        <f t="shared" si="155"/>
        <v/>
      </c>
      <c r="S361">
        <f>SUMIF(O361:$O$2855,R361,Q361:$Q$2855)</f>
        <v>0</v>
      </c>
      <c r="AP361" s="4" t="s">
        <v>472</v>
      </c>
      <c r="AQ361" t="s">
        <v>479</v>
      </c>
      <c r="AR361" t="s">
        <v>4494</v>
      </c>
      <c r="AS361" t="s">
        <v>442</v>
      </c>
      <c r="AT361" t="s">
        <v>316</v>
      </c>
      <c r="AU361" t="str">
        <f t="shared" si="151"/>
        <v>[1]</v>
      </c>
      <c r="AV361">
        <f t="shared" si="152"/>
        <v>1</v>
      </c>
      <c r="AW361" t="str">
        <f t="shared" si="156"/>
        <v/>
      </c>
      <c r="AX361">
        <f>SUMIF(AT361:$AT$651,AW361,AV361:$AV$651)</f>
        <v>0</v>
      </c>
    </row>
    <row r="362" spans="1:50" x14ac:dyDescent="0.25">
      <c r="A362" s="4" t="s">
        <v>0</v>
      </c>
      <c r="B362" t="s">
        <v>449</v>
      </c>
      <c r="C362" t="s">
        <v>1399</v>
      </c>
      <c r="D362" t="s">
        <v>275</v>
      </c>
      <c r="E362" t="s">
        <v>1040</v>
      </c>
      <c r="F362" t="str">
        <f t="shared" si="153"/>
        <v>[7]</v>
      </c>
      <c r="G362">
        <f t="shared" si="154"/>
        <v>80</v>
      </c>
      <c r="H362" t="str">
        <f t="shared" si="147"/>
        <v>psp_timn.o</v>
      </c>
      <c r="I362">
        <f>SUMIF(E362:$E$379,H362,G362:$G$379)</f>
        <v>80</v>
      </c>
      <c r="K362" s="4" t="s">
        <v>421</v>
      </c>
      <c r="L362" t="s">
        <v>422</v>
      </c>
      <c r="M362" t="s">
        <v>3126</v>
      </c>
      <c r="N362" t="s">
        <v>126</v>
      </c>
      <c r="O362" t="s">
        <v>131</v>
      </c>
      <c r="P362" t="str">
        <f t="shared" si="149"/>
        <v>[1]</v>
      </c>
      <c r="Q362">
        <f t="shared" si="150"/>
        <v>8</v>
      </c>
      <c r="R362" t="str">
        <f t="shared" si="155"/>
        <v/>
      </c>
      <c r="S362">
        <f>SUMIF(O362:$O$2855,R362,Q362:$Q$2855)</f>
        <v>0</v>
      </c>
      <c r="AP362" s="4" t="s">
        <v>472</v>
      </c>
      <c r="AQ362" t="s">
        <v>479</v>
      </c>
      <c r="AR362" t="s">
        <v>1723</v>
      </c>
      <c r="AS362" t="s">
        <v>126</v>
      </c>
      <c r="AT362" t="s">
        <v>1667</v>
      </c>
      <c r="AU362" t="str">
        <f t="shared" si="151"/>
        <v>[1]</v>
      </c>
      <c r="AV362">
        <f t="shared" si="152"/>
        <v>8</v>
      </c>
      <c r="AW362" t="str">
        <f t="shared" si="156"/>
        <v>radio_TCXO.o</v>
      </c>
      <c r="AX362">
        <f>SUMIF(AT362:$AT$651,AW362,AV362:$AV$651)</f>
        <v>2295</v>
      </c>
    </row>
    <row r="363" spans="1:50" x14ac:dyDescent="0.25">
      <c r="A363" s="4" t="s">
        <v>0</v>
      </c>
      <c r="B363" t="s">
        <v>449</v>
      </c>
      <c r="C363" t="s">
        <v>1400</v>
      </c>
      <c r="D363" t="s">
        <v>71</v>
      </c>
      <c r="E363" t="s">
        <v>146</v>
      </c>
      <c r="F363" t="str">
        <f t="shared" si="153"/>
        <v>[7]</v>
      </c>
      <c r="G363">
        <f t="shared" si="154"/>
        <v>144</v>
      </c>
      <c r="H363" t="str">
        <f t="shared" si="147"/>
        <v>psp_tims.o</v>
      </c>
      <c r="I363">
        <f>SUMIF(E363:$E$379,H363,G363:$G$379)</f>
        <v>144</v>
      </c>
      <c r="K363" s="4" t="s">
        <v>421</v>
      </c>
      <c r="L363" t="s">
        <v>422</v>
      </c>
      <c r="M363" t="s">
        <v>3127</v>
      </c>
      <c r="N363" t="s">
        <v>6</v>
      </c>
      <c r="O363" t="s">
        <v>131</v>
      </c>
      <c r="P363" t="str">
        <f t="shared" si="149"/>
        <v>[1]</v>
      </c>
      <c r="Q363">
        <f t="shared" si="150"/>
        <v>28</v>
      </c>
      <c r="R363" t="str">
        <f t="shared" si="155"/>
        <v/>
      </c>
      <c r="S363">
        <f>SUMIF(O363:$O$2855,R363,Q363:$Q$2855)</f>
        <v>0</v>
      </c>
      <c r="AP363" s="4" t="s">
        <v>472</v>
      </c>
      <c r="AQ363" t="s">
        <v>479</v>
      </c>
      <c r="AR363" t="s">
        <v>4485</v>
      </c>
      <c r="AS363" t="s">
        <v>2043</v>
      </c>
      <c r="AT363" t="s">
        <v>1667</v>
      </c>
      <c r="AU363" t="str">
        <f t="shared" si="151"/>
        <v>[1]</v>
      </c>
      <c r="AV363">
        <f t="shared" si="152"/>
        <v>2004</v>
      </c>
      <c r="AW363" t="str">
        <f t="shared" si="156"/>
        <v/>
      </c>
      <c r="AX363">
        <f>SUMIF(AT363:$AT$651,AW363,AV363:$AV$651)</f>
        <v>0</v>
      </c>
    </row>
    <row r="364" spans="1:50" x14ac:dyDescent="0.25">
      <c r="A364" s="4" t="s">
        <v>0</v>
      </c>
      <c r="B364" t="s">
        <v>449</v>
      </c>
      <c r="C364" t="s">
        <v>1404</v>
      </c>
      <c r="D364" t="s">
        <v>67</v>
      </c>
      <c r="E364" t="s">
        <v>152</v>
      </c>
      <c r="F364" t="str">
        <f t="shared" si="153"/>
        <v>[7]</v>
      </c>
      <c r="G364">
        <f t="shared" si="154"/>
        <v>48</v>
      </c>
      <c r="H364" t="str">
        <f t="shared" si="147"/>
        <v>psp_tinm.o</v>
      </c>
      <c r="I364">
        <f>SUMIF(E364:$E$379,H364,G364:$G$379)</f>
        <v>48</v>
      </c>
      <c r="K364" s="4" t="s">
        <v>421</v>
      </c>
      <c r="L364" t="s">
        <v>422</v>
      </c>
      <c r="M364" t="s">
        <v>3128</v>
      </c>
      <c r="N364" t="s">
        <v>67</v>
      </c>
      <c r="O364" t="s">
        <v>131</v>
      </c>
      <c r="P364" t="str">
        <f t="shared" si="149"/>
        <v>[1]</v>
      </c>
      <c r="Q364">
        <f t="shared" si="150"/>
        <v>48</v>
      </c>
      <c r="R364" t="str">
        <f t="shared" si="155"/>
        <v/>
      </c>
      <c r="S364">
        <f>SUMIF(O364:$O$2855,R364,Q364:$Q$2855)</f>
        <v>0</v>
      </c>
      <c r="AP364" s="4" t="s">
        <v>472</v>
      </c>
      <c r="AQ364" t="s">
        <v>479</v>
      </c>
      <c r="AR364" t="s">
        <v>4486</v>
      </c>
      <c r="AS364" t="s">
        <v>63</v>
      </c>
      <c r="AT364" t="s">
        <v>1667</v>
      </c>
      <c r="AU364" t="str">
        <f t="shared" si="151"/>
        <v>[1]</v>
      </c>
      <c r="AV364">
        <f t="shared" si="152"/>
        <v>88</v>
      </c>
      <c r="AW364" t="str">
        <f t="shared" si="156"/>
        <v/>
      </c>
      <c r="AX364">
        <f>SUMIF(AT364:$AT$651,AW364,AV364:$AV$651)</f>
        <v>0</v>
      </c>
    </row>
    <row r="365" spans="1:50" x14ac:dyDescent="0.25">
      <c r="A365" s="4" t="s">
        <v>0</v>
      </c>
      <c r="B365" t="s">
        <v>449</v>
      </c>
      <c r="C365" t="s">
        <v>1405</v>
      </c>
      <c r="D365" t="s">
        <v>153</v>
      </c>
      <c r="E365" t="s">
        <v>154</v>
      </c>
      <c r="F365" t="str">
        <f t="shared" si="153"/>
        <v>[7]</v>
      </c>
      <c r="G365">
        <f t="shared" si="154"/>
        <v>38</v>
      </c>
      <c r="H365" t="str">
        <f t="shared" si="147"/>
        <v>psp_tiol.o</v>
      </c>
      <c r="I365">
        <f>SUMIF(E365:$E$379,H365,G365:$G$379)</f>
        <v>38</v>
      </c>
      <c r="K365" s="4" t="s">
        <v>421</v>
      </c>
      <c r="L365" t="s">
        <v>422</v>
      </c>
      <c r="M365" t="s">
        <v>1870</v>
      </c>
      <c r="N365" t="s">
        <v>119</v>
      </c>
      <c r="O365" t="s">
        <v>131</v>
      </c>
      <c r="P365" t="str">
        <f t="shared" si="149"/>
        <v>[1]</v>
      </c>
      <c r="Q365">
        <f t="shared" si="150"/>
        <v>32</v>
      </c>
      <c r="R365" t="str">
        <f t="shared" si="155"/>
        <v/>
      </c>
      <c r="S365">
        <f>SUMIF(O365:$O$2855,R365,Q365:$Q$2855)</f>
        <v>0</v>
      </c>
      <c r="AP365" s="4" t="s">
        <v>472</v>
      </c>
      <c r="AQ365" t="s">
        <v>479</v>
      </c>
      <c r="AR365" t="s">
        <v>4487</v>
      </c>
      <c r="AS365" t="s">
        <v>63</v>
      </c>
      <c r="AT365" t="s">
        <v>1667</v>
      </c>
      <c r="AU365" t="str">
        <f t="shared" si="151"/>
        <v>[1]</v>
      </c>
      <c r="AV365">
        <f t="shared" si="152"/>
        <v>88</v>
      </c>
      <c r="AW365" t="str">
        <f t="shared" si="156"/>
        <v/>
      </c>
      <c r="AX365">
        <f>SUMIF(AT365:$AT$651,AW365,AV365:$AV$651)</f>
        <v>0</v>
      </c>
    </row>
    <row r="366" spans="1:50" x14ac:dyDescent="0.25">
      <c r="A366" s="4" t="s">
        <v>0</v>
      </c>
      <c r="B366" t="s">
        <v>449</v>
      </c>
      <c r="C366" t="s">
        <v>1401</v>
      </c>
      <c r="D366" t="s">
        <v>147</v>
      </c>
      <c r="E366" t="s">
        <v>148</v>
      </c>
      <c r="F366" t="str">
        <f t="shared" si="153"/>
        <v>[7]</v>
      </c>
      <c r="G366">
        <f t="shared" si="154"/>
        <v>72</v>
      </c>
      <c r="H366" t="str">
        <f t="shared" si="147"/>
        <v>psp_tise.o</v>
      </c>
      <c r="I366">
        <f>SUMIF(E366:$E$379,H366,G366:$G$379)</f>
        <v>72</v>
      </c>
      <c r="K366" s="4" t="s">
        <v>421</v>
      </c>
      <c r="L366" t="s">
        <v>422</v>
      </c>
      <c r="M366" t="s">
        <v>3129</v>
      </c>
      <c r="N366" t="s">
        <v>13</v>
      </c>
      <c r="O366" t="s">
        <v>131</v>
      </c>
      <c r="P366" t="str">
        <f t="shared" si="149"/>
        <v>[1]</v>
      </c>
      <c r="Q366">
        <f t="shared" si="150"/>
        <v>12</v>
      </c>
      <c r="R366" t="str">
        <f t="shared" si="155"/>
        <v/>
      </c>
      <c r="S366">
        <f>SUMIF(O366:$O$2855,R366,Q366:$Q$2855)</f>
        <v>0</v>
      </c>
      <c r="AP366" s="4" t="s">
        <v>472</v>
      </c>
      <c r="AQ366" t="s">
        <v>479</v>
      </c>
      <c r="AR366" t="s">
        <v>2044</v>
      </c>
      <c r="AS366" t="s">
        <v>78</v>
      </c>
      <c r="AT366" t="s">
        <v>1667</v>
      </c>
      <c r="AU366" t="str">
        <f t="shared" si="151"/>
        <v>[1]</v>
      </c>
      <c r="AV366">
        <f t="shared" si="152"/>
        <v>4</v>
      </c>
      <c r="AW366" t="str">
        <f t="shared" si="156"/>
        <v/>
      </c>
      <c r="AX366">
        <f>SUMIF(AT366:$AT$651,AW366,AV366:$AV$651)</f>
        <v>0</v>
      </c>
    </row>
    <row r="367" spans="1:50" x14ac:dyDescent="0.25">
      <c r="A367" s="4" t="s">
        <v>0</v>
      </c>
      <c r="B367" t="s">
        <v>449</v>
      </c>
      <c r="C367" t="s">
        <v>1397</v>
      </c>
      <c r="D367" t="s">
        <v>144</v>
      </c>
      <c r="E367" t="s">
        <v>145</v>
      </c>
      <c r="F367" t="str">
        <f t="shared" si="153"/>
        <v>[7]</v>
      </c>
      <c r="G367">
        <f t="shared" si="154"/>
        <v>62</v>
      </c>
      <c r="H367" t="str">
        <f t="shared" si="147"/>
        <v>psp_tisu.o</v>
      </c>
      <c r="I367">
        <f>SUMIF(E367:$E$379,H367,G367:$G$379)</f>
        <v>62</v>
      </c>
      <c r="K367" s="4" t="s">
        <v>421</v>
      </c>
      <c r="L367" t="s">
        <v>422</v>
      </c>
      <c r="M367" t="s">
        <v>3130</v>
      </c>
      <c r="N367" t="s">
        <v>202</v>
      </c>
      <c r="O367" t="s">
        <v>131</v>
      </c>
      <c r="P367" t="str">
        <f t="shared" si="149"/>
        <v>[1]</v>
      </c>
      <c r="Q367">
        <f t="shared" si="150"/>
        <v>16</v>
      </c>
      <c r="R367" t="str">
        <f t="shared" si="155"/>
        <v/>
      </c>
      <c r="S367">
        <f>SUMIF(O367:$O$2855,R367,Q367:$Q$2855)</f>
        <v>0</v>
      </c>
      <c r="AP367" s="4" t="s">
        <v>472</v>
      </c>
      <c r="AQ367" t="s">
        <v>479</v>
      </c>
      <c r="AR367" t="s">
        <v>2045</v>
      </c>
      <c r="AS367" t="s">
        <v>78</v>
      </c>
      <c r="AT367" t="s">
        <v>1667</v>
      </c>
      <c r="AU367" t="str">
        <f t="shared" si="151"/>
        <v>[1]</v>
      </c>
      <c r="AV367">
        <f t="shared" si="152"/>
        <v>4</v>
      </c>
      <c r="AW367" t="str">
        <f t="shared" si="156"/>
        <v/>
      </c>
      <c r="AX367">
        <f>SUMIF(AT367:$AT$651,AW367,AV367:$AV$651)</f>
        <v>0</v>
      </c>
    </row>
    <row r="368" spans="1:50" x14ac:dyDescent="0.25">
      <c r="A368" s="4" t="s">
        <v>0</v>
      </c>
      <c r="B368" t="s">
        <v>449</v>
      </c>
      <c r="C368" t="s">
        <v>1402</v>
      </c>
      <c r="D368" t="s">
        <v>71</v>
      </c>
      <c r="E368" t="s">
        <v>149</v>
      </c>
      <c r="F368" t="str">
        <f t="shared" si="153"/>
        <v>[7]</v>
      </c>
      <c r="G368">
        <f t="shared" si="154"/>
        <v>144</v>
      </c>
      <c r="H368" t="str">
        <f t="shared" si="147"/>
        <v>psp_tius.o</v>
      </c>
      <c r="I368">
        <f>SUMIF(E368:$E$379,H368,G368:$G$379)</f>
        <v>144</v>
      </c>
      <c r="K368" s="4" t="s">
        <v>421</v>
      </c>
      <c r="L368" t="s">
        <v>422</v>
      </c>
      <c r="M368" t="s">
        <v>3131</v>
      </c>
      <c r="N368" t="s">
        <v>44</v>
      </c>
      <c r="O368" t="s">
        <v>131</v>
      </c>
      <c r="P368" t="str">
        <f t="shared" si="149"/>
        <v>[1]</v>
      </c>
      <c r="Q368">
        <f t="shared" si="150"/>
        <v>44</v>
      </c>
      <c r="R368" t="str">
        <f t="shared" si="155"/>
        <v/>
      </c>
      <c r="S368">
        <f>SUMIF(O368:$O$2855,R368,Q368:$Q$2855)</f>
        <v>0</v>
      </c>
      <c r="AP368" s="4" t="s">
        <v>472</v>
      </c>
      <c r="AQ368" t="s">
        <v>479</v>
      </c>
      <c r="AR368" t="s">
        <v>4488</v>
      </c>
      <c r="AS368" t="s">
        <v>63</v>
      </c>
      <c r="AT368" t="s">
        <v>1667</v>
      </c>
      <c r="AU368" t="str">
        <f t="shared" si="151"/>
        <v>[1]</v>
      </c>
      <c r="AV368">
        <f t="shared" si="152"/>
        <v>88</v>
      </c>
      <c r="AW368" t="str">
        <f t="shared" si="156"/>
        <v/>
      </c>
      <c r="AX368">
        <f>SUMIF(AT368:$AT$651,AW368,AV368:$AV$651)</f>
        <v>0</v>
      </c>
    </row>
    <row r="369" spans="1:50" x14ac:dyDescent="0.25">
      <c r="A369" s="4" t="s">
        <v>0</v>
      </c>
      <c r="B369" t="s">
        <v>449</v>
      </c>
      <c r="C369" t="s">
        <v>1403</v>
      </c>
      <c r="D369" t="s">
        <v>150</v>
      </c>
      <c r="E369" t="s">
        <v>151</v>
      </c>
      <c r="F369" t="str">
        <f t="shared" si="153"/>
        <v>[7]</v>
      </c>
      <c r="G369">
        <f t="shared" si="154"/>
        <v>120</v>
      </c>
      <c r="H369" t="str">
        <f t="shared" si="147"/>
        <v>psp_tkti.o</v>
      </c>
      <c r="I369">
        <f>SUMIF(E369:$E$379,H369,G369:$G$379)</f>
        <v>120</v>
      </c>
      <c r="K369" s="4" t="s">
        <v>421</v>
      </c>
      <c r="L369" t="s">
        <v>422</v>
      </c>
      <c r="M369" t="s">
        <v>3132</v>
      </c>
      <c r="N369" t="s">
        <v>44</v>
      </c>
      <c r="O369" t="s">
        <v>131</v>
      </c>
      <c r="P369" t="str">
        <f t="shared" si="149"/>
        <v>[1]</v>
      </c>
      <c r="Q369">
        <f t="shared" si="150"/>
        <v>44</v>
      </c>
      <c r="R369" t="str">
        <f t="shared" si="155"/>
        <v/>
      </c>
      <c r="S369">
        <f>SUMIF(O369:$O$2855,R369,Q369:$Q$2855)</f>
        <v>0</v>
      </c>
      <c r="AP369" s="4" t="s">
        <v>472</v>
      </c>
      <c r="AQ369" t="s">
        <v>479</v>
      </c>
      <c r="AR369" t="s">
        <v>2046</v>
      </c>
      <c r="AS369" t="s">
        <v>78</v>
      </c>
      <c r="AT369" t="s">
        <v>1667</v>
      </c>
      <c r="AU369" t="str">
        <f t="shared" si="151"/>
        <v>[1]</v>
      </c>
      <c r="AV369">
        <f t="shared" si="152"/>
        <v>4</v>
      </c>
      <c r="AW369" t="str">
        <f t="shared" si="156"/>
        <v/>
      </c>
      <c r="AX369">
        <f>SUMIF(AT369:$AT$651,AW369,AV369:$AV$651)</f>
        <v>0</v>
      </c>
    </row>
    <row r="370" spans="1:50" x14ac:dyDescent="0.25">
      <c r="A370" s="4" t="s">
        <v>0</v>
      </c>
      <c r="B370" t="s">
        <v>449</v>
      </c>
      <c r="C370" t="s">
        <v>1436</v>
      </c>
      <c r="D370" t="s">
        <v>29</v>
      </c>
      <c r="E370" t="s">
        <v>30</v>
      </c>
      <c r="F370" t="str">
        <f t="shared" si="153"/>
        <v>[7]</v>
      </c>
      <c r="G370">
        <f t="shared" si="154"/>
        <v>274</v>
      </c>
      <c r="H370" t="str">
        <f t="shared" si="147"/>
        <v>queue.o</v>
      </c>
      <c r="I370">
        <f>SUMIF(E370:$E$379,H370,G370:$G$379)</f>
        <v>274</v>
      </c>
      <c r="K370" s="4" t="s">
        <v>421</v>
      </c>
      <c r="L370" t="s">
        <v>422</v>
      </c>
      <c r="M370" t="s">
        <v>3133</v>
      </c>
      <c r="N370" t="s">
        <v>103</v>
      </c>
      <c r="O370" t="s">
        <v>131</v>
      </c>
      <c r="P370" t="str">
        <f t="shared" si="149"/>
        <v>[1]</v>
      </c>
      <c r="Q370">
        <f t="shared" si="150"/>
        <v>64</v>
      </c>
      <c r="R370" t="str">
        <f t="shared" si="155"/>
        <v/>
      </c>
      <c r="S370">
        <f>SUMIF(O370:$O$2855,R370,Q370:$Q$2855)</f>
        <v>0</v>
      </c>
      <c r="AP370" s="4" t="s">
        <v>472</v>
      </c>
      <c r="AQ370" t="s">
        <v>479</v>
      </c>
      <c r="AR370" t="s">
        <v>2047</v>
      </c>
      <c r="AS370" t="s">
        <v>78</v>
      </c>
      <c r="AT370" t="s">
        <v>1667</v>
      </c>
      <c r="AU370" t="str">
        <f t="shared" si="151"/>
        <v>[1]</v>
      </c>
      <c r="AV370">
        <f>HEX2DEC(MID(AS370,3,LEN(AS370)-2))</f>
        <v>4</v>
      </c>
      <c r="AW370" t="str">
        <f t="shared" si="156"/>
        <v/>
      </c>
      <c r="AX370">
        <f>SUMIF(AT370:$AT$651,AW370,AV370:$AV$651)</f>
        <v>0</v>
      </c>
    </row>
    <row r="371" spans="1:50" x14ac:dyDescent="0.25">
      <c r="A371" s="4" t="s">
        <v>0</v>
      </c>
      <c r="B371" t="s">
        <v>449</v>
      </c>
      <c r="C371" t="s">
        <v>1411</v>
      </c>
      <c r="D371" t="s">
        <v>171</v>
      </c>
      <c r="E371" t="s">
        <v>172</v>
      </c>
      <c r="F371" t="str">
        <f t="shared" si="153"/>
        <v>[7]</v>
      </c>
      <c r="G371">
        <f t="shared" si="154"/>
        <v>172</v>
      </c>
      <c r="H371" t="str">
        <f t="shared" si="147"/>
        <v>sc_irdyq.o</v>
      </c>
      <c r="I371">
        <f>SUMIF(E371:$E$379,H371,G371:$G$379)</f>
        <v>172</v>
      </c>
      <c r="K371" s="4" t="s">
        <v>421</v>
      </c>
      <c r="L371" t="s">
        <v>422</v>
      </c>
      <c r="M371" t="s">
        <v>3134</v>
      </c>
      <c r="N371" t="s">
        <v>44</v>
      </c>
      <c r="O371" t="s">
        <v>131</v>
      </c>
      <c r="P371" t="str">
        <f t="shared" si="149"/>
        <v>[1]</v>
      </c>
      <c r="Q371">
        <f t="shared" si="150"/>
        <v>44</v>
      </c>
      <c r="R371" t="str">
        <f t="shared" si="155"/>
        <v/>
      </c>
      <c r="S371">
        <f>SUMIF(O371:$O$2855,R371,Q371:$Q$2855)</f>
        <v>0</v>
      </c>
      <c r="AP371" s="4" t="s">
        <v>472</v>
      </c>
      <c r="AQ371" t="s">
        <v>479</v>
      </c>
      <c r="AR371" t="s">
        <v>2048</v>
      </c>
      <c r="AS371" t="s">
        <v>46</v>
      </c>
      <c r="AT371" t="s">
        <v>1667</v>
      </c>
      <c r="AU371" t="str">
        <f t="shared" si="151"/>
        <v>[1]</v>
      </c>
      <c r="AV371">
        <f>HEX2DEC(MID(AS371,3,LEN(AS371)-2))</f>
        <v>2</v>
      </c>
      <c r="AW371" t="str">
        <f t="shared" si="156"/>
        <v/>
      </c>
      <c r="AX371">
        <f>SUMIF(AT371:$AT$651,AW371,AV371:$AV$651)</f>
        <v>0</v>
      </c>
    </row>
    <row r="372" spans="1:50" x14ac:dyDescent="0.25">
      <c r="A372" s="4" t="s">
        <v>0</v>
      </c>
      <c r="B372" t="s">
        <v>449</v>
      </c>
      <c r="C372" t="s">
        <v>1395</v>
      </c>
      <c r="D372" t="s">
        <v>50</v>
      </c>
      <c r="E372" t="s">
        <v>51</v>
      </c>
      <c r="F372" t="str">
        <f t="shared" si="153"/>
        <v>[7]</v>
      </c>
      <c r="G372">
        <f t="shared" si="154"/>
        <v>476</v>
      </c>
      <c r="H372" t="str">
        <f t="shared" si="147"/>
        <v>sched.o</v>
      </c>
      <c r="I372">
        <f>SUMIF(E372:$E$379,H372,G372:$G$379)</f>
        <v>476</v>
      </c>
      <c r="K372" s="4" t="s">
        <v>421</v>
      </c>
      <c r="L372" t="s">
        <v>422</v>
      </c>
      <c r="M372" t="s">
        <v>3135</v>
      </c>
      <c r="N372" t="s">
        <v>65</v>
      </c>
      <c r="O372" t="s">
        <v>131</v>
      </c>
      <c r="P372" t="str">
        <f t="shared" si="149"/>
        <v>[1]</v>
      </c>
      <c r="Q372">
        <f t="shared" si="150"/>
        <v>40</v>
      </c>
      <c r="R372" t="str">
        <f t="shared" si="155"/>
        <v/>
      </c>
      <c r="S372">
        <f>SUMIF(O372:$O$2855,R372,Q372:$Q$2855)</f>
        <v>0</v>
      </c>
      <c r="AP372" s="4" t="s">
        <v>472</v>
      </c>
      <c r="AQ372" t="s">
        <v>479</v>
      </c>
      <c r="AR372" t="s">
        <v>4495</v>
      </c>
      <c r="AS372" t="s">
        <v>442</v>
      </c>
      <c r="AT372" t="s">
        <v>1667</v>
      </c>
      <c r="AU372" t="str">
        <f t="shared" si="151"/>
        <v>[1]</v>
      </c>
      <c r="AV372">
        <f>HEX2DEC(MID(AS372,3,LEN(AS372)-2))</f>
        <v>1</v>
      </c>
      <c r="AW372" t="str">
        <f t="shared" si="156"/>
        <v/>
      </c>
      <c r="AX372">
        <f>SUMIF(AT372:$AT$651,AW372,AV372:$AV$651)</f>
        <v>0</v>
      </c>
    </row>
    <row r="373" spans="1:50" x14ac:dyDescent="0.25">
      <c r="A373" s="4" t="s">
        <v>0</v>
      </c>
      <c r="B373" t="s">
        <v>449</v>
      </c>
      <c r="C373" t="s">
        <v>1428</v>
      </c>
      <c r="D373" t="s">
        <v>52</v>
      </c>
      <c r="E373" t="s">
        <v>53</v>
      </c>
      <c r="F373" t="str">
        <f t="shared" si="153"/>
        <v>[7]</v>
      </c>
      <c r="G373">
        <f t="shared" si="154"/>
        <v>164</v>
      </c>
      <c r="H373" t="str">
        <f t="shared" si="147"/>
        <v>stack_bu.o</v>
      </c>
      <c r="I373">
        <f>SUMIF(E373:$E$379,H373,G373:$G$379)</f>
        <v>164</v>
      </c>
      <c r="K373" s="4" t="s">
        <v>421</v>
      </c>
      <c r="L373" t="s">
        <v>422</v>
      </c>
      <c r="M373" t="s">
        <v>3136</v>
      </c>
      <c r="N373" t="s">
        <v>126</v>
      </c>
      <c r="O373" t="s">
        <v>131</v>
      </c>
      <c r="P373" t="str">
        <f t="shared" si="149"/>
        <v>[1]</v>
      </c>
      <c r="Q373">
        <f t="shared" si="150"/>
        <v>8</v>
      </c>
      <c r="R373" t="str">
        <f t="shared" si="155"/>
        <v/>
      </c>
      <c r="S373">
        <f>SUMIF(O373:$O$2855,R373,Q373:$Q$2855)</f>
        <v>0</v>
      </c>
      <c r="AP373" s="4" t="s">
        <v>472</v>
      </c>
      <c r="AQ373" t="s">
        <v>479</v>
      </c>
      <c r="AR373" t="s">
        <v>1690</v>
      </c>
      <c r="AS373" t="s">
        <v>78</v>
      </c>
      <c r="AT373" t="s">
        <v>81</v>
      </c>
      <c r="AU373" t="str">
        <f t="shared" si="151"/>
        <v>[1]</v>
      </c>
      <c r="AV373">
        <f>HEX2DEC(MID(AS373,3,LEN(AS373)-2))</f>
        <v>4</v>
      </c>
      <c r="AW373" t="str">
        <f t="shared" si="156"/>
        <v>rand.o</v>
      </c>
      <c r="AX373">
        <f>SUMIF(AT373:$AT$651,AW373,AV373:$AV$651)</f>
        <v>5</v>
      </c>
    </row>
    <row r="374" spans="1:50" x14ac:dyDescent="0.25">
      <c r="A374" s="4" t="s">
        <v>0</v>
      </c>
      <c r="B374" t="s">
        <v>449</v>
      </c>
      <c r="C374" t="s">
        <v>1433</v>
      </c>
      <c r="D374" t="s">
        <v>46</v>
      </c>
      <c r="E374" t="s">
        <v>47</v>
      </c>
      <c r="F374" t="str">
        <f t="shared" si="153"/>
        <v>[7]</v>
      </c>
      <c r="G374">
        <f t="shared" si="154"/>
        <v>2</v>
      </c>
      <c r="H374" t="str">
        <f t="shared" si="147"/>
        <v>stack_de.o</v>
      </c>
      <c r="I374">
        <f>SUMIF(E374:$E$379,H374,G374:$G$379)</f>
        <v>2</v>
      </c>
      <c r="K374" s="4" t="s">
        <v>421</v>
      </c>
      <c r="L374" t="s">
        <v>422</v>
      </c>
      <c r="M374" t="s">
        <v>3137</v>
      </c>
      <c r="N374" t="s">
        <v>65</v>
      </c>
      <c r="O374" t="s">
        <v>131</v>
      </c>
      <c r="P374" t="str">
        <f t="shared" si="149"/>
        <v>[1]</v>
      </c>
      <c r="Q374">
        <f t="shared" si="150"/>
        <v>40</v>
      </c>
      <c r="R374" t="str">
        <f t="shared" si="155"/>
        <v/>
      </c>
      <c r="S374">
        <f>SUMIF(O374:$O$2855,R374,Q374:$Q$2855)</f>
        <v>0</v>
      </c>
      <c r="AP374" s="4" t="s">
        <v>472</v>
      </c>
      <c r="AQ374" t="s">
        <v>479</v>
      </c>
      <c r="AR374" t="s">
        <v>1694</v>
      </c>
      <c r="AS374" t="s">
        <v>442</v>
      </c>
      <c r="AT374" t="s">
        <v>81</v>
      </c>
      <c r="AU374" t="str">
        <f t="shared" si="151"/>
        <v>[1]</v>
      </c>
      <c r="AV374">
        <f>HEX2DEC(MID(AS374,3,LEN(AS374)-2))</f>
        <v>1</v>
      </c>
      <c r="AW374" t="str">
        <f t="shared" si="156"/>
        <v/>
      </c>
      <c r="AX374">
        <f>SUMIF(AT374:$AT$651,AW374,AV374:$AV$651)</f>
        <v>0</v>
      </c>
    </row>
    <row r="375" spans="1:50" x14ac:dyDescent="0.25">
      <c r="A375" s="4" t="s">
        <v>0</v>
      </c>
      <c r="B375" t="s">
        <v>449</v>
      </c>
      <c r="C375" t="s">
        <v>1385</v>
      </c>
      <c r="D375" t="s">
        <v>1</v>
      </c>
      <c r="E375" t="s">
        <v>2</v>
      </c>
      <c r="F375" t="str">
        <f t="shared" si="153"/>
        <v>[7]</v>
      </c>
      <c r="G375">
        <f t="shared" si="154"/>
        <v>46</v>
      </c>
      <c r="H375" t="str">
        <f t="shared" si="147"/>
        <v>support.o</v>
      </c>
      <c r="I375">
        <f>SUMIF(E375:$E$379,H375,G375:$G$379)</f>
        <v>46</v>
      </c>
      <c r="K375" s="4" t="s">
        <v>421</v>
      </c>
      <c r="L375" t="s">
        <v>422</v>
      </c>
      <c r="M375" t="s">
        <v>3138</v>
      </c>
      <c r="N375" t="s">
        <v>6</v>
      </c>
      <c r="O375" t="s">
        <v>131</v>
      </c>
      <c r="P375" t="str">
        <f t="shared" si="149"/>
        <v>[1]</v>
      </c>
      <c r="Q375">
        <f t="shared" si="150"/>
        <v>28</v>
      </c>
      <c r="R375" t="str">
        <f t="shared" si="155"/>
        <v/>
      </c>
      <c r="S375">
        <f>SUMIF(O375:$O$2855,R375,Q375:$Q$2855)</f>
        <v>0</v>
      </c>
      <c r="AP375" s="4" t="s">
        <v>472</v>
      </c>
      <c r="AQ375" t="s">
        <v>479</v>
      </c>
      <c r="AR375" t="s">
        <v>4683</v>
      </c>
      <c r="AS375" t="s">
        <v>437</v>
      </c>
      <c r="AT375" t="s">
        <v>313</v>
      </c>
      <c r="AU375" t="str">
        <f t="shared" si="151"/>
        <v>[1]</v>
      </c>
      <c r="AV375">
        <f t="shared" si="152"/>
        <v>24</v>
      </c>
      <c r="AW375" t="str">
        <f t="shared" si="156"/>
        <v>RG_MD_Handler.o</v>
      </c>
      <c r="AX375">
        <f>SUMIF(AT375:$AT$651,AW375,AV375:$AV$651)</f>
        <v>24</v>
      </c>
    </row>
    <row r="376" spans="1:50" x14ac:dyDescent="0.25">
      <c r="A376" s="4" t="s">
        <v>0</v>
      </c>
      <c r="B376" t="s">
        <v>449</v>
      </c>
      <c r="C376" t="s">
        <v>1437</v>
      </c>
      <c r="D376" t="s">
        <v>1259</v>
      </c>
      <c r="E376" t="s">
        <v>25</v>
      </c>
      <c r="F376" t="str">
        <f t="shared" si="153"/>
        <v>[7]</v>
      </c>
      <c r="G376">
        <f t="shared" si="154"/>
        <v>3002</v>
      </c>
      <c r="H376" t="str">
        <f t="shared" ref="H376:H379" si="157">IF(E376&lt;&gt;E375,E376,"")</f>
        <v>task.o</v>
      </c>
      <c r="I376">
        <f>SUMIF(E376:$E$379,H376,G376:$G$379)</f>
        <v>3002</v>
      </c>
      <c r="K376" s="4" t="s">
        <v>421</v>
      </c>
      <c r="L376" t="s">
        <v>422</v>
      </c>
      <c r="M376" t="s">
        <v>3139</v>
      </c>
      <c r="N376" t="s">
        <v>275</v>
      </c>
      <c r="O376" t="s">
        <v>131</v>
      </c>
      <c r="P376" t="str">
        <f t="shared" si="149"/>
        <v>[1]</v>
      </c>
      <c r="Q376">
        <f t="shared" si="150"/>
        <v>80</v>
      </c>
      <c r="R376" t="str">
        <f t="shared" si="155"/>
        <v/>
      </c>
      <c r="S376">
        <f>SUMIF(O376:$O$2855,R376,Q376:$Q$2855)</f>
        <v>0</v>
      </c>
      <c r="AP376" s="4" t="s">
        <v>472</v>
      </c>
      <c r="AQ376" t="s">
        <v>479</v>
      </c>
      <c r="AR376" t="s">
        <v>1648</v>
      </c>
      <c r="AS376" t="s">
        <v>395</v>
      </c>
      <c r="AT376" t="s">
        <v>259</v>
      </c>
      <c r="AU376" t="str">
        <f t="shared" si="151"/>
        <v>[1]</v>
      </c>
      <c r="AV376">
        <f t="shared" si="152"/>
        <v>512</v>
      </c>
      <c r="AW376" t="str">
        <f t="shared" si="156"/>
        <v>rs.o</v>
      </c>
      <c r="AX376">
        <f>SUMIF(AT376:$AT$651,AW376,AV376:$AV$651)</f>
        <v>544</v>
      </c>
    </row>
    <row r="377" spans="1:50" x14ac:dyDescent="0.25">
      <c r="A377" s="4" t="s">
        <v>0</v>
      </c>
      <c r="B377" t="s">
        <v>449</v>
      </c>
      <c r="C377" t="s">
        <v>1429</v>
      </c>
      <c r="D377" t="s">
        <v>209</v>
      </c>
      <c r="E377" t="s">
        <v>380</v>
      </c>
      <c r="F377" t="str">
        <f t="shared" si="153"/>
        <v>[7]</v>
      </c>
      <c r="G377">
        <f t="shared" si="154"/>
        <v>868</v>
      </c>
      <c r="H377" t="str">
        <f t="shared" si="157"/>
        <v>taskq.o</v>
      </c>
      <c r="I377">
        <f>SUMIF(E377:$E$379,H377,G377:$G$379)</f>
        <v>868</v>
      </c>
      <c r="K377" s="4" t="s">
        <v>421</v>
      </c>
      <c r="L377" t="s">
        <v>422</v>
      </c>
      <c r="M377" t="s">
        <v>3140</v>
      </c>
      <c r="N377" t="s">
        <v>76</v>
      </c>
      <c r="O377" t="s">
        <v>131</v>
      </c>
      <c r="P377" t="str">
        <f t="shared" si="149"/>
        <v>[1]</v>
      </c>
      <c r="Q377">
        <f t="shared" si="150"/>
        <v>36</v>
      </c>
      <c r="R377" t="str">
        <f t="shared" si="155"/>
        <v/>
      </c>
      <c r="S377">
        <f>SUMIF(O377:$O$2855,R377,Q377:$Q$2855)</f>
        <v>0</v>
      </c>
      <c r="AP377" s="4" t="s">
        <v>472</v>
      </c>
      <c r="AQ377" t="s">
        <v>479</v>
      </c>
      <c r="AR377" t="s">
        <v>1649</v>
      </c>
      <c r="AS377" t="s">
        <v>119</v>
      </c>
      <c r="AT377" t="s">
        <v>259</v>
      </c>
      <c r="AU377" t="str">
        <f t="shared" si="151"/>
        <v>[1]</v>
      </c>
      <c r="AV377">
        <f t="shared" si="152"/>
        <v>32</v>
      </c>
      <c r="AW377" t="str">
        <f t="shared" si="156"/>
        <v/>
      </c>
      <c r="AX377">
        <f>SUMIF(AT377:$AT$651,AW377,AV377:$AV$651)</f>
        <v>0</v>
      </c>
    </row>
    <row r="378" spans="1:50" x14ac:dyDescent="0.25">
      <c r="A378" s="4" t="s">
        <v>0</v>
      </c>
      <c r="B378" t="s">
        <v>449</v>
      </c>
      <c r="C378" t="s">
        <v>1392</v>
      </c>
      <c r="D378" t="s">
        <v>1068</v>
      </c>
      <c r="E378" t="s">
        <v>88</v>
      </c>
      <c r="F378" t="str">
        <f t="shared" si="153"/>
        <v>[7]</v>
      </c>
      <c r="G378">
        <f t="shared" si="154"/>
        <v>2260</v>
      </c>
      <c r="H378" t="str">
        <f t="shared" si="157"/>
        <v>time.o</v>
      </c>
      <c r="I378">
        <f>SUMIF(E378:$E$379,H378,G378:$G$379)</f>
        <v>2260</v>
      </c>
      <c r="K378" s="4" t="s">
        <v>421</v>
      </c>
      <c r="L378" t="s">
        <v>422</v>
      </c>
      <c r="M378" t="s">
        <v>3141</v>
      </c>
      <c r="N378" t="s">
        <v>6</v>
      </c>
      <c r="O378" t="s">
        <v>131</v>
      </c>
      <c r="P378" t="str">
        <f t="shared" si="149"/>
        <v>[1]</v>
      </c>
      <c r="Q378">
        <f t="shared" si="150"/>
        <v>28</v>
      </c>
      <c r="R378" t="str">
        <f t="shared" si="155"/>
        <v/>
      </c>
      <c r="S378">
        <f>SUMIF(O378:$O$2855,R378,Q378:$Q$2855)</f>
        <v>0</v>
      </c>
      <c r="AP378" s="4" t="s">
        <v>472</v>
      </c>
      <c r="AQ378" t="s">
        <v>479</v>
      </c>
      <c r="AR378" t="s">
        <v>1650</v>
      </c>
      <c r="AS378" t="s">
        <v>126</v>
      </c>
      <c r="AT378" t="s">
        <v>1072</v>
      </c>
      <c r="AU378" t="str">
        <f t="shared" si="151"/>
        <v>[1]</v>
      </c>
      <c r="AV378">
        <f t="shared" si="152"/>
        <v>8</v>
      </c>
      <c r="AW378" t="str">
        <f t="shared" si="156"/>
        <v>rsdec.o</v>
      </c>
      <c r="AX378">
        <f>SUMIF(AT378:$AT$651,AW378,AV378:$AV$651)</f>
        <v>37</v>
      </c>
    </row>
    <row r="379" spans="1:50" x14ac:dyDescent="0.25">
      <c r="A379" s="4" t="s">
        <v>0</v>
      </c>
      <c r="B379" t="s">
        <v>449</v>
      </c>
      <c r="C379" t="s">
        <v>443</v>
      </c>
      <c r="D379" t="s">
        <v>443</v>
      </c>
      <c r="E379" t="s">
        <v>612</v>
      </c>
      <c r="F379" t="str">
        <f t="shared" si="153"/>
        <v>[7]</v>
      </c>
      <c r="G379">
        <f t="shared" si="154"/>
        <v>0</v>
      </c>
      <c r="H379" t="str">
        <f t="shared" si="157"/>
        <v>placeholder</v>
      </c>
      <c r="I379">
        <f>SUMIF(E379:$E$379,H379,G379:$G$379)</f>
        <v>0</v>
      </c>
      <c r="K379" s="4" t="s">
        <v>421</v>
      </c>
      <c r="L379" t="s">
        <v>422</v>
      </c>
      <c r="M379" t="s">
        <v>1871</v>
      </c>
      <c r="N379" t="s">
        <v>202</v>
      </c>
      <c r="O379" t="s">
        <v>131</v>
      </c>
      <c r="P379" t="str">
        <f t="shared" si="149"/>
        <v>[1]</v>
      </c>
      <c r="Q379">
        <f t="shared" si="150"/>
        <v>16</v>
      </c>
      <c r="R379" t="str">
        <f t="shared" si="155"/>
        <v/>
      </c>
      <c r="S379">
        <f>SUMIF(O379:$O$2855,R379,Q379:$Q$2855)</f>
        <v>0</v>
      </c>
      <c r="AP379" s="4" t="s">
        <v>472</v>
      </c>
      <c r="AQ379" t="s">
        <v>479</v>
      </c>
      <c r="AR379" t="s">
        <v>1651</v>
      </c>
      <c r="AS379" t="s">
        <v>13</v>
      </c>
      <c r="AT379" t="s">
        <v>1072</v>
      </c>
      <c r="AU379" t="str">
        <f t="shared" si="151"/>
        <v>[1]</v>
      </c>
      <c r="AV379">
        <f t="shared" si="152"/>
        <v>12</v>
      </c>
      <c r="AW379" t="str">
        <f t="shared" si="156"/>
        <v/>
      </c>
      <c r="AX379">
        <f>SUMIF(AT379:$AT$651,AW379,AV379:$AV$651)</f>
        <v>0</v>
      </c>
    </row>
    <row r="380" spans="1:50" x14ac:dyDescent="0.25">
      <c r="G380">
        <f>SUM(G311:G379)</f>
        <v>22926</v>
      </c>
      <c r="H380" t="s">
        <v>675</v>
      </c>
      <c r="I380">
        <f>SUM(I311:I379)</f>
        <v>22926</v>
      </c>
      <c r="K380" s="4" t="s">
        <v>421</v>
      </c>
      <c r="L380" t="s">
        <v>422</v>
      </c>
      <c r="M380" t="s">
        <v>3142</v>
      </c>
      <c r="N380" t="s">
        <v>202</v>
      </c>
      <c r="O380" t="s">
        <v>131</v>
      </c>
      <c r="P380" t="str">
        <f t="shared" si="149"/>
        <v>[1]</v>
      </c>
      <c r="Q380">
        <f t="shared" si="150"/>
        <v>16</v>
      </c>
      <c r="R380" t="str">
        <f t="shared" si="155"/>
        <v/>
      </c>
      <c r="S380">
        <f>SUMIF(O380:$O$2855,R380,Q380:$Q$2855)</f>
        <v>0</v>
      </c>
      <c r="AP380" s="4" t="s">
        <v>472</v>
      </c>
      <c r="AQ380" t="s">
        <v>479</v>
      </c>
      <c r="AR380" t="s">
        <v>1652</v>
      </c>
      <c r="AS380" t="s">
        <v>13</v>
      </c>
      <c r="AT380" t="s">
        <v>1072</v>
      </c>
      <c r="AU380" t="str">
        <f t="shared" si="151"/>
        <v>[1]</v>
      </c>
      <c r="AV380">
        <f t="shared" si="152"/>
        <v>12</v>
      </c>
      <c r="AW380" t="str">
        <f t="shared" si="156"/>
        <v/>
      </c>
      <c r="AX380">
        <f>SUMIF(AT380:$AT$651,AW380,AV380:$AV$651)</f>
        <v>0</v>
      </c>
    </row>
    <row r="381" spans="1:50" x14ac:dyDescent="0.25">
      <c r="K381" s="4" t="s">
        <v>421</v>
      </c>
      <c r="L381" t="s">
        <v>422</v>
      </c>
      <c r="M381" t="s">
        <v>3143</v>
      </c>
      <c r="N381" t="s">
        <v>124</v>
      </c>
      <c r="O381" t="s">
        <v>131</v>
      </c>
      <c r="P381" t="str">
        <f t="shared" si="149"/>
        <v>[1]</v>
      </c>
      <c r="Q381">
        <f t="shared" si="150"/>
        <v>68</v>
      </c>
      <c r="R381" t="str">
        <f t="shared" si="155"/>
        <v/>
      </c>
      <c r="S381">
        <f>SUMIF(O381:$O$2855,R381,Q381:$Q$2855)</f>
        <v>0</v>
      </c>
      <c r="AP381" s="4" t="s">
        <v>472</v>
      </c>
      <c r="AQ381" t="s">
        <v>479</v>
      </c>
      <c r="AR381" t="s">
        <v>1653</v>
      </c>
      <c r="AS381" t="s">
        <v>78</v>
      </c>
      <c r="AT381" t="s">
        <v>1072</v>
      </c>
      <c r="AU381" t="str">
        <f t="shared" si="151"/>
        <v>[1]</v>
      </c>
      <c r="AV381">
        <f t="shared" si="152"/>
        <v>4</v>
      </c>
      <c r="AW381" t="str">
        <f t="shared" si="156"/>
        <v/>
      </c>
      <c r="AX381">
        <f>SUMIF(AT381:$AT$651,AW381,AV381:$AV$651)</f>
        <v>0</v>
      </c>
    </row>
    <row r="382" spans="1:50" x14ac:dyDescent="0.25">
      <c r="K382" s="4" t="s">
        <v>421</v>
      </c>
      <c r="L382" t="s">
        <v>422</v>
      </c>
      <c r="M382" t="s">
        <v>3144</v>
      </c>
      <c r="N382" t="s">
        <v>237</v>
      </c>
      <c r="O382" t="s">
        <v>131</v>
      </c>
      <c r="P382" t="str">
        <f t="shared" si="149"/>
        <v>[1]</v>
      </c>
      <c r="Q382">
        <f t="shared" si="150"/>
        <v>52</v>
      </c>
      <c r="R382" t="str">
        <f t="shared" si="155"/>
        <v/>
      </c>
      <c r="S382">
        <f>SUMIF(O382:$O$2855,R382,Q382:$Q$2855)</f>
        <v>0</v>
      </c>
      <c r="AP382" s="4" t="s">
        <v>472</v>
      </c>
      <c r="AQ382" t="s">
        <v>479</v>
      </c>
      <c r="AR382" t="s">
        <v>4479</v>
      </c>
      <c r="AS382" t="s">
        <v>442</v>
      </c>
      <c r="AT382" t="s">
        <v>1072</v>
      </c>
      <c r="AU382" t="str">
        <f t="shared" si="151"/>
        <v>[1]</v>
      </c>
      <c r="AV382">
        <f t="shared" si="152"/>
        <v>1</v>
      </c>
      <c r="AW382" t="str">
        <f t="shared" si="156"/>
        <v/>
      </c>
      <c r="AX382">
        <f>SUMIF(AT382:$AT$651,AW382,AV382:$AV$651)</f>
        <v>0</v>
      </c>
    </row>
    <row r="383" spans="1:50" x14ac:dyDescent="0.25">
      <c r="A383" s="50" t="s">
        <v>756</v>
      </c>
      <c r="B383" s="50"/>
      <c r="C383" s="50"/>
      <c r="D383" s="50"/>
      <c r="E383" s="50"/>
      <c r="F383" s="50"/>
      <c r="G383" s="50"/>
      <c r="H383" s="50"/>
      <c r="I383" s="50"/>
      <c r="K383" s="4" t="s">
        <v>421</v>
      </c>
      <c r="L383" t="s">
        <v>422</v>
      </c>
      <c r="M383" t="s">
        <v>3145</v>
      </c>
      <c r="N383" t="s">
        <v>13</v>
      </c>
      <c r="O383" t="s">
        <v>131</v>
      </c>
      <c r="P383" t="str">
        <f t="shared" si="149"/>
        <v>[1]</v>
      </c>
      <c r="Q383">
        <f t="shared" si="150"/>
        <v>12</v>
      </c>
      <c r="R383" t="str">
        <f t="shared" si="155"/>
        <v/>
      </c>
      <c r="S383">
        <f>SUMIF(O383:$O$2855,R383,Q383:$Q$2855)</f>
        <v>0</v>
      </c>
      <c r="AP383" s="4" t="s">
        <v>472</v>
      </c>
      <c r="AQ383" t="s">
        <v>479</v>
      </c>
      <c r="AR383" t="s">
        <v>4578</v>
      </c>
      <c r="AS383" t="s">
        <v>76</v>
      </c>
      <c r="AT383" t="s">
        <v>223</v>
      </c>
      <c r="AU383" t="str">
        <f t="shared" si="151"/>
        <v>[1]</v>
      </c>
      <c r="AV383">
        <f t="shared" si="152"/>
        <v>36</v>
      </c>
      <c r="AW383" t="str">
        <f t="shared" si="156"/>
        <v>SELF_test.o</v>
      </c>
      <c r="AX383">
        <f>SUMIF(AT383:$AT$651,AW383,AV383:$AV$651)</f>
        <v>52</v>
      </c>
    </row>
    <row r="384" spans="1:50" x14ac:dyDescent="0.25">
      <c r="A384" s="4" t="s">
        <v>0</v>
      </c>
      <c r="B384" t="s">
        <v>449</v>
      </c>
      <c r="C384" t="s">
        <v>1370</v>
      </c>
      <c r="D384" t="s">
        <v>21</v>
      </c>
      <c r="E384" t="s">
        <v>22</v>
      </c>
      <c r="F384" t="str">
        <f t="shared" ref="F384:F407" si="158">VLOOKUP($A$383,$E$1:$F$26,2,FALSE)</f>
        <v>[8]</v>
      </c>
      <c r="G384">
        <f t="shared" ref="G384:G407" si="159">HEX2DEC(MID(D384,3,LEN(D384)-2))</f>
        <v>6</v>
      </c>
      <c r="H384" t="str">
        <f>IF(E384&lt;&gt;E383,E384,"")</f>
        <v>ABImemclr.o</v>
      </c>
      <c r="I384">
        <f>SUMIF(E384:$E$407,H384,G384:$G$407)</f>
        <v>6</v>
      </c>
      <c r="K384" s="4" t="s">
        <v>421</v>
      </c>
      <c r="L384" t="s">
        <v>422</v>
      </c>
      <c r="M384" t="s">
        <v>3146</v>
      </c>
      <c r="N384" t="s">
        <v>13</v>
      </c>
      <c r="O384" t="s">
        <v>131</v>
      </c>
      <c r="P384" t="str">
        <f t="shared" si="149"/>
        <v>[1]</v>
      </c>
      <c r="Q384">
        <f t="shared" si="150"/>
        <v>12</v>
      </c>
      <c r="R384" t="str">
        <f t="shared" si="155"/>
        <v/>
      </c>
      <c r="S384">
        <f>SUMIF(O384:$O$2855,R384,Q384:$Q$2855)</f>
        <v>0</v>
      </c>
      <c r="AP384" s="4" t="s">
        <v>472</v>
      </c>
      <c r="AQ384" t="s">
        <v>479</v>
      </c>
      <c r="AR384" t="s">
        <v>4579</v>
      </c>
      <c r="AS384" t="s">
        <v>78</v>
      </c>
      <c r="AT384" t="s">
        <v>223</v>
      </c>
      <c r="AU384" t="str">
        <f t="shared" si="151"/>
        <v>[1]</v>
      </c>
      <c r="AV384">
        <f t="shared" si="152"/>
        <v>4</v>
      </c>
      <c r="AW384" t="str">
        <f t="shared" si="156"/>
        <v/>
      </c>
      <c r="AX384">
        <f>SUMIF(AT384:$AT$651,AW384,AV384:$AV$651)</f>
        <v>0</v>
      </c>
    </row>
    <row r="385" spans="1:50" x14ac:dyDescent="0.25">
      <c r="A385" s="4" t="s">
        <v>0</v>
      </c>
      <c r="B385" t="s">
        <v>449</v>
      </c>
      <c r="C385" t="s">
        <v>1357</v>
      </c>
      <c r="D385" t="s">
        <v>21</v>
      </c>
      <c r="E385" t="s">
        <v>100</v>
      </c>
      <c r="F385" t="str">
        <f t="shared" si="158"/>
        <v>[8]</v>
      </c>
      <c r="G385">
        <f t="shared" si="159"/>
        <v>6</v>
      </c>
      <c r="H385" t="str">
        <f t="shared" ref="H385:H407" si="160">IF(E385&lt;&gt;E384,E385,"")</f>
        <v>ABImemclr4.o</v>
      </c>
      <c r="I385">
        <f>SUMIF(E385:$E$407,H385,G385:$G$407)</f>
        <v>6</v>
      </c>
      <c r="K385" s="4" t="s">
        <v>421</v>
      </c>
      <c r="L385" t="s">
        <v>422</v>
      </c>
      <c r="M385" t="s">
        <v>3147</v>
      </c>
      <c r="N385" t="s">
        <v>6</v>
      </c>
      <c r="O385" t="s">
        <v>131</v>
      </c>
      <c r="P385" t="str">
        <f t="shared" si="149"/>
        <v>[1]</v>
      </c>
      <c r="Q385">
        <f t="shared" si="150"/>
        <v>28</v>
      </c>
      <c r="R385" t="str">
        <f t="shared" si="155"/>
        <v/>
      </c>
      <c r="S385">
        <f>SUMIF(O385:$O$2855,R385,Q385:$Q$2855)</f>
        <v>0</v>
      </c>
      <c r="AP385" s="4" t="s">
        <v>472</v>
      </c>
      <c r="AQ385" t="s">
        <v>479</v>
      </c>
      <c r="AR385" t="s">
        <v>4580</v>
      </c>
      <c r="AS385" t="s">
        <v>78</v>
      </c>
      <c r="AT385" t="s">
        <v>223</v>
      </c>
      <c r="AU385" t="str">
        <f t="shared" si="151"/>
        <v>[1]</v>
      </c>
      <c r="AV385">
        <f t="shared" si="152"/>
        <v>4</v>
      </c>
      <c r="AW385" t="str">
        <f t="shared" si="156"/>
        <v/>
      </c>
      <c r="AX385">
        <f>SUMIF(AT385:$AT$651,AW385,AV385:$AV$651)</f>
        <v>0</v>
      </c>
    </row>
    <row r="386" spans="1:50" x14ac:dyDescent="0.25">
      <c r="A386" s="4" t="s">
        <v>0</v>
      </c>
      <c r="B386" t="s">
        <v>449</v>
      </c>
      <c r="C386" t="s">
        <v>1360</v>
      </c>
      <c r="D386" t="s">
        <v>122</v>
      </c>
      <c r="E386" t="s">
        <v>123</v>
      </c>
      <c r="F386" t="str">
        <f t="shared" si="158"/>
        <v>[8]</v>
      </c>
      <c r="G386">
        <f t="shared" si="159"/>
        <v>118</v>
      </c>
      <c r="H386" t="str">
        <f t="shared" si="160"/>
        <v>ABImemcpy_unaligned.o</v>
      </c>
      <c r="I386">
        <f>SUMIF(E386:$E$407,H386,G386:$G$407)</f>
        <v>118</v>
      </c>
      <c r="K386" s="4" t="s">
        <v>421</v>
      </c>
      <c r="L386" t="s">
        <v>422</v>
      </c>
      <c r="M386" t="s">
        <v>3148</v>
      </c>
      <c r="N386" t="s">
        <v>67</v>
      </c>
      <c r="O386" t="s">
        <v>131</v>
      </c>
      <c r="P386" t="str">
        <f t="shared" ref="P386:P449" si="161">VLOOKUP($K$30,$E$1:$F$26,2,FALSE)</f>
        <v>[1]</v>
      </c>
      <c r="Q386">
        <f t="shared" si="150"/>
        <v>48</v>
      </c>
      <c r="R386" t="str">
        <f t="shared" si="155"/>
        <v/>
      </c>
      <c r="S386">
        <f>SUMIF(O386:$O$2855,R386,Q386:$Q$2855)</f>
        <v>0</v>
      </c>
      <c r="AP386" s="4" t="s">
        <v>472</v>
      </c>
      <c r="AQ386" t="s">
        <v>479</v>
      </c>
      <c r="AR386" t="s">
        <v>4581</v>
      </c>
      <c r="AS386" t="s">
        <v>126</v>
      </c>
      <c r="AT386" t="s">
        <v>223</v>
      </c>
      <c r="AU386" t="str">
        <f t="shared" si="151"/>
        <v>[1]</v>
      </c>
      <c r="AV386">
        <f t="shared" si="152"/>
        <v>8</v>
      </c>
      <c r="AW386" t="str">
        <f t="shared" si="156"/>
        <v/>
      </c>
      <c r="AX386">
        <f>SUMIF(AT386:$AT$651,AW386,AV386:$AV$651)</f>
        <v>0</v>
      </c>
    </row>
    <row r="387" spans="1:50" x14ac:dyDescent="0.25">
      <c r="A387" s="4" t="s">
        <v>0</v>
      </c>
      <c r="B387" t="s">
        <v>449</v>
      </c>
      <c r="C387" t="s">
        <v>1365</v>
      </c>
      <c r="D387" t="s">
        <v>150</v>
      </c>
      <c r="E387" t="s">
        <v>260</v>
      </c>
      <c r="F387" t="str">
        <f t="shared" si="158"/>
        <v>[8]</v>
      </c>
      <c r="G387">
        <f t="shared" si="159"/>
        <v>120</v>
      </c>
      <c r="H387" t="str">
        <f t="shared" si="160"/>
        <v>ABImemmove_unaligned.o</v>
      </c>
      <c r="I387">
        <f>SUMIF(E387:$E$407,H387,G387:$G$407)</f>
        <v>120</v>
      </c>
      <c r="K387" s="4" t="s">
        <v>421</v>
      </c>
      <c r="L387" t="s">
        <v>422</v>
      </c>
      <c r="M387" t="s">
        <v>3149</v>
      </c>
      <c r="N387" t="s">
        <v>437</v>
      </c>
      <c r="O387" t="s">
        <v>131</v>
      </c>
      <c r="P387" t="str">
        <f t="shared" si="161"/>
        <v>[1]</v>
      </c>
      <c r="Q387">
        <f t="shared" ref="Q387:Q450" si="162">HEX2DEC(MID(N387,3,LEN(N387)-2))</f>
        <v>24</v>
      </c>
      <c r="R387" t="str">
        <f t="shared" si="155"/>
        <v/>
      </c>
      <c r="S387">
        <f>SUMIF(O387:$O$2855,R387,Q387:$Q$2855)</f>
        <v>0</v>
      </c>
      <c r="AP387" s="4" t="s">
        <v>472</v>
      </c>
      <c r="AQ387" t="s">
        <v>479</v>
      </c>
      <c r="AR387" t="s">
        <v>4489</v>
      </c>
      <c r="AS387" t="s">
        <v>202</v>
      </c>
      <c r="AT387" t="s">
        <v>224</v>
      </c>
      <c r="AU387" t="str">
        <f t="shared" si="151"/>
        <v>[1]</v>
      </c>
      <c r="AV387">
        <f t="shared" si="152"/>
        <v>16</v>
      </c>
      <c r="AW387" t="str">
        <f t="shared" si="156"/>
        <v>si446x_api_lib.o</v>
      </c>
      <c r="AX387">
        <f>SUMIF(AT387:$AT$651,AW387,AV387:$AV$651)</f>
        <v>44</v>
      </c>
    </row>
    <row r="388" spans="1:50" x14ac:dyDescent="0.25">
      <c r="A388" s="4" t="s">
        <v>0</v>
      </c>
      <c r="B388" t="s">
        <v>449</v>
      </c>
      <c r="C388" t="s">
        <v>1361</v>
      </c>
      <c r="D388" t="s">
        <v>40</v>
      </c>
      <c r="E388" t="s">
        <v>41</v>
      </c>
      <c r="F388" t="str">
        <f t="shared" si="158"/>
        <v>[8]</v>
      </c>
      <c r="G388">
        <f t="shared" si="159"/>
        <v>102</v>
      </c>
      <c r="H388" t="str">
        <f t="shared" si="160"/>
        <v>ABImemset.o</v>
      </c>
      <c r="I388">
        <f>SUMIF(E388:$E$407,H388,G388:$G$407)</f>
        <v>102</v>
      </c>
      <c r="K388" s="4" t="s">
        <v>421</v>
      </c>
      <c r="L388" t="s">
        <v>422</v>
      </c>
      <c r="M388" t="s">
        <v>1872</v>
      </c>
      <c r="N388" t="s">
        <v>119</v>
      </c>
      <c r="O388" t="s">
        <v>131</v>
      </c>
      <c r="P388" t="str">
        <f t="shared" si="161"/>
        <v>[1]</v>
      </c>
      <c r="Q388">
        <f t="shared" si="162"/>
        <v>32</v>
      </c>
      <c r="R388" t="str">
        <f t="shared" si="155"/>
        <v/>
      </c>
      <c r="S388">
        <f>SUMIF(O388:$O$2855,R388,Q388:$Q$2855)</f>
        <v>0</v>
      </c>
      <c r="AP388" s="4" t="s">
        <v>472</v>
      </c>
      <c r="AQ388" t="s">
        <v>479</v>
      </c>
      <c r="AR388" t="s">
        <v>4490</v>
      </c>
      <c r="AS388" t="s">
        <v>202</v>
      </c>
      <c r="AT388" t="s">
        <v>224</v>
      </c>
      <c r="AU388" t="str">
        <f t="shared" si="151"/>
        <v>[1]</v>
      </c>
      <c r="AV388">
        <f t="shared" si="152"/>
        <v>16</v>
      </c>
      <c r="AW388" t="str">
        <f t="shared" si="156"/>
        <v/>
      </c>
      <c r="AX388">
        <f>SUMIF(AT388:$AT$651,AW388,AV388:$AV$651)</f>
        <v>0</v>
      </c>
    </row>
    <row r="389" spans="1:50" x14ac:dyDescent="0.25">
      <c r="A389" s="4" t="s">
        <v>0</v>
      </c>
      <c r="B389" t="s">
        <v>449</v>
      </c>
      <c r="C389" t="s">
        <v>1359</v>
      </c>
      <c r="D389" t="s">
        <v>169</v>
      </c>
      <c r="E389" t="s">
        <v>170</v>
      </c>
      <c r="F389" t="str">
        <f t="shared" si="158"/>
        <v>[8]</v>
      </c>
      <c r="G389">
        <f t="shared" si="159"/>
        <v>58</v>
      </c>
      <c r="H389" t="str">
        <f t="shared" si="160"/>
        <v>ABImemset48.o</v>
      </c>
      <c r="I389">
        <f>SUMIF(E389:$E$407,H389,G389:$G$407)</f>
        <v>58</v>
      </c>
      <c r="K389" s="4" t="s">
        <v>421</v>
      </c>
      <c r="L389" t="s">
        <v>422</v>
      </c>
      <c r="M389" t="s">
        <v>3150</v>
      </c>
      <c r="N389" t="s">
        <v>437</v>
      </c>
      <c r="O389" t="s">
        <v>131</v>
      </c>
      <c r="P389" t="str">
        <f t="shared" si="161"/>
        <v>[1]</v>
      </c>
      <c r="Q389">
        <f t="shared" si="162"/>
        <v>24</v>
      </c>
      <c r="R389" t="str">
        <f t="shared" si="155"/>
        <v/>
      </c>
      <c r="S389">
        <f>SUMIF(O389:$O$2855,R389,Q389:$Q$2855)</f>
        <v>0</v>
      </c>
      <c r="AP389" s="4" t="s">
        <v>472</v>
      </c>
      <c r="AQ389" t="s">
        <v>479</v>
      </c>
      <c r="AR389" t="s">
        <v>4491</v>
      </c>
      <c r="AS389" t="s">
        <v>13</v>
      </c>
      <c r="AT389" t="s">
        <v>224</v>
      </c>
      <c r="AU389" t="str">
        <f t="shared" si="151"/>
        <v>[1]</v>
      </c>
      <c r="AV389">
        <f t="shared" si="152"/>
        <v>12</v>
      </c>
      <c r="AW389" t="str">
        <f t="shared" si="156"/>
        <v/>
      </c>
      <c r="AX389">
        <f>SUMIF(AT389:$AT$651,AW389,AV389:$AV$651)</f>
        <v>0</v>
      </c>
    </row>
    <row r="390" spans="1:50" x14ac:dyDescent="0.25">
      <c r="A390" s="4" t="s">
        <v>0</v>
      </c>
      <c r="B390" t="s">
        <v>449</v>
      </c>
      <c r="C390" t="s">
        <v>1377</v>
      </c>
      <c r="D390" t="s">
        <v>23</v>
      </c>
      <c r="E390" t="s">
        <v>107</v>
      </c>
      <c r="F390" t="str">
        <f t="shared" si="158"/>
        <v>[8]</v>
      </c>
      <c r="G390">
        <f t="shared" si="159"/>
        <v>10</v>
      </c>
      <c r="H390" t="str">
        <f t="shared" si="160"/>
        <v>cexit.o</v>
      </c>
      <c r="I390">
        <f>SUMIF(E390:$E$407,H390,G390:$G$407)</f>
        <v>10</v>
      </c>
      <c r="K390" s="4" t="s">
        <v>421</v>
      </c>
      <c r="L390" t="s">
        <v>422</v>
      </c>
      <c r="M390" t="s">
        <v>3151</v>
      </c>
      <c r="N390" t="s">
        <v>65</v>
      </c>
      <c r="O390" t="s">
        <v>131</v>
      </c>
      <c r="P390" t="str">
        <f t="shared" si="161"/>
        <v>[1]</v>
      </c>
      <c r="Q390">
        <f t="shared" si="162"/>
        <v>40</v>
      </c>
      <c r="R390" t="str">
        <f t="shared" si="155"/>
        <v/>
      </c>
      <c r="S390">
        <f>SUMIF(O390:$O$2855,R390,Q390:$Q$2855)</f>
        <v>0</v>
      </c>
      <c r="AP390" s="4" t="s">
        <v>472</v>
      </c>
      <c r="AQ390" t="s">
        <v>479</v>
      </c>
      <c r="AR390" t="s">
        <v>1289</v>
      </c>
      <c r="AS390" t="s">
        <v>65</v>
      </c>
      <c r="AT390" t="s">
        <v>233</v>
      </c>
      <c r="AU390" t="str">
        <f t="shared" si="151"/>
        <v>[1]</v>
      </c>
      <c r="AV390">
        <f t="shared" si="152"/>
        <v>40</v>
      </c>
      <c r="AW390" t="str">
        <f t="shared" si="156"/>
        <v>SM.o</v>
      </c>
      <c r="AX390">
        <f>SUMIF(AT390:$AT$651,AW390,AV390:$AV$651)</f>
        <v>293</v>
      </c>
    </row>
    <row r="391" spans="1:50" x14ac:dyDescent="0.25">
      <c r="A391" s="4" t="s">
        <v>0</v>
      </c>
      <c r="B391" t="s">
        <v>449</v>
      </c>
      <c r="C391" t="s">
        <v>1372</v>
      </c>
      <c r="D391" t="s">
        <v>10</v>
      </c>
      <c r="E391" t="s">
        <v>35</v>
      </c>
      <c r="F391" t="str">
        <f t="shared" si="158"/>
        <v>[8]</v>
      </c>
      <c r="G391">
        <f t="shared" si="159"/>
        <v>26</v>
      </c>
      <c r="H391" t="str">
        <f t="shared" si="160"/>
        <v>cmain.o</v>
      </c>
      <c r="I391">
        <f>SUMIF(E391:$E$407,H391,G391:$G$407)</f>
        <v>26</v>
      </c>
      <c r="K391" s="4" t="s">
        <v>421</v>
      </c>
      <c r="L391" t="s">
        <v>422</v>
      </c>
      <c r="M391" t="s">
        <v>3152</v>
      </c>
      <c r="N391" t="s">
        <v>275</v>
      </c>
      <c r="O391" t="s">
        <v>131</v>
      </c>
      <c r="P391" t="str">
        <f t="shared" si="161"/>
        <v>[1]</v>
      </c>
      <c r="Q391">
        <f t="shared" si="162"/>
        <v>80</v>
      </c>
      <c r="R391" t="str">
        <f t="shared" si="155"/>
        <v/>
      </c>
      <c r="S391">
        <f>SUMIF(O391:$O$2855,R391,Q391:$Q$2855)</f>
        <v>0</v>
      </c>
      <c r="AP391" s="4" t="s">
        <v>472</v>
      </c>
      <c r="AQ391" t="s">
        <v>479</v>
      </c>
      <c r="AR391" t="s">
        <v>1654</v>
      </c>
      <c r="AS391" t="s">
        <v>65</v>
      </c>
      <c r="AT391" t="s">
        <v>233</v>
      </c>
      <c r="AU391" t="str">
        <f t="shared" si="151"/>
        <v>[1]</v>
      </c>
      <c r="AV391">
        <f t="shared" si="152"/>
        <v>40</v>
      </c>
      <c r="AW391" t="str">
        <f t="shared" si="156"/>
        <v/>
      </c>
      <c r="AX391">
        <f>SUMIF(AT391:$AT$651,AW391,AV391:$AV$651)</f>
        <v>0</v>
      </c>
    </row>
    <row r="392" spans="1:50" x14ac:dyDescent="0.25">
      <c r="A392" s="4" t="s">
        <v>0</v>
      </c>
      <c r="B392" t="s">
        <v>449</v>
      </c>
      <c r="C392" t="s">
        <v>1378</v>
      </c>
      <c r="D392" t="s">
        <v>13</v>
      </c>
      <c r="E392" t="s">
        <v>14</v>
      </c>
      <c r="F392" t="str">
        <f t="shared" si="158"/>
        <v>[8]</v>
      </c>
      <c r="G392">
        <f t="shared" si="159"/>
        <v>12</v>
      </c>
      <c r="H392" t="str">
        <f t="shared" si="160"/>
        <v>cstartup_M.o</v>
      </c>
      <c r="I392">
        <f>SUMIF(E392:$E$407,H392,G392:$G$407)</f>
        <v>12</v>
      </c>
      <c r="K392" s="4" t="s">
        <v>421</v>
      </c>
      <c r="L392" t="s">
        <v>422</v>
      </c>
      <c r="M392" t="s">
        <v>3153</v>
      </c>
      <c r="N392" t="s">
        <v>44</v>
      </c>
      <c r="O392" t="s">
        <v>131</v>
      </c>
      <c r="P392" t="str">
        <f t="shared" si="161"/>
        <v>[1]</v>
      </c>
      <c r="Q392">
        <f t="shared" si="162"/>
        <v>44</v>
      </c>
      <c r="R392" t="str">
        <f t="shared" si="155"/>
        <v/>
      </c>
      <c r="S392">
        <f>SUMIF(O392:$O$2855,R392,Q392:$Q$2855)</f>
        <v>0</v>
      </c>
      <c r="AP392" s="4" t="s">
        <v>472</v>
      </c>
      <c r="AQ392" t="s">
        <v>479</v>
      </c>
      <c r="AR392" t="s">
        <v>1655</v>
      </c>
      <c r="AS392" t="s">
        <v>76</v>
      </c>
      <c r="AT392" t="s">
        <v>233</v>
      </c>
      <c r="AU392" t="str">
        <f t="shared" si="151"/>
        <v>[1]</v>
      </c>
      <c r="AV392">
        <f t="shared" si="152"/>
        <v>36</v>
      </c>
      <c r="AW392" t="str">
        <f t="shared" si="156"/>
        <v/>
      </c>
      <c r="AX392">
        <f>SUMIF(AT392:$AT$651,AW392,AV392:$AV$651)</f>
        <v>0</v>
      </c>
    </row>
    <row r="393" spans="1:50" x14ac:dyDescent="0.25">
      <c r="A393" s="4" t="s">
        <v>0</v>
      </c>
      <c r="B393" t="s">
        <v>449</v>
      </c>
      <c r="C393" t="s">
        <v>1373</v>
      </c>
      <c r="D393" t="s">
        <v>65</v>
      </c>
      <c r="E393" t="s">
        <v>75</v>
      </c>
      <c r="F393" t="str">
        <f t="shared" si="158"/>
        <v>[8]</v>
      </c>
      <c r="G393">
        <f t="shared" si="159"/>
        <v>40</v>
      </c>
      <c r="H393" t="str">
        <f t="shared" si="160"/>
        <v>data_init.o</v>
      </c>
      <c r="I393">
        <f>SUMIF(E393:$E$407,H393,G393:$G$407)</f>
        <v>40</v>
      </c>
      <c r="K393" s="4" t="s">
        <v>421</v>
      </c>
      <c r="L393" t="s">
        <v>422</v>
      </c>
      <c r="M393" t="s">
        <v>3154</v>
      </c>
      <c r="N393" t="s">
        <v>275</v>
      </c>
      <c r="O393" t="s">
        <v>131</v>
      </c>
      <c r="P393" t="str">
        <f t="shared" si="161"/>
        <v>[1]</v>
      </c>
      <c r="Q393">
        <f t="shared" si="162"/>
        <v>80</v>
      </c>
      <c r="R393" t="str">
        <f t="shared" si="155"/>
        <v/>
      </c>
      <c r="S393">
        <f>SUMIF(O393:$O$2855,R393,Q393:$Q$2855)</f>
        <v>0</v>
      </c>
      <c r="AP393" s="4" t="s">
        <v>472</v>
      </c>
      <c r="AQ393" t="s">
        <v>479</v>
      </c>
      <c r="AR393" t="s">
        <v>1656</v>
      </c>
      <c r="AS393" t="s">
        <v>147</v>
      </c>
      <c r="AT393" t="s">
        <v>233</v>
      </c>
      <c r="AU393" t="str">
        <f t="shared" si="151"/>
        <v>[1]</v>
      </c>
      <c r="AV393">
        <f t="shared" si="152"/>
        <v>72</v>
      </c>
      <c r="AW393" t="str">
        <f t="shared" si="156"/>
        <v/>
      </c>
      <c r="AX393">
        <f>SUMIF(AT393:$AT$651,AW393,AV393:$AV$651)</f>
        <v>0</v>
      </c>
    </row>
    <row r="394" spans="1:50" x14ac:dyDescent="0.25">
      <c r="A394" s="4" t="s">
        <v>0</v>
      </c>
      <c r="B394" t="s">
        <v>449</v>
      </c>
      <c r="C394" t="s">
        <v>1362</v>
      </c>
      <c r="D394" t="s">
        <v>94</v>
      </c>
      <c r="E394" t="s">
        <v>95</v>
      </c>
      <c r="F394" t="str">
        <f t="shared" si="158"/>
        <v>[8]</v>
      </c>
      <c r="G394">
        <f t="shared" si="159"/>
        <v>306</v>
      </c>
      <c r="H394" t="str">
        <f t="shared" si="160"/>
        <v>I64DivMod.o</v>
      </c>
      <c r="I394">
        <f>SUMIF(E394:$E$407,H394,G394:$G$407)</f>
        <v>306</v>
      </c>
      <c r="K394" s="4" t="s">
        <v>421</v>
      </c>
      <c r="L394" t="s">
        <v>422</v>
      </c>
      <c r="M394" t="s">
        <v>3155</v>
      </c>
      <c r="N394" t="s">
        <v>44</v>
      </c>
      <c r="O394" t="s">
        <v>131</v>
      </c>
      <c r="P394" t="str">
        <f t="shared" si="161"/>
        <v>[1]</v>
      </c>
      <c r="Q394">
        <f t="shared" si="162"/>
        <v>44</v>
      </c>
      <c r="R394" t="str">
        <f t="shared" si="155"/>
        <v/>
      </c>
      <c r="S394">
        <f>SUMIF(O394:$O$2855,R394,Q394:$Q$2855)</f>
        <v>0</v>
      </c>
      <c r="AP394" s="4" t="s">
        <v>472</v>
      </c>
      <c r="AQ394" t="s">
        <v>479</v>
      </c>
      <c r="AR394" t="s">
        <v>1657</v>
      </c>
      <c r="AS394" t="s">
        <v>78</v>
      </c>
      <c r="AT394" t="s">
        <v>233</v>
      </c>
      <c r="AU394" t="str">
        <f t="shared" si="151"/>
        <v>[1]</v>
      </c>
      <c r="AV394">
        <f t="shared" si="152"/>
        <v>4</v>
      </c>
      <c r="AW394" t="str">
        <f t="shared" si="156"/>
        <v/>
      </c>
      <c r="AX394">
        <f>SUMIF(AT394:$AT$651,AW394,AV394:$AV$651)</f>
        <v>0</v>
      </c>
    </row>
    <row r="395" spans="1:50" x14ac:dyDescent="0.25">
      <c r="A395" s="4" t="s">
        <v>0</v>
      </c>
      <c r="B395" t="s">
        <v>449</v>
      </c>
      <c r="C395" t="s">
        <v>1363</v>
      </c>
      <c r="D395" t="s">
        <v>46</v>
      </c>
      <c r="E395" t="s">
        <v>164</v>
      </c>
      <c r="F395" t="str">
        <f t="shared" si="158"/>
        <v>[8]</v>
      </c>
      <c r="G395">
        <f t="shared" si="159"/>
        <v>2</v>
      </c>
      <c r="H395" t="str">
        <f t="shared" si="160"/>
        <v>I64DivZer.o</v>
      </c>
      <c r="I395">
        <f>SUMIF(E395:$E$407,H395,G395:$G$407)</f>
        <v>2</v>
      </c>
      <c r="K395" s="4" t="s">
        <v>421</v>
      </c>
      <c r="L395" t="s">
        <v>422</v>
      </c>
      <c r="M395" t="s">
        <v>3156</v>
      </c>
      <c r="N395" t="s">
        <v>103</v>
      </c>
      <c r="O395" t="s">
        <v>131</v>
      </c>
      <c r="P395" t="str">
        <f t="shared" si="161"/>
        <v>[1]</v>
      </c>
      <c r="Q395">
        <f t="shared" si="162"/>
        <v>64</v>
      </c>
      <c r="R395" t="str">
        <f t="shared" si="155"/>
        <v/>
      </c>
      <c r="S395">
        <f>SUMIF(O395:$O$2855,R395,Q395:$Q$2855)</f>
        <v>0</v>
      </c>
      <c r="AP395" s="4" t="s">
        <v>472</v>
      </c>
      <c r="AQ395" t="s">
        <v>479</v>
      </c>
      <c r="AR395" t="s">
        <v>1658</v>
      </c>
      <c r="AS395" t="s">
        <v>67</v>
      </c>
      <c r="AT395" t="s">
        <v>233</v>
      </c>
      <c r="AU395" t="str">
        <f t="shared" ref="AU395:AU458" si="163">VLOOKUP($AP$30,$E$1:$F$26,2,FALSE)</f>
        <v>[1]</v>
      </c>
      <c r="AV395">
        <f t="shared" si="152"/>
        <v>48</v>
      </c>
      <c r="AW395" t="str">
        <f t="shared" si="156"/>
        <v/>
      </c>
      <c r="AX395">
        <f>SUMIF(AT395:$AT$651,AW395,AV395:$AV$651)</f>
        <v>0</v>
      </c>
    </row>
    <row r="396" spans="1:50" x14ac:dyDescent="0.25">
      <c r="A396" s="4" t="s">
        <v>0</v>
      </c>
      <c r="B396" t="s">
        <v>449</v>
      </c>
      <c r="C396" t="s">
        <v>1369</v>
      </c>
      <c r="D396" t="s">
        <v>31</v>
      </c>
      <c r="E396" t="s">
        <v>310</v>
      </c>
      <c r="F396" t="str">
        <f t="shared" si="158"/>
        <v>[8]</v>
      </c>
      <c r="G396">
        <f t="shared" si="159"/>
        <v>34</v>
      </c>
      <c r="H396" t="str">
        <f t="shared" si="160"/>
        <v>I64Shl.o</v>
      </c>
      <c r="I396">
        <f>SUMIF(E396:$E$407,H396,G396:$G$407)</f>
        <v>34</v>
      </c>
      <c r="K396" s="4" t="s">
        <v>421</v>
      </c>
      <c r="L396" t="s">
        <v>422</v>
      </c>
      <c r="M396" t="s">
        <v>3157</v>
      </c>
      <c r="N396" t="s">
        <v>165</v>
      </c>
      <c r="O396" t="s">
        <v>131</v>
      </c>
      <c r="P396" t="str">
        <f t="shared" si="161"/>
        <v>[1]</v>
      </c>
      <c r="Q396">
        <f t="shared" si="162"/>
        <v>20</v>
      </c>
      <c r="R396" t="str">
        <f t="shared" si="155"/>
        <v/>
      </c>
      <c r="S396">
        <f>SUMIF(O396:$O$2855,R396,Q396:$Q$2855)</f>
        <v>0</v>
      </c>
      <c r="AP396" s="4" t="s">
        <v>472</v>
      </c>
      <c r="AQ396" t="s">
        <v>479</v>
      </c>
      <c r="AR396" t="s">
        <v>1659</v>
      </c>
      <c r="AS396" t="s">
        <v>6</v>
      </c>
      <c r="AT396" t="s">
        <v>233</v>
      </c>
      <c r="AU396" t="str">
        <f t="shared" si="163"/>
        <v>[1]</v>
      </c>
      <c r="AV396">
        <f t="shared" si="152"/>
        <v>28</v>
      </c>
      <c r="AW396" t="str">
        <f t="shared" si="156"/>
        <v/>
      </c>
      <c r="AX396">
        <f>SUMIF(AT396:$AT$651,AW396,AV396:$AV$651)</f>
        <v>0</v>
      </c>
    </row>
    <row r="397" spans="1:50" x14ac:dyDescent="0.25">
      <c r="A397" s="4" t="s">
        <v>0</v>
      </c>
      <c r="B397" t="s">
        <v>449</v>
      </c>
      <c r="C397" t="s">
        <v>1374</v>
      </c>
      <c r="D397" t="s">
        <v>13</v>
      </c>
      <c r="E397" t="s">
        <v>1101</v>
      </c>
      <c r="F397" t="str">
        <f t="shared" si="158"/>
        <v>[8]</v>
      </c>
      <c r="G397">
        <f t="shared" si="159"/>
        <v>12</v>
      </c>
      <c r="H397" t="str">
        <f t="shared" si="160"/>
        <v>iarEdom.o</v>
      </c>
      <c r="I397">
        <f>SUMIF(E397:$E$407,H397,G397:$G$407)</f>
        <v>12</v>
      </c>
      <c r="K397" s="4" t="s">
        <v>421</v>
      </c>
      <c r="L397" t="s">
        <v>422</v>
      </c>
      <c r="M397" t="s">
        <v>3158</v>
      </c>
      <c r="N397" t="s">
        <v>165</v>
      </c>
      <c r="O397" t="s">
        <v>131</v>
      </c>
      <c r="P397" t="str">
        <f t="shared" si="161"/>
        <v>[1]</v>
      </c>
      <c r="Q397">
        <f t="shared" si="162"/>
        <v>20</v>
      </c>
      <c r="R397" t="str">
        <f t="shared" si="155"/>
        <v/>
      </c>
      <c r="S397">
        <f>SUMIF(O397:$O$2855,R397,Q397:$Q$2855)</f>
        <v>0</v>
      </c>
      <c r="AP397" s="4" t="s">
        <v>472</v>
      </c>
      <c r="AQ397" t="s">
        <v>479</v>
      </c>
      <c r="AR397" t="s">
        <v>1290</v>
      </c>
      <c r="AS397" t="s">
        <v>202</v>
      </c>
      <c r="AT397" t="s">
        <v>233</v>
      </c>
      <c r="AU397" t="str">
        <f t="shared" si="163"/>
        <v>[1]</v>
      </c>
      <c r="AV397">
        <f t="shared" si="152"/>
        <v>16</v>
      </c>
      <c r="AW397" t="str">
        <f t="shared" si="156"/>
        <v/>
      </c>
      <c r="AX397">
        <f>SUMIF(AT397:$AT$651,AW397,AV397:$AV$651)</f>
        <v>0</v>
      </c>
    </row>
    <row r="398" spans="1:50" x14ac:dyDescent="0.25">
      <c r="A398" s="4" t="s">
        <v>0</v>
      </c>
      <c r="B398" t="s">
        <v>449</v>
      </c>
      <c r="C398" t="s">
        <v>1376</v>
      </c>
      <c r="D398" t="s">
        <v>63</v>
      </c>
      <c r="E398" t="s">
        <v>365</v>
      </c>
      <c r="F398" t="str">
        <f t="shared" si="158"/>
        <v>[8]</v>
      </c>
      <c r="G398">
        <f t="shared" si="159"/>
        <v>88</v>
      </c>
      <c r="H398" t="str">
        <f t="shared" si="160"/>
        <v>memchr.o</v>
      </c>
      <c r="I398">
        <f>SUMIF(E398:$E$407,H398,G398:$G$407)</f>
        <v>88</v>
      </c>
      <c r="K398" s="4" t="s">
        <v>421</v>
      </c>
      <c r="L398" t="s">
        <v>422</v>
      </c>
      <c r="M398" t="s">
        <v>3159</v>
      </c>
      <c r="N398" t="s">
        <v>76</v>
      </c>
      <c r="O398" t="s">
        <v>131</v>
      </c>
      <c r="P398" t="str">
        <f t="shared" si="161"/>
        <v>[1]</v>
      </c>
      <c r="Q398">
        <f t="shared" si="162"/>
        <v>36</v>
      </c>
      <c r="R398" t="str">
        <f t="shared" si="155"/>
        <v/>
      </c>
      <c r="S398">
        <f>SUMIF(O398:$O$2855,R398,Q398:$Q$2855)</f>
        <v>0</v>
      </c>
      <c r="AP398" s="4" t="s">
        <v>472</v>
      </c>
      <c r="AQ398" t="s">
        <v>479</v>
      </c>
      <c r="AR398" t="s">
        <v>1660</v>
      </c>
      <c r="AS398" t="s">
        <v>126</v>
      </c>
      <c r="AT398" t="s">
        <v>233</v>
      </c>
      <c r="AU398" t="str">
        <f t="shared" si="163"/>
        <v>[1]</v>
      </c>
      <c r="AV398">
        <f t="shared" si="152"/>
        <v>8</v>
      </c>
      <c r="AW398" t="str">
        <f t="shared" si="156"/>
        <v/>
      </c>
      <c r="AX398">
        <f>SUMIF(AT398:$AT$651,AW398,AV398:$AV$651)</f>
        <v>0</v>
      </c>
    </row>
    <row r="399" spans="1:50" x14ac:dyDescent="0.25">
      <c r="A399" s="4" t="s">
        <v>0</v>
      </c>
      <c r="B399" t="s">
        <v>449</v>
      </c>
      <c r="C399" t="s">
        <v>1364</v>
      </c>
      <c r="D399" t="s">
        <v>155</v>
      </c>
      <c r="E399" t="s">
        <v>156</v>
      </c>
      <c r="F399" t="str">
        <f t="shared" si="158"/>
        <v>[8]</v>
      </c>
      <c r="G399">
        <f t="shared" si="159"/>
        <v>98</v>
      </c>
      <c r="H399" t="str">
        <f t="shared" si="160"/>
        <v>memcmp_unaligned.o</v>
      </c>
      <c r="I399">
        <f>SUMIF(E399:$E$407,H399,G399:$G$407)</f>
        <v>98</v>
      </c>
      <c r="K399" s="4" t="s">
        <v>421</v>
      </c>
      <c r="L399" t="s">
        <v>422</v>
      </c>
      <c r="M399" t="s">
        <v>3160</v>
      </c>
      <c r="N399" t="s">
        <v>76</v>
      </c>
      <c r="O399" t="s">
        <v>131</v>
      </c>
      <c r="P399" t="str">
        <f t="shared" si="161"/>
        <v>[1]</v>
      </c>
      <c r="Q399">
        <f t="shared" si="162"/>
        <v>36</v>
      </c>
      <c r="R399" t="str">
        <f t="shared" si="155"/>
        <v/>
      </c>
      <c r="S399">
        <f>SUMIF(O399:$O$2855,R399,Q399:$Q$2855)</f>
        <v>0</v>
      </c>
      <c r="AP399" s="4" t="s">
        <v>472</v>
      </c>
      <c r="AQ399" t="s">
        <v>479</v>
      </c>
      <c r="AR399" t="s">
        <v>4480</v>
      </c>
      <c r="AS399" t="s">
        <v>442</v>
      </c>
      <c r="AT399" t="s">
        <v>233</v>
      </c>
      <c r="AU399" t="str">
        <f t="shared" si="163"/>
        <v>[1]</v>
      </c>
      <c r="AV399">
        <f t="shared" si="152"/>
        <v>1</v>
      </c>
      <c r="AW399" t="str">
        <f t="shared" si="156"/>
        <v/>
      </c>
      <c r="AX399">
        <f>SUMIF(AT399:$AT$651,AW399,AV399:$AV$651)</f>
        <v>0</v>
      </c>
    </row>
    <row r="400" spans="1:50" x14ac:dyDescent="0.25">
      <c r="A400" s="4" t="s">
        <v>0</v>
      </c>
      <c r="B400" t="s">
        <v>449</v>
      </c>
      <c r="C400" t="s">
        <v>1379</v>
      </c>
      <c r="D400" t="s">
        <v>431</v>
      </c>
      <c r="E400" t="s">
        <v>1189</v>
      </c>
      <c r="F400" t="str">
        <f t="shared" si="158"/>
        <v>[8]</v>
      </c>
      <c r="G400">
        <f t="shared" si="159"/>
        <v>208</v>
      </c>
      <c r="H400" t="str">
        <f t="shared" si="160"/>
        <v>packbits_init.o</v>
      </c>
      <c r="I400">
        <f>SUMIF(E400:$E$407,H400,G400:$G$407)</f>
        <v>208</v>
      </c>
      <c r="K400" s="4" t="s">
        <v>421</v>
      </c>
      <c r="L400" t="s">
        <v>422</v>
      </c>
      <c r="M400" t="s">
        <v>3161</v>
      </c>
      <c r="N400" t="s">
        <v>165</v>
      </c>
      <c r="O400" t="s">
        <v>131</v>
      </c>
      <c r="P400" t="str">
        <f t="shared" si="161"/>
        <v>[1]</v>
      </c>
      <c r="Q400">
        <f t="shared" si="162"/>
        <v>20</v>
      </c>
      <c r="R400" t="str">
        <f t="shared" si="155"/>
        <v/>
      </c>
      <c r="S400">
        <f>SUMIF(O400:$O$2855,R400,Q400:$Q$2855)</f>
        <v>0</v>
      </c>
      <c r="AP400" s="4" t="s">
        <v>472</v>
      </c>
      <c r="AQ400" t="s">
        <v>479</v>
      </c>
      <c r="AR400" t="s">
        <v>1661</v>
      </c>
      <c r="AS400" t="s">
        <v>13</v>
      </c>
      <c r="AT400" t="s">
        <v>226</v>
      </c>
      <c r="AU400" t="str">
        <f t="shared" si="163"/>
        <v>[1]</v>
      </c>
      <c r="AV400">
        <f t="shared" ref="AV400:AV463" si="164">HEX2DEC(MID(AS400,3,LEN(AS400)-2))</f>
        <v>12</v>
      </c>
      <c r="AW400" t="str">
        <f t="shared" si="156"/>
        <v>smtd_config.o</v>
      </c>
      <c r="AX400">
        <f>SUMIF(AT400:$AT$651,AW400,AV400:$AV$651)</f>
        <v>68</v>
      </c>
    </row>
    <row r="401" spans="1:50" x14ac:dyDescent="0.25">
      <c r="A401" s="4" t="s">
        <v>0</v>
      </c>
      <c r="B401" t="s">
        <v>449</v>
      </c>
      <c r="C401" t="s">
        <v>1375</v>
      </c>
      <c r="D401" t="s">
        <v>338</v>
      </c>
      <c r="E401" t="s">
        <v>368</v>
      </c>
      <c r="F401" t="str">
        <f t="shared" si="158"/>
        <v>[8]</v>
      </c>
      <c r="G401">
        <f t="shared" si="159"/>
        <v>22</v>
      </c>
      <c r="H401" t="str">
        <f t="shared" si="160"/>
        <v>strchr.o</v>
      </c>
      <c r="I401">
        <f>SUMIF(E401:$E$407,H401,G401:$G$407)</f>
        <v>22</v>
      </c>
      <c r="K401" s="4" t="s">
        <v>421</v>
      </c>
      <c r="L401" t="s">
        <v>422</v>
      </c>
      <c r="M401" t="s">
        <v>3162</v>
      </c>
      <c r="N401" t="s">
        <v>165</v>
      </c>
      <c r="O401" t="s">
        <v>131</v>
      </c>
      <c r="P401" t="str">
        <f t="shared" si="161"/>
        <v>[1]</v>
      </c>
      <c r="Q401">
        <f t="shared" si="162"/>
        <v>20</v>
      </c>
      <c r="R401" t="str">
        <f t="shared" si="155"/>
        <v/>
      </c>
      <c r="S401">
        <f>SUMIF(O401:$O$2855,R401,Q401:$Q$2855)</f>
        <v>0</v>
      </c>
      <c r="AP401" s="4" t="s">
        <v>472</v>
      </c>
      <c r="AQ401" t="s">
        <v>479</v>
      </c>
      <c r="AR401" t="s">
        <v>1662</v>
      </c>
      <c r="AS401" t="s">
        <v>67</v>
      </c>
      <c r="AT401" t="s">
        <v>226</v>
      </c>
      <c r="AU401" t="str">
        <f t="shared" si="163"/>
        <v>[1]</v>
      </c>
      <c r="AV401">
        <f t="shared" si="164"/>
        <v>48</v>
      </c>
      <c r="AW401" t="str">
        <f t="shared" si="156"/>
        <v/>
      </c>
      <c r="AX401">
        <f>SUMIF(AT401:$AT$651,AW401,AV401:$AV$651)</f>
        <v>0</v>
      </c>
    </row>
    <row r="402" spans="1:50" x14ac:dyDescent="0.25">
      <c r="A402" s="4" t="s">
        <v>0</v>
      </c>
      <c r="B402" t="s">
        <v>449</v>
      </c>
      <c r="C402" t="s">
        <v>1366</v>
      </c>
      <c r="D402" t="s">
        <v>180</v>
      </c>
      <c r="E402" t="s">
        <v>207</v>
      </c>
      <c r="F402" t="str">
        <f t="shared" si="158"/>
        <v>[8]</v>
      </c>
      <c r="G402">
        <f t="shared" si="159"/>
        <v>66</v>
      </c>
      <c r="H402" t="str">
        <f t="shared" si="160"/>
        <v>strcmp_unaligned.o</v>
      </c>
      <c r="I402">
        <f>SUMIF(E402:$E$407,H402,G402:$G$407)</f>
        <v>66</v>
      </c>
      <c r="K402" s="4" t="s">
        <v>421</v>
      </c>
      <c r="L402" t="s">
        <v>422</v>
      </c>
      <c r="M402" t="s">
        <v>3163</v>
      </c>
      <c r="N402" t="s">
        <v>44</v>
      </c>
      <c r="O402" t="s">
        <v>131</v>
      </c>
      <c r="P402" t="str">
        <f t="shared" si="161"/>
        <v>[1]</v>
      </c>
      <c r="Q402">
        <f t="shared" si="162"/>
        <v>44</v>
      </c>
      <c r="R402" t="str">
        <f t="shared" si="155"/>
        <v/>
      </c>
      <c r="S402">
        <f>SUMIF(O402:$O$2855,R402,Q402:$Q$2855)</f>
        <v>0</v>
      </c>
      <c r="AP402" s="4" t="s">
        <v>472</v>
      </c>
      <c r="AQ402" t="s">
        <v>479</v>
      </c>
      <c r="AR402" t="s">
        <v>1663</v>
      </c>
      <c r="AS402" t="s">
        <v>126</v>
      </c>
      <c r="AT402" t="s">
        <v>226</v>
      </c>
      <c r="AU402" t="str">
        <f t="shared" si="163"/>
        <v>[1]</v>
      </c>
      <c r="AV402">
        <f t="shared" si="164"/>
        <v>8</v>
      </c>
      <c r="AW402" t="str">
        <f t="shared" si="156"/>
        <v/>
      </c>
      <c r="AX402">
        <f>SUMIF(AT402:$AT$651,AW402,AV402:$AV$651)</f>
        <v>0</v>
      </c>
    </row>
    <row r="403" spans="1:50" x14ac:dyDescent="0.25">
      <c r="A403" s="4" t="s">
        <v>0</v>
      </c>
      <c r="B403" t="s">
        <v>449</v>
      </c>
      <c r="C403" t="s">
        <v>1371</v>
      </c>
      <c r="D403" t="s">
        <v>124</v>
      </c>
      <c r="E403" t="s">
        <v>125</v>
      </c>
      <c r="F403" t="str">
        <f t="shared" si="158"/>
        <v>[8]</v>
      </c>
      <c r="G403">
        <f t="shared" si="159"/>
        <v>68</v>
      </c>
      <c r="H403" t="str">
        <f t="shared" si="160"/>
        <v>strcpy_unaligned.o</v>
      </c>
      <c r="I403">
        <f>SUMIF(E403:$E$407,H403,G403:$G$407)</f>
        <v>68</v>
      </c>
      <c r="K403" s="4" t="s">
        <v>421</v>
      </c>
      <c r="L403" t="s">
        <v>422</v>
      </c>
      <c r="M403" t="s">
        <v>1873</v>
      </c>
      <c r="N403" t="s">
        <v>119</v>
      </c>
      <c r="O403" t="s">
        <v>131</v>
      </c>
      <c r="P403" t="str">
        <f t="shared" si="161"/>
        <v>[1]</v>
      </c>
      <c r="Q403">
        <f t="shared" si="162"/>
        <v>32</v>
      </c>
      <c r="R403" t="str">
        <f t="shared" si="155"/>
        <v/>
      </c>
      <c r="S403">
        <f>SUMIF(O403:$O$2855,R403,Q403:$Q$2855)</f>
        <v>0</v>
      </c>
      <c r="AP403" s="4" t="s">
        <v>472</v>
      </c>
      <c r="AQ403" t="s">
        <v>479</v>
      </c>
      <c r="AR403" t="s">
        <v>1664</v>
      </c>
      <c r="AS403" t="s">
        <v>4451</v>
      </c>
      <c r="AT403" t="s">
        <v>1122</v>
      </c>
      <c r="AU403" t="str">
        <f t="shared" si="163"/>
        <v>[1]</v>
      </c>
      <c r="AV403">
        <f t="shared" si="164"/>
        <v>3840</v>
      </c>
      <c r="AW403" t="str">
        <f t="shared" si="156"/>
        <v>SoftDemodulator.o</v>
      </c>
      <c r="AX403">
        <f>SUMIF(AT403:$AT$651,AW403,AV403:$AV$651)</f>
        <v>3844</v>
      </c>
    </row>
    <row r="404" spans="1:50" x14ac:dyDescent="0.25">
      <c r="A404" s="4" t="s">
        <v>0</v>
      </c>
      <c r="B404" t="s">
        <v>449</v>
      </c>
      <c r="C404" t="s">
        <v>1367</v>
      </c>
      <c r="D404" t="s">
        <v>57</v>
      </c>
      <c r="E404" t="s">
        <v>58</v>
      </c>
      <c r="F404" t="str">
        <f t="shared" si="158"/>
        <v>[8]</v>
      </c>
      <c r="G404">
        <f t="shared" si="159"/>
        <v>54</v>
      </c>
      <c r="H404" t="str">
        <f t="shared" si="160"/>
        <v>strlen.o</v>
      </c>
      <c r="I404">
        <f>SUMIF(E404:$E$407,H404,G404:$G$407)</f>
        <v>54</v>
      </c>
      <c r="K404" s="4" t="s">
        <v>421</v>
      </c>
      <c r="L404" t="s">
        <v>422</v>
      </c>
      <c r="M404" t="s">
        <v>3164</v>
      </c>
      <c r="N404" t="s">
        <v>126</v>
      </c>
      <c r="O404" t="s">
        <v>131</v>
      </c>
      <c r="P404" t="str">
        <f t="shared" si="161"/>
        <v>[1]</v>
      </c>
      <c r="Q404">
        <f t="shared" si="162"/>
        <v>8</v>
      </c>
      <c r="R404" t="str">
        <f t="shared" si="155"/>
        <v/>
      </c>
      <c r="S404">
        <f>SUMIF(O404:$O$2855,R404,Q404:$Q$2855)</f>
        <v>0</v>
      </c>
      <c r="AP404" s="4" t="s">
        <v>472</v>
      </c>
      <c r="AQ404" t="s">
        <v>479</v>
      </c>
      <c r="AR404" t="s">
        <v>4465</v>
      </c>
      <c r="AS404" t="s">
        <v>78</v>
      </c>
      <c r="AT404" t="s">
        <v>1122</v>
      </c>
      <c r="AU404" t="str">
        <f t="shared" si="163"/>
        <v>[1]</v>
      </c>
      <c r="AV404">
        <f t="shared" si="164"/>
        <v>4</v>
      </c>
      <c r="AW404" t="str">
        <f t="shared" si="156"/>
        <v/>
      </c>
      <c r="AX404">
        <f>SUMIF(AT404:$AT$651,AW404,AV404:$AV$651)</f>
        <v>0</v>
      </c>
    </row>
    <row r="405" spans="1:50" x14ac:dyDescent="0.25">
      <c r="A405" s="4" t="s">
        <v>0</v>
      </c>
      <c r="B405" t="s">
        <v>449</v>
      </c>
      <c r="C405" t="s">
        <v>1368</v>
      </c>
      <c r="D405" t="s">
        <v>200</v>
      </c>
      <c r="E405" t="s">
        <v>201</v>
      </c>
      <c r="F405" t="str">
        <f t="shared" si="158"/>
        <v>[8]</v>
      </c>
      <c r="G405">
        <f t="shared" si="159"/>
        <v>108</v>
      </c>
      <c r="H405" t="str">
        <f t="shared" si="160"/>
        <v>strncpy_unaligned.o</v>
      </c>
      <c r="I405">
        <f>SUMIF(E405:$E$407,H405,G405:$G$407)</f>
        <v>108</v>
      </c>
      <c r="K405" s="4" t="s">
        <v>421</v>
      </c>
      <c r="L405" t="s">
        <v>422</v>
      </c>
      <c r="M405" t="s">
        <v>1874</v>
      </c>
      <c r="N405" t="s">
        <v>119</v>
      </c>
      <c r="O405" t="s">
        <v>131</v>
      </c>
      <c r="P405" t="str">
        <f t="shared" si="161"/>
        <v>[1]</v>
      </c>
      <c r="Q405">
        <f t="shared" si="162"/>
        <v>32</v>
      </c>
      <c r="R405" t="str">
        <f t="shared" si="155"/>
        <v/>
      </c>
      <c r="S405">
        <f>SUMIF(O405:$O$2855,R405,Q405:$Q$2855)</f>
        <v>0</v>
      </c>
      <c r="AP405" s="4" t="s">
        <v>472</v>
      </c>
      <c r="AQ405" t="s">
        <v>479</v>
      </c>
      <c r="AR405" t="s">
        <v>1713</v>
      </c>
      <c r="AS405" t="s">
        <v>78</v>
      </c>
      <c r="AT405" t="s">
        <v>294</v>
      </c>
      <c r="AU405" t="str">
        <f t="shared" si="163"/>
        <v>[1]</v>
      </c>
      <c r="AV405">
        <f t="shared" si="164"/>
        <v>4</v>
      </c>
      <c r="AW405" t="str">
        <f t="shared" si="156"/>
        <v>spi_mstr.o</v>
      </c>
      <c r="AX405">
        <f>SUMIF(AT405:$AT$651,AW405,AV405:$AV$651)</f>
        <v>253</v>
      </c>
    </row>
    <row r="406" spans="1:50" x14ac:dyDescent="0.25">
      <c r="A406" s="4" t="s">
        <v>0</v>
      </c>
      <c r="B406" t="s">
        <v>449</v>
      </c>
      <c r="C406" t="s">
        <v>1358</v>
      </c>
      <c r="D406" t="s">
        <v>31</v>
      </c>
      <c r="E406" t="s">
        <v>32</v>
      </c>
      <c r="F406" t="str">
        <f t="shared" si="158"/>
        <v>[8]</v>
      </c>
      <c r="G406">
        <f t="shared" si="159"/>
        <v>34</v>
      </c>
      <c r="H406" t="str">
        <f t="shared" si="160"/>
        <v>zero_init3.o</v>
      </c>
      <c r="I406">
        <f>SUMIF(E406:$E$407,H406,G406:$G$407)</f>
        <v>34</v>
      </c>
      <c r="K406" s="4" t="s">
        <v>421</v>
      </c>
      <c r="L406" t="s">
        <v>422</v>
      </c>
      <c r="M406" t="s">
        <v>3165</v>
      </c>
      <c r="N406" t="s">
        <v>76</v>
      </c>
      <c r="O406" t="s">
        <v>131</v>
      </c>
      <c r="P406" t="str">
        <f t="shared" si="161"/>
        <v>[1]</v>
      </c>
      <c r="Q406">
        <f t="shared" si="162"/>
        <v>36</v>
      </c>
      <c r="R406" t="str">
        <f t="shared" si="155"/>
        <v/>
      </c>
      <c r="S406">
        <f>SUMIF(O406:$O$2855,R406,Q406:$Q$2855)</f>
        <v>0</v>
      </c>
      <c r="AP406" s="4" t="s">
        <v>472</v>
      </c>
      <c r="AQ406" t="s">
        <v>479</v>
      </c>
      <c r="AR406" t="s">
        <v>1714</v>
      </c>
      <c r="AS406" t="s">
        <v>143</v>
      </c>
      <c r="AT406" t="s">
        <v>294</v>
      </c>
      <c r="AU406" t="str">
        <f t="shared" si="163"/>
        <v>[1]</v>
      </c>
      <c r="AV406">
        <f t="shared" si="164"/>
        <v>84</v>
      </c>
      <c r="AW406" t="str">
        <f t="shared" si="156"/>
        <v/>
      </c>
      <c r="AX406">
        <f>SUMIF(AT406:$AT$651,AW406,AV406:$AV$651)</f>
        <v>0</v>
      </c>
    </row>
    <row r="407" spans="1:50" x14ac:dyDescent="0.25">
      <c r="A407" s="4" t="s">
        <v>0</v>
      </c>
      <c r="B407" t="s">
        <v>449</v>
      </c>
      <c r="C407" t="s">
        <v>443</v>
      </c>
      <c r="D407" t="s">
        <v>443</v>
      </c>
      <c r="E407" t="s">
        <v>612</v>
      </c>
      <c r="F407" t="str">
        <f t="shared" si="158"/>
        <v>[8]</v>
      </c>
      <c r="G407">
        <f t="shared" si="159"/>
        <v>0</v>
      </c>
      <c r="H407" t="str">
        <f t="shared" si="160"/>
        <v>placeholder</v>
      </c>
      <c r="I407">
        <f>SUMIF(E407:$E$407,H407,G407:$G$407)</f>
        <v>0</v>
      </c>
      <c r="K407" s="4" t="s">
        <v>421</v>
      </c>
      <c r="L407" t="s">
        <v>422</v>
      </c>
      <c r="M407" t="s">
        <v>1875</v>
      </c>
      <c r="N407" t="s">
        <v>437</v>
      </c>
      <c r="O407" t="s">
        <v>131</v>
      </c>
      <c r="P407" t="str">
        <f t="shared" si="161"/>
        <v>[1]</v>
      </c>
      <c r="Q407">
        <f t="shared" si="162"/>
        <v>24</v>
      </c>
      <c r="R407" t="str">
        <f t="shared" si="155"/>
        <v/>
      </c>
      <c r="S407">
        <f>SUMIF(O407:$O$2855,R407,Q407:$Q$2855)</f>
        <v>0</v>
      </c>
      <c r="AP407" s="4" t="s">
        <v>472</v>
      </c>
      <c r="AQ407" t="s">
        <v>479</v>
      </c>
      <c r="AR407" t="s">
        <v>1715</v>
      </c>
      <c r="AS407" t="s">
        <v>78</v>
      </c>
      <c r="AT407" t="s">
        <v>294</v>
      </c>
      <c r="AU407" t="str">
        <f t="shared" si="163"/>
        <v>[1]</v>
      </c>
      <c r="AV407">
        <f t="shared" si="164"/>
        <v>4</v>
      </c>
      <c r="AW407" t="str">
        <f t="shared" si="156"/>
        <v/>
      </c>
      <c r="AX407">
        <f>SUMIF(AT407:$AT$651,AW407,AV407:$AV$651)</f>
        <v>0</v>
      </c>
    </row>
    <row r="408" spans="1:50" x14ac:dyDescent="0.25">
      <c r="G408">
        <f>SUM(G384:G407)</f>
        <v>1598</v>
      </c>
      <c r="H408" t="s">
        <v>676</v>
      </c>
      <c r="I408">
        <f>SUM(I384:I407)</f>
        <v>1598</v>
      </c>
      <c r="K408" s="4" t="s">
        <v>421</v>
      </c>
      <c r="L408" t="s">
        <v>422</v>
      </c>
      <c r="M408" t="s">
        <v>3166</v>
      </c>
      <c r="N408" t="s">
        <v>126</v>
      </c>
      <c r="O408" t="s">
        <v>131</v>
      </c>
      <c r="P408" t="str">
        <f t="shared" si="161"/>
        <v>[1]</v>
      </c>
      <c r="Q408">
        <f t="shared" si="162"/>
        <v>8</v>
      </c>
      <c r="R408" t="str">
        <f t="shared" si="155"/>
        <v/>
      </c>
      <c r="S408">
        <f>SUMIF(O408:$O$2855,R408,Q408:$Q$2855)</f>
        <v>0</v>
      </c>
      <c r="AP408" s="4" t="s">
        <v>472</v>
      </c>
      <c r="AQ408" t="s">
        <v>479</v>
      </c>
      <c r="AR408" t="s">
        <v>1716</v>
      </c>
      <c r="AS408" t="s">
        <v>78</v>
      </c>
      <c r="AT408" t="s">
        <v>294</v>
      </c>
      <c r="AU408" t="str">
        <f t="shared" si="163"/>
        <v>[1]</v>
      </c>
      <c r="AV408">
        <f t="shared" si="164"/>
        <v>4</v>
      </c>
      <c r="AW408" t="str">
        <f t="shared" si="156"/>
        <v/>
      </c>
      <c r="AX408">
        <f>SUMIF(AT408:$AT$651,AW408,AV408:$AV$651)</f>
        <v>0</v>
      </c>
    </row>
    <row r="409" spans="1:50" x14ac:dyDescent="0.25">
      <c r="K409" s="4" t="s">
        <v>421</v>
      </c>
      <c r="L409" t="s">
        <v>422</v>
      </c>
      <c r="M409" t="s">
        <v>3167</v>
      </c>
      <c r="N409" t="s">
        <v>126</v>
      </c>
      <c r="O409" t="s">
        <v>131</v>
      </c>
      <c r="P409" t="str">
        <f t="shared" si="161"/>
        <v>[1]</v>
      </c>
      <c r="Q409">
        <f t="shared" si="162"/>
        <v>8</v>
      </c>
      <c r="R409" t="str">
        <f t="shared" si="155"/>
        <v/>
      </c>
      <c r="S409">
        <f>SUMIF(O409:$O$2855,R409,Q409:$Q$2855)</f>
        <v>0</v>
      </c>
      <c r="AP409" s="4" t="s">
        <v>472</v>
      </c>
      <c r="AQ409" t="s">
        <v>479</v>
      </c>
      <c r="AR409" t="s">
        <v>1717</v>
      </c>
      <c r="AS409" t="s">
        <v>71</v>
      </c>
      <c r="AT409" t="s">
        <v>294</v>
      </c>
      <c r="AU409" t="str">
        <f t="shared" si="163"/>
        <v>[1]</v>
      </c>
      <c r="AV409">
        <f t="shared" si="164"/>
        <v>144</v>
      </c>
      <c r="AW409" t="str">
        <f t="shared" si="156"/>
        <v/>
      </c>
      <c r="AX409">
        <f>SUMIF(AT409:$AT$651,AW409,AV409:$AV$651)</f>
        <v>0</v>
      </c>
    </row>
    <row r="410" spans="1:50" x14ac:dyDescent="0.25">
      <c r="K410" s="4" t="s">
        <v>421</v>
      </c>
      <c r="L410" t="s">
        <v>422</v>
      </c>
      <c r="M410" t="s">
        <v>3168</v>
      </c>
      <c r="N410" t="s">
        <v>126</v>
      </c>
      <c r="O410" t="s">
        <v>131</v>
      </c>
      <c r="P410" t="str">
        <f t="shared" si="161"/>
        <v>[1]</v>
      </c>
      <c r="Q410">
        <f t="shared" si="162"/>
        <v>8</v>
      </c>
      <c r="R410" t="str">
        <f t="shared" si="155"/>
        <v/>
      </c>
      <c r="S410">
        <f>SUMIF(O410:$O$2855,R410,Q410:$Q$2855)</f>
        <v>0</v>
      </c>
      <c r="AP410" s="4" t="s">
        <v>472</v>
      </c>
      <c r="AQ410" t="s">
        <v>479</v>
      </c>
      <c r="AR410" t="s">
        <v>1718</v>
      </c>
      <c r="AS410" t="s">
        <v>13</v>
      </c>
      <c r="AT410" t="s">
        <v>294</v>
      </c>
      <c r="AU410" t="str">
        <f t="shared" si="163"/>
        <v>[1]</v>
      </c>
      <c r="AV410">
        <f t="shared" si="164"/>
        <v>12</v>
      </c>
      <c r="AW410" t="str">
        <f t="shared" si="156"/>
        <v/>
      </c>
      <c r="AX410">
        <f>SUMIF(AT410:$AT$651,AW410,AV410:$AV$651)</f>
        <v>0</v>
      </c>
    </row>
    <row r="411" spans="1:50" x14ac:dyDescent="0.25">
      <c r="A411" s="50" t="s">
        <v>759</v>
      </c>
      <c r="B411" s="50"/>
      <c r="C411" s="50"/>
      <c r="D411" s="50"/>
      <c r="E411" s="50"/>
      <c r="F411" s="50"/>
      <c r="G411" s="50"/>
      <c r="H411" s="50"/>
      <c r="I411" s="50"/>
      <c r="K411" s="4" t="s">
        <v>421</v>
      </c>
      <c r="L411" t="s">
        <v>422</v>
      </c>
      <c r="M411" t="s">
        <v>3169</v>
      </c>
      <c r="N411" t="s">
        <v>44</v>
      </c>
      <c r="O411" t="s">
        <v>131</v>
      </c>
      <c r="P411" t="str">
        <f t="shared" si="161"/>
        <v>[1]</v>
      </c>
      <c r="Q411">
        <f t="shared" si="162"/>
        <v>44</v>
      </c>
      <c r="R411" t="str">
        <f t="shared" si="155"/>
        <v/>
      </c>
      <c r="S411">
        <f>SUMIF(O411:$O$2855,R411,Q411:$Q$2855)</f>
        <v>0</v>
      </c>
      <c r="AP411" s="4" t="s">
        <v>472</v>
      </c>
      <c r="AQ411" t="s">
        <v>479</v>
      </c>
      <c r="AR411" t="s">
        <v>1566</v>
      </c>
      <c r="AS411" t="s">
        <v>442</v>
      </c>
      <c r="AT411" t="s">
        <v>294</v>
      </c>
      <c r="AU411" t="str">
        <f t="shared" si="163"/>
        <v>[1]</v>
      </c>
      <c r="AV411">
        <f t="shared" si="164"/>
        <v>1</v>
      </c>
      <c r="AW411" t="str">
        <f t="shared" si="156"/>
        <v/>
      </c>
      <c r="AX411">
        <f>SUMIF(AT411:$AT$651,AW411,AV411:$AV$651)</f>
        <v>0</v>
      </c>
    </row>
    <row r="412" spans="1:50" x14ac:dyDescent="0.25">
      <c r="A412" s="4" t="s">
        <v>0</v>
      </c>
      <c r="B412" t="s">
        <v>449</v>
      </c>
      <c r="C412" t="s">
        <v>1380</v>
      </c>
      <c r="D412" t="s">
        <v>76</v>
      </c>
      <c r="E412" t="s">
        <v>263</v>
      </c>
      <c r="F412" t="str">
        <f>VLOOKUP($A$411,$E$1:$F$26,2,FALSE)</f>
        <v>[9]</v>
      </c>
      <c r="G412">
        <f>HEX2DEC(MID(D412,3,LEN(D412)-2))</f>
        <v>36</v>
      </c>
      <c r="H412" t="str">
        <f>IF(E412&lt;&gt;E411,E412,"")</f>
        <v>ABIassert.o</v>
      </c>
      <c r="I412">
        <f>SUMIF(E412:$E$413,H412,G412:$G$413)</f>
        <v>36</v>
      </c>
      <c r="K412" s="4" t="s">
        <v>421</v>
      </c>
      <c r="L412" t="s">
        <v>422</v>
      </c>
      <c r="M412" t="s">
        <v>3170</v>
      </c>
      <c r="N412" t="s">
        <v>211</v>
      </c>
      <c r="O412" t="s">
        <v>131</v>
      </c>
      <c r="P412" t="str">
        <f t="shared" si="161"/>
        <v>[1]</v>
      </c>
      <c r="Q412">
        <f t="shared" si="162"/>
        <v>92</v>
      </c>
      <c r="R412" t="str">
        <f t="shared" si="155"/>
        <v/>
      </c>
      <c r="S412">
        <f>SUMIF(O412:$O$2855,R412,Q412:$Q$2855)</f>
        <v>0</v>
      </c>
      <c r="AP412" s="4" t="s">
        <v>472</v>
      </c>
      <c r="AQ412" t="s">
        <v>479</v>
      </c>
      <c r="AR412" t="s">
        <v>4452</v>
      </c>
      <c r="AS412" t="s">
        <v>417</v>
      </c>
      <c r="AT412" t="s">
        <v>138</v>
      </c>
      <c r="AU412" t="str">
        <f t="shared" si="163"/>
        <v>[1]</v>
      </c>
      <c r="AV412">
        <f t="shared" si="164"/>
        <v>128</v>
      </c>
      <c r="AW412" t="str">
        <f t="shared" si="156"/>
        <v>STACK.o</v>
      </c>
      <c r="AX412">
        <f>SUMIF(AT412:$AT$651,AW412,AV412:$AV$651)</f>
        <v>391</v>
      </c>
    </row>
    <row r="413" spans="1:50" x14ac:dyDescent="0.25">
      <c r="A413" s="4" t="s">
        <v>0</v>
      </c>
      <c r="B413" t="s">
        <v>449</v>
      </c>
      <c r="C413" t="s">
        <v>1381</v>
      </c>
      <c r="D413" t="s">
        <v>165</v>
      </c>
      <c r="E413" t="s">
        <v>79</v>
      </c>
      <c r="F413" t="str">
        <f>VLOOKUP($A$411,$E$1:$F$26,2,FALSE)</f>
        <v>[9]</v>
      </c>
      <c r="G413">
        <f>HEX2DEC(MID(D413,3,LEN(D413)-2))</f>
        <v>20</v>
      </c>
      <c r="H413" t="str">
        <f>IF(E413&lt;&gt;E412,E413,"")</f>
        <v>exit.o</v>
      </c>
      <c r="I413">
        <f>SUMIF(E413:$E$413,H413,G413:$G$413)</f>
        <v>20</v>
      </c>
      <c r="K413" s="4" t="s">
        <v>421</v>
      </c>
      <c r="L413" t="s">
        <v>422</v>
      </c>
      <c r="M413" t="s">
        <v>3171</v>
      </c>
      <c r="N413" t="s">
        <v>44</v>
      </c>
      <c r="O413" t="s">
        <v>131</v>
      </c>
      <c r="P413" t="str">
        <f t="shared" si="161"/>
        <v>[1]</v>
      </c>
      <c r="Q413">
        <f t="shared" si="162"/>
        <v>44</v>
      </c>
      <c r="R413" t="str">
        <f t="shared" si="155"/>
        <v/>
      </c>
      <c r="S413">
        <f>SUMIF(O413:$O$2855,R413,Q413:$Q$2855)</f>
        <v>0</v>
      </c>
      <c r="AP413" s="4" t="s">
        <v>472</v>
      </c>
      <c r="AQ413" t="s">
        <v>479</v>
      </c>
      <c r="AR413" t="s">
        <v>4453</v>
      </c>
      <c r="AS413" t="s">
        <v>78</v>
      </c>
      <c r="AT413" t="s">
        <v>138</v>
      </c>
      <c r="AU413" t="str">
        <f t="shared" si="163"/>
        <v>[1]</v>
      </c>
      <c r="AV413">
        <f t="shared" si="164"/>
        <v>4</v>
      </c>
      <c r="AW413" t="str">
        <f t="shared" si="156"/>
        <v/>
      </c>
      <c r="AX413">
        <f>SUMIF(AT413:$AT$651,AW413,AV413:$AV$651)</f>
        <v>0</v>
      </c>
    </row>
    <row r="414" spans="1:50" x14ac:dyDescent="0.25">
      <c r="G414">
        <f>SUM(G412:G413)</f>
        <v>56</v>
      </c>
      <c r="H414" t="s">
        <v>677</v>
      </c>
      <c r="I414">
        <f>SUM(I412:I413)</f>
        <v>56</v>
      </c>
      <c r="K414" s="4" t="s">
        <v>421</v>
      </c>
      <c r="L414" t="s">
        <v>422</v>
      </c>
      <c r="M414" t="s">
        <v>3172</v>
      </c>
      <c r="N414" t="s">
        <v>63</v>
      </c>
      <c r="O414" t="s">
        <v>131</v>
      </c>
      <c r="P414" t="str">
        <f t="shared" si="161"/>
        <v>[1]</v>
      </c>
      <c r="Q414">
        <f t="shared" si="162"/>
        <v>88</v>
      </c>
      <c r="R414" t="str">
        <f t="shared" si="155"/>
        <v/>
      </c>
      <c r="S414">
        <f>SUMIF(O414:$O$2855,R414,Q414:$Q$2855)</f>
        <v>0</v>
      </c>
      <c r="AP414" s="4" t="s">
        <v>472</v>
      </c>
      <c r="AQ414" t="s">
        <v>479</v>
      </c>
      <c r="AR414" t="s">
        <v>4454</v>
      </c>
      <c r="AS414" t="s">
        <v>65</v>
      </c>
      <c r="AT414" t="s">
        <v>138</v>
      </c>
      <c r="AU414" t="str">
        <f t="shared" si="163"/>
        <v>[1]</v>
      </c>
      <c r="AV414">
        <f t="shared" si="164"/>
        <v>40</v>
      </c>
      <c r="AW414" t="str">
        <f t="shared" si="156"/>
        <v/>
      </c>
      <c r="AX414">
        <f>SUMIF(AT414:$AT$651,AW414,AV414:$AV$651)</f>
        <v>0</v>
      </c>
    </row>
    <row r="415" spans="1:50" x14ac:dyDescent="0.25">
      <c r="K415" s="4" t="s">
        <v>421</v>
      </c>
      <c r="L415" t="s">
        <v>422</v>
      </c>
      <c r="M415" t="s">
        <v>3173</v>
      </c>
      <c r="N415" t="s">
        <v>143</v>
      </c>
      <c r="O415" t="s">
        <v>131</v>
      </c>
      <c r="P415" t="str">
        <f t="shared" si="161"/>
        <v>[1]</v>
      </c>
      <c r="Q415">
        <f t="shared" si="162"/>
        <v>84</v>
      </c>
      <c r="R415" t="str">
        <f t="shared" si="155"/>
        <v/>
      </c>
      <c r="S415">
        <f>SUMIF(O415:$O$2855,R415,Q415:$Q$2855)</f>
        <v>0</v>
      </c>
      <c r="AP415" s="4" t="s">
        <v>472</v>
      </c>
      <c r="AQ415" t="s">
        <v>479</v>
      </c>
      <c r="AR415" t="s">
        <v>4455</v>
      </c>
      <c r="AS415" t="s">
        <v>67</v>
      </c>
      <c r="AT415" t="s">
        <v>138</v>
      </c>
      <c r="AU415" t="str">
        <f t="shared" si="163"/>
        <v>[1]</v>
      </c>
      <c r="AV415">
        <f t="shared" si="164"/>
        <v>48</v>
      </c>
      <c r="AW415" t="str">
        <f t="shared" si="156"/>
        <v/>
      </c>
      <c r="AX415">
        <f>SUMIF(AT415:$AT$651,AW415,AV415:$AV$651)</f>
        <v>0</v>
      </c>
    </row>
    <row r="416" spans="1:50" x14ac:dyDescent="0.25">
      <c r="K416" s="4" t="s">
        <v>421</v>
      </c>
      <c r="L416" t="s">
        <v>422</v>
      </c>
      <c r="M416" t="s">
        <v>3174</v>
      </c>
      <c r="N416" t="s">
        <v>237</v>
      </c>
      <c r="O416" t="s">
        <v>131</v>
      </c>
      <c r="P416" t="str">
        <f t="shared" si="161"/>
        <v>[1]</v>
      </c>
      <c r="Q416">
        <f t="shared" si="162"/>
        <v>52</v>
      </c>
      <c r="R416" t="str">
        <f t="shared" ref="R416:R479" si="165">IF(O416&lt;&gt;O415,O416,"")</f>
        <v/>
      </c>
      <c r="S416">
        <f>SUMIF(O416:$O$2855,R416,Q416:$Q$2855)</f>
        <v>0</v>
      </c>
      <c r="AP416" s="4" t="s">
        <v>472</v>
      </c>
      <c r="AQ416" t="s">
        <v>479</v>
      </c>
      <c r="AR416" t="s">
        <v>4456</v>
      </c>
      <c r="AS416" t="s">
        <v>6</v>
      </c>
      <c r="AT416" t="s">
        <v>138</v>
      </c>
      <c r="AU416" t="str">
        <f t="shared" si="163"/>
        <v>[1]</v>
      </c>
      <c r="AV416">
        <f t="shared" si="164"/>
        <v>28</v>
      </c>
      <c r="AW416" t="str">
        <f t="shared" ref="AW416:AW479" si="166">IF(AT416&lt;&gt;AT415,AT416,"")</f>
        <v/>
      </c>
      <c r="AX416">
        <f>SUMIF(AT416:$AT$651,AW416,AV416:$AV$651)</f>
        <v>0</v>
      </c>
    </row>
    <row r="417" spans="1:50" x14ac:dyDescent="0.25">
      <c r="A417" s="50" t="s">
        <v>760</v>
      </c>
      <c r="B417" s="50"/>
      <c r="C417" s="50"/>
      <c r="D417" s="50"/>
      <c r="E417" s="50"/>
      <c r="F417" s="50"/>
      <c r="G417" s="50"/>
      <c r="H417" s="50"/>
      <c r="I417" s="50"/>
      <c r="K417" s="4" t="s">
        <v>421</v>
      </c>
      <c r="L417" t="s">
        <v>422</v>
      </c>
      <c r="M417" t="s">
        <v>3175</v>
      </c>
      <c r="N417" t="s">
        <v>267</v>
      </c>
      <c r="O417" t="s">
        <v>131</v>
      </c>
      <c r="P417" t="str">
        <f t="shared" si="161"/>
        <v>[1]</v>
      </c>
      <c r="Q417">
        <f t="shared" si="162"/>
        <v>116</v>
      </c>
      <c r="R417" t="str">
        <f t="shared" si="165"/>
        <v/>
      </c>
      <c r="S417">
        <f>SUMIF(O417:$O$2855,R417,Q417:$Q$2855)</f>
        <v>0</v>
      </c>
      <c r="AP417" s="4" t="s">
        <v>472</v>
      </c>
      <c r="AQ417" t="s">
        <v>479</v>
      </c>
      <c r="AR417" t="s">
        <v>4457</v>
      </c>
      <c r="AS417" t="s">
        <v>119</v>
      </c>
      <c r="AT417" t="s">
        <v>138</v>
      </c>
      <c r="AU417" t="str">
        <f t="shared" si="163"/>
        <v>[1]</v>
      </c>
      <c r="AV417">
        <f t="shared" si="164"/>
        <v>32</v>
      </c>
      <c r="AW417" t="str">
        <f t="shared" si="166"/>
        <v/>
      </c>
      <c r="AX417">
        <f>SUMIF(AT417:$AT$651,AW417,AV417:$AV$651)</f>
        <v>0</v>
      </c>
    </row>
    <row r="418" spans="1:50" x14ac:dyDescent="0.25">
      <c r="A418" s="4" t="s">
        <v>0</v>
      </c>
      <c r="B418" t="s">
        <v>449</v>
      </c>
      <c r="C418" t="s">
        <v>1476</v>
      </c>
      <c r="D418" t="s">
        <v>1299</v>
      </c>
      <c r="E418" t="s">
        <v>317</v>
      </c>
      <c r="F418" t="str">
        <f t="shared" ref="F418:F441" si="167">VLOOKUP($A$417,$E$1:$F$26,2,FALSE)</f>
        <v>[10]</v>
      </c>
      <c r="G418">
        <f t="shared" ref="G418:G441" si="168">HEX2DEC(MID(D418,3,LEN(D418)-2))</f>
        <v>10368</v>
      </c>
      <c r="H418" t="str">
        <f t="shared" ref="H418:H441" si="169">IF(E418&lt;&gt;E417,E418,"")</f>
        <v>aes.o</v>
      </c>
      <c r="I418">
        <f>SUMIF(E418:$E$441,H418,G418:$G$441)</f>
        <v>10368</v>
      </c>
      <c r="K418" s="4" t="s">
        <v>421</v>
      </c>
      <c r="L418" t="s">
        <v>422</v>
      </c>
      <c r="M418" t="s">
        <v>3176</v>
      </c>
      <c r="N418" t="s">
        <v>67</v>
      </c>
      <c r="O418" t="s">
        <v>131</v>
      </c>
      <c r="P418" t="str">
        <f t="shared" si="161"/>
        <v>[1]</v>
      </c>
      <c r="Q418">
        <f t="shared" si="162"/>
        <v>48</v>
      </c>
      <c r="R418" t="str">
        <f t="shared" si="165"/>
        <v/>
      </c>
      <c r="S418">
        <f>SUMIF(O418:$O$2855,R418,Q418:$Q$2855)</f>
        <v>0</v>
      </c>
      <c r="AP418" s="4" t="s">
        <v>472</v>
      </c>
      <c r="AQ418" t="s">
        <v>479</v>
      </c>
      <c r="AR418" t="s">
        <v>4458</v>
      </c>
      <c r="AS418" t="s">
        <v>13</v>
      </c>
      <c r="AT418" t="s">
        <v>138</v>
      </c>
      <c r="AU418" t="str">
        <f t="shared" si="163"/>
        <v>[1]</v>
      </c>
      <c r="AV418">
        <f t="shared" si="164"/>
        <v>12</v>
      </c>
      <c r="AW418" t="str">
        <f t="shared" si="166"/>
        <v/>
      </c>
      <c r="AX418">
        <f>SUMIF(AT418:$AT$651,AW418,AV418:$AV$651)</f>
        <v>0</v>
      </c>
    </row>
    <row r="419" spans="1:50" x14ac:dyDescent="0.25">
      <c r="A419" s="4" t="s">
        <v>0</v>
      </c>
      <c r="B419" t="s">
        <v>449</v>
      </c>
      <c r="C419" t="s">
        <v>1482</v>
      </c>
      <c r="D419" t="s">
        <v>1303</v>
      </c>
      <c r="E419" t="s">
        <v>245</v>
      </c>
      <c r="F419" t="str">
        <f t="shared" si="167"/>
        <v>[10]</v>
      </c>
      <c r="G419">
        <f t="shared" ref="G419" si="170">HEX2DEC(MID(D419,3,LEN(D419)-2))</f>
        <v>14272</v>
      </c>
      <c r="H419" t="str">
        <f t="shared" ref="H419" si="171">IF(E419&lt;&gt;E418,E419,"")</f>
        <v>asn.o</v>
      </c>
      <c r="I419">
        <f>SUMIF(E419:$E$441,H419,G419:$G$441)</f>
        <v>14272</v>
      </c>
      <c r="K419" s="4" t="s">
        <v>421</v>
      </c>
      <c r="L419" t="s">
        <v>422</v>
      </c>
      <c r="M419" t="s">
        <v>3177</v>
      </c>
      <c r="N419" t="s">
        <v>211</v>
      </c>
      <c r="O419" t="s">
        <v>131</v>
      </c>
      <c r="P419" t="str">
        <f t="shared" si="161"/>
        <v>[1]</v>
      </c>
      <c r="Q419">
        <f t="shared" si="162"/>
        <v>92</v>
      </c>
      <c r="R419" t="str">
        <f t="shared" si="165"/>
        <v/>
      </c>
      <c r="S419">
        <f>SUMIF(O419:$O$2855,R419,Q419:$Q$2855)</f>
        <v>0</v>
      </c>
      <c r="AP419" s="4" t="s">
        <v>472</v>
      </c>
      <c r="AQ419" t="s">
        <v>479</v>
      </c>
      <c r="AR419" t="s">
        <v>4459</v>
      </c>
      <c r="AS419" t="s">
        <v>78</v>
      </c>
      <c r="AT419" t="s">
        <v>138</v>
      </c>
      <c r="AU419" t="str">
        <f t="shared" si="163"/>
        <v>[1]</v>
      </c>
      <c r="AV419">
        <f t="shared" si="164"/>
        <v>4</v>
      </c>
      <c r="AW419" t="str">
        <f t="shared" si="166"/>
        <v/>
      </c>
      <c r="AX419">
        <f>SUMIF(AT419:$AT$651,AW419,AV419:$AV$651)</f>
        <v>0</v>
      </c>
    </row>
    <row r="420" spans="1:50" x14ac:dyDescent="0.25">
      <c r="A420" s="4" t="s">
        <v>0</v>
      </c>
      <c r="B420" t="s">
        <v>449</v>
      </c>
      <c r="C420" t="s">
        <v>1486</v>
      </c>
      <c r="D420" t="s">
        <v>332</v>
      </c>
      <c r="E420" t="s">
        <v>333</v>
      </c>
      <c r="F420" t="str">
        <f t="shared" si="167"/>
        <v>[10]</v>
      </c>
      <c r="G420">
        <f t="shared" ref="G420" si="172">HEX2DEC(MID(D420,3,LEN(D420)-2))</f>
        <v>500</v>
      </c>
      <c r="H420" t="str">
        <f>IF(E420&lt;&gt;E418,E420,"")</f>
        <v>coding.o</v>
      </c>
      <c r="I420">
        <f>SUMIF(E420:$E$441,H420,G420:$G$441)</f>
        <v>500</v>
      </c>
      <c r="K420" s="4" t="s">
        <v>421</v>
      </c>
      <c r="L420" t="s">
        <v>422</v>
      </c>
      <c r="M420" t="s">
        <v>3178</v>
      </c>
      <c r="N420" t="s">
        <v>63</v>
      </c>
      <c r="O420" t="s">
        <v>131</v>
      </c>
      <c r="P420" t="str">
        <f t="shared" si="161"/>
        <v>[1]</v>
      </c>
      <c r="Q420">
        <f t="shared" si="162"/>
        <v>88</v>
      </c>
      <c r="R420" t="str">
        <f t="shared" si="165"/>
        <v/>
      </c>
      <c r="S420">
        <f>SUMIF(O420:$O$2855,R420,Q420:$Q$2855)</f>
        <v>0</v>
      </c>
      <c r="AP420" s="4" t="s">
        <v>472</v>
      </c>
      <c r="AQ420" t="s">
        <v>479</v>
      </c>
      <c r="AR420" t="s">
        <v>4460</v>
      </c>
      <c r="AS420" t="s">
        <v>103</v>
      </c>
      <c r="AT420" t="s">
        <v>138</v>
      </c>
      <c r="AU420" t="str">
        <f t="shared" si="163"/>
        <v>[1]</v>
      </c>
      <c r="AV420">
        <f t="shared" si="164"/>
        <v>64</v>
      </c>
      <c r="AW420" t="str">
        <f t="shared" si="166"/>
        <v/>
      </c>
      <c r="AX420">
        <f>SUMIF(AT420:$AT$651,AW420,AV420:$AV$651)</f>
        <v>0</v>
      </c>
    </row>
    <row r="421" spans="1:50" x14ac:dyDescent="0.25">
      <c r="A421" s="4" t="s">
        <v>0</v>
      </c>
      <c r="B421" t="s">
        <v>449</v>
      </c>
      <c r="C421" t="s">
        <v>1491</v>
      </c>
      <c r="D421" t="s">
        <v>1309</v>
      </c>
      <c r="E421" t="s">
        <v>375</v>
      </c>
      <c r="F421" t="str">
        <f t="shared" si="167"/>
        <v>[10]</v>
      </c>
      <c r="G421">
        <f t="shared" si="168"/>
        <v>1952</v>
      </c>
      <c r="H421" t="str">
        <f>IF(E421&lt;&gt;E418,E421,"")</f>
        <v>dh.o</v>
      </c>
      <c r="I421">
        <f>SUMIF(E421:$E$441,H421,G421:$G$441)</f>
        <v>1952</v>
      </c>
      <c r="K421" s="4" t="s">
        <v>421</v>
      </c>
      <c r="L421" t="s">
        <v>422</v>
      </c>
      <c r="M421" t="s">
        <v>3179</v>
      </c>
      <c r="N421" t="s">
        <v>143</v>
      </c>
      <c r="O421" t="s">
        <v>131</v>
      </c>
      <c r="P421" t="str">
        <f t="shared" si="161"/>
        <v>[1]</v>
      </c>
      <c r="Q421">
        <f t="shared" si="162"/>
        <v>84</v>
      </c>
      <c r="R421" t="str">
        <f t="shared" si="165"/>
        <v/>
      </c>
      <c r="S421">
        <f>SUMIF(O421:$O$2855,R421,Q421:$Q$2855)</f>
        <v>0</v>
      </c>
      <c r="AP421" s="4" t="s">
        <v>472</v>
      </c>
      <c r="AQ421" t="s">
        <v>479</v>
      </c>
      <c r="AR421" t="s">
        <v>4461</v>
      </c>
      <c r="AS421" t="s">
        <v>6</v>
      </c>
      <c r="AT421" t="s">
        <v>138</v>
      </c>
      <c r="AU421" t="str">
        <f t="shared" si="163"/>
        <v>[1]</v>
      </c>
      <c r="AV421">
        <f t="shared" si="164"/>
        <v>28</v>
      </c>
      <c r="AW421" t="str">
        <f t="shared" si="166"/>
        <v/>
      </c>
      <c r="AX421">
        <f>SUMIF(AT421:$AT$651,AW421,AV421:$AV$651)</f>
        <v>0</v>
      </c>
    </row>
    <row r="422" spans="1:50" x14ac:dyDescent="0.25">
      <c r="A422" s="4" t="s">
        <v>0</v>
      </c>
      <c r="B422" t="s">
        <v>449</v>
      </c>
      <c r="C422" t="s">
        <v>1479</v>
      </c>
      <c r="D422" t="s">
        <v>1301</v>
      </c>
      <c r="E422" t="s">
        <v>318</v>
      </c>
      <c r="F422" t="str">
        <f t="shared" si="167"/>
        <v>[10]</v>
      </c>
      <c r="G422">
        <f t="shared" si="168"/>
        <v>8648</v>
      </c>
      <c r="H422" t="str">
        <f t="shared" si="169"/>
        <v>ecc.o</v>
      </c>
      <c r="I422">
        <f>SUMIF(E422:$E$441,H422,G422:$G$441)</f>
        <v>8648</v>
      </c>
      <c r="K422" s="4" t="s">
        <v>421</v>
      </c>
      <c r="L422" t="s">
        <v>422</v>
      </c>
      <c r="M422" t="s">
        <v>3180</v>
      </c>
      <c r="N422" t="s">
        <v>237</v>
      </c>
      <c r="O422" t="s">
        <v>131</v>
      </c>
      <c r="P422" t="str">
        <f t="shared" si="161"/>
        <v>[1]</v>
      </c>
      <c r="Q422">
        <f t="shared" si="162"/>
        <v>52</v>
      </c>
      <c r="R422" t="str">
        <f t="shared" si="165"/>
        <v/>
      </c>
      <c r="S422">
        <f>SUMIF(O422:$O$2855,R422,Q422:$Q$2855)</f>
        <v>0</v>
      </c>
      <c r="AP422" s="4" t="s">
        <v>472</v>
      </c>
      <c r="AQ422" t="s">
        <v>479</v>
      </c>
      <c r="AR422" t="s">
        <v>4466</v>
      </c>
      <c r="AS422" t="s">
        <v>46</v>
      </c>
      <c r="AT422" t="s">
        <v>138</v>
      </c>
      <c r="AU422" t="str">
        <f t="shared" si="163"/>
        <v>[1]</v>
      </c>
      <c r="AV422">
        <f t="shared" si="164"/>
        <v>2</v>
      </c>
      <c r="AW422" t="str">
        <f t="shared" si="166"/>
        <v/>
      </c>
      <c r="AX422">
        <f>SUMIF(AT422:$AT$651,AW422,AV422:$AV$651)</f>
        <v>0</v>
      </c>
    </row>
    <row r="423" spans="1:50" x14ac:dyDescent="0.25">
      <c r="A423" s="4" t="s">
        <v>0</v>
      </c>
      <c r="B423" t="s">
        <v>449</v>
      </c>
      <c r="C423" t="s">
        <v>1483</v>
      </c>
      <c r="D423" t="s">
        <v>1304</v>
      </c>
      <c r="E423" t="s">
        <v>373</v>
      </c>
      <c r="F423" t="str">
        <f t="shared" si="167"/>
        <v>[10]</v>
      </c>
      <c r="G423">
        <f t="shared" si="168"/>
        <v>1500</v>
      </c>
      <c r="H423" t="str">
        <f t="shared" si="169"/>
        <v>hash.o</v>
      </c>
      <c r="I423">
        <f>SUMIF(E423:$E$441,H423,G423:$G$441)</f>
        <v>1500</v>
      </c>
      <c r="K423" s="4" t="s">
        <v>421</v>
      </c>
      <c r="L423" t="s">
        <v>422</v>
      </c>
      <c r="M423" t="s">
        <v>3181</v>
      </c>
      <c r="N423" t="s">
        <v>141</v>
      </c>
      <c r="O423" t="s">
        <v>131</v>
      </c>
      <c r="P423" t="str">
        <f t="shared" si="161"/>
        <v>[1]</v>
      </c>
      <c r="Q423">
        <f t="shared" si="162"/>
        <v>104</v>
      </c>
      <c r="R423" t="str">
        <f t="shared" si="165"/>
        <v/>
      </c>
      <c r="S423">
        <f>SUMIF(O423:$O$2855,R423,Q423:$Q$2855)</f>
        <v>0</v>
      </c>
      <c r="AP423" s="4" t="s">
        <v>472</v>
      </c>
      <c r="AQ423" t="s">
        <v>479</v>
      </c>
      <c r="AR423" t="s">
        <v>4481</v>
      </c>
      <c r="AS423" t="s">
        <v>442</v>
      </c>
      <c r="AT423" t="s">
        <v>138</v>
      </c>
      <c r="AU423" t="str">
        <f t="shared" si="163"/>
        <v>[1]</v>
      </c>
      <c r="AV423">
        <f t="shared" si="164"/>
        <v>1</v>
      </c>
      <c r="AW423" t="str">
        <f t="shared" si="166"/>
        <v/>
      </c>
      <c r="AX423">
        <f>SUMIF(AT423:$AT$651,AW423,AV423:$AV$651)</f>
        <v>0</v>
      </c>
    </row>
    <row r="424" spans="1:50" x14ac:dyDescent="0.25">
      <c r="A424" s="4" t="s">
        <v>0</v>
      </c>
      <c r="B424" t="s">
        <v>449</v>
      </c>
      <c r="C424" t="s">
        <v>1488</v>
      </c>
      <c r="D424" t="s">
        <v>1267</v>
      </c>
      <c r="E424" t="s">
        <v>389</v>
      </c>
      <c r="F424" t="str">
        <f t="shared" si="167"/>
        <v>[10]</v>
      </c>
      <c r="G424">
        <f t="shared" si="168"/>
        <v>854</v>
      </c>
      <c r="H424" t="str">
        <f t="shared" si="169"/>
        <v>hmac.o</v>
      </c>
      <c r="I424">
        <f>SUMIF(E424:$E$441,H424,G424:$G$441)</f>
        <v>854</v>
      </c>
      <c r="K424" s="4" t="s">
        <v>421</v>
      </c>
      <c r="L424" t="s">
        <v>422</v>
      </c>
      <c r="M424" t="s">
        <v>3182</v>
      </c>
      <c r="N424" t="s">
        <v>67</v>
      </c>
      <c r="O424" t="s">
        <v>131</v>
      </c>
      <c r="P424" t="str">
        <f t="shared" si="161"/>
        <v>[1]</v>
      </c>
      <c r="Q424">
        <f t="shared" si="162"/>
        <v>48</v>
      </c>
      <c r="R424" t="str">
        <f t="shared" si="165"/>
        <v/>
      </c>
      <c r="S424">
        <f>SUMIF(O424:$O$2855,R424,Q424:$Q$2855)</f>
        <v>0</v>
      </c>
      <c r="AP424" s="4" t="s">
        <v>472</v>
      </c>
      <c r="AQ424" t="s">
        <v>479</v>
      </c>
      <c r="AR424" t="s">
        <v>4582</v>
      </c>
      <c r="AS424" t="s">
        <v>1087</v>
      </c>
      <c r="AT424" t="s">
        <v>133</v>
      </c>
      <c r="AU424" t="str">
        <f t="shared" si="163"/>
        <v>[1]</v>
      </c>
      <c r="AV424">
        <f t="shared" si="164"/>
        <v>700</v>
      </c>
      <c r="AW424" t="str">
        <f t="shared" si="166"/>
        <v>stack_check.o</v>
      </c>
      <c r="AX424">
        <f>SUMIF(AT424:$AT$651,AW424,AV424:$AV$651)</f>
        <v>700</v>
      </c>
    </row>
    <row r="425" spans="1:50" x14ac:dyDescent="0.25">
      <c r="A425" s="4" t="s">
        <v>0</v>
      </c>
      <c r="B425" t="s">
        <v>449</v>
      </c>
      <c r="C425" t="s">
        <v>1493</v>
      </c>
      <c r="D425" t="s">
        <v>1311</v>
      </c>
      <c r="E425" t="s">
        <v>1275</v>
      </c>
      <c r="F425" t="str">
        <f t="shared" si="167"/>
        <v>[10]</v>
      </c>
      <c r="G425">
        <f t="shared" si="168"/>
        <v>1042</v>
      </c>
      <c r="H425" t="str">
        <f t="shared" si="169"/>
        <v>idea.o</v>
      </c>
      <c r="I425">
        <f>SUMIF(E425:$E$441,H425,G425:$G$441)</f>
        <v>1042</v>
      </c>
      <c r="K425" s="4" t="s">
        <v>421</v>
      </c>
      <c r="L425" t="s">
        <v>422</v>
      </c>
      <c r="M425" t="s">
        <v>3183</v>
      </c>
      <c r="N425" t="s">
        <v>143</v>
      </c>
      <c r="O425" t="s">
        <v>131</v>
      </c>
      <c r="P425" t="str">
        <f t="shared" si="161"/>
        <v>[1]</v>
      </c>
      <c r="Q425">
        <f t="shared" si="162"/>
        <v>84</v>
      </c>
      <c r="R425" t="str">
        <f t="shared" si="165"/>
        <v/>
      </c>
      <c r="S425">
        <f>SUMIF(O425:$O$2855,R425,Q425:$Q$2855)</f>
        <v>0</v>
      </c>
      <c r="AP425" s="4" t="s">
        <v>472</v>
      </c>
      <c r="AQ425" t="s">
        <v>479</v>
      </c>
      <c r="AR425" t="s">
        <v>4583</v>
      </c>
      <c r="AS425" t="s">
        <v>67</v>
      </c>
      <c r="AT425" t="s">
        <v>309</v>
      </c>
      <c r="AU425" t="str">
        <f t="shared" si="163"/>
        <v>[1]</v>
      </c>
      <c r="AV425">
        <f t="shared" si="164"/>
        <v>48</v>
      </c>
      <c r="AW425" t="str">
        <f t="shared" si="166"/>
        <v>sys_busy.o</v>
      </c>
      <c r="AX425">
        <f>SUMIF(AT425:$AT$651,AW425,AV425:$AV$651)</f>
        <v>51</v>
      </c>
    </row>
    <row r="426" spans="1:50" x14ac:dyDescent="0.25">
      <c r="A426" s="4" t="s">
        <v>0</v>
      </c>
      <c r="B426" t="s">
        <v>449</v>
      </c>
      <c r="C426" t="s">
        <v>1489</v>
      </c>
      <c r="D426" t="s">
        <v>1307</v>
      </c>
      <c r="E426" t="s">
        <v>329</v>
      </c>
      <c r="F426" t="str">
        <f t="shared" si="167"/>
        <v>[10]</v>
      </c>
      <c r="G426">
        <f t="shared" si="168"/>
        <v>45262</v>
      </c>
      <c r="H426" t="str">
        <f t="shared" si="169"/>
        <v>internal.o</v>
      </c>
      <c r="I426">
        <f>SUMIF(E426:$E$441,H426,G426:$G$441)</f>
        <v>45266</v>
      </c>
      <c r="K426" s="4" t="s">
        <v>421</v>
      </c>
      <c r="L426" t="s">
        <v>422</v>
      </c>
      <c r="M426" t="s">
        <v>3184</v>
      </c>
      <c r="N426" t="s">
        <v>89</v>
      </c>
      <c r="O426" t="s">
        <v>131</v>
      </c>
      <c r="P426" t="str">
        <f t="shared" si="161"/>
        <v>[1]</v>
      </c>
      <c r="Q426">
        <f t="shared" si="162"/>
        <v>76</v>
      </c>
      <c r="R426" t="str">
        <f t="shared" si="165"/>
        <v/>
      </c>
      <c r="S426">
        <f>SUMIF(O426:$O$2855,R426,Q426:$Q$2855)</f>
        <v>0</v>
      </c>
      <c r="AP426" s="4" t="s">
        <v>472</v>
      </c>
      <c r="AQ426" t="s">
        <v>479</v>
      </c>
      <c r="AR426" t="s">
        <v>4617</v>
      </c>
      <c r="AS426" t="s">
        <v>46</v>
      </c>
      <c r="AT426" t="s">
        <v>309</v>
      </c>
      <c r="AU426" t="str">
        <f t="shared" si="163"/>
        <v>[1]</v>
      </c>
      <c r="AV426">
        <f t="shared" si="164"/>
        <v>2</v>
      </c>
      <c r="AW426" t="str">
        <f t="shared" si="166"/>
        <v/>
      </c>
      <c r="AX426">
        <f>SUMIF(AT426:$AT$651,AW426,AV426:$AV$651)</f>
        <v>0</v>
      </c>
    </row>
    <row r="427" spans="1:50" x14ac:dyDescent="0.25">
      <c r="A427" s="4" t="s">
        <v>0</v>
      </c>
      <c r="B427" t="s">
        <v>449</v>
      </c>
      <c r="C427" t="s">
        <v>1494</v>
      </c>
      <c r="D427" t="s">
        <v>78</v>
      </c>
      <c r="E427" t="s">
        <v>329</v>
      </c>
      <c r="F427" t="str">
        <f t="shared" si="167"/>
        <v>[10]</v>
      </c>
      <c r="G427">
        <f t="shared" si="168"/>
        <v>4</v>
      </c>
      <c r="H427" t="str">
        <f t="shared" si="169"/>
        <v/>
      </c>
      <c r="I427">
        <f>SUMIF(E427:$E$441,H427,G427:$G$441)</f>
        <v>0</v>
      </c>
      <c r="K427" s="4" t="s">
        <v>421</v>
      </c>
      <c r="L427" t="s">
        <v>422</v>
      </c>
      <c r="M427" t="s">
        <v>3185</v>
      </c>
      <c r="N427" t="s">
        <v>44</v>
      </c>
      <c r="O427" t="s">
        <v>131</v>
      </c>
      <c r="P427" t="str">
        <f t="shared" si="161"/>
        <v>[1]</v>
      </c>
      <c r="Q427">
        <f t="shared" si="162"/>
        <v>44</v>
      </c>
      <c r="R427" t="str">
        <f t="shared" si="165"/>
        <v/>
      </c>
      <c r="S427">
        <f>SUMIF(O427:$O$2855,R427,Q427:$Q$2855)</f>
        <v>0</v>
      </c>
      <c r="AP427" s="4" t="s">
        <v>472</v>
      </c>
      <c r="AQ427" t="s">
        <v>479</v>
      </c>
      <c r="AR427" t="s">
        <v>4633</v>
      </c>
      <c r="AS427" t="s">
        <v>442</v>
      </c>
      <c r="AT427" t="s">
        <v>309</v>
      </c>
      <c r="AU427" t="str">
        <f t="shared" si="163"/>
        <v>[1]</v>
      </c>
      <c r="AV427">
        <f t="shared" si="164"/>
        <v>1</v>
      </c>
      <c r="AW427" t="str">
        <f t="shared" si="166"/>
        <v/>
      </c>
      <c r="AX427">
        <f>SUMIF(AT427:$AT$651,AW427,AV427:$AV$651)</f>
        <v>0</v>
      </c>
    </row>
    <row r="428" spans="1:50" x14ac:dyDescent="0.25">
      <c r="A428" s="4" t="s">
        <v>0</v>
      </c>
      <c r="B428" t="s">
        <v>449</v>
      </c>
      <c r="C428" t="s">
        <v>1490</v>
      </c>
      <c r="D428" t="s">
        <v>1308</v>
      </c>
      <c r="E428" t="s">
        <v>372</v>
      </c>
      <c r="F428" t="str">
        <f t="shared" si="167"/>
        <v>[10]</v>
      </c>
      <c r="G428">
        <f t="shared" si="168"/>
        <v>1788</v>
      </c>
      <c r="H428" t="str">
        <f t="shared" si="169"/>
        <v>keys.o</v>
      </c>
      <c r="I428">
        <f>SUMIF(E428:$E$441,H428,G428:$G$441)</f>
        <v>1788</v>
      </c>
      <c r="K428" s="4" t="s">
        <v>421</v>
      </c>
      <c r="L428" t="s">
        <v>422</v>
      </c>
      <c r="M428" t="s">
        <v>3186</v>
      </c>
      <c r="N428" t="s">
        <v>143</v>
      </c>
      <c r="O428" t="s">
        <v>131</v>
      </c>
      <c r="P428" t="str">
        <f t="shared" si="161"/>
        <v>[1]</v>
      </c>
      <c r="Q428">
        <f t="shared" si="162"/>
        <v>84</v>
      </c>
      <c r="R428" t="str">
        <f t="shared" si="165"/>
        <v/>
      </c>
      <c r="S428">
        <f>SUMIF(O428:$O$2855,R428,Q428:$Q$2855)</f>
        <v>0</v>
      </c>
      <c r="AP428" s="4" t="s">
        <v>472</v>
      </c>
      <c r="AQ428" t="s">
        <v>479</v>
      </c>
      <c r="AR428" t="s">
        <v>4684</v>
      </c>
      <c r="AS428" t="s">
        <v>1666</v>
      </c>
      <c r="AT428" t="s">
        <v>83</v>
      </c>
      <c r="AU428" t="str">
        <f t="shared" si="163"/>
        <v>[1]</v>
      </c>
      <c r="AV428">
        <f t="shared" si="164"/>
        <v>1640</v>
      </c>
      <c r="AW428" t="str">
        <f t="shared" si="166"/>
        <v>Task.o</v>
      </c>
      <c r="AX428">
        <f>SUMIF(AT428:$AT$651,AW428,AV428:$AV$651)</f>
        <v>1812</v>
      </c>
    </row>
    <row r="429" spans="1:50" x14ac:dyDescent="0.25">
      <c r="A429" s="4" t="s">
        <v>0</v>
      </c>
      <c r="B429" t="s">
        <v>449</v>
      </c>
      <c r="C429" t="s">
        <v>1477</v>
      </c>
      <c r="D429" t="s">
        <v>1266</v>
      </c>
      <c r="E429" t="s">
        <v>330</v>
      </c>
      <c r="F429" t="str">
        <f t="shared" si="167"/>
        <v>[10]</v>
      </c>
      <c r="G429">
        <f t="shared" si="168"/>
        <v>260</v>
      </c>
      <c r="H429" t="str">
        <f t="shared" si="169"/>
        <v>logging.o</v>
      </c>
      <c r="I429">
        <f>SUMIF(E429:$E$441,H429,G429:$G$441)</f>
        <v>260</v>
      </c>
      <c r="K429" s="4" t="s">
        <v>421</v>
      </c>
      <c r="L429" t="s">
        <v>422</v>
      </c>
      <c r="M429" t="s">
        <v>3187</v>
      </c>
      <c r="N429" t="s">
        <v>126</v>
      </c>
      <c r="O429" t="s">
        <v>131</v>
      </c>
      <c r="P429" t="str">
        <f t="shared" si="161"/>
        <v>[1]</v>
      </c>
      <c r="Q429">
        <f t="shared" si="162"/>
        <v>8</v>
      </c>
      <c r="R429" t="str">
        <f t="shared" si="165"/>
        <v/>
      </c>
      <c r="S429">
        <f>SUMIF(O429:$O$2855,R429,Q429:$Q$2855)</f>
        <v>0</v>
      </c>
      <c r="AP429" s="4" t="s">
        <v>472</v>
      </c>
      <c r="AQ429" t="s">
        <v>479</v>
      </c>
      <c r="AR429" t="s">
        <v>4685</v>
      </c>
      <c r="AS429" t="s">
        <v>52</v>
      </c>
      <c r="AT429" t="s">
        <v>83</v>
      </c>
      <c r="AU429" t="str">
        <f t="shared" si="163"/>
        <v>[1]</v>
      </c>
      <c r="AV429">
        <f t="shared" si="164"/>
        <v>164</v>
      </c>
      <c r="AW429" t="str">
        <f t="shared" si="166"/>
        <v/>
      </c>
      <c r="AX429">
        <f>SUMIF(AT429:$AT$651,AW429,AV429:$AV$651)</f>
        <v>0</v>
      </c>
    </row>
    <row r="430" spans="1:50" x14ac:dyDescent="0.25">
      <c r="A430" s="4" t="s">
        <v>0</v>
      </c>
      <c r="B430" t="s">
        <v>449</v>
      </c>
      <c r="C430" t="s">
        <v>1487</v>
      </c>
      <c r="D430" t="s">
        <v>1306</v>
      </c>
      <c r="E430" t="s">
        <v>335</v>
      </c>
      <c r="F430" t="str">
        <f t="shared" si="167"/>
        <v>[10]</v>
      </c>
      <c r="G430">
        <f t="shared" si="168"/>
        <v>1908</v>
      </c>
      <c r="H430" t="str">
        <f t="shared" si="169"/>
        <v>md5.o</v>
      </c>
      <c r="I430">
        <f>SUMIF(E430:$E$441,H430,G430:$G$441)</f>
        <v>1908</v>
      </c>
      <c r="K430" s="4" t="s">
        <v>421</v>
      </c>
      <c r="L430" t="s">
        <v>422</v>
      </c>
      <c r="M430" t="s">
        <v>3188</v>
      </c>
      <c r="N430" t="s">
        <v>67</v>
      </c>
      <c r="O430" t="s">
        <v>131</v>
      </c>
      <c r="P430" t="str">
        <f t="shared" si="161"/>
        <v>[1]</v>
      </c>
      <c r="Q430">
        <f t="shared" si="162"/>
        <v>48</v>
      </c>
      <c r="R430" t="str">
        <f t="shared" si="165"/>
        <v/>
      </c>
      <c r="S430">
        <f>SUMIF(O430:$O$2855,R430,Q430:$Q$2855)</f>
        <v>0</v>
      </c>
      <c r="AP430" s="4" t="s">
        <v>472</v>
      </c>
      <c r="AQ430" t="s">
        <v>479</v>
      </c>
      <c r="AR430" t="s">
        <v>4686</v>
      </c>
      <c r="AS430" t="s">
        <v>78</v>
      </c>
      <c r="AT430" t="s">
        <v>83</v>
      </c>
      <c r="AU430" t="str">
        <f t="shared" si="163"/>
        <v>[1]</v>
      </c>
      <c r="AV430">
        <f t="shared" si="164"/>
        <v>4</v>
      </c>
      <c r="AW430" t="str">
        <f t="shared" si="166"/>
        <v/>
      </c>
      <c r="AX430">
        <f>SUMIF(AT430:$AT$651,AW430,AV430:$AV$651)</f>
        <v>0</v>
      </c>
    </row>
    <row r="431" spans="1:50" x14ac:dyDescent="0.25">
      <c r="A431" s="4" t="s">
        <v>0</v>
      </c>
      <c r="B431" t="s">
        <v>449</v>
      </c>
      <c r="C431" t="s">
        <v>1475</v>
      </c>
      <c r="D431" t="s">
        <v>44</v>
      </c>
      <c r="E431" t="s">
        <v>240</v>
      </c>
      <c r="F431" t="str">
        <f t="shared" si="167"/>
        <v>[10]</v>
      </c>
      <c r="G431">
        <f t="shared" si="168"/>
        <v>44</v>
      </c>
      <c r="H431" t="str">
        <f t="shared" si="169"/>
        <v>memory.o</v>
      </c>
      <c r="I431">
        <f>SUMIF(E431:$E$441,H431,G431:$G$441)</f>
        <v>44</v>
      </c>
      <c r="K431" s="4" t="s">
        <v>421</v>
      </c>
      <c r="L431" t="s">
        <v>422</v>
      </c>
      <c r="M431" t="s">
        <v>3189</v>
      </c>
      <c r="N431" t="s">
        <v>275</v>
      </c>
      <c r="O431" t="s">
        <v>131</v>
      </c>
      <c r="P431" t="str">
        <f t="shared" si="161"/>
        <v>[1]</v>
      </c>
      <c r="Q431">
        <f t="shared" si="162"/>
        <v>80</v>
      </c>
      <c r="R431" t="str">
        <f t="shared" si="165"/>
        <v/>
      </c>
      <c r="S431">
        <f>SUMIF(O431:$O$2855,R431,Q431:$Q$2855)</f>
        <v>0</v>
      </c>
      <c r="AP431" s="4" t="s">
        <v>472</v>
      </c>
      <c r="AQ431" t="s">
        <v>479</v>
      </c>
      <c r="AR431" t="s">
        <v>4687</v>
      </c>
      <c r="AS431" t="s">
        <v>78</v>
      </c>
      <c r="AT431" t="s">
        <v>83</v>
      </c>
      <c r="AU431" t="str">
        <f t="shared" si="163"/>
        <v>[1]</v>
      </c>
      <c r="AV431">
        <f t="shared" si="164"/>
        <v>4</v>
      </c>
      <c r="AW431" t="str">
        <f t="shared" si="166"/>
        <v/>
      </c>
      <c r="AX431">
        <f>SUMIF(AT431:$AT$651,AW431,AV431:$AV$651)</f>
        <v>0</v>
      </c>
    </row>
    <row r="432" spans="1:50" x14ac:dyDescent="0.25">
      <c r="A432" s="4" t="s">
        <v>0</v>
      </c>
      <c r="B432" t="s">
        <v>449</v>
      </c>
      <c r="C432" t="s">
        <v>1495</v>
      </c>
      <c r="D432" t="s">
        <v>1312</v>
      </c>
      <c r="E432" t="s">
        <v>247</v>
      </c>
      <c r="F432" t="str">
        <f t="shared" si="167"/>
        <v>[10]</v>
      </c>
      <c r="G432">
        <f t="shared" si="168"/>
        <v>644</v>
      </c>
      <c r="H432" t="str">
        <f t="shared" si="169"/>
        <v>quicksession.o</v>
      </c>
      <c r="I432">
        <f>SUMIF(E432:$E$441,H432,G432:$G$441)</f>
        <v>644</v>
      </c>
      <c r="K432" s="4" t="s">
        <v>421</v>
      </c>
      <c r="L432" t="s">
        <v>422</v>
      </c>
      <c r="M432" t="s">
        <v>3190</v>
      </c>
      <c r="N432" t="s">
        <v>165</v>
      </c>
      <c r="O432" t="s">
        <v>131</v>
      </c>
      <c r="P432" t="str">
        <f t="shared" si="161"/>
        <v>[1]</v>
      </c>
      <c r="Q432">
        <f t="shared" si="162"/>
        <v>20</v>
      </c>
      <c r="R432" t="str">
        <f t="shared" si="165"/>
        <v/>
      </c>
      <c r="S432">
        <f>SUMIF(O432:$O$2855,R432,Q432:$Q$2855)</f>
        <v>0</v>
      </c>
      <c r="AP432" s="4" t="s">
        <v>472</v>
      </c>
      <c r="AQ432" t="s">
        <v>479</v>
      </c>
      <c r="AR432" t="s">
        <v>4584</v>
      </c>
      <c r="AS432" t="s">
        <v>126</v>
      </c>
      <c r="AT432" t="s">
        <v>1095</v>
      </c>
      <c r="AU432" t="str">
        <f t="shared" si="163"/>
        <v>[1]</v>
      </c>
      <c r="AV432">
        <f t="shared" si="164"/>
        <v>8</v>
      </c>
      <c r="AW432" t="str">
        <f t="shared" si="166"/>
        <v>Temperature.o</v>
      </c>
      <c r="AX432">
        <f>SUMIF(AT432:$AT$651,AW432,AV432:$AV$651)</f>
        <v>20</v>
      </c>
    </row>
    <row r="433" spans="1:50" x14ac:dyDescent="0.25">
      <c r="A433" s="4" t="s">
        <v>0</v>
      </c>
      <c r="B433" t="s">
        <v>449</v>
      </c>
      <c r="C433" t="s">
        <v>1478</v>
      </c>
      <c r="D433" t="s">
        <v>1300</v>
      </c>
      <c r="E433" t="s">
        <v>243</v>
      </c>
      <c r="F433" t="str">
        <f t="shared" si="167"/>
        <v>[10]</v>
      </c>
      <c r="G433">
        <f t="shared" si="168"/>
        <v>2228</v>
      </c>
      <c r="H433" t="str">
        <f t="shared" si="169"/>
        <v>random.o</v>
      </c>
      <c r="I433">
        <f>SUMIF(E433:$E$441,H433,G433:$G$441)</f>
        <v>2228</v>
      </c>
      <c r="K433" s="4" t="s">
        <v>421</v>
      </c>
      <c r="L433" t="s">
        <v>422</v>
      </c>
      <c r="M433" t="s">
        <v>3191</v>
      </c>
      <c r="N433" t="s">
        <v>237</v>
      </c>
      <c r="O433" t="s">
        <v>131</v>
      </c>
      <c r="P433" t="str">
        <f t="shared" si="161"/>
        <v>[1]</v>
      </c>
      <c r="Q433">
        <f t="shared" si="162"/>
        <v>52</v>
      </c>
      <c r="R433" t="str">
        <f t="shared" si="165"/>
        <v/>
      </c>
      <c r="S433">
        <f>SUMIF(O433:$O$2855,R433,Q433:$Q$2855)</f>
        <v>0</v>
      </c>
      <c r="AP433" s="4" t="s">
        <v>472</v>
      </c>
      <c r="AQ433" t="s">
        <v>479</v>
      </c>
      <c r="AR433" t="s">
        <v>4585</v>
      </c>
      <c r="AS433" t="s">
        <v>13</v>
      </c>
      <c r="AT433" t="s">
        <v>1095</v>
      </c>
      <c r="AU433" t="str">
        <f t="shared" si="163"/>
        <v>[1]</v>
      </c>
      <c r="AV433">
        <f t="shared" si="164"/>
        <v>12</v>
      </c>
      <c r="AW433" t="str">
        <f t="shared" si="166"/>
        <v/>
      </c>
      <c r="AX433">
        <f>SUMIF(AT433:$AT$651,AW433,AV433:$AV$651)</f>
        <v>0</v>
      </c>
    </row>
    <row r="434" spans="1:50" x14ac:dyDescent="0.25">
      <c r="A434" s="4" t="s">
        <v>0</v>
      </c>
      <c r="B434" t="s">
        <v>449</v>
      </c>
      <c r="C434" t="s">
        <v>1473</v>
      </c>
      <c r="D434" t="s">
        <v>1297</v>
      </c>
      <c r="E434" t="s">
        <v>343</v>
      </c>
      <c r="F434" t="str">
        <f t="shared" si="167"/>
        <v>[10]</v>
      </c>
      <c r="G434">
        <f t="shared" si="168"/>
        <v>3018</v>
      </c>
      <c r="H434" t="str">
        <f t="shared" si="169"/>
        <v>sha.o</v>
      </c>
      <c r="I434">
        <f>SUMIF(E434:$E$441,H434,G434:$G$441)</f>
        <v>3018</v>
      </c>
      <c r="K434" s="4" t="s">
        <v>421</v>
      </c>
      <c r="L434" t="s">
        <v>422</v>
      </c>
      <c r="M434" t="s">
        <v>3192</v>
      </c>
      <c r="N434" t="s">
        <v>67</v>
      </c>
      <c r="O434" t="s">
        <v>131</v>
      </c>
      <c r="P434" t="str">
        <f t="shared" si="161"/>
        <v>[1]</v>
      </c>
      <c r="Q434">
        <f t="shared" si="162"/>
        <v>48</v>
      </c>
      <c r="R434" t="str">
        <f t="shared" si="165"/>
        <v/>
      </c>
      <c r="S434">
        <f>SUMIF(O434:$O$2855,R434,Q434:$Q$2855)</f>
        <v>0</v>
      </c>
      <c r="AP434" s="4" t="s">
        <v>472</v>
      </c>
      <c r="AQ434" t="s">
        <v>479</v>
      </c>
      <c r="AR434" t="s">
        <v>4586</v>
      </c>
      <c r="AS434" t="s">
        <v>13</v>
      </c>
      <c r="AT434" t="s">
        <v>206</v>
      </c>
      <c r="AU434" t="str">
        <f t="shared" si="163"/>
        <v>[1]</v>
      </c>
      <c r="AV434">
        <f t="shared" si="164"/>
        <v>12</v>
      </c>
      <c r="AW434" t="str">
        <f t="shared" si="166"/>
        <v>time_DST.o</v>
      </c>
      <c r="AX434">
        <f>SUMIF(AT434:$AT$651,AW434,AV434:$AV$651)</f>
        <v>126</v>
      </c>
    </row>
    <row r="435" spans="1:50" x14ac:dyDescent="0.25">
      <c r="A435" s="4" t="s">
        <v>0</v>
      </c>
      <c r="B435" t="s">
        <v>449</v>
      </c>
      <c r="C435" t="s">
        <v>1474</v>
      </c>
      <c r="D435" t="s">
        <v>1298</v>
      </c>
      <c r="E435" t="s">
        <v>301</v>
      </c>
      <c r="F435" t="str">
        <f t="shared" si="167"/>
        <v>[10]</v>
      </c>
      <c r="G435">
        <f t="shared" si="168"/>
        <v>2116</v>
      </c>
      <c r="H435" t="str">
        <f t="shared" si="169"/>
        <v>sha256.o</v>
      </c>
      <c r="I435">
        <f>SUMIF(E435:$E$441,H435,G435:$G$441)</f>
        <v>2116</v>
      </c>
      <c r="K435" s="4" t="s">
        <v>421</v>
      </c>
      <c r="L435" t="s">
        <v>422</v>
      </c>
      <c r="M435" t="s">
        <v>3193</v>
      </c>
      <c r="N435" t="s">
        <v>6</v>
      </c>
      <c r="O435" t="s">
        <v>131</v>
      </c>
      <c r="P435" t="str">
        <f t="shared" si="161"/>
        <v>[1]</v>
      </c>
      <c r="Q435">
        <f t="shared" si="162"/>
        <v>28</v>
      </c>
      <c r="R435" t="str">
        <f t="shared" si="165"/>
        <v/>
      </c>
      <c r="S435">
        <f>SUMIF(O435:$O$2855,R435,Q435:$Q$2855)</f>
        <v>0</v>
      </c>
      <c r="AP435" s="4" t="s">
        <v>472</v>
      </c>
      <c r="AQ435" t="s">
        <v>479</v>
      </c>
      <c r="AR435" t="s">
        <v>4587</v>
      </c>
      <c r="AS435" t="s">
        <v>67</v>
      </c>
      <c r="AT435" t="s">
        <v>206</v>
      </c>
      <c r="AU435" t="str">
        <f t="shared" si="163"/>
        <v>[1]</v>
      </c>
      <c r="AV435">
        <f t="shared" si="164"/>
        <v>48</v>
      </c>
      <c r="AW435" t="str">
        <f t="shared" si="166"/>
        <v/>
      </c>
      <c r="AX435">
        <f>SUMIF(AT435:$AT$651,AW435,AV435:$AV$651)</f>
        <v>0</v>
      </c>
    </row>
    <row r="436" spans="1:50" x14ac:dyDescent="0.25">
      <c r="A436" s="4" t="s">
        <v>0</v>
      </c>
      <c r="B436" t="s">
        <v>449</v>
      </c>
      <c r="C436" t="s">
        <v>1485</v>
      </c>
      <c r="D436" t="s">
        <v>1305</v>
      </c>
      <c r="E436" t="s">
        <v>242</v>
      </c>
      <c r="F436" t="str">
        <f t="shared" si="167"/>
        <v>[10]</v>
      </c>
      <c r="G436">
        <f t="shared" si="168"/>
        <v>11728</v>
      </c>
      <c r="H436" t="str">
        <f t="shared" si="169"/>
        <v>ssl.o</v>
      </c>
      <c r="I436">
        <f>SUMIF(E436:$E$441,H436,G436:$G$441)</f>
        <v>11728</v>
      </c>
      <c r="K436" s="4" t="s">
        <v>421</v>
      </c>
      <c r="L436" t="s">
        <v>422</v>
      </c>
      <c r="M436" t="s">
        <v>3194</v>
      </c>
      <c r="N436" t="s">
        <v>6</v>
      </c>
      <c r="O436" t="s">
        <v>131</v>
      </c>
      <c r="P436" t="str">
        <f t="shared" si="161"/>
        <v>[1]</v>
      </c>
      <c r="Q436">
        <f t="shared" si="162"/>
        <v>28</v>
      </c>
      <c r="R436" t="str">
        <f t="shared" si="165"/>
        <v/>
      </c>
      <c r="S436">
        <f>SUMIF(O436:$O$2855,R436,Q436:$Q$2855)</f>
        <v>0</v>
      </c>
      <c r="AP436" s="4" t="s">
        <v>472</v>
      </c>
      <c r="AQ436" t="s">
        <v>479</v>
      </c>
      <c r="AR436" t="s">
        <v>4588</v>
      </c>
      <c r="AS436" t="s">
        <v>437</v>
      </c>
      <c r="AT436" t="s">
        <v>206</v>
      </c>
      <c r="AU436" t="str">
        <f t="shared" si="163"/>
        <v>[1]</v>
      </c>
      <c r="AV436">
        <f t="shared" si="164"/>
        <v>24</v>
      </c>
      <c r="AW436" t="str">
        <f t="shared" si="166"/>
        <v/>
      </c>
      <c r="AX436">
        <f>SUMIF(AT436:$AT$651,AW436,AV436:$AV$651)</f>
        <v>0</v>
      </c>
    </row>
    <row r="437" spans="1:50" x14ac:dyDescent="0.25">
      <c r="A437" s="4" t="s">
        <v>0</v>
      </c>
      <c r="B437" t="s">
        <v>449</v>
      </c>
      <c r="C437" t="s">
        <v>1480</v>
      </c>
      <c r="D437" t="s">
        <v>1302</v>
      </c>
      <c r="E437" t="s">
        <v>342</v>
      </c>
      <c r="F437" t="str">
        <f t="shared" si="167"/>
        <v>[10]</v>
      </c>
      <c r="G437">
        <f t="shared" si="168"/>
        <v>8232</v>
      </c>
      <c r="H437" t="str">
        <f t="shared" si="169"/>
        <v>tfm.o</v>
      </c>
      <c r="I437">
        <f>SUMIF(E437:$E$441,H437,G437:$G$441)</f>
        <v>8232</v>
      </c>
      <c r="K437" s="4" t="s">
        <v>421</v>
      </c>
      <c r="L437" t="s">
        <v>422</v>
      </c>
      <c r="M437" t="s">
        <v>3195</v>
      </c>
      <c r="N437" t="s">
        <v>211</v>
      </c>
      <c r="O437" t="s">
        <v>131</v>
      </c>
      <c r="P437" t="str">
        <f t="shared" si="161"/>
        <v>[1]</v>
      </c>
      <c r="Q437">
        <f t="shared" si="162"/>
        <v>92</v>
      </c>
      <c r="R437" t="str">
        <f t="shared" si="165"/>
        <v/>
      </c>
      <c r="S437">
        <f>SUMIF(O437:$O$2855,R437,Q437:$Q$2855)</f>
        <v>0</v>
      </c>
      <c r="AP437" s="4" t="s">
        <v>472</v>
      </c>
      <c r="AQ437" t="s">
        <v>479</v>
      </c>
      <c r="AR437" t="s">
        <v>4589</v>
      </c>
      <c r="AS437" t="s">
        <v>119</v>
      </c>
      <c r="AT437" t="s">
        <v>206</v>
      </c>
      <c r="AU437" t="str">
        <f t="shared" si="163"/>
        <v>[1]</v>
      </c>
      <c r="AV437">
        <f t="shared" si="164"/>
        <v>32</v>
      </c>
      <c r="AW437" t="str">
        <f t="shared" si="166"/>
        <v/>
      </c>
      <c r="AX437">
        <f>SUMIF(AT437:$AT$651,AW437,AV437:$AV$651)</f>
        <v>0</v>
      </c>
    </row>
    <row r="438" spans="1:50" x14ac:dyDescent="0.25">
      <c r="A438" s="4" t="s">
        <v>0</v>
      </c>
      <c r="B438" t="s">
        <v>449</v>
      </c>
      <c r="C438" t="s">
        <v>1492</v>
      </c>
      <c r="D438" t="s">
        <v>1310</v>
      </c>
      <c r="E438" t="s">
        <v>371</v>
      </c>
      <c r="F438" t="str">
        <f t="shared" si="167"/>
        <v>[10]</v>
      </c>
      <c r="G438">
        <f t="shared" si="168"/>
        <v>1772</v>
      </c>
      <c r="H438" t="str">
        <f t="shared" si="169"/>
        <v>tls.o</v>
      </c>
      <c r="I438">
        <f>SUMIF(E438:$E$441,H438,G438:$G$441)</f>
        <v>1772</v>
      </c>
      <c r="K438" s="4" t="s">
        <v>421</v>
      </c>
      <c r="L438" t="s">
        <v>422</v>
      </c>
      <c r="M438" t="s">
        <v>3196</v>
      </c>
      <c r="N438" t="s">
        <v>65</v>
      </c>
      <c r="O438" t="s">
        <v>131</v>
      </c>
      <c r="P438" t="str">
        <f t="shared" si="161"/>
        <v>[1]</v>
      </c>
      <c r="Q438">
        <f t="shared" si="162"/>
        <v>40</v>
      </c>
      <c r="R438" t="str">
        <f t="shared" si="165"/>
        <v/>
      </c>
      <c r="S438">
        <f>SUMIF(O438:$O$2855,R438,Q438:$Q$2855)</f>
        <v>0</v>
      </c>
      <c r="AP438" s="4" t="s">
        <v>472</v>
      </c>
      <c r="AQ438" t="s">
        <v>479</v>
      </c>
      <c r="AR438" t="s">
        <v>4590</v>
      </c>
      <c r="AS438" t="s">
        <v>78</v>
      </c>
      <c r="AT438" t="s">
        <v>206</v>
      </c>
      <c r="AU438" t="str">
        <f t="shared" si="163"/>
        <v>[1]</v>
      </c>
      <c r="AV438">
        <f t="shared" si="164"/>
        <v>4</v>
      </c>
      <c r="AW438" t="str">
        <f t="shared" si="166"/>
        <v/>
      </c>
      <c r="AX438">
        <f>SUMIF(AT438:$AT$651,AW438,AV438:$AV$651)</f>
        <v>0</v>
      </c>
    </row>
    <row r="439" spans="1:50" x14ac:dyDescent="0.25">
      <c r="A439" s="4" t="s">
        <v>0</v>
      </c>
      <c r="B439" t="s">
        <v>449</v>
      </c>
      <c r="C439" t="s">
        <v>1484</v>
      </c>
      <c r="D439" t="s">
        <v>1261</v>
      </c>
      <c r="E439" t="s">
        <v>331</v>
      </c>
      <c r="F439" t="str">
        <f t="shared" si="167"/>
        <v>[10]</v>
      </c>
      <c r="G439">
        <f t="shared" si="168"/>
        <v>192</v>
      </c>
      <c r="H439" t="str">
        <f t="shared" si="169"/>
        <v>wc_port.o</v>
      </c>
      <c r="I439">
        <f>SUMIF(E439:$E$441,H439,G439:$G$441)</f>
        <v>192</v>
      </c>
      <c r="K439" s="4" t="s">
        <v>421</v>
      </c>
      <c r="L439" t="s">
        <v>422</v>
      </c>
      <c r="M439" t="s">
        <v>3197</v>
      </c>
      <c r="N439" t="s">
        <v>65</v>
      </c>
      <c r="O439" t="s">
        <v>131</v>
      </c>
      <c r="P439" t="str">
        <f t="shared" si="161"/>
        <v>[1]</v>
      </c>
      <c r="Q439">
        <f t="shared" si="162"/>
        <v>40</v>
      </c>
      <c r="R439" t="str">
        <f t="shared" si="165"/>
        <v/>
      </c>
      <c r="S439">
        <f>SUMIF(O439:$O$2855,R439,Q439:$Q$2855)</f>
        <v>0</v>
      </c>
      <c r="AP439" s="4" t="s">
        <v>472</v>
      </c>
      <c r="AQ439" t="s">
        <v>479</v>
      </c>
      <c r="AR439" t="s">
        <v>4591</v>
      </c>
      <c r="AS439" t="s">
        <v>78</v>
      </c>
      <c r="AT439" t="s">
        <v>206</v>
      </c>
      <c r="AU439" t="str">
        <f t="shared" si="163"/>
        <v>[1]</v>
      </c>
      <c r="AV439">
        <f t="shared" si="164"/>
        <v>4</v>
      </c>
      <c r="AW439" t="str">
        <f t="shared" si="166"/>
        <v/>
      </c>
      <c r="AX439">
        <f>SUMIF(AT439:$AT$651,AW439,AV439:$AV$651)</f>
        <v>0</v>
      </c>
    </row>
    <row r="440" spans="1:50" x14ac:dyDescent="0.25">
      <c r="A440" s="4" t="s">
        <v>0</v>
      </c>
      <c r="B440" t="s">
        <v>449</v>
      </c>
      <c r="C440" t="s">
        <v>1496</v>
      </c>
      <c r="D440" t="s">
        <v>13</v>
      </c>
      <c r="E440" t="s">
        <v>1276</v>
      </c>
      <c r="F440" t="str">
        <f t="shared" si="167"/>
        <v>[10]</v>
      </c>
      <c r="G440">
        <f>HEX2DEC(MID(D440,3,LEN(D440)-2))</f>
        <v>12</v>
      </c>
      <c r="H440" t="str">
        <f t="shared" si="169"/>
        <v>wolfio.o</v>
      </c>
      <c r="I440">
        <f>SUMIF(E440:$E$441,H440,G440:$G$441)</f>
        <v>12</v>
      </c>
      <c r="K440" s="4" t="s">
        <v>421</v>
      </c>
      <c r="L440" t="s">
        <v>422</v>
      </c>
      <c r="M440" t="s">
        <v>3198</v>
      </c>
      <c r="N440" t="s">
        <v>65</v>
      </c>
      <c r="O440" t="s">
        <v>131</v>
      </c>
      <c r="P440" t="str">
        <f t="shared" si="161"/>
        <v>[1]</v>
      </c>
      <c r="Q440">
        <f t="shared" si="162"/>
        <v>40</v>
      </c>
      <c r="R440" t="str">
        <f t="shared" si="165"/>
        <v/>
      </c>
      <c r="S440">
        <f>SUMIF(O440:$O$2855,R440,Q440:$Q$2855)</f>
        <v>0</v>
      </c>
      <c r="AP440" s="4" t="s">
        <v>472</v>
      </c>
      <c r="AQ440" t="s">
        <v>479</v>
      </c>
      <c r="AR440" t="s">
        <v>4634</v>
      </c>
      <c r="AS440" t="s">
        <v>442</v>
      </c>
      <c r="AT440" t="s">
        <v>206</v>
      </c>
      <c r="AU440" t="str">
        <f t="shared" si="163"/>
        <v>[1]</v>
      </c>
      <c r="AV440">
        <f t="shared" si="164"/>
        <v>1</v>
      </c>
      <c r="AW440" t="str">
        <f t="shared" si="166"/>
        <v/>
      </c>
      <c r="AX440">
        <f>SUMIF(AT440:$AT$651,AW440,AV440:$AV$651)</f>
        <v>0</v>
      </c>
    </row>
    <row r="441" spans="1:50" x14ac:dyDescent="0.25">
      <c r="A441" s="4" t="s">
        <v>0</v>
      </c>
      <c r="B441" t="s">
        <v>449</v>
      </c>
      <c r="C441" t="s">
        <v>1481</v>
      </c>
      <c r="D441" t="s">
        <v>26</v>
      </c>
      <c r="E441" t="s">
        <v>1274</v>
      </c>
      <c r="F441" t="str">
        <f t="shared" si="167"/>
        <v>[10]</v>
      </c>
      <c r="G441">
        <f t="shared" si="168"/>
        <v>30</v>
      </c>
      <c r="H441" t="str">
        <f t="shared" si="169"/>
        <v>wolfmath.o</v>
      </c>
      <c r="I441">
        <f>SUMIF(E441:$E$441,H441,G441:$G$441)</f>
        <v>30</v>
      </c>
      <c r="K441" s="4" t="s">
        <v>421</v>
      </c>
      <c r="L441" t="s">
        <v>422</v>
      </c>
      <c r="M441" t="s">
        <v>3199</v>
      </c>
      <c r="N441" t="s">
        <v>65</v>
      </c>
      <c r="O441" t="s">
        <v>131</v>
      </c>
      <c r="P441" t="str">
        <f t="shared" si="161"/>
        <v>[1]</v>
      </c>
      <c r="Q441">
        <f t="shared" si="162"/>
        <v>40</v>
      </c>
      <c r="R441" t="str">
        <f t="shared" si="165"/>
        <v/>
      </c>
      <c r="S441">
        <f>SUMIF(O441:$O$2855,R441,Q441:$Q$2855)</f>
        <v>0</v>
      </c>
      <c r="AP441" s="4" t="s">
        <v>472</v>
      </c>
      <c r="AQ441" t="s">
        <v>479</v>
      </c>
      <c r="AR441" t="s">
        <v>4635</v>
      </c>
      <c r="AS441" t="s">
        <v>442</v>
      </c>
      <c r="AT441" t="s">
        <v>206</v>
      </c>
      <c r="AU441" t="str">
        <f t="shared" si="163"/>
        <v>[1]</v>
      </c>
      <c r="AV441">
        <f t="shared" si="164"/>
        <v>1</v>
      </c>
      <c r="AW441" t="str">
        <f t="shared" si="166"/>
        <v/>
      </c>
      <c r="AX441">
        <f>SUMIF(AT441:$AT$651,AW441,AV441:$AV$651)</f>
        <v>0</v>
      </c>
    </row>
    <row r="442" spans="1:50" x14ac:dyDescent="0.25">
      <c r="G442">
        <f>SUM(G418:G441)</f>
        <v>118374</v>
      </c>
      <c r="H442" t="s">
        <v>784</v>
      </c>
      <c r="I442">
        <f>SUM(I418:I441)</f>
        <v>118374</v>
      </c>
      <c r="K442" s="4" t="s">
        <v>421</v>
      </c>
      <c r="L442" t="s">
        <v>422</v>
      </c>
      <c r="M442" t="s">
        <v>3200</v>
      </c>
      <c r="N442" t="s">
        <v>237</v>
      </c>
      <c r="O442" t="s">
        <v>131</v>
      </c>
      <c r="P442" t="str">
        <f t="shared" si="161"/>
        <v>[1]</v>
      </c>
      <c r="Q442">
        <f t="shared" si="162"/>
        <v>52</v>
      </c>
      <c r="R442" t="str">
        <f t="shared" si="165"/>
        <v/>
      </c>
      <c r="S442">
        <f>SUMIF(O442:$O$2855,R442,Q442:$Q$2855)</f>
        <v>0</v>
      </c>
      <c r="AP442" s="4" t="s">
        <v>472</v>
      </c>
      <c r="AQ442" t="s">
        <v>479</v>
      </c>
      <c r="AR442" t="s">
        <v>4592</v>
      </c>
      <c r="AS442" t="s">
        <v>67</v>
      </c>
      <c r="AT442" t="s">
        <v>1038</v>
      </c>
      <c r="AU442" t="str">
        <f t="shared" si="163"/>
        <v>[1]</v>
      </c>
      <c r="AV442">
        <f t="shared" si="164"/>
        <v>48</v>
      </c>
      <c r="AW442" t="str">
        <f t="shared" si="166"/>
        <v>time_sync.o</v>
      </c>
      <c r="AX442">
        <f>SUMIF(AT442:$AT$651,AW442,AV442:$AV$651)</f>
        <v>77</v>
      </c>
    </row>
    <row r="443" spans="1:50" x14ac:dyDescent="0.25">
      <c r="G443" t="str">
        <f>DEC2HEX(G442)</f>
        <v>1CE66</v>
      </c>
      <c r="K443" s="4" t="s">
        <v>421</v>
      </c>
      <c r="L443" t="s">
        <v>422</v>
      </c>
      <c r="M443" t="s">
        <v>3201</v>
      </c>
      <c r="N443" t="s">
        <v>190</v>
      </c>
      <c r="O443" t="s">
        <v>131</v>
      </c>
      <c r="P443" t="str">
        <f t="shared" si="161"/>
        <v>[1]</v>
      </c>
      <c r="Q443">
        <f t="shared" si="162"/>
        <v>56</v>
      </c>
      <c r="R443" t="str">
        <f t="shared" si="165"/>
        <v/>
      </c>
      <c r="S443">
        <f>SUMIF(O443:$O$2855,R443,Q443:$Q$2855)</f>
        <v>0</v>
      </c>
      <c r="AP443" s="4" t="s">
        <v>472</v>
      </c>
      <c r="AQ443" t="s">
        <v>479</v>
      </c>
      <c r="AR443" t="s">
        <v>4593</v>
      </c>
      <c r="AS443" t="s">
        <v>13</v>
      </c>
      <c r="AT443" t="s">
        <v>1038</v>
      </c>
      <c r="AU443" t="str">
        <f t="shared" si="163"/>
        <v>[1]</v>
      </c>
      <c r="AV443">
        <f t="shared" si="164"/>
        <v>12</v>
      </c>
      <c r="AW443" t="str">
        <f t="shared" si="166"/>
        <v/>
      </c>
      <c r="AX443">
        <f>SUMIF(AT443:$AT$651,AW443,AV443:$AV$651)</f>
        <v>0</v>
      </c>
    </row>
    <row r="444" spans="1:50" x14ac:dyDescent="0.25">
      <c r="K444" s="4" t="s">
        <v>421</v>
      </c>
      <c r="L444" t="s">
        <v>422</v>
      </c>
      <c r="M444" t="s">
        <v>3202</v>
      </c>
      <c r="N444" t="s">
        <v>190</v>
      </c>
      <c r="O444" t="s">
        <v>131</v>
      </c>
      <c r="P444" t="str">
        <f t="shared" si="161"/>
        <v>[1]</v>
      </c>
      <c r="Q444">
        <f t="shared" si="162"/>
        <v>56</v>
      </c>
      <c r="R444" t="str">
        <f t="shared" si="165"/>
        <v/>
      </c>
      <c r="S444">
        <f>SUMIF(O444:$O$2855,R444,Q444:$Q$2855)</f>
        <v>0</v>
      </c>
      <c r="AP444" s="4" t="s">
        <v>472</v>
      </c>
      <c r="AQ444" t="s">
        <v>479</v>
      </c>
      <c r="AR444" t="s">
        <v>4594</v>
      </c>
      <c r="AS444" t="s">
        <v>202</v>
      </c>
      <c r="AT444" t="s">
        <v>1038</v>
      </c>
      <c r="AU444" t="str">
        <f t="shared" si="163"/>
        <v>[1]</v>
      </c>
      <c r="AV444">
        <f t="shared" si="164"/>
        <v>16</v>
      </c>
      <c r="AW444" t="str">
        <f t="shared" si="166"/>
        <v/>
      </c>
      <c r="AX444">
        <f>SUMIF(AT444:$AT$651,AW444,AV444:$AV$651)</f>
        <v>0</v>
      </c>
    </row>
    <row r="445" spans="1:50" x14ac:dyDescent="0.25">
      <c r="A445" s="50" t="s">
        <v>540</v>
      </c>
      <c r="B445" s="50"/>
      <c r="C445" s="50"/>
      <c r="D445" s="50"/>
      <c r="E445" s="50"/>
      <c r="F445" s="50"/>
      <c r="G445" s="50"/>
      <c r="H445" s="50"/>
      <c r="I445" s="50"/>
      <c r="K445" s="4" t="s">
        <v>421</v>
      </c>
      <c r="L445" t="s">
        <v>422</v>
      </c>
      <c r="M445" t="s">
        <v>3203</v>
      </c>
      <c r="N445" t="s">
        <v>200</v>
      </c>
      <c r="O445" t="s">
        <v>131</v>
      </c>
      <c r="P445" t="str">
        <f t="shared" si="161"/>
        <v>[1]</v>
      </c>
      <c r="Q445">
        <f t="shared" si="162"/>
        <v>108</v>
      </c>
      <c r="R445" t="str">
        <f t="shared" si="165"/>
        <v/>
      </c>
      <c r="S445">
        <f>SUMIF(O445:$O$2855,R445,Q445:$Q$2855)</f>
        <v>0</v>
      </c>
      <c r="AP445" s="4" t="s">
        <v>472</v>
      </c>
      <c r="AQ445" t="s">
        <v>479</v>
      </c>
      <c r="AR445" t="s">
        <v>4636</v>
      </c>
      <c r="AS445" t="s">
        <v>442</v>
      </c>
      <c r="AT445" t="s">
        <v>1038</v>
      </c>
      <c r="AU445" t="str">
        <f t="shared" si="163"/>
        <v>[1]</v>
      </c>
      <c r="AV445">
        <f t="shared" si="164"/>
        <v>1</v>
      </c>
      <c r="AW445" t="str">
        <f t="shared" si="166"/>
        <v/>
      </c>
      <c r="AX445">
        <f>SUMIF(AT445:$AT$651,AW445,AV445:$AV$651)</f>
        <v>0</v>
      </c>
    </row>
    <row r="446" spans="1:50" x14ac:dyDescent="0.25">
      <c r="A446" s="4" t="s">
        <v>419</v>
      </c>
      <c r="B446" t="s">
        <v>449</v>
      </c>
      <c r="C446" t="s">
        <v>1438</v>
      </c>
      <c r="D446" t="s">
        <v>1260</v>
      </c>
      <c r="E446" t="s">
        <v>420</v>
      </c>
      <c r="F446" t="str">
        <f>VLOOKUP($A$445,$E$1:$F$26,2,FALSE)</f>
        <v>[7]</v>
      </c>
      <c r="G446">
        <f>HEX2DEC(MID(D446,3,LEN(D446)-2))</f>
        <v>832</v>
      </c>
      <c r="H446" t="str">
        <f>IF(E446&lt;&gt;E445,E446,"")</f>
        <v>dispatch.o</v>
      </c>
      <c r="I446">
        <f>SUMIF(E446:$E$446,H446,G446:$G$446)</f>
        <v>832</v>
      </c>
      <c r="K446" s="4" t="s">
        <v>421</v>
      </c>
      <c r="L446" t="s">
        <v>422</v>
      </c>
      <c r="M446" t="s">
        <v>3204</v>
      </c>
      <c r="N446" t="s">
        <v>435</v>
      </c>
      <c r="O446" t="s">
        <v>131</v>
      </c>
      <c r="P446" t="str">
        <f t="shared" si="161"/>
        <v>[1]</v>
      </c>
      <c r="Q446">
        <f t="shared" si="162"/>
        <v>60</v>
      </c>
      <c r="R446" t="str">
        <f t="shared" si="165"/>
        <v/>
      </c>
      <c r="S446">
        <f>SUMIF(O446:$O$2855,R446,Q446:$Q$2855)</f>
        <v>0</v>
      </c>
      <c r="AP446" s="4" t="s">
        <v>472</v>
      </c>
      <c r="AQ446" t="s">
        <v>479</v>
      </c>
      <c r="AR446" t="s">
        <v>4516</v>
      </c>
      <c r="AS446" t="s">
        <v>480</v>
      </c>
      <c r="AT446" t="s">
        <v>162</v>
      </c>
      <c r="AU446" t="str">
        <f t="shared" si="163"/>
        <v>[1]</v>
      </c>
      <c r="AV446">
        <f t="shared" si="164"/>
        <v>640</v>
      </c>
      <c r="AW446" t="str">
        <f t="shared" si="166"/>
        <v>time_sys.o</v>
      </c>
      <c r="AX446">
        <f>SUMIF(AT446:$AT$651,AW446,AV446:$AV$651)</f>
        <v>816</v>
      </c>
    </row>
    <row r="447" spans="1:50" x14ac:dyDescent="0.25">
      <c r="A447" t="s">
        <v>818</v>
      </c>
      <c r="B447" t="str">
        <f ca="1">CELL("address",I447)</f>
        <v>$I$447</v>
      </c>
      <c r="G447">
        <f>SUM(G446)</f>
        <v>832</v>
      </c>
      <c r="H447" t="s">
        <v>678</v>
      </c>
      <c r="I447">
        <f>SUM(I446)</f>
        <v>832</v>
      </c>
      <c r="K447" s="4" t="s">
        <v>421</v>
      </c>
      <c r="L447" t="s">
        <v>422</v>
      </c>
      <c r="M447" t="s">
        <v>3205</v>
      </c>
      <c r="N447" t="s">
        <v>126</v>
      </c>
      <c r="O447" t="s">
        <v>131</v>
      </c>
      <c r="P447" t="str">
        <f t="shared" si="161"/>
        <v>[1]</v>
      </c>
      <c r="Q447">
        <f t="shared" si="162"/>
        <v>8</v>
      </c>
      <c r="R447" t="str">
        <f t="shared" si="165"/>
        <v/>
      </c>
      <c r="S447">
        <f>SUMIF(O447:$O$2855,R447,Q447:$Q$2855)</f>
        <v>0</v>
      </c>
      <c r="AP447" s="4" t="s">
        <v>472</v>
      </c>
      <c r="AQ447" t="s">
        <v>479</v>
      </c>
      <c r="AR447" t="s">
        <v>4595</v>
      </c>
      <c r="AS447" t="s">
        <v>13</v>
      </c>
      <c r="AT447" t="s">
        <v>162</v>
      </c>
      <c r="AU447" t="str">
        <f t="shared" si="163"/>
        <v>[1]</v>
      </c>
      <c r="AV447">
        <f t="shared" si="164"/>
        <v>12</v>
      </c>
      <c r="AW447" t="str">
        <f t="shared" si="166"/>
        <v/>
      </c>
      <c r="AX447">
        <f>SUMIF(AT447:$AT$651,AW447,AV447:$AV$651)</f>
        <v>0</v>
      </c>
    </row>
    <row r="448" spans="1:50" x14ac:dyDescent="0.25">
      <c r="K448" s="4" t="s">
        <v>421</v>
      </c>
      <c r="L448" t="s">
        <v>422</v>
      </c>
      <c r="M448" t="s">
        <v>3206</v>
      </c>
      <c r="N448" t="s">
        <v>126</v>
      </c>
      <c r="O448" t="s">
        <v>131</v>
      </c>
      <c r="P448" t="str">
        <f t="shared" si="161"/>
        <v>[1]</v>
      </c>
      <c r="Q448">
        <f t="shared" si="162"/>
        <v>8</v>
      </c>
      <c r="R448" t="str">
        <f t="shared" si="165"/>
        <v/>
      </c>
      <c r="S448">
        <f>SUMIF(O448:$O$2855,R448,Q448:$Q$2855)</f>
        <v>0</v>
      </c>
      <c r="AP448" s="4" t="s">
        <v>472</v>
      </c>
      <c r="AQ448" t="s">
        <v>479</v>
      </c>
      <c r="AR448" t="s">
        <v>4596</v>
      </c>
      <c r="AS448" t="s">
        <v>202</v>
      </c>
      <c r="AT448" t="s">
        <v>162</v>
      </c>
      <c r="AU448" t="str">
        <f t="shared" si="163"/>
        <v>[1]</v>
      </c>
      <c r="AV448">
        <f t="shared" si="164"/>
        <v>16</v>
      </c>
      <c r="AW448" t="str">
        <f t="shared" si="166"/>
        <v/>
      </c>
      <c r="AX448">
        <f>SUMIF(AT448:$AT$651,AW448,AV448:$AV$651)</f>
        <v>0</v>
      </c>
    </row>
    <row r="449" spans="1:50" x14ac:dyDescent="0.25">
      <c r="A449" t="s">
        <v>819</v>
      </c>
      <c r="B449" t="str">
        <f ca="1">CELL("address",H451)</f>
        <v>$H$451</v>
      </c>
      <c r="K449" s="4" t="s">
        <v>421</v>
      </c>
      <c r="L449" t="s">
        <v>422</v>
      </c>
      <c r="M449" t="s">
        <v>3207</v>
      </c>
      <c r="N449" t="s">
        <v>13</v>
      </c>
      <c r="O449" t="s">
        <v>131</v>
      </c>
      <c r="P449" t="str">
        <f t="shared" si="161"/>
        <v>[1]</v>
      </c>
      <c r="Q449">
        <f t="shared" si="162"/>
        <v>12</v>
      </c>
      <c r="R449" t="str">
        <f t="shared" si="165"/>
        <v/>
      </c>
      <c r="S449">
        <f>SUMIF(O449:$O$2855,R449,Q449:$Q$2855)</f>
        <v>0</v>
      </c>
      <c r="AP449" s="4" t="s">
        <v>472</v>
      </c>
      <c r="AQ449" t="s">
        <v>479</v>
      </c>
      <c r="AR449" t="s">
        <v>4597</v>
      </c>
      <c r="AS449" t="s">
        <v>202</v>
      </c>
      <c r="AT449" t="s">
        <v>162</v>
      </c>
      <c r="AU449" t="str">
        <f t="shared" si="163"/>
        <v>[1]</v>
      </c>
      <c r="AV449">
        <f t="shared" si="164"/>
        <v>16</v>
      </c>
      <c r="AW449" t="str">
        <f t="shared" si="166"/>
        <v/>
      </c>
      <c r="AX449">
        <f>SUMIF(AT449:$AT$651,AW449,AV449:$AV$651)</f>
        <v>0</v>
      </c>
    </row>
    <row r="450" spans="1:50" x14ac:dyDescent="0.25">
      <c r="A450" s="47" t="s">
        <v>802</v>
      </c>
      <c r="B450" s="47"/>
      <c r="C450" s="47"/>
      <c r="D450" s="47"/>
      <c r="E450" s="47"/>
      <c r="F450" s="47"/>
      <c r="G450" s="47"/>
      <c r="H450" s="47"/>
      <c r="I450" s="47"/>
      <c r="K450" s="4" t="s">
        <v>421</v>
      </c>
      <c r="L450" t="s">
        <v>422</v>
      </c>
      <c r="M450" t="s">
        <v>1876</v>
      </c>
      <c r="N450" t="s">
        <v>119</v>
      </c>
      <c r="O450" t="s">
        <v>131</v>
      </c>
      <c r="P450" t="str">
        <f t="shared" ref="P450:P513" si="173">VLOOKUP($K$30,$E$1:$F$26,2,FALSE)</f>
        <v>[1]</v>
      </c>
      <c r="Q450">
        <f t="shared" si="162"/>
        <v>32</v>
      </c>
      <c r="R450" t="str">
        <f t="shared" si="165"/>
        <v/>
      </c>
      <c r="S450">
        <f>SUMIF(O450:$O$2855,R450,Q450:$Q$2855)</f>
        <v>0</v>
      </c>
      <c r="AP450" s="4" t="s">
        <v>472</v>
      </c>
      <c r="AQ450" t="s">
        <v>479</v>
      </c>
      <c r="AR450" t="s">
        <v>4598</v>
      </c>
      <c r="AS450" t="s">
        <v>67</v>
      </c>
      <c r="AT450" t="s">
        <v>162</v>
      </c>
      <c r="AU450" t="str">
        <f t="shared" si="163"/>
        <v>[1]</v>
      </c>
      <c r="AV450">
        <f t="shared" si="164"/>
        <v>48</v>
      </c>
      <c r="AW450" t="str">
        <f t="shared" si="166"/>
        <v/>
      </c>
      <c r="AX450">
        <f>SUMIF(AT450:$AT$651,AW450,AV450:$AV$651)</f>
        <v>0</v>
      </c>
    </row>
    <row r="451" spans="1:50" x14ac:dyDescent="0.25">
      <c r="A451" t="s">
        <v>802</v>
      </c>
      <c r="B451" t="s">
        <v>449</v>
      </c>
      <c r="D451" t="s">
        <v>611</v>
      </c>
      <c r="E451" t="s">
        <v>612</v>
      </c>
      <c r="F451" t="str">
        <f>VLOOKUP(A450,$E$1:$F$26,2,FALSE)</f>
        <v>[3]</v>
      </c>
      <c r="G451">
        <f>HEX2DEC(MID(D451,3,LEN(D451)-2))</f>
        <v>0</v>
      </c>
      <c r="H451" t="str">
        <f>IF(E451&lt;&gt;E450,E451,"")</f>
        <v>placeholder</v>
      </c>
      <c r="I451">
        <f>SUMIF(E451:$E$451,H451,G451:$G$451)</f>
        <v>0</v>
      </c>
      <c r="K451" s="4" t="s">
        <v>421</v>
      </c>
      <c r="L451" t="s">
        <v>422</v>
      </c>
      <c r="M451" t="s">
        <v>3208</v>
      </c>
      <c r="N451" t="s">
        <v>435</v>
      </c>
      <c r="O451" t="s">
        <v>131</v>
      </c>
      <c r="P451" t="str">
        <f t="shared" si="173"/>
        <v>[1]</v>
      </c>
      <c r="Q451">
        <f t="shared" ref="Q451:Q514" si="174">HEX2DEC(MID(N451,3,LEN(N451)-2))</f>
        <v>60</v>
      </c>
      <c r="R451" t="str">
        <f t="shared" si="165"/>
        <v/>
      </c>
      <c r="S451">
        <f>SUMIF(O451:$O$2855,R451,Q451:$Q$2855)</f>
        <v>0</v>
      </c>
      <c r="AP451" s="4" t="s">
        <v>472</v>
      </c>
      <c r="AQ451" t="s">
        <v>479</v>
      </c>
      <c r="AR451" t="s">
        <v>4599</v>
      </c>
      <c r="AS451" t="s">
        <v>6</v>
      </c>
      <c r="AT451" t="s">
        <v>162</v>
      </c>
      <c r="AU451" t="str">
        <f t="shared" si="163"/>
        <v>[1]</v>
      </c>
      <c r="AV451">
        <f t="shared" si="164"/>
        <v>28</v>
      </c>
      <c r="AW451" t="str">
        <f t="shared" si="166"/>
        <v/>
      </c>
      <c r="AX451">
        <f>SUMIF(AT451:$AT$651,AW451,AV451:$AV$651)</f>
        <v>0</v>
      </c>
    </row>
    <row r="452" spans="1:50" x14ac:dyDescent="0.25">
      <c r="A452" t="s">
        <v>820</v>
      </c>
      <c r="B452" t="str">
        <f ca="1">CELL("address",I452)</f>
        <v>$I$452</v>
      </c>
      <c r="G452">
        <f>SUM(G451)</f>
        <v>0</v>
      </c>
      <c r="H452" t="s">
        <v>803</v>
      </c>
      <c r="I452">
        <f>SUM(I451)</f>
        <v>0</v>
      </c>
      <c r="K452" s="4" t="s">
        <v>421</v>
      </c>
      <c r="L452" t="s">
        <v>422</v>
      </c>
      <c r="M452" t="s">
        <v>3209</v>
      </c>
      <c r="N452" t="s">
        <v>89</v>
      </c>
      <c r="O452" t="s">
        <v>131</v>
      </c>
      <c r="P452" t="str">
        <f t="shared" si="173"/>
        <v>[1]</v>
      </c>
      <c r="Q452">
        <f t="shared" si="174"/>
        <v>76</v>
      </c>
      <c r="R452" t="str">
        <f t="shared" si="165"/>
        <v/>
      </c>
      <c r="S452">
        <f>SUMIF(O452:$O$2855,R452,Q452:$Q$2855)</f>
        <v>0</v>
      </c>
      <c r="AP452" s="4" t="s">
        <v>472</v>
      </c>
      <c r="AQ452" t="s">
        <v>479</v>
      </c>
      <c r="AR452" t="s">
        <v>4600</v>
      </c>
      <c r="AS452" t="s">
        <v>165</v>
      </c>
      <c r="AT452" t="s">
        <v>162</v>
      </c>
      <c r="AU452" t="str">
        <f t="shared" si="163"/>
        <v>[1]</v>
      </c>
      <c r="AV452">
        <f t="shared" si="164"/>
        <v>20</v>
      </c>
      <c r="AW452" t="str">
        <f t="shared" si="166"/>
        <v/>
      </c>
      <c r="AX452">
        <f>SUMIF(AT452:$AT$651,AW452,AV452:$AV$651)</f>
        <v>0</v>
      </c>
    </row>
    <row r="453" spans="1:50" x14ac:dyDescent="0.25">
      <c r="K453" s="4" t="s">
        <v>421</v>
      </c>
      <c r="L453" t="s">
        <v>422</v>
      </c>
      <c r="M453" t="s">
        <v>3210</v>
      </c>
      <c r="N453" t="s">
        <v>63</v>
      </c>
      <c r="O453" t="s">
        <v>131</v>
      </c>
      <c r="P453" t="str">
        <f t="shared" si="173"/>
        <v>[1]</v>
      </c>
      <c r="Q453">
        <f t="shared" si="174"/>
        <v>88</v>
      </c>
      <c r="R453" t="str">
        <f t="shared" si="165"/>
        <v/>
      </c>
      <c r="S453">
        <f>SUMIF(O453:$O$2855,R453,Q453:$Q$2855)</f>
        <v>0</v>
      </c>
      <c r="AP453" s="4" t="s">
        <v>472</v>
      </c>
      <c r="AQ453" t="s">
        <v>479</v>
      </c>
      <c r="AR453" t="s">
        <v>4601</v>
      </c>
      <c r="AS453" t="s">
        <v>13</v>
      </c>
      <c r="AT453" t="s">
        <v>162</v>
      </c>
      <c r="AU453" t="str">
        <f t="shared" si="163"/>
        <v>[1]</v>
      </c>
      <c r="AV453">
        <f t="shared" si="164"/>
        <v>12</v>
      </c>
      <c r="AW453" t="str">
        <f t="shared" si="166"/>
        <v/>
      </c>
      <c r="AX453">
        <f>SUMIF(AT453:$AT$651,AW453,AV453:$AV$651)</f>
        <v>0</v>
      </c>
    </row>
    <row r="454" spans="1:50" x14ac:dyDescent="0.25">
      <c r="K454" s="4" t="s">
        <v>421</v>
      </c>
      <c r="L454" t="s">
        <v>422</v>
      </c>
      <c r="M454" t="s">
        <v>3211</v>
      </c>
      <c r="N454" t="s">
        <v>126</v>
      </c>
      <c r="O454" t="s">
        <v>131</v>
      </c>
      <c r="P454" t="str">
        <f t="shared" si="173"/>
        <v>[1]</v>
      </c>
      <c r="Q454">
        <f t="shared" si="174"/>
        <v>8</v>
      </c>
      <c r="R454" t="str">
        <f t="shared" si="165"/>
        <v/>
      </c>
      <c r="S454">
        <f>SUMIF(O454:$O$2855,R454,Q454:$Q$2855)</f>
        <v>0</v>
      </c>
      <c r="AP454" s="4" t="s">
        <v>472</v>
      </c>
      <c r="AQ454" t="s">
        <v>479</v>
      </c>
      <c r="AR454" t="s">
        <v>4602</v>
      </c>
      <c r="AS454" t="s">
        <v>202</v>
      </c>
      <c r="AT454" t="s">
        <v>162</v>
      </c>
      <c r="AU454" t="str">
        <f t="shared" si="163"/>
        <v>[1]</v>
      </c>
      <c r="AV454">
        <f t="shared" si="164"/>
        <v>16</v>
      </c>
      <c r="AW454" t="str">
        <f t="shared" si="166"/>
        <v/>
      </c>
      <c r="AX454">
        <f>SUMIF(AT454:$AT$651,AW454,AV454:$AV$651)</f>
        <v>0</v>
      </c>
    </row>
    <row r="455" spans="1:50" x14ac:dyDescent="0.25">
      <c r="K455" s="4" t="s">
        <v>421</v>
      </c>
      <c r="L455" t="s">
        <v>422</v>
      </c>
      <c r="M455" t="s">
        <v>3212</v>
      </c>
      <c r="N455" t="s">
        <v>44</v>
      </c>
      <c r="O455" t="s">
        <v>131</v>
      </c>
      <c r="P455" t="str">
        <f t="shared" si="173"/>
        <v>[1]</v>
      </c>
      <c r="Q455">
        <f t="shared" si="174"/>
        <v>44</v>
      </c>
      <c r="R455" t="str">
        <f t="shared" si="165"/>
        <v/>
      </c>
      <c r="S455">
        <f>SUMIF(O455:$O$2855,R455,Q455:$Q$2855)</f>
        <v>0</v>
      </c>
      <c r="AP455" s="4" t="s">
        <v>472</v>
      </c>
      <c r="AQ455" t="s">
        <v>479</v>
      </c>
      <c r="AR455" t="s">
        <v>4603</v>
      </c>
      <c r="AS455" t="s">
        <v>78</v>
      </c>
      <c r="AT455" t="s">
        <v>162</v>
      </c>
      <c r="AU455" t="str">
        <f t="shared" si="163"/>
        <v>[1]</v>
      </c>
      <c r="AV455">
        <f t="shared" si="164"/>
        <v>4</v>
      </c>
      <c r="AW455" t="str">
        <f t="shared" si="166"/>
        <v/>
      </c>
      <c r="AX455">
        <f>SUMIF(AT455:$AT$651,AW455,AV455:$AV$651)</f>
        <v>0</v>
      </c>
    </row>
    <row r="456" spans="1:50" x14ac:dyDescent="0.25">
      <c r="K456" s="4" t="s">
        <v>421</v>
      </c>
      <c r="L456" t="s">
        <v>422</v>
      </c>
      <c r="M456" t="s">
        <v>3213</v>
      </c>
      <c r="N456" t="s">
        <v>126</v>
      </c>
      <c r="O456" t="s">
        <v>131</v>
      </c>
      <c r="P456" t="str">
        <f t="shared" si="173"/>
        <v>[1]</v>
      </c>
      <c r="Q456">
        <f t="shared" si="174"/>
        <v>8</v>
      </c>
      <c r="R456" t="str">
        <f t="shared" si="165"/>
        <v/>
      </c>
      <c r="S456">
        <f>SUMIF(O456:$O$2855,R456,Q456:$Q$2855)</f>
        <v>0</v>
      </c>
      <c r="AP456" s="4" t="s">
        <v>472</v>
      </c>
      <c r="AQ456" t="s">
        <v>479</v>
      </c>
      <c r="AR456" t="s">
        <v>4637</v>
      </c>
      <c r="AS456" t="s">
        <v>442</v>
      </c>
      <c r="AT456" t="s">
        <v>162</v>
      </c>
      <c r="AU456" t="str">
        <f t="shared" si="163"/>
        <v>[1]</v>
      </c>
      <c r="AV456">
        <f t="shared" si="164"/>
        <v>1</v>
      </c>
      <c r="AW456" t="str">
        <f t="shared" si="166"/>
        <v/>
      </c>
      <c r="AX456">
        <f>SUMIF(AT456:$AT$651,AW456,AV456:$AV$651)</f>
        <v>0</v>
      </c>
    </row>
    <row r="457" spans="1:50" x14ac:dyDescent="0.25">
      <c r="K457" s="4" t="s">
        <v>421</v>
      </c>
      <c r="L457" t="s">
        <v>422</v>
      </c>
      <c r="M457" t="s">
        <v>3214</v>
      </c>
      <c r="N457" t="s">
        <v>165</v>
      </c>
      <c r="O457" t="s">
        <v>131</v>
      </c>
      <c r="P457" t="str">
        <f t="shared" si="173"/>
        <v>[1]</v>
      </c>
      <c r="Q457">
        <f t="shared" si="174"/>
        <v>20</v>
      </c>
      <c r="R457" t="str">
        <f t="shared" si="165"/>
        <v/>
      </c>
      <c r="S457">
        <f>SUMIF(O457:$O$2855,R457,Q457:$Q$2855)</f>
        <v>0</v>
      </c>
      <c r="AP457" s="4" t="s">
        <v>472</v>
      </c>
      <c r="AQ457" t="s">
        <v>479</v>
      </c>
      <c r="AR457" t="s">
        <v>4638</v>
      </c>
      <c r="AS457" t="s">
        <v>442</v>
      </c>
      <c r="AT457" t="s">
        <v>162</v>
      </c>
      <c r="AU457" t="str">
        <f t="shared" si="163"/>
        <v>[1]</v>
      </c>
      <c r="AV457">
        <f t="shared" si="164"/>
        <v>1</v>
      </c>
      <c r="AW457" t="str">
        <f t="shared" si="166"/>
        <v/>
      </c>
      <c r="AX457">
        <f>SUMIF(AT457:$AT$651,AW457,AV457:$AV$651)</f>
        <v>0</v>
      </c>
    </row>
    <row r="458" spans="1:50" x14ac:dyDescent="0.25">
      <c r="K458" s="4" t="s">
        <v>421</v>
      </c>
      <c r="L458" t="s">
        <v>422</v>
      </c>
      <c r="M458" t="s">
        <v>3215</v>
      </c>
      <c r="N458" t="s">
        <v>65</v>
      </c>
      <c r="O458" t="s">
        <v>131</v>
      </c>
      <c r="P458" t="str">
        <f t="shared" si="173"/>
        <v>[1]</v>
      </c>
      <c r="Q458">
        <f t="shared" si="174"/>
        <v>40</v>
      </c>
      <c r="R458" t="str">
        <f t="shared" si="165"/>
        <v/>
      </c>
      <c r="S458">
        <f>SUMIF(O458:$O$2855,R458,Q458:$Q$2855)</f>
        <v>0</v>
      </c>
      <c r="AP458" s="4" t="s">
        <v>472</v>
      </c>
      <c r="AQ458" t="s">
        <v>479</v>
      </c>
      <c r="AR458" t="s">
        <v>4639</v>
      </c>
      <c r="AS458" t="s">
        <v>442</v>
      </c>
      <c r="AT458" t="s">
        <v>162</v>
      </c>
      <c r="AU458" t="str">
        <f t="shared" si="163"/>
        <v>[1]</v>
      </c>
      <c r="AV458">
        <f t="shared" si="164"/>
        <v>1</v>
      </c>
      <c r="AW458" t="str">
        <f t="shared" si="166"/>
        <v/>
      </c>
      <c r="AX458">
        <f>SUMIF(AT458:$AT$651,AW458,AV458:$AV$651)</f>
        <v>0</v>
      </c>
    </row>
    <row r="459" spans="1:50" x14ac:dyDescent="0.25">
      <c r="K459" s="4" t="s">
        <v>421</v>
      </c>
      <c r="L459" t="s">
        <v>422</v>
      </c>
      <c r="M459" t="s">
        <v>3216</v>
      </c>
      <c r="N459" t="s">
        <v>126</v>
      </c>
      <c r="O459" t="s">
        <v>131</v>
      </c>
      <c r="P459" t="str">
        <f t="shared" si="173"/>
        <v>[1]</v>
      </c>
      <c r="Q459">
        <f t="shared" si="174"/>
        <v>8</v>
      </c>
      <c r="R459" t="str">
        <f t="shared" si="165"/>
        <v/>
      </c>
      <c r="S459">
        <f>SUMIF(O459:$O$2855,R459,Q459:$Q$2855)</f>
        <v>0</v>
      </c>
      <c r="AP459" s="4" t="s">
        <v>472</v>
      </c>
      <c r="AQ459" t="s">
        <v>479</v>
      </c>
      <c r="AR459" t="s">
        <v>4640</v>
      </c>
      <c r="AS459" t="s">
        <v>442</v>
      </c>
      <c r="AT459" t="s">
        <v>162</v>
      </c>
      <c r="AU459" t="str">
        <f t="shared" ref="AU459:AU522" si="175">VLOOKUP($AP$30,$E$1:$F$26,2,FALSE)</f>
        <v>[1]</v>
      </c>
      <c r="AV459">
        <f t="shared" si="164"/>
        <v>1</v>
      </c>
      <c r="AW459" t="str">
        <f t="shared" si="166"/>
        <v/>
      </c>
      <c r="AX459">
        <f>SUMIF(AT459:$AT$651,AW459,AV459:$AV$651)</f>
        <v>0</v>
      </c>
    </row>
    <row r="460" spans="1:50" x14ac:dyDescent="0.25">
      <c r="K460" s="4" t="s">
        <v>421</v>
      </c>
      <c r="L460" t="s">
        <v>422</v>
      </c>
      <c r="M460" t="s">
        <v>1877</v>
      </c>
      <c r="N460" t="s">
        <v>119</v>
      </c>
      <c r="O460" t="s">
        <v>131</v>
      </c>
      <c r="P460" t="str">
        <f t="shared" si="173"/>
        <v>[1]</v>
      </c>
      <c r="Q460">
        <f t="shared" si="174"/>
        <v>32</v>
      </c>
      <c r="R460" t="str">
        <f t="shared" si="165"/>
        <v/>
      </c>
      <c r="S460">
        <f>SUMIF(O460:$O$2855,R460,Q460:$Q$2855)</f>
        <v>0</v>
      </c>
      <c r="AP460" s="4" t="s">
        <v>472</v>
      </c>
      <c r="AQ460" t="s">
        <v>479</v>
      </c>
      <c r="AR460" t="s">
        <v>1688</v>
      </c>
      <c r="AS460" t="s">
        <v>126</v>
      </c>
      <c r="AT460" t="s">
        <v>130</v>
      </c>
      <c r="AU460" t="str">
        <f t="shared" si="175"/>
        <v>[1]</v>
      </c>
      <c r="AV460">
        <f t="shared" si="164"/>
        <v>8</v>
      </c>
      <c r="AW460" t="str">
        <f t="shared" si="166"/>
        <v>timer_util.o</v>
      </c>
      <c r="AX460">
        <f>SUMIF(AT460:$AT$651,AW460,AV460:$AV$651)</f>
        <v>1849</v>
      </c>
    </row>
    <row r="461" spans="1:50" x14ac:dyDescent="0.25">
      <c r="K461" s="4" t="s">
        <v>421</v>
      </c>
      <c r="L461" t="s">
        <v>422</v>
      </c>
      <c r="M461" t="s">
        <v>3217</v>
      </c>
      <c r="N461" t="s">
        <v>139</v>
      </c>
      <c r="O461" t="s">
        <v>131</v>
      </c>
      <c r="P461" t="str">
        <f t="shared" si="173"/>
        <v>[1]</v>
      </c>
      <c r="Q461">
        <f t="shared" si="174"/>
        <v>96</v>
      </c>
      <c r="R461" t="str">
        <f t="shared" si="165"/>
        <v/>
      </c>
      <c r="S461">
        <f>SUMIF(O461:$O$2855,R461,Q461:$Q$2855)</f>
        <v>0</v>
      </c>
      <c r="AP461" s="4" t="s">
        <v>472</v>
      </c>
      <c r="AQ461" t="s">
        <v>479</v>
      </c>
      <c r="AR461" t="s">
        <v>1557</v>
      </c>
      <c r="AS461" t="s">
        <v>1079</v>
      </c>
      <c r="AT461" t="s">
        <v>130</v>
      </c>
      <c r="AU461" t="str">
        <f t="shared" si="175"/>
        <v>[1]</v>
      </c>
      <c r="AV461">
        <f t="shared" si="164"/>
        <v>1760</v>
      </c>
      <c r="AW461" t="str">
        <f t="shared" si="166"/>
        <v/>
      </c>
      <c r="AX461">
        <f>SUMIF(AT461:$AT$651,AW461,AV461:$AV$651)</f>
        <v>0</v>
      </c>
    </row>
    <row r="462" spans="1:50" x14ac:dyDescent="0.25">
      <c r="K462" s="4" t="s">
        <v>421</v>
      </c>
      <c r="L462" t="s">
        <v>422</v>
      </c>
      <c r="M462" t="s">
        <v>3218</v>
      </c>
      <c r="N462" t="s">
        <v>65</v>
      </c>
      <c r="O462" t="s">
        <v>131</v>
      </c>
      <c r="P462" t="str">
        <f t="shared" si="173"/>
        <v>[1]</v>
      </c>
      <c r="Q462">
        <f t="shared" si="174"/>
        <v>40</v>
      </c>
      <c r="R462" t="str">
        <f t="shared" si="165"/>
        <v/>
      </c>
      <c r="S462">
        <f>SUMIF(O462:$O$2855,R462,Q462:$Q$2855)</f>
        <v>0</v>
      </c>
      <c r="AP462" s="4" t="s">
        <v>472</v>
      </c>
      <c r="AQ462" t="s">
        <v>479</v>
      </c>
      <c r="AR462" t="s">
        <v>1691</v>
      </c>
      <c r="AS462" t="s">
        <v>78</v>
      </c>
      <c r="AT462" t="s">
        <v>130</v>
      </c>
      <c r="AU462" t="str">
        <f t="shared" si="175"/>
        <v>[1]</v>
      </c>
      <c r="AV462">
        <f t="shared" si="164"/>
        <v>4</v>
      </c>
      <c r="AW462" t="str">
        <f t="shared" si="166"/>
        <v/>
      </c>
      <c r="AX462">
        <f>SUMIF(AT462:$AT$651,AW462,AV462:$AV$651)</f>
        <v>0</v>
      </c>
    </row>
    <row r="463" spans="1:50" x14ac:dyDescent="0.25">
      <c r="K463" s="4" t="s">
        <v>421</v>
      </c>
      <c r="L463" t="s">
        <v>422</v>
      </c>
      <c r="M463" t="s">
        <v>3219</v>
      </c>
      <c r="N463" t="s">
        <v>147</v>
      </c>
      <c r="O463" t="s">
        <v>131</v>
      </c>
      <c r="P463" t="str">
        <f t="shared" si="173"/>
        <v>[1]</v>
      </c>
      <c r="Q463">
        <f t="shared" si="174"/>
        <v>72</v>
      </c>
      <c r="R463" t="str">
        <f t="shared" si="165"/>
        <v/>
      </c>
      <c r="S463">
        <f>SUMIF(O463:$O$2855,R463,Q463:$Q$2855)</f>
        <v>0</v>
      </c>
      <c r="AP463" s="4" t="s">
        <v>472</v>
      </c>
      <c r="AQ463" t="s">
        <v>479</v>
      </c>
      <c r="AR463" t="s">
        <v>1692</v>
      </c>
      <c r="AS463" t="s">
        <v>67</v>
      </c>
      <c r="AT463" t="s">
        <v>130</v>
      </c>
      <c r="AU463" t="str">
        <f t="shared" si="175"/>
        <v>[1]</v>
      </c>
      <c r="AV463">
        <f t="shared" si="164"/>
        <v>48</v>
      </c>
      <c r="AW463" t="str">
        <f t="shared" si="166"/>
        <v/>
      </c>
      <c r="AX463">
        <f>SUMIF(AT463:$AT$651,AW463,AV463:$AV$651)</f>
        <v>0</v>
      </c>
    </row>
    <row r="464" spans="1:50" x14ac:dyDescent="0.25">
      <c r="K464" s="4" t="s">
        <v>421</v>
      </c>
      <c r="L464" t="s">
        <v>422</v>
      </c>
      <c r="M464" t="s">
        <v>3220</v>
      </c>
      <c r="N464" t="s">
        <v>437</v>
      </c>
      <c r="O464" t="s">
        <v>131</v>
      </c>
      <c r="P464" t="str">
        <f t="shared" si="173"/>
        <v>[1]</v>
      </c>
      <c r="Q464">
        <f t="shared" si="174"/>
        <v>24</v>
      </c>
      <c r="R464" t="str">
        <f t="shared" si="165"/>
        <v/>
      </c>
      <c r="S464">
        <f>SUMIF(O464:$O$2855,R464,Q464:$Q$2855)</f>
        <v>0</v>
      </c>
      <c r="AP464" s="4" t="s">
        <v>472</v>
      </c>
      <c r="AQ464" t="s">
        <v>479</v>
      </c>
      <c r="AR464" t="s">
        <v>1693</v>
      </c>
      <c r="AS464" t="s">
        <v>6</v>
      </c>
      <c r="AT464" t="s">
        <v>130</v>
      </c>
      <c r="AU464" t="str">
        <f t="shared" si="175"/>
        <v>[1]</v>
      </c>
      <c r="AV464">
        <f t="shared" ref="AV464:AV498" si="176">HEX2DEC(MID(AS464,3,LEN(AS464)-2))</f>
        <v>28</v>
      </c>
      <c r="AW464" t="str">
        <f t="shared" si="166"/>
        <v/>
      </c>
      <c r="AX464">
        <f>SUMIF(AT464:$AT$651,AW464,AV464:$AV$651)</f>
        <v>0</v>
      </c>
    </row>
    <row r="465" spans="11:50" x14ac:dyDescent="0.25">
      <c r="K465" s="4" t="s">
        <v>421</v>
      </c>
      <c r="L465" t="s">
        <v>422</v>
      </c>
      <c r="M465" t="s">
        <v>3221</v>
      </c>
      <c r="N465" t="s">
        <v>435</v>
      </c>
      <c r="O465" t="s">
        <v>131</v>
      </c>
      <c r="P465" t="str">
        <f t="shared" si="173"/>
        <v>[1]</v>
      </c>
      <c r="Q465">
        <f t="shared" si="174"/>
        <v>60</v>
      </c>
      <c r="R465" t="str">
        <f t="shared" si="165"/>
        <v/>
      </c>
      <c r="S465">
        <f>SUMIF(O465:$O$2855,R465,Q465:$Q$2855)</f>
        <v>0</v>
      </c>
      <c r="AP465" s="4" t="s">
        <v>472</v>
      </c>
      <c r="AQ465" t="s">
        <v>479</v>
      </c>
      <c r="AR465" t="s">
        <v>1695</v>
      </c>
      <c r="AS465" t="s">
        <v>442</v>
      </c>
      <c r="AT465" t="s">
        <v>130</v>
      </c>
      <c r="AU465" t="str">
        <f t="shared" si="175"/>
        <v>[1]</v>
      </c>
      <c r="AV465">
        <f t="shared" si="176"/>
        <v>1</v>
      </c>
      <c r="AW465" t="str">
        <f t="shared" si="166"/>
        <v/>
      </c>
      <c r="AX465">
        <f>SUMIF(AT465:$AT$651,AW465,AV465:$AV$651)</f>
        <v>0</v>
      </c>
    </row>
    <row r="466" spans="11:50" x14ac:dyDescent="0.25">
      <c r="K466" s="4" t="s">
        <v>421</v>
      </c>
      <c r="L466" t="s">
        <v>422</v>
      </c>
      <c r="M466" t="s">
        <v>3222</v>
      </c>
      <c r="N466" t="s">
        <v>437</v>
      </c>
      <c r="O466" t="s">
        <v>131</v>
      </c>
      <c r="P466" t="str">
        <f t="shared" si="173"/>
        <v>[1]</v>
      </c>
      <c r="Q466">
        <f t="shared" si="174"/>
        <v>24</v>
      </c>
      <c r="R466" t="str">
        <f t="shared" si="165"/>
        <v/>
      </c>
      <c r="S466">
        <f>SUMIF(O466:$O$2855,R466,Q466:$Q$2855)</f>
        <v>0</v>
      </c>
      <c r="AP466" s="4" t="s">
        <v>472</v>
      </c>
      <c r="AQ466" t="s">
        <v>479</v>
      </c>
      <c r="AR466" t="s">
        <v>4649</v>
      </c>
      <c r="AS466" t="s">
        <v>65</v>
      </c>
      <c r="AT466" t="s">
        <v>1137</v>
      </c>
      <c r="AU466" t="str">
        <f t="shared" si="175"/>
        <v>[1]</v>
      </c>
      <c r="AV466">
        <f t="shared" si="176"/>
        <v>40</v>
      </c>
      <c r="AW466" t="str">
        <f t="shared" si="166"/>
        <v>TUNNEL_MSG_Handler.o</v>
      </c>
      <c r="AX466">
        <f>SUMIF(AT466:$AT$651,AW466,AV466:$AV$651)</f>
        <v>41</v>
      </c>
    </row>
    <row r="467" spans="11:50" x14ac:dyDescent="0.25">
      <c r="K467" s="4" t="s">
        <v>421</v>
      </c>
      <c r="L467" t="s">
        <v>422</v>
      </c>
      <c r="M467" t="s">
        <v>3223</v>
      </c>
      <c r="N467" t="s">
        <v>147</v>
      </c>
      <c r="O467" t="s">
        <v>131</v>
      </c>
      <c r="P467" t="str">
        <f t="shared" si="173"/>
        <v>[1]</v>
      </c>
      <c r="Q467">
        <f t="shared" si="174"/>
        <v>72</v>
      </c>
      <c r="R467" t="str">
        <f t="shared" si="165"/>
        <v/>
      </c>
      <c r="S467">
        <f>SUMIF(O467:$O$2855,R467,Q467:$Q$2855)</f>
        <v>0</v>
      </c>
      <c r="AP467" s="4" t="s">
        <v>472</v>
      </c>
      <c r="AQ467" t="s">
        <v>479</v>
      </c>
      <c r="AR467" t="s">
        <v>4659</v>
      </c>
      <c r="AS467" t="s">
        <v>442</v>
      </c>
      <c r="AT467" t="s">
        <v>1137</v>
      </c>
      <c r="AU467" t="str">
        <f t="shared" si="175"/>
        <v>[1]</v>
      </c>
      <c r="AV467">
        <f t="shared" si="176"/>
        <v>1</v>
      </c>
      <c r="AW467" t="str">
        <f t="shared" si="166"/>
        <v/>
      </c>
      <c r="AX467">
        <f>SUMIF(AT467:$AT$651,AW467,AV467:$AV$651)</f>
        <v>0</v>
      </c>
    </row>
    <row r="468" spans="11:50" x14ac:dyDescent="0.25">
      <c r="K468" s="4" t="s">
        <v>421</v>
      </c>
      <c r="L468" t="s">
        <v>422</v>
      </c>
      <c r="M468" t="s">
        <v>3224</v>
      </c>
      <c r="N468" t="s">
        <v>435</v>
      </c>
      <c r="O468" t="s">
        <v>131</v>
      </c>
      <c r="P468" t="str">
        <f t="shared" si="173"/>
        <v>[1]</v>
      </c>
      <c r="Q468">
        <f t="shared" si="174"/>
        <v>60</v>
      </c>
      <c r="R468" t="str">
        <f t="shared" si="165"/>
        <v/>
      </c>
      <c r="S468">
        <f>SUMIF(O468:$O$2855,R468,Q468:$Q$2855)</f>
        <v>0</v>
      </c>
      <c r="AP468" s="4" t="s">
        <v>472</v>
      </c>
      <c r="AQ468" t="s">
        <v>479</v>
      </c>
      <c r="AR468" t="s">
        <v>4509</v>
      </c>
      <c r="AS468" t="s">
        <v>13</v>
      </c>
      <c r="AT468" t="s">
        <v>336</v>
      </c>
      <c r="AU468" t="str">
        <f t="shared" si="175"/>
        <v>[1]</v>
      </c>
      <c r="AV468">
        <f t="shared" si="176"/>
        <v>12</v>
      </c>
      <c r="AW468" t="str">
        <f t="shared" si="166"/>
        <v>UART.o</v>
      </c>
      <c r="AX468">
        <f>SUMIF(AT468:$AT$651,AW468,AV468:$AV$651)</f>
        <v>12</v>
      </c>
    </row>
    <row r="469" spans="11:50" x14ac:dyDescent="0.25">
      <c r="K469" s="4" t="s">
        <v>421</v>
      </c>
      <c r="L469" t="s">
        <v>422</v>
      </c>
      <c r="M469" t="s">
        <v>3225</v>
      </c>
      <c r="N469" t="s">
        <v>126</v>
      </c>
      <c r="O469" t="s">
        <v>131</v>
      </c>
      <c r="P469" t="str">
        <f t="shared" si="173"/>
        <v>[1]</v>
      </c>
      <c r="Q469">
        <f t="shared" si="174"/>
        <v>8</v>
      </c>
      <c r="R469" t="str">
        <f t="shared" si="165"/>
        <v/>
      </c>
      <c r="S469">
        <f>SUMIF(O469:$O$2855,R469,Q469:$Q$2855)</f>
        <v>0</v>
      </c>
      <c r="AP469" s="4" t="s">
        <v>472</v>
      </c>
      <c r="AQ469" t="s">
        <v>479</v>
      </c>
      <c r="AR469" t="s">
        <v>4688</v>
      </c>
      <c r="AS469" t="s">
        <v>67</v>
      </c>
      <c r="AT469" t="s">
        <v>229</v>
      </c>
      <c r="AU469" t="str">
        <f t="shared" si="175"/>
        <v>[1]</v>
      </c>
      <c r="AV469">
        <f t="shared" si="176"/>
        <v>48</v>
      </c>
      <c r="AW469" t="str">
        <f t="shared" si="166"/>
        <v>version.o</v>
      </c>
      <c r="AX469">
        <f>SUMIF(AT469:$AT$651,AW469,AV469:$AV$651)</f>
        <v>60</v>
      </c>
    </row>
    <row r="470" spans="11:50" x14ac:dyDescent="0.25">
      <c r="K470" s="4" t="s">
        <v>421</v>
      </c>
      <c r="L470" t="s">
        <v>422</v>
      </c>
      <c r="M470" t="s">
        <v>3226</v>
      </c>
      <c r="N470" t="s">
        <v>6</v>
      </c>
      <c r="O470" t="s">
        <v>131</v>
      </c>
      <c r="P470" t="str">
        <f t="shared" si="173"/>
        <v>[1]</v>
      </c>
      <c r="Q470">
        <f t="shared" si="174"/>
        <v>28</v>
      </c>
      <c r="R470" t="str">
        <f t="shared" si="165"/>
        <v/>
      </c>
      <c r="S470">
        <f>SUMIF(O470:$O$2855,R470,Q470:$Q$2855)</f>
        <v>0</v>
      </c>
      <c r="AP470" s="4" t="s">
        <v>472</v>
      </c>
      <c r="AQ470" t="s">
        <v>479</v>
      </c>
      <c r="AR470" t="s">
        <v>4689</v>
      </c>
      <c r="AS470" t="s">
        <v>13</v>
      </c>
      <c r="AT470" t="s">
        <v>229</v>
      </c>
      <c r="AU470" t="str">
        <f t="shared" si="175"/>
        <v>[1]</v>
      </c>
      <c r="AV470">
        <f t="shared" si="176"/>
        <v>12</v>
      </c>
      <c r="AW470" t="str">
        <f t="shared" si="166"/>
        <v/>
      </c>
      <c r="AX470">
        <f>SUMIF(AT470:$AT$651,AW470,AV470:$AV$651)</f>
        <v>0</v>
      </c>
    </row>
    <row r="471" spans="11:50" x14ac:dyDescent="0.25">
      <c r="K471" s="4" t="s">
        <v>421</v>
      </c>
      <c r="L471" t="s">
        <v>422</v>
      </c>
      <c r="M471" t="s">
        <v>3227</v>
      </c>
      <c r="N471" t="s">
        <v>6</v>
      </c>
      <c r="O471" t="s">
        <v>131</v>
      </c>
      <c r="P471" t="str">
        <f t="shared" si="173"/>
        <v>[1]</v>
      </c>
      <c r="Q471">
        <f t="shared" si="174"/>
        <v>28</v>
      </c>
      <c r="R471" t="str">
        <f t="shared" si="165"/>
        <v/>
      </c>
      <c r="S471">
        <f>SUMIF(O471:$O$2855,R471,Q471:$Q$2855)</f>
        <v>0</v>
      </c>
      <c r="AP471" s="4" t="s">
        <v>472</v>
      </c>
      <c r="AQ471" t="s">
        <v>479</v>
      </c>
      <c r="AR471" t="s">
        <v>4604</v>
      </c>
      <c r="AS471" t="s">
        <v>78</v>
      </c>
      <c r="AT471" t="s">
        <v>291</v>
      </c>
      <c r="AU471" t="str">
        <f t="shared" si="175"/>
        <v>[1]</v>
      </c>
      <c r="AV471">
        <f t="shared" si="176"/>
        <v>4</v>
      </c>
      <c r="AW471" t="str">
        <f t="shared" si="166"/>
        <v>virgin_device.o</v>
      </c>
      <c r="AX471">
        <f>SUMIF(AT471:$AT$651,AW471,AV471:$AV$651)</f>
        <v>9</v>
      </c>
    </row>
    <row r="472" spans="11:50" x14ac:dyDescent="0.25">
      <c r="K472" s="4" t="s">
        <v>421</v>
      </c>
      <c r="L472" t="s">
        <v>422</v>
      </c>
      <c r="M472" t="s">
        <v>3228</v>
      </c>
      <c r="N472" t="s">
        <v>126</v>
      </c>
      <c r="O472" t="s">
        <v>131</v>
      </c>
      <c r="P472" t="str">
        <f t="shared" si="173"/>
        <v>[1]</v>
      </c>
      <c r="Q472">
        <f t="shared" si="174"/>
        <v>8</v>
      </c>
      <c r="R472" t="str">
        <f t="shared" si="165"/>
        <v/>
      </c>
      <c r="S472">
        <f>SUMIF(O472:$O$2855,R472,Q472:$Q$2855)</f>
        <v>0</v>
      </c>
      <c r="AP472" s="4" t="s">
        <v>472</v>
      </c>
      <c r="AQ472" t="s">
        <v>479</v>
      </c>
      <c r="AR472" t="s">
        <v>4605</v>
      </c>
      <c r="AS472" t="s">
        <v>78</v>
      </c>
      <c r="AT472" t="s">
        <v>291</v>
      </c>
      <c r="AU472" t="str">
        <f t="shared" si="175"/>
        <v>[1]</v>
      </c>
      <c r="AV472">
        <f t="shared" si="176"/>
        <v>4</v>
      </c>
      <c r="AW472" t="str">
        <f t="shared" si="166"/>
        <v/>
      </c>
      <c r="AX472">
        <f>SUMIF(AT472:$AT$651,AW472,AV472:$AV$651)</f>
        <v>0</v>
      </c>
    </row>
    <row r="473" spans="11:50" x14ac:dyDescent="0.25">
      <c r="K473" s="4" t="s">
        <v>421</v>
      </c>
      <c r="L473" t="s">
        <v>422</v>
      </c>
      <c r="M473" t="s">
        <v>3229</v>
      </c>
      <c r="N473" t="s">
        <v>13</v>
      </c>
      <c r="O473" t="s">
        <v>131</v>
      </c>
      <c r="P473" t="str">
        <f t="shared" si="173"/>
        <v>[1]</v>
      </c>
      <c r="Q473">
        <f t="shared" si="174"/>
        <v>12</v>
      </c>
      <c r="R473" t="str">
        <f t="shared" si="165"/>
        <v/>
      </c>
      <c r="S473">
        <f>SUMIF(O473:$O$2855,R473,Q473:$Q$2855)</f>
        <v>0</v>
      </c>
      <c r="AP473" s="4" t="s">
        <v>472</v>
      </c>
      <c r="AQ473" t="s">
        <v>479</v>
      </c>
      <c r="AR473" t="s">
        <v>4641</v>
      </c>
      <c r="AS473" t="s">
        <v>442</v>
      </c>
      <c r="AT473" t="s">
        <v>291</v>
      </c>
      <c r="AU473" t="str">
        <f t="shared" si="175"/>
        <v>[1]</v>
      </c>
      <c r="AV473">
        <f t="shared" si="176"/>
        <v>1</v>
      </c>
      <c r="AW473" t="str">
        <f t="shared" si="166"/>
        <v/>
      </c>
      <c r="AX473">
        <f>SUMIF(AT473:$AT$651,AW473,AV473:$AV$651)</f>
        <v>0</v>
      </c>
    </row>
    <row r="474" spans="11:50" x14ac:dyDescent="0.25">
      <c r="K474" s="4" t="s">
        <v>421</v>
      </c>
      <c r="L474" t="s">
        <v>422</v>
      </c>
      <c r="M474" t="s">
        <v>3230</v>
      </c>
      <c r="N474" t="s">
        <v>6</v>
      </c>
      <c r="O474" t="s">
        <v>131</v>
      </c>
      <c r="P474" t="str">
        <f t="shared" si="173"/>
        <v>[1]</v>
      </c>
      <c r="Q474">
        <f t="shared" si="174"/>
        <v>28</v>
      </c>
      <c r="R474" t="str">
        <f t="shared" si="165"/>
        <v/>
      </c>
      <c r="S474">
        <f>SUMIF(O474:$O$2855,R474,Q474:$Q$2855)</f>
        <v>0</v>
      </c>
      <c r="AP474" s="4" t="s">
        <v>472</v>
      </c>
      <c r="AQ474" t="s">
        <v>479</v>
      </c>
      <c r="AR474" t="s">
        <v>443</v>
      </c>
      <c r="AS474" t="s">
        <v>443</v>
      </c>
      <c r="AT474" t="s">
        <v>612</v>
      </c>
      <c r="AU474" t="str">
        <f t="shared" si="175"/>
        <v>[1]</v>
      </c>
      <c r="AV474">
        <f t="shared" si="176"/>
        <v>0</v>
      </c>
      <c r="AW474" t="str">
        <f t="shared" si="166"/>
        <v>placeholder</v>
      </c>
      <c r="AX474">
        <f>SUMIF(AT474:$AT$651,AW474,AV474:$AV$651)</f>
        <v>0</v>
      </c>
    </row>
    <row r="475" spans="11:50" x14ac:dyDescent="0.25">
      <c r="K475" s="4" t="s">
        <v>421</v>
      </c>
      <c r="L475" t="s">
        <v>422</v>
      </c>
      <c r="M475" t="s">
        <v>3231</v>
      </c>
      <c r="N475" t="s">
        <v>65</v>
      </c>
      <c r="O475" t="s">
        <v>131</v>
      </c>
      <c r="P475" t="str">
        <f t="shared" si="173"/>
        <v>[1]</v>
      </c>
      <c r="Q475">
        <f t="shared" si="174"/>
        <v>40</v>
      </c>
      <c r="R475" t="str">
        <f t="shared" si="165"/>
        <v/>
      </c>
      <c r="S475">
        <f>SUMIF(O475:$O$2855,R475,Q475:$Q$2855)</f>
        <v>0</v>
      </c>
      <c r="AP475" s="4" t="s">
        <v>472</v>
      </c>
      <c r="AQ475" t="s">
        <v>479</v>
      </c>
      <c r="AR475" t="s">
        <v>443</v>
      </c>
      <c r="AS475" t="s">
        <v>443</v>
      </c>
      <c r="AT475" t="s">
        <v>612</v>
      </c>
      <c r="AU475" t="str">
        <f t="shared" si="175"/>
        <v>[1]</v>
      </c>
      <c r="AV475">
        <f t="shared" si="176"/>
        <v>0</v>
      </c>
      <c r="AW475" t="str">
        <f t="shared" si="166"/>
        <v/>
      </c>
      <c r="AX475">
        <f>SUMIF(AT475:$AT$651,AW475,AV475:$AV$651)</f>
        <v>0</v>
      </c>
    </row>
    <row r="476" spans="11:50" x14ac:dyDescent="0.25">
      <c r="K476" s="4" t="s">
        <v>421</v>
      </c>
      <c r="L476" t="s">
        <v>422</v>
      </c>
      <c r="M476" t="s">
        <v>3232</v>
      </c>
      <c r="N476" t="s">
        <v>6</v>
      </c>
      <c r="O476" t="s">
        <v>131</v>
      </c>
      <c r="P476" t="str">
        <f t="shared" si="173"/>
        <v>[1]</v>
      </c>
      <c r="Q476">
        <f t="shared" si="174"/>
        <v>28</v>
      </c>
      <c r="R476" t="str">
        <f t="shared" si="165"/>
        <v/>
      </c>
      <c r="S476">
        <f>SUMIF(O476:$O$2855,R476,Q476:$Q$2855)</f>
        <v>0</v>
      </c>
      <c r="AP476" s="4" t="s">
        <v>472</v>
      </c>
      <c r="AQ476" t="s">
        <v>479</v>
      </c>
      <c r="AR476" t="s">
        <v>443</v>
      </c>
      <c r="AS476" t="s">
        <v>443</v>
      </c>
      <c r="AT476" t="s">
        <v>612</v>
      </c>
      <c r="AU476" t="str">
        <f t="shared" si="175"/>
        <v>[1]</v>
      </c>
      <c r="AV476">
        <f t="shared" si="176"/>
        <v>0</v>
      </c>
      <c r="AW476" t="str">
        <f t="shared" si="166"/>
        <v/>
      </c>
      <c r="AX476">
        <f>SUMIF(AT476:$AT$651,AW476,AV476:$AV$651)</f>
        <v>0</v>
      </c>
    </row>
    <row r="477" spans="11:50" x14ac:dyDescent="0.25">
      <c r="K477" s="4" t="s">
        <v>421</v>
      </c>
      <c r="L477" t="s">
        <v>422</v>
      </c>
      <c r="M477" t="s">
        <v>3233</v>
      </c>
      <c r="N477" t="s">
        <v>6</v>
      </c>
      <c r="O477" t="s">
        <v>131</v>
      </c>
      <c r="P477" t="str">
        <f t="shared" si="173"/>
        <v>[1]</v>
      </c>
      <c r="Q477">
        <f t="shared" si="174"/>
        <v>28</v>
      </c>
      <c r="R477" t="str">
        <f t="shared" si="165"/>
        <v/>
      </c>
      <c r="S477">
        <f>SUMIF(O477:$O$2855,R477,Q477:$Q$2855)</f>
        <v>0</v>
      </c>
      <c r="AP477" s="4" t="s">
        <v>472</v>
      </c>
      <c r="AQ477" t="s">
        <v>479</v>
      </c>
      <c r="AR477" t="s">
        <v>443</v>
      </c>
      <c r="AS477" t="s">
        <v>443</v>
      </c>
      <c r="AT477" t="s">
        <v>612</v>
      </c>
      <c r="AU477" t="str">
        <f t="shared" si="175"/>
        <v>[1]</v>
      </c>
      <c r="AV477">
        <f t="shared" si="176"/>
        <v>0</v>
      </c>
      <c r="AW477" t="str">
        <f t="shared" si="166"/>
        <v/>
      </c>
      <c r="AX477">
        <f>SUMIF(AT477:$AT$651,AW477,AV477:$AV$651)</f>
        <v>0</v>
      </c>
    </row>
    <row r="478" spans="11:50" x14ac:dyDescent="0.25">
      <c r="K478" s="4" t="s">
        <v>421</v>
      </c>
      <c r="L478" t="s">
        <v>422</v>
      </c>
      <c r="M478" t="s">
        <v>3234</v>
      </c>
      <c r="N478" t="s">
        <v>126</v>
      </c>
      <c r="O478" t="s">
        <v>131</v>
      </c>
      <c r="P478" t="str">
        <f t="shared" si="173"/>
        <v>[1]</v>
      </c>
      <c r="Q478">
        <f t="shared" si="174"/>
        <v>8</v>
      </c>
      <c r="R478" t="str">
        <f t="shared" si="165"/>
        <v/>
      </c>
      <c r="S478">
        <f>SUMIF(O478:$O$2855,R478,Q478:$Q$2855)</f>
        <v>0</v>
      </c>
      <c r="AP478" s="4" t="s">
        <v>472</v>
      </c>
      <c r="AQ478" t="s">
        <v>479</v>
      </c>
      <c r="AR478" t="s">
        <v>443</v>
      </c>
      <c r="AS478" t="s">
        <v>443</v>
      </c>
      <c r="AT478" t="s">
        <v>612</v>
      </c>
      <c r="AU478" t="str">
        <f t="shared" si="175"/>
        <v>[1]</v>
      </c>
      <c r="AV478">
        <f t="shared" si="176"/>
        <v>0</v>
      </c>
      <c r="AW478" t="str">
        <f t="shared" si="166"/>
        <v/>
      </c>
      <c r="AX478">
        <f>SUMIF(AT478:$AT$651,AW478,AV478:$AV$651)</f>
        <v>0</v>
      </c>
    </row>
    <row r="479" spans="11:50" x14ac:dyDescent="0.25">
      <c r="K479" s="4" t="s">
        <v>421</v>
      </c>
      <c r="L479" t="s">
        <v>422</v>
      </c>
      <c r="M479" t="s">
        <v>3235</v>
      </c>
      <c r="N479" t="s">
        <v>13</v>
      </c>
      <c r="O479" t="s">
        <v>131</v>
      </c>
      <c r="P479" t="str">
        <f t="shared" si="173"/>
        <v>[1]</v>
      </c>
      <c r="Q479">
        <f t="shared" si="174"/>
        <v>12</v>
      </c>
      <c r="R479" t="str">
        <f t="shared" si="165"/>
        <v/>
      </c>
      <c r="S479">
        <f>SUMIF(O479:$O$2855,R479,Q479:$Q$2855)</f>
        <v>0</v>
      </c>
      <c r="AP479" s="4" t="s">
        <v>472</v>
      </c>
      <c r="AQ479" t="s">
        <v>479</v>
      </c>
      <c r="AR479" t="s">
        <v>443</v>
      </c>
      <c r="AS479" t="s">
        <v>443</v>
      </c>
      <c r="AT479" t="s">
        <v>612</v>
      </c>
      <c r="AU479" t="str">
        <f t="shared" si="175"/>
        <v>[1]</v>
      </c>
      <c r="AV479">
        <f t="shared" si="176"/>
        <v>0</v>
      </c>
      <c r="AW479" t="str">
        <f t="shared" si="166"/>
        <v/>
      </c>
      <c r="AX479">
        <f>SUMIF(AT479:$AT$651,AW479,AV479:$AV$651)</f>
        <v>0</v>
      </c>
    </row>
    <row r="480" spans="11:50" x14ac:dyDescent="0.25">
      <c r="K480" s="4" t="s">
        <v>421</v>
      </c>
      <c r="L480" t="s">
        <v>422</v>
      </c>
      <c r="M480" t="s">
        <v>3236</v>
      </c>
      <c r="N480" t="s">
        <v>78</v>
      </c>
      <c r="O480" t="s">
        <v>131</v>
      </c>
      <c r="P480" t="str">
        <f t="shared" si="173"/>
        <v>[1]</v>
      </c>
      <c r="Q480">
        <f t="shared" si="174"/>
        <v>4</v>
      </c>
      <c r="R480" t="str">
        <f t="shared" ref="R480:R543" si="177">IF(O480&lt;&gt;O479,O480,"")</f>
        <v/>
      </c>
      <c r="S480">
        <f>SUMIF(O480:$O$2855,R480,Q480:$Q$2855)</f>
        <v>0</v>
      </c>
      <c r="AP480" s="4" t="s">
        <v>472</v>
      </c>
      <c r="AQ480" t="s">
        <v>479</v>
      </c>
      <c r="AR480" t="s">
        <v>443</v>
      </c>
      <c r="AS480" t="s">
        <v>443</v>
      </c>
      <c r="AT480" t="s">
        <v>612</v>
      </c>
      <c r="AU480" t="str">
        <f t="shared" si="175"/>
        <v>[1]</v>
      </c>
      <c r="AV480">
        <f t="shared" si="176"/>
        <v>0</v>
      </c>
      <c r="AW480" t="str">
        <f t="shared" ref="AW480:AW543" si="178">IF(AT480&lt;&gt;AT479,AT480,"")</f>
        <v/>
      </c>
      <c r="AX480">
        <f>SUMIF(AT480:$AT$651,AW480,AV480:$AV$651)</f>
        <v>0</v>
      </c>
    </row>
    <row r="481" spans="11:50" x14ac:dyDescent="0.25">
      <c r="K481" s="4" t="s">
        <v>421</v>
      </c>
      <c r="L481" t="s">
        <v>422</v>
      </c>
      <c r="M481" t="s">
        <v>1878</v>
      </c>
      <c r="N481" t="s">
        <v>119</v>
      </c>
      <c r="O481" t="s">
        <v>131</v>
      </c>
      <c r="P481" t="str">
        <f t="shared" si="173"/>
        <v>[1]</v>
      </c>
      <c r="Q481">
        <f t="shared" si="174"/>
        <v>32</v>
      </c>
      <c r="R481" t="str">
        <f t="shared" si="177"/>
        <v/>
      </c>
      <c r="S481">
        <f>SUMIF(O481:$O$2855,R481,Q481:$Q$2855)</f>
        <v>0</v>
      </c>
      <c r="AP481" s="4" t="s">
        <v>472</v>
      </c>
      <c r="AQ481" t="s">
        <v>479</v>
      </c>
      <c r="AR481" t="s">
        <v>443</v>
      </c>
      <c r="AS481" t="s">
        <v>443</v>
      </c>
      <c r="AT481" t="s">
        <v>612</v>
      </c>
      <c r="AU481" t="str">
        <f t="shared" si="175"/>
        <v>[1]</v>
      </c>
      <c r="AV481">
        <f t="shared" si="176"/>
        <v>0</v>
      </c>
      <c r="AW481" t="str">
        <f t="shared" si="178"/>
        <v/>
      </c>
      <c r="AX481">
        <f>SUMIF(AT481:$AT$651,AW481,AV481:$AV$651)</f>
        <v>0</v>
      </c>
    </row>
    <row r="482" spans="11:50" x14ac:dyDescent="0.25">
      <c r="K482" s="4" t="s">
        <v>421</v>
      </c>
      <c r="L482" t="s">
        <v>422</v>
      </c>
      <c r="M482" t="s">
        <v>3237</v>
      </c>
      <c r="N482" t="s">
        <v>190</v>
      </c>
      <c r="O482" t="s">
        <v>131</v>
      </c>
      <c r="P482" t="str">
        <f t="shared" si="173"/>
        <v>[1]</v>
      </c>
      <c r="Q482">
        <f t="shared" si="174"/>
        <v>56</v>
      </c>
      <c r="R482" t="str">
        <f t="shared" si="177"/>
        <v/>
      </c>
      <c r="S482">
        <f>SUMIF(O482:$O$2855,R482,Q482:$Q$2855)</f>
        <v>0</v>
      </c>
      <c r="AP482" s="4" t="s">
        <v>472</v>
      </c>
      <c r="AQ482" t="s">
        <v>479</v>
      </c>
      <c r="AR482" t="s">
        <v>443</v>
      </c>
      <c r="AS482" t="s">
        <v>443</v>
      </c>
      <c r="AT482" t="s">
        <v>612</v>
      </c>
      <c r="AU482" t="str">
        <f t="shared" si="175"/>
        <v>[1]</v>
      </c>
      <c r="AV482">
        <f t="shared" si="176"/>
        <v>0</v>
      </c>
      <c r="AW482" t="str">
        <f t="shared" si="178"/>
        <v/>
      </c>
      <c r="AX482">
        <f>SUMIF(AT482:$AT$651,AW482,AV482:$AV$651)</f>
        <v>0</v>
      </c>
    </row>
    <row r="483" spans="11:50" x14ac:dyDescent="0.25">
      <c r="K483" s="4" t="s">
        <v>421</v>
      </c>
      <c r="L483" t="s">
        <v>422</v>
      </c>
      <c r="M483" t="s">
        <v>3238</v>
      </c>
      <c r="N483" t="s">
        <v>126</v>
      </c>
      <c r="O483" t="s">
        <v>131</v>
      </c>
      <c r="P483" t="str">
        <f t="shared" si="173"/>
        <v>[1]</v>
      </c>
      <c r="Q483">
        <f t="shared" si="174"/>
        <v>8</v>
      </c>
      <c r="R483" t="str">
        <f t="shared" si="177"/>
        <v/>
      </c>
      <c r="S483">
        <f>SUMIF(O483:$O$2855,R483,Q483:$Q$2855)</f>
        <v>0</v>
      </c>
      <c r="AP483" s="4" t="s">
        <v>472</v>
      </c>
      <c r="AQ483" t="s">
        <v>479</v>
      </c>
      <c r="AR483" t="s">
        <v>443</v>
      </c>
      <c r="AS483" t="s">
        <v>443</v>
      </c>
      <c r="AT483" t="s">
        <v>612</v>
      </c>
      <c r="AU483" t="str">
        <f t="shared" si="175"/>
        <v>[1]</v>
      </c>
      <c r="AV483">
        <f t="shared" si="176"/>
        <v>0</v>
      </c>
      <c r="AW483" t="str">
        <f t="shared" si="178"/>
        <v/>
      </c>
      <c r="AX483">
        <f>SUMIF(AT483:$AT$651,AW483,AV483:$AV$651)</f>
        <v>0</v>
      </c>
    </row>
    <row r="484" spans="11:50" x14ac:dyDescent="0.25">
      <c r="K484" s="4" t="s">
        <v>421</v>
      </c>
      <c r="L484" t="s">
        <v>422</v>
      </c>
      <c r="M484" t="s">
        <v>3239</v>
      </c>
      <c r="N484" t="s">
        <v>13</v>
      </c>
      <c r="O484" t="s">
        <v>131</v>
      </c>
      <c r="P484" t="str">
        <f t="shared" si="173"/>
        <v>[1]</v>
      </c>
      <c r="Q484">
        <f t="shared" si="174"/>
        <v>12</v>
      </c>
      <c r="R484" t="str">
        <f t="shared" si="177"/>
        <v/>
      </c>
      <c r="S484">
        <f>SUMIF(O484:$O$2855,R484,Q484:$Q$2855)</f>
        <v>0</v>
      </c>
      <c r="AP484" s="4" t="s">
        <v>472</v>
      </c>
      <c r="AQ484" t="s">
        <v>479</v>
      </c>
      <c r="AR484" t="s">
        <v>443</v>
      </c>
      <c r="AS484" t="s">
        <v>443</v>
      </c>
      <c r="AT484" t="s">
        <v>612</v>
      </c>
      <c r="AU484" t="str">
        <f t="shared" si="175"/>
        <v>[1]</v>
      </c>
      <c r="AV484">
        <f t="shared" si="176"/>
        <v>0</v>
      </c>
      <c r="AW484" t="str">
        <f t="shared" si="178"/>
        <v/>
      </c>
      <c r="AX484">
        <f>SUMIF(AT484:$AT$651,AW484,AV484:$AV$651)</f>
        <v>0</v>
      </c>
    </row>
    <row r="485" spans="11:50" x14ac:dyDescent="0.25">
      <c r="K485" s="4" t="s">
        <v>421</v>
      </c>
      <c r="L485" t="s">
        <v>422</v>
      </c>
      <c r="M485" t="s">
        <v>1879</v>
      </c>
      <c r="N485" t="s">
        <v>126</v>
      </c>
      <c r="O485" t="s">
        <v>131</v>
      </c>
      <c r="P485" t="str">
        <f t="shared" si="173"/>
        <v>[1]</v>
      </c>
      <c r="Q485">
        <f t="shared" si="174"/>
        <v>8</v>
      </c>
      <c r="R485" t="str">
        <f t="shared" si="177"/>
        <v/>
      </c>
      <c r="S485">
        <f>SUMIF(O485:$O$2855,R485,Q485:$Q$2855)</f>
        <v>0</v>
      </c>
      <c r="AP485" s="4" t="s">
        <v>472</v>
      </c>
      <c r="AQ485" t="s">
        <v>479</v>
      </c>
      <c r="AR485" t="s">
        <v>443</v>
      </c>
      <c r="AS485" t="s">
        <v>443</v>
      </c>
      <c r="AT485" t="s">
        <v>612</v>
      </c>
      <c r="AU485" t="str">
        <f t="shared" si="175"/>
        <v>[1]</v>
      </c>
      <c r="AV485">
        <f t="shared" si="176"/>
        <v>0</v>
      </c>
      <c r="AW485" t="str">
        <f t="shared" si="178"/>
        <v/>
      </c>
      <c r="AX485">
        <f>SUMIF(AT485:$AT$651,AW485,AV485:$AV$651)</f>
        <v>0</v>
      </c>
    </row>
    <row r="486" spans="11:50" x14ac:dyDescent="0.25">
      <c r="K486" s="4" t="s">
        <v>421</v>
      </c>
      <c r="L486" t="s">
        <v>422</v>
      </c>
      <c r="M486" t="s">
        <v>1880</v>
      </c>
      <c r="N486" t="s">
        <v>126</v>
      </c>
      <c r="O486" t="s">
        <v>131</v>
      </c>
      <c r="P486" t="str">
        <f t="shared" si="173"/>
        <v>[1]</v>
      </c>
      <c r="Q486">
        <f t="shared" si="174"/>
        <v>8</v>
      </c>
      <c r="R486" t="str">
        <f t="shared" si="177"/>
        <v/>
      </c>
      <c r="S486">
        <f>SUMIF(O486:$O$2855,R486,Q486:$Q$2855)</f>
        <v>0</v>
      </c>
      <c r="AP486" s="4" t="s">
        <v>472</v>
      </c>
      <c r="AQ486" t="s">
        <v>479</v>
      </c>
      <c r="AR486" t="s">
        <v>443</v>
      </c>
      <c r="AS486" t="s">
        <v>443</v>
      </c>
      <c r="AT486" t="s">
        <v>612</v>
      </c>
      <c r="AU486" t="str">
        <f t="shared" si="175"/>
        <v>[1]</v>
      </c>
      <c r="AV486">
        <f t="shared" si="176"/>
        <v>0</v>
      </c>
      <c r="AW486" t="str">
        <f t="shared" si="178"/>
        <v/>
      </c>
      <c r="AX486">
        <f>SUMIF(AT486:$AT$651,AW486,AV486:$AV$651)</f>
        <v>0</v>
      </c>
    </row>
    <row r="487" spans="11:50" x14ac:dyDescent="0.25">
      <c r="K487" s="4" t="s">
        <v>421</v>
      </c>
      <c r="L487" t="s">
        <v>422</v>
      </c>
      <c r="M487" t="s">
        <v>3240</v>
      </c>
      <c r="N487" t="s">
        <v>126</v>
      </c>
      <c r="O487" t="s">
        <v>131</v>
      </c>
      <c r="P487" t="str">
        <f t="shared" si="173"/>
        <v>[1]</v>
      </c>
      <c r="Q487">
        <f t="shared" si="174"/>
        <v>8</v>
      </c>
      <c r="R487" t="str">
        <f t="shared" si="177"/>
        <v/>
      </c>
      <c r="S487">
        <f>SUMIF(O487:$O$2855,R487,Q487:$Q$2855)</f>
        <v>0</v>
      </c>
      <c r="AP487" s="4" t="s">
        <v>472</v>
      </c>
      <c r="AQ487" t="s">
        <v>479</v>
      </c>
      <c r="AR487" t="s">
        <v>443</v>
      </c>
      <c r="AS487" t="s">
        <v>443</v>
      </c>
      <c r="AT487" t="s">
        <v>612</v>
      </c>
      <c r="AU487" t="str">
        <f t="shared" si="175"/>
        <v>[1]</v>
      </c>
      <c r="AV487">
        <f t="shared" si="176"/>
        <v>0</v>
      </c>
      <c r="AW487" t="str">
        <f t="shared" si="178"/>
        <v/>
      </c>
      <c r="AX487">
        <f>SUMIF(AT487:$AT$651,AW487,AV487:$AV$651)</f>
        <v>0</v>
      </c>
    </row>
    <row r="488" spans="11:50" x14ac:dyDescent="0.25">
      <c r="K488" s="4" t="s">
        <v>421</v>
      </c>
      <c r="L488" t="s">
        <v>422</v>
      </c>
      <c r="M488" t="s">
        <v>3241</v>
      </c>
      <c r="N488" t="s">
        <v>126</v>
      </c>
      <c r="O488" t="s">
        <v>131</v>
      </c>
      <c r="P488" t="str">
        <f t="shared" si="173"/>
        <v>[1]</v>
      </c>
      <c r="Q488">
        <f t="shared" si="174"/>
        <v>8</v>
      </c>
      <c r="R488" t="str">
        <f t="shared" si="177"/>
        <v/>
      </c>
      <c r="S488">
        <f>SUMIF(O488:$O$2855,R488,Q488:$Q$2855)</f>
        <v>0</v>
      </c>
      <c r="AP488" s="4" t="s">
        <v>472</v>
      </c>
      <c r="AQ488" t="s">
        <v>479</v>
      </c>
      <c r="AR488" t="s">
        <v>443</v>
      </c>
      <c r="AS488" t="s">
        <v>443</v>
      </c>
      <c r="AT488" t="s">
        <v>612</v>
      </c>
      <c r="AU488" t="str">
        <f t="shared" si="175"/>
        <v>[1]</v>
      </c>
      <c r="AV488">
        <f t="shared" si="176"/>
        <v>0</v>
      </c>
      <c r="AW488" t="str">
        <f t="shared" si="178"/>
        <v/>
      </c>
      <c r="AX488">
        <f>SUMIF(AT488:$AT$651,AW488,AV488:$AV$651)</f>
        <v>0</v>
      </c>
    </row>
    <row r="489" spans="11:50" x14ac:dyDescent="0.25">
      <c r="K489" s="4" t="s">
        <v>421</v>
      </c>
      <c r="L489" t="s">
        <v>422</v>
      </c>
      <c r="M489" t="s">
        <v>3242</v>
      </c>
      <c r="N489" t="s">
        <v>126</v>
      </c>
      <c r="O489" t="s">
        <v>131</v>
      </c>
      <c r="P489" t="str">
        <f t="shared" si="173"/>
        <v>[1]</v>
      </c>
      <c r="Q489">
        <f t="shared" si="174"/>
        <v>8</v>
      </c>
      <c r="R489" t="str">
        <f t="shared" si="177"/>
        <v/>
      </c>
      <c r="S489">
        <f>SUMIF(O489:$O$2855,R489,Q489:$Q$2855)</f>
        <v>0</v>
      </c>
      <c r="AP489" s="4" t="s">
        <v>472</v>
      </c>
      <c r="AQ489" t="s">
        <v>479</v>
      </c>
      <c r="AR489" t="s">
        <v>443</v>
      </c>
      <c r="AS489" t="s">
        <v>443</v>
      </c>
      <c r="AT489" t="s">
        <v>612</v>
      </c>
      <c r="AU489" t="str">
        <f t="shared" si="175"/>
        <v>[1]</v>
      </c>
      <c r="AV489">
        <f t="shared" si="176"/>
        <v>0</v>
      </c>
      <c r="AW489" t="str">
        <f t="shared" si="178"/>
        <v/>
      </c>
      <c r="AX489">
        <f>SUMIF(AT489:$AT$651,AW489,AV489:$AV$651)</f>
        <v>0</v>
      </c>
    </row>
    <row r="490" spans="11:50" x14ac:dyDescent="0.25">
      <c r="K490" s="4" t="s">
        <v>421</v>
      </c>
      <c r="L490" t="s">
        <v>422</v>
      </c>
      <c r="M490" t="s">
        <v>3243</v>
      </c>
      <c r="N490" t="s">
        <v>165</v>
      </c>
      <c r="O490" t="s">
        <v>131</v>
      </c>
      <c r="P490" t="str">
        <f t="shared" si="173"/>
        <v>[1]</v>
      </c>
      <c r="Q490">
        <f t="shared" si="174"/>
        <v>20</v>
      </c>
      <c r="R490" t="str">
        <f t="shared" si="177"/>
        <v/>
      </c>
      <c r="S490">
        <f>SUMIF(O490:$O$2855,R490,Q490:$Q$2855)</f>
        <v>0</v>
      </c>
      <c r="AP490" s="4" t="s">
        <v>472</v>
      </c>
      <c r="AQ490" t="s">
        <v>479</v>
      </c>
      <c r="AR490" t="s">
        <v>443</v>
      </c>
      <c r="AS490" t="s">
        <v>443</v>
      </c>
      <c r="AT490" t="s">
        <v>612</v>
      </c>
      <c r="AU490" t="str">
        <f t="shared" si="175"/>
        <v>[1]</v>
      </c>
      <c r="AV490">
        <f t="shared" si="176"/>
        <v>0</v>
      </c>
      <c r="AW490" t="str">
        <f t="shared" si="178"/>
        <v/>
      </c>
      <c r="AX490">
        <f>SUMIF(AT490:$AT$651,AW490,AV490:$AV$651)</f>
        <v>0</v>
      </c>
    </row>
    <row r="491" spans="11:50" x14ac:dyDescent="0.25">
      <c r="K491" s="4" t="s">
        <v>421</v>
      </c>
      <c r="L491" t="s">
        <v>422</v>
      </c>
      <c r="M491" t="s">
        <v>3244</v>
      </c>
      <c r="N491" t="s">
        <v>65</v>
      </c>
      <c r="O491" t="s">
        <v>131</v>
      </c>
      <c r="P491" t="str">
        <f t="shared" si="173"/>
        <v>[1]</v>
      </c>
      <c r="Q491">
        <f t="shared" si="174"/>
        <v>40</v>
      </c>
      <c r="R491" t="str">
        <f t="shared" si="177"/>
        <v/>
      </c>
      <c r="S491">
        <f>SUMIF(O491:$O$2855,R491,Q491:$Q$2855)</f>
        <v>0</v>
      </c>
      <c r="AP491" s="4" t="s">
        <v>472</v>
      </c>
      <c r="AQ491" t="s">
        <v>479</v>
      </c>
      <c r="AR491" t="s">
        <v>443</v>
      </c>
      <c r="AS491" t="s">
        <v>443</v>
      </c>
      <c r="AT491" t="s">
        <v>612</v>
      </c>
      <c r="AU491" t="str">
        <f t="shared" si="175"/>
        <v>[1]</v>
      </c>
      <c r="AV491">
        <f t="shared" si="176"/>
        <v>0</v>
      </c>
      <c r="AW491" t="str">
        <f t="shared" si="178"/>
        <v/>
      </c>
      <c r="AX491">
        <f>SUMIF(AT491:$AT$651,AW491,AV491:$AV$651)</f>
        <v>0</v>
      </c>
    </row>
    <row r="492" spans="11:50" x14ac:dyDescent="0.25">
      <c r="K492" s="4" t="s">
        <v>421</v>
      </c>
      <c r="L492" t="s">
        <v>422</v>
      </c>
      <c r="M492" t="s">
        <v>3245</v>
      </c>
      <c r="N492" t="s">
        <v>78</v>
      </c>
      <c r="O492" t="s">
        <v>131</v>
      </c>
      <c r="P492" t="str">
        <f t="shared" si="173"/>
        <v>[1]</v>
      </c>
      <c r="Q492">
        <f t="shared" si="174"/>
        <v>4</v>
      </c>
      <c r="R492" t="str">
        <f t="shared" si="177"/>
        <v/>
      </c>
      <c r="S492">
        <f>SUMIF(O492:$O$2855,R492,Q492:$Q$2855)</f>
        <v>0</v>
      </c>
      <c r="AP492" s="4" t="s">
        <v>472</v>
      </c>
      <c r="AQ492" t="s">
        <v>479</v>
      </c>
      <c r="AR492" t="s">
        <v>443</v>
      </c>
      <c r="AS492" t="s">
        <v>443</v>
      </c>
      <c r="AT492" t="s">
        <v>612</v>
      </c>
      <c r="AU492" t="str">
        <f t="shared" si="175"/>
        <v>[1]</v>
      </c>
      <c r="AV492">
        <f t="shared" si="176"/>
        <v>0</v>
      </c>
      <c r="AW492" t="str">
        <f t="shared" si="178"/>
        <v/>
      </c>
      <c r="AX492">
        <f>SUMIF(AT492:$AT$651,AW492,AV492:$AV$651)</f>
        <v>0</v>
      </c>
    </row>
    <row r="493" spans="11:50" x14ac:dyDescent="0.25">
      <c r="K493" s="4" t="s">
        <v>421</v>
      </c>
      <c r="L493" t="s">
        <v>422</v>
      </c>
      <c r="M493" t="s">
        <v>3246</v>
      </c>
      <c r="N493" t="s">
        <v>165</v>
      </c>
      <c r="O493" t="s">
        <v>131</v>
      </c>
      <c r="P493" t="str">
        <f t="shared" si="173"/>
        <v>[1]</v>
      </c>
      <c r="Q493">
        <f t="shared" si="174"/>
        <v>20</v>
      </c>
      <c r="R493" t="str">
        <f t="shared" si="177"/>
        <v/>
      </c>
      <c r="S493">
        <f>SUMIF(O493:$O$2855,R493,Q493:$Q$2855)</f>
        <v>0</v>
      </c>
      <c r="AP493" s="4" t="s">
        <v>472</v>
      </c>
      <c r="AQ493" t="s">
        <v>479</v>
      </c>
      <c r="AR493" t="s">
        <v>443</v>
      </c>
      <c r="AS493" t="s">
        <v>443</v>
      </c>
      <c r="AT493" t="s">
        <v>612</v>
      </c>
      <c r="AU493" t="str">
        <f t="shared" si="175"/>
        <v>[1]</v>
      </c>
      <c r="AV493">
        <f t="shared" si="176"/>
        <v>0</v>
      </c>
      <c r="AW493" t="str">
        <f t="shared" si="178"/>
        <v/>
      </c>
      <c r="AX493">
        <f>SUMIF(AT493:$AT$651,AW493,AV493:$AV$651)</f>
        <v>0</v>
      </c>
    </row>
    <row r="494" spans="11:50" x14ac:dyDescent="0.25">
      <c r="K494" s="4" t="s">
        <v>421</v>
      </c>
      <c r="L494" t="s">
        <v>422</v>
      </c>
      <c r="M494" t="s">
        <v>3247</v>
      </c>
      <c r="N494" t="s">
        <v>76</v>
      </c>
      <c r="O494" t="s">
        <v>131</v>
      </c>
      <c r="P494" t="str">
        <f t="shared" si="173"/>
        <v>[1]</v>
      </c>
      <c r="Q494">
        <f t="shared" si="174"/>
        <v>36</v>
      </c>
      <c r="R494" t="str">
        <f t="shared" si="177"/>
        <v/>
      </c>
      <c r="S494">
        <f>SUMIF(O494:$O$2855,R494,Q494:$Q$2855)</f>
        <v>0</v>
      </c>
      <c r="AP494" s="4" t="s">
        <v>472</v>
      </c>
      <c r="AQ494" t="s">
        <v>479</v>
      </c>
      <c r="AR494" t="s">
        <v>443</v>
      </c>
      <c r="AS494" t="s">
        <v>443</v>
      </c>
      <c r="AT494" t="s">
        <v>612</v>
      </c>
      <c r="AU494" t="str">
        <f t="shared" si="175"/>
        <v>[1]</v>
      </c>
      <c r="AV494">
        <f t="shared" si="176"/>
        <v>0</v>
      </c>
      <c r="AW494" t="str">
        <f t="shared" si="178"/>
        <v/>
      </c>
      <c r="AX494">
        <f>SUMIF(AT494:$AT$651,AW494,AV494:$AV$651)</f>
        <v>0</v>
      </c>
    </row>
    <row r="495" spans="11:50" x14ac:dyDescent="0.25">
      <c r="K495" s="4" t="s">
        <v>421</v>
      </c>
      <c r="L495" t="s">
        <v>422</v>
      </c>
      <c r="M495" t="s">
        <v>3248</v>
      </c>
      <c r="N495" t="s">
        <v>44</v>
      </c>
      <c r="O495" t="s">
        <v>131</v>
      </c>
      <c r="P495" t="str">
        <f t="shared" si="173"/>
        <v>[1]</v>
      </c>
      <c r="Q495">
        <f t="shared" si="174"/>
        <v>44</v>
      </c>
      <c r="R495" t="str">
        <f t="shared" si="177"/>
        <v/>
      </c>
      <c r="S495">
        <f>SUMIF(O495:$O$2855,R495,Q495:$Q$2855)</f>
        <v>0</v>
      </c>
      <c r="AP495" s="4" t="s">
        <v>472</v>
      </c>
      <c r="AQ495" t="s">
        <v>479</v>
      </c>
      <c r="AR495" t="s">
        <v>443</v>
      </c>
      <c r="AS495" t="s">
        <v>443</v>
      </c>
      <c r="AT495" t="s">
        <v>612</v>
      </c>
      <c r="AU495" t="str">
        <f t="shared" si="175"/>
        <v>[1]</v>
      </c>
      <c r="AV495">
        <f t="shared" si="176"/>
        <v>0</v>
      </c>
      <c r="AW495" t="str">
        <f t="shared" si="178"/>
        <v/>
      </c>
      <c r="AX495">
        <f>SUMIF(AT495:$AT$651,AW495,AV495:$AV$651)</f>
        <v>0</v>
      </c>
    </row>
    <row r="496" spans="11:50" x14ac:dyDescent="0.25">
      <c r="K496" s="4" t="s">
        <v>421</v>
      </c>
      <c r="L496" t="s">
        <v>422</v>
      </c>
      <c r="M496" t="s">
        <v>3249</v>
      </c>
      <c r="N496" t="s">
        <v>165</v>
      </c>
      <c r="O496" t="s">
        <v>131</v>
      </c>
      <c r="P496" t="str">
        <f t="shared" si="173"/>
        <v>[1]</v>
      </c>
      <c r="Q496">
        <f t="shared" si="174"/>
        <v>20</v>
      </c>
      <c r="R496" t="str">
        <f t="shared" si="177"/>
        <v/>
      </c>
      <c r="S496">
        <f>SUMIF(O496:$O$2855,R496,Q496:$Q$2855)</f>
        <v>0</v>
      </c>
      <c r="AP496" s="4" t="s">
        <v>472</v>
      </c>
      <c r="AQ496" t="s">
        <v>479</v>
      </c>
      <c r="AR496" t="s">
        <v>443</v>
      </c>
      <c r="AS496" t="s">
        <v>443</v>
      </c>
      <c r="AT496" t="s">
        <v>612</v>
      </c>
      <c r="AU496" t="str">
        <f t="shared" si="175"/>
        <v>[1]</v>
      </c>
      <c r="AV496">
        <f t="shared" si="176"/>
        <v>0</v>
      </c>
      <c r="AW496" t="str">
        <f t="shared" si="178"/>
        <v/>
      </c>
      <c r="AX496">
        <f>SUMIF(AT496:$AT$651,AW496,AV496:$AV$651)</f>
        <v>0</v>
      </c>
    </row>
    <row r="497" spans="11:50" x14ac:dyDescent="0.25">
      <c r="K497" s="4" t="s">
        <v>421</v>
      </c>
      <c r="L497" t="s">
        <v>422</v>
      </c>
      <c r="M497" t="s">
        <v>3250</v>
      </c>
      <c r="N497" t="s">
        <v>76</v>
      </c>
      <c r="O497" t="s">
        <v>131</v>
      </c>
      <c r="P497" t="str">
        <f t="shared" si="173"/>
        <v>[1]</v>
      </c>
      <c r="Q497">
        <f t="shared" si="174"/>
        <v>36</v>
      </c>
      <c r="R497" t="str">
        <f t="shared" si="177"/>
        <v/>
      </c>
      <c r="S497">
        <f>SUMIF(O497:$O$2855,R497,Q497:$Q$2855)</f>
        <v>0</v>
      </c>
      <c r="AP497" s="4" t="s">
        <v>472</v>
      </c>
      <c r="AQ497" t="s">
        <v>479</v>
      </c>
      <c r="AR497" t="s">
        <v>443</v>
      </c>
      <c r="AS497" t="s">
        <v>443</v>
      </c>
      <c r="AT497" t="s">
        <v>612</v>
      </c>
      <c r="AU497" t="str">
        <f t="shared" si="175"/>
        <v>[1]</v>
      </c>
      <c r="AV497">
        <f t="shared" si="176"/>
        <v>0</v>
      </c>
      <c r="AW497" t="str">
        <f t="shared" si="178"/>
        <v/>
      </c>
      <c r="AX497">
        <f>SUMIF(AT497:$AT$651,AW497,AV497:$AV$651)</f>
        <v>0</v>
      </c>
    </row>
    <row r="498" spans="11:50" x14ac:dyDescent="0.25">
      <c r="K498" s="4" t="s">
        <v>421</v>
      </c>
      <c r="L498" t="s">
        <v>422</v>
      </c>
      <c r="M498" t="s">
        <v>3251</v>
      </c>
      <c r="N498" t="s">
        <v>237</v>
      </c>
      <c r="O498" t="s">
        <v>131</v>
      </c>
      <c r="P498" t="str">
        <f t="shared" si="173"/>
        <v>[1]</v>
      </c>
      <c r="Q498">
        <f t="shared" si="174"/>
        <v>52</v>
      </c>
      <c r="R498" t="str">
        <f t="shared" si="177"/>
        <v/>
      </c>
      <c r="S498">
        <f>SUMIF(O498:$O$2855,R498,Q498:$Q$2855)</f>
        <v>0</v>
      </c>
      <c r="AP498" s="4" t="s">
        <v>472</v>
      </c>
      <c r="AQ498" t="s">
        <v>479</v>
      </c>
      <c r="AR498" t="s">
        <v>443</v>
      </c>
      <c r="AS498" t="s">
        <v>443</v>
      </c>
      <c r="AT498" t="s">
        <v>612</v>
      </c>
      <c r="AU498" t="str">
        <f t="shared" si="175"/>
        <v>[1]</v>
      </c>
      <c r="AV498">
        <f t="shared" si="176"/>
        <v>0</v>
      </c>
      <c r="AW498" t="str">
        <f t="shared" si="178"/>
        <v/>
      </c>
      <c r="AX498">
        <f>SUMIF(AT498:$AT$651,AW498,AV498:$AV$651)</f>
        <v>0</v>
      </c>
    </row>
    <row r="499" spans="11:50" x14ac:dyDescent="0.25">
      <c r="K499" s="4" t="s">
        <v>421</v>
      </c>
      <c r="L499" t="s">
        <v>422</v>
      </c>
      <c r="M499" t="s">
        <v>3252</v>
      </c>
      <c r="N499" t="s">
        <v>237</v>
      </c>
      <c r="O499" t="s">
        <v>131</v>
      </c>
      <c r="P499" t="str">
        <f t="shared" si="173"/>
        <v>[1]</v>
      </c>
      <c r="Q499">
        <f t="shared" si="174"/>
        <v>52</v>
      </c>
      <c r="R499" t="str">
        <f t="shared" si="177"/>
        <v/>
      </c>
      <c r="S499">
        <f>SUMIF(O499:$O$2855,R499,Q499:$Q$2855)</f>
        <v>0</v>
      </c>
      <c r="AP499" s="4" t="s">
        <v>472</v>
      </c>
      <c r="AQ499" t="s">
        <v>479</v>
      </c>
      <c r="AR499" t="s">
        <v>443</v>
      </c>
      <c r="AS499" t="s">
        <v>443</v>
      </c>
      <c r="AT499" t="s">
        <v>612</v>
      </c>
      <c r="AU499" t="str">
        <f t="shared" si="175"/>
        <v>[1]</v>
      </c>
      <c r="AV499">
        <f>HEX2DEC(MID(AS499,3,LEN(AS499)-2))</f>
        <v>0</v>
      </c>
      <c r="AW499" t="str">
        <f t="shared" si="178"/>
        <v/>
      </c>
      <c r="AX499">
        <f>SUMIF(AT499:$AT$651,AW499,AV499:$AV$651)</f>
        <v>0</v>
      </c>
    </row>
    <row r="500" spans="11:50" x14ac:dyDescent="0.25">
      <c r="K500" s="4" t="s">
        <v>421</v>
      </c>
      <c r="L500" t="s">
        <v>422</v>
      </c>
      <c r="M500" t="s">
        <v>3253</v>
      </c>
      <c r="N500" t="s">
        <v>437</v>
      </c>
      <c r="O500" t="s">
        <v>131</v>
      </c>
      <c r="P500" t="str">
        <f t="shared" si="173"/>
        <v>[1]</v>
      </c>
      <c r="Q500">
        <f t="shared" si="174"/>
        <v>24</v>
      </c>
      <c r="R500" t="str">
        <f t="shared" si="177"/>
        <v/>
      </c>
      <c r="S500">
        <f>SUMIF(O500:$O$2855,R500,Q500:$Q$2855)</f>
        <v>0</v>
      </c>
      <c r="AP500" s="4" t="s">
        <v>472</v>
      </c>
      <c r="AQ500" t="s">
        <v>479</v>
      </c>
      <c r="AR500" t="s">
        <v>443</v>
      </c>
      <c r="AS500" t="s">
        <v>443</v>
      </c>
      <c r="AT500" t="s">
        <v>612</v>
      </c>
      <c r="AU500" t="str">
        <f t="shared" si="175"/>
        <v>[1]</v>
      </c>
      <c r="AV500">
        <f>HEX2DEC(MID(AS500,3,LEN(AS500)-2))</f>
        <v>0</v>
      </c>
      <c r="AW500" t="str">
        <f t="shared" si="178"/>
        <v/>
      </c>
      <c r="AX500">
        <f>SUMIF(AT500:$AT$651,AW500,AV500:$AV$651)</f>
        <v>0</v>
      </c>
    </row>
    <row r="501" spans="11:50" x14ac:dyDescent="0.25">
      <c r="K501" s="4" t="s">
        <v>421</v>
      </c>
      <c r="L501" t="s">
        <v>422</v>
      </c>
      <c r="M501" t="s">
        <v>3254</v>
      </c>
      <c r="N501" t="s">
        <v>165</v>
      </c>
      <c r="O501" t="s">
        <v>131</v>
      </c>
      <c r="P501" t="str">
        <f t="shared" si="173"/>
        <v>[1]</v>
      </c>
      <c r="Q501">
        <f t="shared" si="174"/>
        <v>20</v>
      </c>
      <c r="R501" t="str">
        <f t="shared" si="177"/>
        <v/>
      </c>
      <c r="S501">
        <f>SUMIF(O501:$O$2855,R501,Q501:$Q$2855)</f>
        <v>0</v>
      </c>
      <c r="AP501" s="4" t="s">
        <v>472</v>
      </c>
      <c r="AQ501" t="s">
        <v>479</v>
      </c>
      <c r="AR501" t="s">
        <v>443</v>
      </c>
      <c r="AS501" t="s">
        <v>443</v>
      </c>
      <c r="AT501" t="s">
        <v>612</v>
      </c>
      <c r="AU501" t="str">
        <f t="shared" si="175"/>
        <v>[1]</v>
      </c>
      <c r="AV501">
        <f t="shared" ref="AV501:AV511" si="179">HEX2DEC(MID(AS501,3,LEN(AS501)-2))</f>
        <v>0</v>
      </c>
      <c r="AW501" t="str">
        <f t="shared" si="178"/>
        <v/>
      </c>
      <c r="AX501">
        <f>SUMIF(AT501:$AT$651,AW501,AV501:$AV$651)</f>
        <v>0</v>
      </c>
    </row>
    <row r="502" spans="11:50" x14ac:dyDescent="0.25">
      <c r="K502" s="4" t="s">
        <v>421</v>
      </c>
      <c r="L502" t="s">
        <v>422</v>
      </c>
      <c r="M502" t="s">
        <v>3255</v>
      </c>
      <c r="N502" t="s">
        <v>437</v>
      </c>
      <c r="O502" t="s">
        <v>131</v>
      </c>
      <c r="P502" t="str">
        <f t="shared" si="173"/>
        <v>[1]</v>
      </c>
      <c r="Q502">
        <f t="shared" si="174"/>
        <v>24</v>
      </c>
      <c r="R502" t="str">
        <f t="shared" si="177"/>
        <v/>
      </c>
      <c r="S502">
        <f>SUMIF(O502:$O$2855,R502,Q502:$Q$2855)</f>
        <v>0</v>
      </c>
      <c r="AP502" s="4" t="s">
        <v>472</v>
      </c>
      <c r="AQ502" t="s">
        <v>479</v>
      </c>
      <c r="AR502" t="s">
        <v>443</v>
      </c>
      <c r="AS502" t="s">
        <v>443</v>
      </c>
      <c r="AT502" t="s">
        <v>612</v>
      </c>
      <c r="AU502" t="str">
        <f t="shared" si="175"/>
        <v>[1]</v>
      </c>
      <c r="AV502">
        <f t="shared" si="179"/>
        <v>0</v>
      </c>
      <c r="AW502" t="str">
        <f t="shared" si="178"/>
        <v/>
      </c>
      <c r="AX502">
        <f>SUMIF(AT502:$AT$651,AW502,AV502:$AV$651)</f>
        <v>0</v>
      </c>
    </row>
    <row r="503" spans="11:50" x14ac:dyDescent="0.25">
      <c r="K503" s="4" t="s">
        <v>421</v>
      </c>
      <c r="L503" t="s">
        <v>422</v>
      </c>
      <c r="M503" t="s">
        <v>3256</v>
      </c>
      <c r="N503" t="s">
        <v>165</v>
      </c>
      <c r="O503" t="s">
        <v>131</v>
      </c>
      <c r="P503" t="str">
        <f t="shared" si="173"/>
        <v>[1]</v>
      </c>
      <c r="Q503">
        <f t="shared" si="174"/>
        <v>20</v>
      </c>
      <c r="R503" t="str">
        <f t="shared" si="177"/>
        <v/>
      </c>
      <c r="S503">
        <f>SUMIF(O503:$O$2855,R503,Q503:$Q$2855)</f>
        <v>0</v>
      </c>
      <c r="AP503" s="4" t="s">
        <v>472</v>
      </c>
      <c r="AQ503" t="s">
        <v>479</v>
      </c>
      <c r="AR503" t="s">
        <v>443</v>
      </c>
      <c r="AS503" t="s">
        <v>443</v>
      </c>
      <c r="AT503" t="s">
        <v>612</v>
      </c>
      <c r="AU503" t="str">
        <f t="shared" si="175"/>
        <v>[1]</v>
      </c>
      <c r="AV503">
        <f t="shared" si="179"/>
        <v>0</v>
      </c>
      <c r="AW503" t="str">
        <f t="shared" si="178"/>
        <v/>
      </c>
      <c r="AX503">
        <f>SUMIF(AT503:$AT$651,AW503,AV503:$AV$651)</f>
        <v>0</v>
      </c>
    </row>
    <row r="504" spans="11:50" x14ac:dyDescent="0.25">
      <c r="K504" s="4" t="s">
        <v>421</v>
      </c>
      <c r="L504" t="s">
        <v>422</v>
      </c>
      <c r="M504" t="s">
        <v>3257</v>
      </c>
      <c r="N504" t="s">
        <v>437</v>
      </c>
      <c r="O504" t="s">
        <v>131</v>
      </c>
      <c r="P504" t="str">
        <f t="shared" si="173"/>
        <v>[1]</v>
      </c>
      <c r="Q504">
        <f t="shared" si="174"/>
        <v>24</v>
      </c>
      <c r="R504" t="str">
        <f t="shared" si="177"/>
        <v/>
      </c>
      <c r="S504">
        <f>SUMIF(O504:$O$2855,R504,Q504:$Q$2855)</f>
        <v>0</v>
      </c>
      <c r="AP504" s="4" t="s">
        <v>472</v>
      </c>
      <c r="AQ504" t="s">
        <v>479</v>
      </c>
      <c r="AR504" t="s">
        <v>443</v>
      </c>
      <c r="AS504" t="s">
        <v>443</v>
      </c>
      <c r="AT504" t="s">
        <v>612</v>
      </c>
      <c r="AU504" t="str">
        <f t="shared" si="175"/>
        <v>[1]</v>
      </c>
      <c r="AV504">
        <f t="shared" si="179"/>
        <v>0</v>
      </c>
      <c r="AW504" t="str">
        <f t="shared" si="178"/>
        <v/>
      </c>
      <c r="AX504">
        <f>SUMIF(AT504:$AT$651,AW504,AV504:$AV$651)</f>
        <v>0</v>
      </c>
    </row>
    <row r="505" spans="11:50" x14ac:dyDescent="0.25">
      <c r="K505" s="4" t="s">
        <v>421</v>
      </c>
      <c r="L505" t="s">
        <v>422</v>
      </c>
      <c r="M505" t="s">
        <v>3258</v>
      </c>
      <c r="N505" t="s">
        <v>165</v>
      </c>
      <c r="O505" t="s">
        <v>131</v>
      </c>
      <c r="P505" t="str">
        <f t="shared" si="173"/>
        <v>[1]</v>
      </c>
      <c r="Q505">
        <f t="shared" si="174"/>
        <v>20</v>
      </c>
      <c r="R505" t="str">
        <f t="shared" si="177"/>
        <v/>
      </c>
      <c r="S505">
        <f>SUMIF(O505:$O$2855,R505,Q505:$Q$2855)</f>
        <v>0</v>
      </c>
      <c r="AP505" s="4" t="s">
        <v>472</v>
      </c>
      <c r="AQ505" t="s">
        <v>479</v>
      </c>
      <c r="AR505" t="s">
        <v>443</v>
      </c>
      <c r="AS505" t="s">
        <v>443</v>
      </c>
      <c r="AT505" t="s">
        <v>612</v>
      </c>
      <c r="AU505" t="str">
        <f t="shared" si="175"/>
        <v>[1]</v>
      </c>
      <c r="AV505">
        <f t="shared" si="179"/>
        <v>0</v>
      </c>
      <c r="AW505" t="str">
        <f t="shared" si="178"/>
        <v/>
      </c>
      <c r="AX505">
        <f>SUMIF(AT505:$AT$651,AW505,AV505:$AV$651)</f>
        <v>0</v>
      </c>
    </row>
    <row r="506" spans="11:50" x14ac:dyDescent="0.25">
      <c r="K506" s="4" t="s">
        <v>421</v>
      </c>
      <c r="L506" t="s">
        <v>422</v>
      </c>
      <c r="M506" t="s">
        <v>3259</v>
      </c>
      <c r="N506" t="s">
        <v>6</v>
      </c>
      <c r="O506" t="s">
        <v>131</v>
      </c>
      <c r="P506" t="str">
        <f t="shared" si="173"/>
        <v>[1]</v>
      </c>
      <c r="Q506">
        <f t="shared" si="174"/>
        <v>28</v>
      </c>
      <c r="R506" t="str">
        <f t="shared" si="177"/>
        <v/>
      </c>
      <c r="S506">
        <f>SUMIF(O506:$O$2855,R506,Q506:$Q$2855)</f>
        <v>0</v>
      </c>
      <c r="AP506" s="4" t="s">
        <v>472</v>
      </c>
      <c r="AQ506" t="s">
        <v>479</v>
      </c>
      <c r="AR506" t="s">
        <v>443</v>
      </c>
      <c r="AS506" t="s">
        <v>443</v>
      </c>
      <c r="AT506" t="s">
        <v>612</v>
      </c>
      <c r="AU506" t="str">
        <f t="shared" si="175"/>
        <v>[1]</v>
      </c>
      <c r="AV506">
        <f t="shared" si="179"/>
        <v>0</v>
      </c>
      <c r="AW506" t="str">
        <f t="shared" si="178"/>
        <v/>
      </c>
      <c r="AX506">
        <f>SUMIF(AT506:$AT$651,AW506,AV506:$AV$651)</f>
        <v>0</v>
      </c>
    </row>
    <row r="507" spans="11:50" x14ac:dyDescent="0.25">
      <c r="K507" s="4" t="s">
        <v>421</v>
      </c>
      <c r="L507" t="s">
        <v>422</v>
      </c>
      <c r="M507" t="s">
        <v>3260</v>
      </c>
      <c r="N507" t="s">
        <v>437</v>
      </c>
      <c r="O507" t="s">
        <v>131</v>
      </c>
      <c r="P507" t="str">
        <f t="shared" si="173"/>
        <v>[1]</v>
      </c>
      <c r="Q507">
        <f t="shared" si="174"/>
        <v>24</v>
      </c>
      <c r="R507" t="str">
        <f t="shared" si="177"/>
        <v/>
      </c>
      <c r="S507">
        <f>SUMIF(O507:$O$2855,R507,Q507:$Q$2855)</f>
        <v>0</v>
      </c>
      <c r="AP507" s="4" t="s">
        <v>472</v>
      </c>
      <c r="AQ507" t="s">
        <v>479</v>
      </c>
      <c r="AR507" t="s">
        <v>443</v>
      </c>
      <c r="AS507" t="s">
        <v>443</v>
      </c>
      <c r="AT507" t="s">
        <v>612</v>
      </c>
      <c r="AU507" t="str">
        <f t="shared" si="175"/>
        <v>[1]</v>
      </c>
      <c r="AV507">
        <f t="shared" si="179"/>
        <v>0</v>
      </c>
      <c r="AW507" t="str">
        <f t="shared" si="178"/>
        <v/>
      </c>
      <c r="AX507">
        <f>SUMIF(AT507:$AT$651,AW507,AV507:$AV$651)</f>
        <v>0</v>
      </c>
    </row>
    <row r="508" spans="11:50" x14ac:dyDescent="0.25">
      <c r="K508" s="4" t="s">
        <v>421</v>
      </c>
      <c r="L508" t="s">
        <v>422</v>
      </c>
      <c r="M508" t="s">
        <v>3261</v>
      </c>
      <c r="N508" t="s">
        <v>65</v>
      </c>
      <c r="O508" t="s">
        <v>131</v>
      </c>
      <c r="P508" t="str">
        <f t="shared" si="173"/>
        <v>[1]</v>
      </c>
      <c r="Q508">
        <f t="shared" si="174"/>
        <v>40</v>
      </c>
      <c r="R508" t="str">
        <f t="shared" si="177"/>
        <v/>
      </c>
      <c r="S508">
        <f>SUMIF(O508:$O$2855,R508,Q508:$Q$2855)</f>
        <v>0</v>
      </c>
      <c r="AP508" s="4" t="s">
        <v>472</v>
      </c>
      <c r="AQ508" t="s">
        <v>479</v>
      </c>
      <c r="AR508" t="s">
        <v>443</v>
      </c>
      <c r="AS508" t="s">
        <v>443</v>
      </c>
      <c r="AT508" t="s">
        <v>612</v>
      </c>
      <c r="AU508" t="str">
        <f t="shared" si="175"/>
        <v>[1]</v>
      </c>
      <c r="AV508">
        <f t="shared" si="179"/>
        <v>0</v>
      </c>
      <c r="AW508" t="str">
        <f t="shared" si="178"/>
        <v/>
      </c>
      <c r="AX508">
        <f>SUMIF(AT508:$AT$651,AW508,AV508:$AV$651)</f>
        <v>0</v>
      </c>
    </row>
    <row r="509" spans="11:50" x14ac:dyDescent="0.25">
      <c r="K509" s="4" t="s">
        <v>421</v>
      </c>
      <c r="L509" t="s">
        <v>422</v>
      </c>
      <c r="M509" t="s">
        <v>3262</v>
      </c>
      <c r="N509" t="s">
        <v>65</v>
      </c>
      <c r="O509" t="s">
        <v>131</v>
      </c>
      <c r="P509" t="str">
        <f t="shared" si="173"/>
        <v>[1]</v>
      </c>
      <c r="Q509">
        <f t="shared" si="174"/>
        <v>40</v>
      </c>
      <c r="R509" t="str">
        <f t="shared" si="177"/>
        <v/>
      </c>
      <c r="S509">
        <f>SUMIF(O509:$O$2855,R509,Q509:$Q$2855)</f>
        <v>0</v>
      </c>
      <c r="AP509" s="4" t="s">
        <v>472</v>
      </c>
      <c r="AQ509" t="s">
        <v>479</v>
      </c>
      <c r="AR509" t="s">
        <v>443</v>
      </c>
      <c r="AS509" t="s">
        <v>443</v>
      </c>
      <c r="AT509" t="s">
        <v>612</v>
      </c>
      <c r="AU509" t="str">
        <f t="shared" si="175"/>
        <v>[1]</v>
      </c>
      <c r="AV509">
        <f t="shared" si="179"/>
        <v>0</v>
      </c>
      <c r="AW509" t="str">
        <f t="shared" si="178"/>
        <v/>
      </c>
      <c r="AX509">
        <f>SUMIF(AT509:$AT$651,AW509,AV509:$AV$651)</f>
        <v>0</v>
      </c>
    </row>
    <row r="510" spans="11:50" x14ac:dyDescent="0.25">
      <c r="K510" s="4" t="s">
        <v>421</v>
      </c>
      <c r="L510" t="s">
        <v>422</v>
      </c>
      <c r="M510" t="s">
        <v>3263</v>
      </c>
      <c r="N510" t="s">
        <v>437</v>
      </c>
      <c r="O510" t="s">
        <v>131</v>
      </c>
      <c r="P510" t="str">
        <f t="shared" si="173"/>
        <v>[1]</v>
      </c>
      <c r="Q510">
        <f t="shared" si="174"/>
        <v>24</v>
      </c>
      <c r="R510" t="str">
        <f t="shared" si="177"/>
        <v/>
      </c>
      <c r="S510">
        <f>SUMIF(O510:$O$2855,R510,Q510:$Q$2855)</f>
        <v>0</v>
      </c>
      <c r="AP510" s="4" t="s">
        <v>472</v>
      </c>
      <c r="AQ510" t="s">
        <v>479</v>
      </c>
      <c r="AR510" t="s">
        <v>443</v>
      </c>
      <c r="AS510" t="s">
        <v>443</v>
      </c>
      <c r="AT510" t="s">
        <v>612</v>
      </c>
      <c r="AU510" t="str">
        <f t="shared" si="175"/>
        <v>[1]</v>
      </c>
      <c r="AV510">
        <f t="shared" si="179"/>
        <v>0</v>
      </c>
      <c r="AW510" t="str">
        <f t="shared" si="178"/>
        <v/>
      </c>
      <c r="AX510">
        <f>SUMIF(AT510:$AT$651,AW510,AV510:$AV$651)</f>
        <v>0</v>
      </c>
    </row>
    <row r="511" spans="11:50" x14ac:dyDescent="0.25">
      <c r="K511" s="4" t="s">
        <v>421</v>
      </c>
      <c r="L511" t="s">
        <v>422</v>
      </c>
      <c r="M511" t="s">
        <v>3264</v>
      </c>
      <c r="N511" t="s">
        <v>165</v>
      </c>
      <c r="O511" t="s">
        <v>131</v>
      </c>
      <c r="P511" t="str">
        <f t="shared" si="173"/>
        <v>[1]</v>
      </c>
      <c r="Q511">
        <f t="shared" si="174"/>
        <v>20</v>
      </c>
      <c r="R511" t="str">
        <f t="shared" si="177"/>
        <v/>
      </c>
      <c r="S511">
        <f>SUMIF(O511:$O$2855,R511,Q511:$Q$2855)</f>
        <v>0</v>
      </c>
      <c r="AP511" s="4" t="s">
        <v>472</v>
      </c>
      <c r="AQ511" t="s">
        <v>479</v>
      </c>
      <c r="AR511" t="s">
        <v>443</v>
      </c>
      <c r="AS511" t="s">
        <v>443</v>
      </c>
      <c r="AT511" t="s">
        <v>612</v>
      </c>
      <c r="AU511" t="str">
        <f t="shared" si="175"/>
        <v>[1]</v>
      </c>
      <c r="AV511">
        <f t="shared" si="179"/>
        <v>0</v>
      </c>
      <c r="AW511" t="str">
        <f t="shared" si="178"/>
        <v/>
      </c>
      <c r="AX511">
        <f>SUMIF(AT511:$AT$651,AW511,AV511:$AV$651)</f>
        <v>0</v>
      </c>
    </row>
    <row r="512" spans="11:50" x14ac:dyDescent="0.25">
      <c r="K512" s="4" t="s">
        <v>421</v>
      </c>
      <c r="L512" t="s">
        <v>422</v>
      </c>
      <c r="M512" t="s">
        <v>1759</v>
      </c>
      <c r="N512" t="s">
        <v>437</v>
      </c>
      <c r="O512" t="s">
        <v>131</v>
      </c>
      <c r="P512" t="str">
        <f t="shared" si="173"/>
        <v>[1]</v>
      </c>
      <c r="Q512">
        <f t="shared" si="174"/>
        <v>24</v>
      </c>
      <c r="R512" t="str">
        <f t="shared" si="177"/>
        <v/>
      </c>
      <c r="S512">
        <f>SUMIF(O512:$O$2855,R512,Q512:$Q$2855)</f>
        <v>0</v>
      </c>
      <c r="AP512" s="4" t="s">
        <v>472</v>
      </c>
      <c r="AQ512" t="s">
        <v>479</v>
      </c>
      <c r="AR512" t="s">
        <v>443</v>
      </c>
      <c r="AS512" t="s">
        <v>443</v>
      </c>
      <c r="AT512" t="s">
        <v>612</v>
      </c>
      <c r="AU512" t="str">
        <f t="shared" si="175"/>
        <v>[1]</v>
      </c>
      <c r="AV512">
        <f t="shared" ref="AV512:AV518" si="180">HEX2DEC(MID(AS512,3,LEN(AS512)-2))</f>
        <v>0</v>
      </c>
      <c r="AW512" t="str">
        <f t="shared" si="178"/>
        <v/>
      </c>
      <c r="AX512">
        <f>SUMIF(AT512:$AT$651,AW512,AV512:$AV$651)</f>
        <v>0</v>
      </c>
    </row>
    <row r="513" spans="11:50" x14ac:dyDescent="0.25">
      <c r="K513" s="4" t="s">
        <v>421</v>
      </c>
      <c r="L513" t="s">
        <v>422</v>
      </c>
      <c r="M513" t="s">
        <v>3265</v>
      </c>
      <c r="N513" t="s">
        <v>126</v>
      </c>
      <c r="O513" t="s">
        <v>131</v>
      </c>
      <c r="P513" t="str">
        <f t="shared" si="173"/>
        <v>[1]</v>
      </c>
      <c r="Q513">
        <f t="shared" si="174"/>
        <v>8</v>
      </c>
      <c r="R513" t="str">
        <f t="shared" si="177"/>
        <v/>
      </c>
      <c r="S513">
        <f>SUMIF(O513:$O$2855,R513,Q513:$Q$2855)</f>
        <v>0</v>
      </c>
      <c r="AP513" s="4" t="s">
        <v>472</v>
      </c>
      <c r="AQ513" t="s">
        <v>479</v>
      </c>
      <c r="AR513" t="s">
        <v>443</v>
      </c>
      <c r="AS513" t="s">
        <v>443</v>
      </c>
      <c r="AT513" t="s">
        <v>612</v>
      </c>
      <c r="AU513" t="str">
        <f t="shared" si="175"/>
        <v>[1]</v>
      </c>
      <c r="AV513">
        <f t="shared" si="180"/>
        <v>0</v>
      </c>
      <c r="AW513" t="str">
        <f t="shared" si="178"/>
        <v/>
      </c>
      <c r="AX513">
        <f>SUMIF(AT513:$AT$651,AW513,AV513:$AV$651)</f>
        <v>0</v>
      </c>
    </row>
    <row r="514" spans="11:50" x14ac:dyDescent="0.25">
      <c r="K514" s="4" t="s">
        <v>421</v>
      </c>
      <c r="L514" t="s">
        <v>422</v>
      </c>
      <c r="M514" t="s">
        <v>3266</v>
      </c>
      <c r="N514" t="s">
        <v>237</v>
      </c>
      <c r="O514" t="s">
        <v>131</v>
      </c>
      <c r="P514" t="str">
        <f t="shared" ref="P514:P577" si="181">VLOOKUP($K$30,$E$1:$F$26,2,FALSE)</f>
        <v>[1]</v>
      </c>
      <c r="Q514">
        <f t="shared" si="174"/>
        <v>52</v>
      </c>
      <c r="R514" t="str">
        <f t="shared" si="177"/>
        <v/>
      </c>
      <c r="S514">
        <f>SUMIF(O514:$O$2855,R514,Q514:$Q$2855)</f>
        <v>0</v>
      </c>
      <c r="AP514" s="4" t="s">
        <v>472</v>
      </c>
      <c r="AQ514" t="s">
        <v>479</v>
      </c>
      <c r="AR514" t="s">
        <v>443</v>
      </c>
      <c r="AS514" t="s">
        <v>443</v>
      </c>
      <c r="AT514" t="s">
        <v>612</v>
      </c>
      <c r="AU514" t="str">
        <f t="shared" si="175"/>
        <v>[1]</v>
      </c>
      <c r="AV514">
        <f t="shared" si="180"/>
        <v>0</v>
      </c>
      <c r="AW514" t="str">
        <f t="shared" si="178"/>
        <v/>
      </c>
      <c r="AX514">
        <f>SUMIF(AT514:$AT$651,AW514,AV514:$AV$651)</f>
        <v>0</v>
      </c>
    </row>
    <row r="515" spans="11:50" x14ac:dyDescent="0.25">
      <c r="K515" s="4" t="s">
        <v>421</v>
      </c>
      <c r="L515" t="s">
        <v>422</v>
      </c>
      <c r="M515" t="s">
        <v>3267</v>
      </c>
      <c r="N515" t="s">
        <v>67</v>
      </c>
      <c r="O515" t="s">
        <v>131</v>
      </c>
      <c r="P515" t="str">
        <f t="shared" si="181"/>
        <v>[1]</v>
      </c>
      <c r="Q515">
        <f t="shared" ref="Q515:Q578" si="182">HEX2DEC(MID(N515,3,LEN(N515)-2))</f>
        <v>48</v>
      </c>
      <c r="R515" t="str">
        <f t="shared" si="177"/>
        <v/>
      </c>
      <c r="S515">
        <f>SUMIF(O515:$O$2855,R515,Q515:$Q$2855)</f>
        <v>0</v>
      </c>
      <c r="AP515" s="4" t="s">
        <v>472</v>
      </c>
      <c r="AQ515" t="s">
        <v>479</v>
      </c>
      <c r="AR515" t="s">
        <v>443</v>
      </c>
      <c r="AS515" t="s">
        <v>443</v>
      </c>
      <c r="AT515" t="s">
        <v>612</v>
      </c>
      <c r="AU515" t="str">
        <f t="shared" si="175"/>
        <v>[1]</v>
      </c>
      <c r="AV515">
        <f t="shared" si="180"/>
        <v>0</v>
      </c>
      <c r="AW515" t="str">
        <f t="shared" si="178"/>
        <v/>
      </c>
      <c r="AX515">
        <f>SUMIF(AT515:$AT$651,AW515,AV515:$AV$651)</f>
        <v>0</v>
      </c>
    </row>
    <row r="516" spans="11:50" x14ac:dyDescent="0.25">
      <c r="K516" s="4" t="s">
        <v>421</v>
      </c>
      <c r="L516" t="s">
        <v>422</v>
      </c>
      <c r="M516" t="s">
        <v>3268</v>
      </c>
      <c r="N516" t="s">
        <v>67</v>
      </c>
      <c r="O516" t="s">
        <v>131</v>
      </c>
      <c r="P516" t="str">
        <f t="shared" si="181"/>
        <v>[1]</v>
      </c>
      <c r="Q516">
        <f t="shared" si="182"/>
        <v>48</v>
      </c>
      <c r="R516" t="str">
        <f t="shared" si="177"/>
        <v/>
      </c>
      <c r="S516">
        <f>SUMIF(O516:$O$2855,R516,Q516:$Q$2855)</f>
        <v>0</v>
      </c>
      <c r="AP516" s="4" t="s">
        <v>472</v>
      </c>
      <c r="AQ516" t="s">
        <v>479</v>
      </c>
      <c r="AR516" t="s">
        <v>443</v>
      </c>
      <c r="AS516" t="s">
        <v>443</v>
      </c>
      <c r="AT516" t="s">
        <v>612</v>
      </c>
      <c r="AU516" t="str">
        <f t="shared" si="175"/>
        <v>[1]</v>
      </c>
      <c r="AV516">
        <f t="shared" si="180"/>
        <v>0</v>
      </c>
      <c r="AW516" t="str">
        <f t="shared" si="178"/>
        <v/>
      </c>
      <c r="AX516">
        <f>SUMIF(AT516:$AT$651,AW516,AV516:$AV$651)</f>
        <v>0</v>
      </c>
    </row>
    <row r="517" spans="11:50" x14ac:dyDescent="0.25">
      <c r="K517" s="4" t="s">
        <v>421</v>
      </c>
      <c r="L517" t="s">
        <v>422</v>
      </c>
      <c r="M517" t="s">
        <v>3269</v>
      </c>
      <c r="N517" t="s">
        <v>65</v>
      </c>
      <c r="O517" t="s">
        <v>131</v>
      </c>
      <c r="P517" t="str">
        <f t="shared" si="181"/>
        <v>[1]</v>
      </c>
      <c r="Q517">
        <f t="shared" si="182"/>
        <v>40</v>
      </c>
      <c r="R517" t="str">
        <f t="shared" si="177"/>
        <v/>
      </c>
      <c r="S517">
        <f>SUMIF(O517:$O$2855,R517,Q517:$Q$2855)</f>
        <v>0</v>
      </c>
      <c r="AP517" s="4" t="s">
        <v>472</v>
      </c>
      <c r="AQ517" t="s">
        <v>479</v>
      </c>
      <c r="AR517" t="s">
        <v>443</v>
      </c>
      <c r="AS517" t="s">
        <v>443</v>
      </c>
      <c r="AT517" t="s">
        <v>612</v>
      </c>
      <c r="AU517" t="str">
        <f t="shared" si="175"/>
        <v>[1]</v>
      </c>
      <c r="AV517">
        <f t="shared" si="180"/>
        <v>0</v>
      </c>
      <c r="AW517" t="str">
        <f t="shared" si="178"/>
        <v/>
      </c>
      <c r="AX517">
        <f>SUMIF(AT517:$AT$651,AW517,AV517:$AV$651)</f>
        <v>0</v>
      </c>
    </row>
    <row r="518" spans="11:50" x14ac:dyDescent="0.25">
      <c r="K518" s="4" t="s">
        <v>421</v>
      </c>
      <c r="L518" t="s">
        <v>422</v>
      </c>
      <c r="M518" t="s">
        <v>3270</v>
      </c>
      <c r="N518" t="s">
        <v>437</v>
      </c>
      <c r="O518" t="s">
        <v>131</v>
      </c>
      <c r="P518" t="str">
        <f t="shared" si="181"/>
        <v>[1]</v>
      </c>
      <c r="Q518">
        <f t="shared" si="182"/>
        <v>24</v>
      </c>
      <c r="R518" t="str">
        <f t="shared" si="177"/>
        <v/>
      </c>
      <c r="S518">
        <f>SUMIF(O518:$O$2855,R518,Q518:$Q$2855)</f>
        <v>0</v>
      </c>
      <c r="AP518" s="4" t="s">
        <v>472</v>
      </c>
      <c r="AQ518" t="s">
        <v>479</v>
      </c>
      <c r="AR518" t="s">
        <v>443</v>
      </c>
      <c r="AS518" t="s">
        <v>443</v>
      </c>
      <c r="AT518" t="s">
        <v>612</v>
      </c>
      <c r="AU518" t="str">
        <f t="shared" si="175"/>
        <v>[1]</v>
      </c>
      <c r="AV518">
        <f t="shared" si="180"/>
        <v>0</v>
      </c>
      <c r="AW518" t="str">
        <f t="shared" si="178"/>
        <v/>
      </c>
      <c r="AX518">
        <f>SUMIF(AT518:$AT$651,AW518,AV518:$AV$651)</f>
        <v>0</v>
      </c>
    </row>
    <row r="519" spans="11:50" x14ac:dyDescent="0.25">
      <c r="K519" s="4" t="s">
        <v>421</v>
      </c>
      <c r="L519" t="s">
        <v>422</v>
      </c>
      <c r="M519" t="s">
        <v>1881</v>
      </c>
      <c r="N519" t="s">
        <v>119</v>
      </c>
      <c r="O519" t="s">
        <v>131</v>
      </c>
      <c r="P519" t="str">
        <f t="shared" si="181"/>
        <v>[1]</v>
      </c>
      <c r="Q519">
        <f t="shared" si="182"/>
        <v>32</v>
      </c>
      <c r="R519" t="str">
        <f t="shared" si="177"/>
        <v/>
      </c>
      <c r="S519">
        <f>SUMIF(O519:$O$2855,R519,Q519:$Q$2855)</f>
        <v>0</v>
      </c>
      <c r="AP519" s="4" t="s">
        <v>472</v>
      </c>
      <c r="AQ519" t="s">
        <v>479</v>
      </c>
      <c r="AR519" t="s">
        <v>443</v>
      </c>
      <c r="AS519" t="s">
        <v>443</v>
      </c>
      <c r="AT519" t="s">
        <v>612</v>
      </c>
      <c r="AU519" t="str">
        <f t="shared" si="175"/>
        <v>[1]</v>
      </c>
      <c r="AV519">
        <f t="shared" ref="AV519:AV527" si="183">HEX2DEC(MID(AS519,3,LEN(AS519)-2))</f>
        <v>0</v>
      </c>
      <c r="AW519" t="str">
        <f t="shared" si="178"/>
        <v/>
      </c>
      <c r="AX519">
        <f>SUMIF(AT519:$AT$651,AW519,AV519:$AV$651)</f>
        <v>0</v>
      </c>
    </row>
    <row r="520" spans="11:50" x14ac:dyDescent="0.25">
      <c r="K520" s="4" t="s">
        <v>421</v>
      </c>
      <c r="L520" t="s">
        <v>422</v>
      </c>
      <c r="M520" t="s">
        <v>3271</v>
      </c>
      <c r="N520" t="s">
        <v>76</v>
      </c>
      <c r="O520" t="s">
        <v>131</v>
      </c>
      <c r="P520" t="str">
        <f t="shared" si="181"/>
        <v>[1]</v>
      </c>
      <c r="Q520">
        <f t="shared" si="182"/>
        <v>36</v>
      </c>
      <c r="R520" t="str">
        <f t="shared" si="177"/>
        <v/>
      </c>
      <c r="S520">
        <f>SUMIF(O520:$O$2855,R520,Q520:$Q$2855)</f>
        <v>0</v>
      </c>
      <c r="AP520" s="4" t="s">
        <v>472</v>
      </c>
      <c r="AQ520" t="s">
        <v>479</v>
      </c>
      <c r="AR520" t="s">
        <v>443</v>
      </c>
      <c r="AS520" t="s">
        <v>443</v>
      </c>
      <c r="AT520" t="s">
        <v>612</v>
      </c>
      <c r="AU520" t="str">
        <f t="shared" si="175"/>
        <v>[1]</v>
      </c>
      <c r="AV520">
        <f t="shared" si="183"/>
        <v>0</v>
      </c>
      <c r="AW520" t="str">
        <f t="shared" si="178"/>
        <v/>
      </c>
      <c r="AX520">
        <f>SUMIF(AT520:$AT$651,AW520,AV520:$AV$651)</f>
        <v>0</v>
      </c>
    </row>
    <row r="521" spans="11:50" x14ac:dyDescent="0.25">
      <c r="K521" s="4" t="s">
        <v>421</v>
      </c>
      <c r="L521" t="s">
        <v>422</v>
      </c>
      <c r="M521" t="s">
        <v>3272</v>
      </c>
      <c r="N521" t="s">
        <v>147</v>
      </c>
      <c r="O521" t="s">
        <v>131</v>
      </c>
      <c r="P521" t="str">
        <f t="shared" si="181"/>
        <v>[1]</v>
      </c>
      <c r="Q521">
        <f t="shared" si="182"/>
        <v>72</v>
      </c>
      <c r="R521" t="str">
        <f t="shared" si="177"/>
        <v/>
      </c>
      <c r="S521">
        <f>SUMIF(O521:$O$2855,R521,Q521:$Q$2855)</f>
        <v>0</v>
      </c>
      <c r="AP521" s="4" t="s">
        <v>472</v>
      </c>
      <c r="AQ521" t="s">
        <v>479</v>
      </c>
      <c r="AR521" t="s">
        <v>443</v>
      </c>
      <c r="AS521" t="s">
        <v>443</v>
      </c>
      <c r="AT521" t="s">
        <v>612</v>
      </c>
      <c r="AU521" t="str">
        <f t="shared" si="175"/>
        <v>[1]</v>
      </c>
      <c r="AV521">
        <f t="shared" si="183"/>
        <v>0</v>
      </c>
      <c r="AW521" t="str">
        <f t="shared" si="178"/>
        <v/>
      </c>
      <c r="AX521">
        <f>SUMIF(AT521:$AT$651,AW521,AV521:$AV$651)</f>
        <v>0</v>
      </c>
    </row>
    <row r="522" spans="11:50" x14ac:dyDescent="0.25">
      <c r="K522" s="4" t="s">
        <v>421</v>
      </c>
      <c r="L522" t="s">
        <v>422</v>
      </c>
      <c r="M522" t="s">
        <v>3273</v>
      </c>
      <c r="N522" t="s">
        <v>165</v>
      </c>
      <c r="O522" t="s">
        <v>131</v>
      </c>
      <c r="P522" t="str">
        <f t="shared" si="181"/>
        <v>[1]</v>
      </c>
      <c r="Q522">
        <f t="shared" si="182"/>
        <v>20</v>
      </c>
      <c r="R522" t="str">
        <f t="shared" si="177"/>
        <v/>
      </c>
      <c r="S522">
        <f>SUMIF(O522:$O$2855,R522,Q522:$Q$2855)</f>
        <v>0</v>
      </c>
      <c r="AP522" s="4" t="s">
        <v>472</v>
      </c>
      <c r="AQ522" t="s">
        <v>479</v>
      </c>
      <c r="AR522" t="s">
        <v>443</v>
      </c>
      <c r="AS522" t="s">
        <v>443</v>
      </c>
      <c r="AT522" t="s">
        <v>612</v>
      </c>
      <c r="AU522" t="str">
        <f t="shared" si="175"/>
        <v>[1]</v>
      </c>
      <c r="AV522">
        <f t="shared" si="183"/>
        <v>0</v>
      </c>
      <c r="AW522" t="str">
        <f t="shared" si="178"/>
        <v/>
      </c>
      <c r="AX522">
        <f>SUMIF(AT522:$AT$651,AW522,AV522:$AV$651)</f>
        <v>0</v>
      </c>
    </row>
    <row r="523" spans="11:50" x14ac:dyDescent="0.25">
      <c r="K523" s="4" t="s">
        <v>421</v>
      </c>
      <c r="L523" t="s">
        <v>422</v>
      </c>
      <c r="M523" t="s">
        <v>3274</v>
      </c>
      <c r="N523" t="s">
        <v>63</v>
      </c>
      <c r="O523" t="s">
        <v>131</v>
      </c>
      <c r="P523" t="str">
        <f t="shared" si="181"/>
        <v>[1]</v>
      </c>
      <c r="Q523">
        <f t="shared" si="182"/>
        <v>88</v>
      </c>
      <c r="R523" t="str">
        <f t="shared" si="177"/>
        <v/>
      </c>
      <c r="S523">
        <f>SUMIF(O523:$O$2855,R523,Q523:$Q$2855)</f>
        <v>0</v>
      </c>
      <c r="AP523" s="4" t="s">
        <v>472</v>
      </c>
      <c r="AQ523" t="s">
        <v>479</v>
      </c>
      <c r="AR523" t="s">
        <v>443</v>
      </c>
      <c r="AS523" t="s">
        <v>443</v>
      </c>
      <c r="AT523" t="s">
        <v>612</v>
      </c>
      <c r="AU523" t="str">
        <f t="shared" ref="AU523:AU586" si="184">VLOOKUP($AP$30,$E$1:$F$26,2,FALSE)</f>
        <v>[1]</v>
      </c>
      <c r="AV523">
        <f t="shared" si="183"/>
        <v>0</v>
      </c>
      <c r="AW523" t="str">
        <f t="shared" si="178"/>
        <v/>
      </c>
      <c r="AX523">
        <f>SUMIF(AT523:$AT$651,AW523,AV523:$AV$651)</f>
        <v>0</v>
      </c>
    </row>
    <row r="524" spans="11:50" x14ac:dyDescent="0.25">
      <c r="K524" s="4" t="s">
        <v>421</v>
      </c>
      <c r="L524" t="s">
        <v>422</v>
      </c>
      <c r="M524" t="s">
        <v>3275</v>
      </c>
      <c r="N524" t="s">
        <v>76</v>
      </c>
      <c r="O524" t="s">
        <v>131</v>
      </c>
      <c r="P524" t="str">
        <f t="shared" si="181"/>
        <v>[1]</v>
      </c>
      <c r="Q524">
        <f t="shared" si="182"/>
        <v>36</v>
      </c>
      <c r="R524" t="str">
        <f t="shared" si="177"/>
        <v/>
      </c>
      <c r="S524">
        <f>SUMIF(O524:$O$2855,R524,Q524:$Q$2855)</f>
        <v>0</v>
      </c>
      <c r="AP524" s="4" t="s">
        <v>472</v>
      </c>
      <c r="AQ524" t="s">
        <v>479</v>
      </c>
      <c r="AR524" t="s">
        <v>443</v>
      </c>
      <c r="AS524" t="s">
        <v>443</v>
      </c>
      <c r="AT524" t="s">
        <v>612</v>
      </c>
      <c r="AU524" t="str">
        <f t="shared" si="184"/>
        <v>[1]</v>
      </c>
      <c r="AV524">
        <f t="shared" si="183"/>
        <v>0</v>
      </c>
      <c r="AW524" t="str">
        <f t="shared" si="178"/>
        <v/>
      </c>
      <c r="AX524">
        <f>SUMIF(AT524:$AT$651,AW524,AV524:$AV$651)</f>
        <v>0</v>
      </c>
    </row>
    <row r="525" spans="11:50" x14ac:dyDescent="0.25">
      <c r="K525" s="4" t="s">
        <v>421</v>
      </c>
      <c r="L525" t="s">
        <v>422</v>
      </c>
      <c r="M525" t="s">
        <v>3276</v>
      </c>
      <c r="N525" t="s">
        <v>147</v>
      </c>
      <c r="O525" t="s">
        <v>131</v>
      </c>
      <c r="P525" t="str">
        <f t="shared" si="181"/>
        <v>[1]</v>
      </c>
      <c r="Q525">
        <f t="shared" si="182"/>
        <v>72</v>
      </c>
      <c r="R525" t="str">
        <f t="shared" si="177"/>
        <v/>
      </c>
      <c r="S525">
        <f>SUMIF(O525:$O$2855,R525,Q525:$Q$2855)</f>
        <v>0</v>
      </c>
      <c r="AP525" s="4" t="s">
        <v>472</v>
      </c>
      <c r="AQ525" t="s">
        <v>479</v>
      </c>
      <c r="AR525" t="s">
        <v>443</v>
      </c>
      <c r="AS525" t="s">
        <v>443</v>
      </c>
      <c r="AT525" t="s">
        <v>612</v>
      </c>
      <c r="AU525" t="str">
        <f t="shared" si="184"/>
        <v>[1]</v>
      </c>
      <c r="AV525">
        <f t="shared" si="183"/>
        <v>0</v>
      </c>
      <c r="AW525" t="str">
        <f t="shared" si="178"/>
        <v/>
      </c>
      <c r="AX525">
        <f>SUMIF(AT525:$AT$651,AW525,AV525:$AV$651)</f>
        <v>0</v>
      </c>
    </row>
    <row r="526" spans="11:50" x14ac:dyDescent="0.25">
      <c r="K526" s="4" t="s">
        <v>421</v>
      </c>
      <c r="L526" t="s">
        <v>422</v>
      </c>
      <c r="M526" t="s">
        <v>3277</v>
      </c>
      <c r="N526" t="s">
        <v>237</v>
      </c>
      <c r="O526" t="s">
        <v>131</v>
      </c>
      <c r="P526" t="str">
        <f t="shared" si="181"/>
        <v>[1]</v>
      </c>
      <c r="Q526">
        <f t="shared" si="182"/>
        <v>52</v>
      </c>
      <c r="R526" t="str">
        <f t="shared" si="177"/>
        <v/>
      </c>
      <c r="S526">
        <f>SUMIF(O526:$O$2855,R526,Q526:$Q$2855)</f>
        <v>0</v>
      </c>
      <c r="AP526" s="4" t="s">
        <v>472</v>
      </c>
      <c r="AQ526" t="s">
        <v>479</v>
      </c>
      <c r="AR526" t="s">
        <v>443</v>
      </c>
      <c r="AS526" t="s">
        <v>443</v>
      </c>
      <c r="AT526" t="s">
        <v>612</v>
      </c>
      <c r="AU526" t="str">
        <f t="shared" si="184"/>
        <v>[1]</v>
      </c>
      <c r="AV526">
        <f t="shared" si="183"/>
        <v>0</v>
      </c>
      <c r="AW526" t="str">
        <f t="shared" si="178"/>
        <v/>
      </c>
      <c r="AX526">
        <f>SUMIF(AT526:$AT$651,AW526,AV526:$AV$651)</f>
        <v>0</v>
      </c>
    </row>
    <row r="527" spans="11:50" x14ac:dyDescent="0.25">
      <c r="K527" s="4" t="s">
        <v>421</v>
      </c>
      <c r="L527" t="s">
        <v>422</v>
      </c>
      <c r="M527" t="s">
        <v>3278</v>
      </c>
      <c r="N527" t="s">
        <v>435</v>
      </c>
      <c r="O527" t="s">
        <v>131</v>
      </c>
      <c r="P527" t="str">
        <f t="shared" si="181"/>
        <v>[1]</v>
      </c>
      <c r="Q527">
        <f t="shared" si="182"/>
        <v>60</v>
      </c>
      <c r="R527" t="str">
        <f t="shared" si="177"/>
        <v/>
      </c>
      <c r="S527">
        <f>SUMIF(O527:$O$2855,R527,Q527:$Q$2855)</f>
        <v>0</v>
      </c>
      <c r="AP527" s="4" t="s">
        <v>472</v>
      </c>
      <c r="AQ527" t="s">
        <v>479</v>
      </c>
      <c r="AR527" t="s">
        <v>443</v>
      </c>
      <c r="AS527" t="s">
        <v>443</v>
      </c>
      <c r="AT527" t="s">
        <v>612</v>
      </c>
      <c r="AU527" t="str">
        <f t="shared" si="184"/>
        <v>[1]</v>
      </c>
      <c r="AV527">
        <f t="shared" si="183"/>
        <v>0</v>
      </c>
      <c r="AW527" t="str">
        <f t="shared" si="178"/>
        <v/>
      </c>
      <c r="AX527">
        <f>SUMIF(AT527:$AT$651,AW527,AV527:$AV$651)</f>
        <v>0</v>
      </c>
    </row>
    <row r="528" spans="11:50" x14ac:dyDescent="0.25">
      <c r="K528" s="4" t="s">
        <v>421</v>
      </c>
      <c r="L528" t="s">
        <v>422</v>
      </c>
      <c r="M528" t="s">
        <v>3279</v>
      </c>
      <c r="N528" t="s">
        <v>435</v>
      </c>
      <c r="O528" t="s">
        <v>131</v>
      </c>
      <c r="P528" t="str">
        <f t="shared" si="181"/>
        <v>[1]</v>
      </c>
      <c r="Q528">
        <f t="shared" si="182"/>
        <v>60</v>
      </c>
      <c r="R528" t="str">
        <f t="shared" si="177"/>
        <v/>
      </c>
      <c r="S528">
        <f>SUMIF(O528:$O$2855,R528,Q528:$Q$2855)</f>
        <v>0</v>
      </c>
      <c r="AP528" s="4" t="s">
        <v>472</v>
      </c>
      <c r="AQ528" t="s">
        <v>479</v>
      </c>
      <c r="AR528" t="s">
        <v>443</v>
      </c>
      <c r="AS528" t="s">
        <v>443</v>
      </c>
      <c r="AT528" t="s">
        <v>612</v>
      </c>
      <c r="AU528" t="str">
        <f t="shared" si="184"/>
        <v>[1]</v>
      </c>
      <c r="AV528">
        <f t="shared" ref="AV528:AV563" si="185">HEX2DEC(MID(AS528,3,LEN(AS528)-2))</f>
        <v>0</v>
      </c>
      <c r="AW528" t="str">
        <f t="shared" si="178"/>
        <v/>
      </c>
      <c r="AX528">
        <f>SUMIF(AT528:$AT$651,AW528,AV528:$AV$651)</f>
        <v>0</v>
      </c>
    </row>
    <row r="529" spans="11:50" x14ac:dyDescent="0.25">
      <c r="K529" s="4" t="s">
        <v>421</v>
      </c>
      <c r="L529" t="s">
        <v>422</v>
      </c>
      <c r="M529" t="s">
        <v>3280</v>
      </c>
      <c r="N529" t="s">
        <v>44</v>
      </c>
      <c r="O529" t="s">
        <v>131</v>
      </c>
      <c r="P529" t="str">
        <f t="shared" si="181"/>
        <v>[1]</v>
      </c>
      <c r="Q529">
        <f t="shared" si="182"/>
        <v>44</v>
      </c>
      <c r="R529" t="str">
        <f t="shared" si="177"/>
        <v/>
      </c>
      <c r="S529">
        <f>SUMIF(O529:$O$2855,R529,Q529:$Q$2855)</f>
        <v>0</v>
      </c>
      <c r="AP529" s="4" t="s">
        <v>472</v>
      </c>
      <c r="AQ529" t="s">
        <v>479</v>
      </c>
      <c r="AR529" t="s">
        <v>443</v>
      </c>
      <c r="AS529" t="s">
        <v>443</v>
      </c>
      <c r="AT529" t="s">
        <v>612</v>
      </c>
      <c r="AU529" t="str">
        <f t="shared" si="184"/>
        <v>[1]</v>
      </c>
      <c r="AV529">
        <f t="shared" si="185"/>
        <v>0</v>
      </c>
      <c r="AW529" t="str">
        <f t="shared" si="178"/>
        <v/>
      </c>
      <c r="AX529">
        <f>SUMIF(AT529:$AT$651,AW529,AV529:$AV$651)</f>
        <v>0</v>
      </c>
    </row>
    <row r="530" spans="11:50" x14ac:dyDescent="0.25">
      <c r="K530" s="4" t="s">
        <v>421</v>
      </c>
      <c r="L530" t="s">
        <v>422</v>
      </c>
      <c r="M530" t="s">
        <v>3281</v>
      </c>
      <c r="N530" t="s">
        <v>67</v>
      </c>
      <c r="O530" t="s">
        <v>131</v>
      </c>
      <c r="P530" t="str">
        <f t="shared" si="181"/>
        <v>[1]</v>
      </c>
      <c r="Q530">
        <f t="shared" si="182"/>
        <v>48</v>
      </c>
      <c r="R530" t="str">
        <f t="shared" si="177"/>
        <v/>
      </c>
      <c r="S530">
        <f>SUMIF(O530:$O$2855,R530,Q530:$Q$2855)</f>
        <v>0</v>
      </c>
      <c r="AP530" s="4" t="s">
        <v>472</v>
      </c>
      <c r="AQ530" t="s">
        <v>479</v>
      </c>
      <c r="AR530" t="s">
        <v>443</v>
      </c>
      <c r="AS530" t="s">
        <v>443</v>
      </c>
      <c r="AT530" t="s">
        <v>612</v>
      </c>
      <c r="AU530" t="str">
        <f t="shared" si="184"/>
        <v>[1]</v>
      </c>
      <c r="AV530">
        <f t="shared" si="185"/>
        <v>0</v>
      </c>
      <c r="AW530" t="str">
        <f t="shared" si="178"/>
        <v/>
      </c>
      <c r="AX530">
        <f>SUMIF(AT530:$AT$651,AW530,AV530:$AV$651)</f>
        <v>0</v>
      </c>
    </row>
    <row r="531" spans="11:50" x14ac:dyDescent="0.25">
      <c r="K531" s="4" t="s">
        <v>421</v>
      </c>
      <c r="L531" t="s">
        <v>422</v>
      </c>
      <c r="M531" t="s">
        <v>3282</v>
      </c>
      <c r="N531" t="s">
        <v>76</v>
      </c>
      <c r="O531" t="s">
        <v>131</v>
      </c>
      <c r="P531" t="str">
        <f t="shared" si="181"/>
        <v>[1]</v>
      </c>
      <c r="Q531">
        <f t="shared" si="182"/>
        <v>36</v>
      </c>
      <c r="R531" t="str">
        <f t="shared" si="177"/>
        <v/>
      </c>
      <c r="S531">
        <f>SUMIF(O531:$O$2855,R531,Q531:$Q$2855)</f>
        <v>0</v>
      </c>
      <c r="AP531" s="4" t="s">
        <v>472</v>
      </c>
      <c r="AQ531" t="s">
        <v>479</v>
      </c>
      <c r="AR531" t="s">
        <v>443</v>
      </c>
      <c r="AS531" t="s">
        <v>443</v>
      </c>
      <c r="AT531" t="s">
        <v>612</v>
      </c>
      <c r="AU531" t="str">
        <f t="shared" si="184"/>
        <v>[1]</v>
      </c>
      <c r="AV531">
        <f t="shared" si="185"/>
        <v>0</v>
      </c>
      <c r="AW531" t="str">
        <f t="shared" si="178"/>
        <v/>
      </c>
      <c r="AX531">
        <f>SUMIF(AT531:$AT$651,AW531,AV531:$AV$651)</f>
        <v>0</v>
      </c>
    </row>
    <row r="532" spans="11:50" x14ac:dyDescent="0.25">
      <c r="K532" s="4" t="s">
        <v>421</v>
      </c>
      <c r="L532" t="s">
        <v>422</v>
      </c>
      <c r="M532" t="s">
        <v>3283</v>
      </c>
      <c r="N532" t="s">
        <v>89</v>
      </c>
      <c r="O532" t="s">
        <v>131</v>
      </c>
      <c r="P532" t="str">
        <f t="shared" si="181"/>
        <v>[1]</v>
      </c>
      <c r="Q532">
        <f t="shared" si="182"/>
        <v>76</v>
      </c>
      <c r="R532" t="str">
        <f t="shared" si="177"/>
        <v/>
      </c>
      <c r="S532">
        <f>SUMIF(O532:$O$2855,R532,Q532:$Q$2855)</f>
        <v>0</v>
      </c>
      <c r="AP532" s="4" t="s">
        <v>472</v>
      </c>
      <c r="AQ532" t="s">
        <v>479</v>
      </c>
      <c r="AR532" t="s">
        <v>443</v>
      </c>
      <c r="AS532" t="s">
        <v>443</v>
      </c>
      <c r="AT532" t="s">
        <v>612</v>
      </c>
      <c r="AU532" t="str">
        <f t="shared" si="184"/>
        <v>[1]</v>
      </c>
      <c r="AV532">
        <f t="shared" si="185"/>
        <v>0</v>
      </c>
      <c r="AW532" t="str">
        <f t="shared" si="178"/>
        <v/>
      </c>
      <c r="AX532">
        <f>SUMIF(AT532:$AT$651,AW532,AV532:$AV$651)</f>
        <v>0</v>
      </c>
    </row>
    <row r="533" spans="11:50" x14ac:dyDescent="0.25">
      <c r="K533" s="4" t="s">
        <v>421</v>
      </c>
      <c r="L533" t="s">
        <v>422</v>
      </c>
      <c r="M533" t="s">
        <v>3284</v>
      </c>
      <c r="N533" t="s">
        <v>435</v>
      </c>
      <c r="O533" t="s">
        <v>131</v>
      </c>
      <c r="P533" t="str">
        <f t="shared" si="181"/>
        <v>[1]</v>
      </c>
      <c r="Q533">
        <f t="shared" si="182"/>
        <v>60</v>
      </c>
      <c r="R533" t="str">
        <f t="shared" si="177"/>
        <v/>
      </c>
      <c r="S533">
        <f>SUMIF(O533:$O$2855,R533,Q533:$Q$2855)</f>
        <v>0</v>
      </c>
      <c r="AP533" s="4" t="s">
        <v>472</v>
      </c>
      <c r="AQ533" t="s">
        <v>479</v>
      </c>
      <c r="AR533" t="s">
        <v>443</v>
      </c>
      <c r="AS533" t="s">
        <v>443</v>
      </c>
      <c r="AT533" t="s">
        <v>612</v>
      </c>
      <c r="AU533" t="str">
        <f t="shared" si="184"/>
        <v>[1]</v>
      </c>
      <c r="AV533">
        <f t="shared" si="185"/>
        <v>0</v>
      </c>
      <c r="AW533" t="str">
        <f t="shared" si="178"/>
        <v/>
      </c>
      <c r="AX533">
        <f>SUMIF(AT533:$AT$651,AW533,AV533:$AV$651)</f>
        <v>0</v>
      </c>
    </row>
    <row r="534" spans="11:50" x14ac:dyDescent="0.25">
      <c r="K534" s="4" t="s">
        <v>421</v>
      </c>
      <c r="L534" t="s">
        <v>422</v>
      </c>
      <c r="M534" t="s">
        <v>3285</v>
      </c>
      <c r="N534" t="s">
        <v>435</v>
      </c>
      <c r="O534" t="s">
        <v>131</v>
      </c>
      <c r="P534" t="str">
        <f t="shared" si="181"/>
        <v>[1]</v>
      </c>
      <c r="Q534">
        <f t="shared" si="182"/>
        <v>60</v>
      </c>
      <c r="R534" t="str">
        <f t="shared" si="177"/>
        <v/>
      </c>
      <c r="S534">
        <f>SUMIF(O534:$O$2855,R534,Q534:$Q$2855)</f>
        <v>0</v>
      </c>
      <c r="AP534" s="4" t="s">
        <v>472</v>
      </c>
      <c r="AQ534" t="s">
        <v>479</v>
      </c>
      <c r="AR534" t="s">
        <v>443</v>
      </c>
      <c r="AS534" t="s">
        <v>443</v>
      </c>
      <c r="AT534" t="s">
        <v>612</v>
      </c>
      <c r="AU534" t="str">
        <f t="shared" si="184"/>
        <v>[1]</v>
      </c>
      <c r="AV534">
        <f t="shared" si="185"/>
        <v>0</v>
      </c>
      <c r="AW534" t="str">
        <f t="shared" si="178"/>
        <v/>
      </c>
      <c r="AX534">
        <f>SUMIF(AT534:$AT$651,AW534,AV534:$AV$651)</f>
        <v>0</v>
      </c>
    </row>
    <row r="535" spans="11:50" x14ac:dyDescent="0.25">
      <c r="K535" s="4" t="s">
        <v>421</v>
      </c>
      <c r="L535" t="s">
        <v>422</v>
      </c>
      <c r="M535" t="s">
        <v>3286</v>
      </c>
      <c r="N535" t="s">
        <v>76</v>
      </c>
      <c r="O535" t="s">
        <v>131</v>
      </c>
      <c r="P535" t="str">
        <f t="shared" si="181"/>
        <v>[1]</v>
      </c>
      <c r="Q535">
        <f t="shared" si="182"/>
        <v>36</v>
      </c>
      <c r="R535" t="str">
        <f t="shared" si="177"/>
        <v/>
      </c>
      <c r="S535">
        <f>SUMIF(O535:$O$2855,R535,Q535:$Q$2855)</f>
        <v>0</v>
      </c>
      <c r="AP535" s="4" t="s">
        <v>472</v>
      </c>
      <c r="AQ535" t="s">
        <v>479</v>
      </c>
      <c r="AR535" t="s">
        <v>443</v>
      </c>
      <c r="AS535" t="s">
        <v>443</v>
      </c>
      <c r="AT535" t="s">
        <v>612</v>
      </c>
      <c r="AU535" t="str">
        <f t="shared" si="184"/>
        <v>[1]</v>
      </c>
      <c r="AV535">
        <f t="shared" si="185"/>
        <v>0</v>
      </c>
      <c r="AW535" t="str">
        <f t="shared" si="178"/>
        <v/>
      </c>
      <c r="AX535">
        <f>SUMIF(AT535:$AT$651,AW535,AV535:$AV$651)</f>
        <v>0</v>
      </c>
    </row>
    <row r="536" spans="11:50" x14ac:dyDescent="0.25">
      <c r="K536" s="4" t="s">
        <v>421</v>
      </c>
      <c r="L536" t="s">
        <v>422</v>
      </c>
      <c r="M536" t="s">
        <v>3287</v>
      </c>
      <c r="N536" t="s">
        <v>237</v>
      </c>
      <c r="O536" t="s">
        <v>131</v>
      </c>
      <c r="P536" t="str">
        <f t="shared" si="181"/>
        <v>[1]</v>
      </c>
      <c r="Q536">
        <f t="shared" si="182"/>
        <v>52</v>
      </c>
      <c r="R536" t="str">
        <f t="shared" si="177"/>
        <v/>
      </c>
      <c r="S536">
        <f>SUMIF(O536:$O$2855,R536,Q536:$Q$2855)</f>
        <v>0</v>
      </c>
      <c r="AP536" s="4" t="s">
        <v>472</v>
      </c>
      <c r="AQ536" t="s">
        <v>479</v>
      </c>
      <c r="AR536" t="s">
        <v>443</v>
      </c>
      <c r="AS536" t="s">
        <v>443</v>
      </c>
      <c r="AT536" t="s">
        <v>612</v>
      </c>
      <c r="AU536" t="str">
        <f t="shared" si="184"/>
        <v>[1]</v>
      </c>
      <c r="AV536">
        <f t="shared" si="185"/>
        <v>0</v>
      </c>
      <c r="AW536" t="str">
        <f t="shared" si="178"/>
        <v/>
      </c>
      <c r="AX536">
        <f>SUMIF(AT536:$AT$651,AW536,AV536:$AV$651)</f>
        <v>0</v>
      </c>
    </row>
    <row r="537" spans="11:50" x14ac:dyDescent="0.25">
      <c r="K537" s="4" t="s">
        <v>421</v>
      </c>
      <c r="L537" t="s">
        <v>422</v>
      </c>
      <c r="M537" t="s">
        <v>3288</v>
      </c>
      <c r="N537" t="s">
        <v>190</v>
      </c>
      <c r="O537" t="s">
        <v>131</v>
      </c>
      <c r="P537" t="str">
        <f t="shared" si="181"/>
        <v>[1]</v>
      </c>
      <c r="Q537">
        <f t="shared" si="182"/>
        <v>56</v>
      </c>
      <c r="R537" t="str">
        <f t="shared" si="177"/>
        <v/>
      </c>
      <c r="S537">
        <f>SUMIF(O537:$O$2855,R537,Q537:$Q$2855)</f>
        <v>0</v>
      </c>
      <c r="AP537" s="4" t="s">
        <v>472</v>
      </c>
      <c r="AQ537" t="s">
        <v>479</v>
      </c>
      <c r="AR537" t="s">
        <v>443</v>
      </c>
      <c r="AS537" t="s">
        <v>443</v>
      </c>
      <c r="AT537" t="s">
        <v>612</v>
      </c>
      <c r="AU537" t="str">
        <f t="shared" si="184"/>
        <v>[1]</v>
      </c>
      <c r="AV537">
        <f t="shared" si="185"/>
        <v>0</v>
      </c>
      <c r="AW537" t="str">
        <f t="shared" si="178"/>
        <v/>
      </c>
      <c r="AX537">
        <f>SUMIF(AT537:$AT$651,AW537,AV537:$AV$651)</f>
        <v>0</v>
      </c>
    </row>
    <row r="538" spans="11:50" x14ac:dyDescent="0.25">
      <c r="K538" s="4" t="s">
        <v>421</v>
      </c>
      <c r="L538" t="s">
        <v>422</v>
      </c>
      <c r="M538" t="s">
        <v>3289</v>
      </c>
      <c r="N538" t="s">
        <v>237</v>
      </c>
      <c r="O538" t="s">
        <v>131</v>
      </c>
      <c r="P538" t="str">
        <f t="shared" si="181"/>
        <v>[1]</v>
      </c>
      <c r="Q538">
        <f t="shared" si="182"/>
        <v>52</v>
      </c>
      <c r="R538" t="str">
        <f t="shared" si="177"/>
        <v/>
      </c>
      <c r="S538">
        <f>SUMIF(O538:$O$2855,R538,Q538:$Q$2855)</f>
        <v>0</v>
      </c>
      <c r="AP538" s="4" t="s">
        <v>472</v>
      </c>
      <c r="AQ538" t="s">
        <v>479</v>
      </c>
      <c r="AR538" t="s">
        <v>443</v>
      </c>
      <c r="AS538" t="s">
        <v>443</v>
      </c>
      <c r="AT538" t="s">
        <v>612</v>
      </c>
      <c r="AU538" t="str">
        <f t="shared" si="184"/>
        <v>[1]</v>
      </c>
      <c r="AV538">
        <f t="shared" si="185"/>
        <v>0</v>
      </c>
      <c r="AW538" t="str">
        <f t="shared" si="178"/>
        <v/>
      </c>
      <c r="AX538">
        <f>SUMIF(AT538:$AT$651,AW538,AV538:$AV$651)</f>
        <v>0</v>
      </c>
    </row>
    <row r="539" spans="11:50" x14ac:dyDescent="0.25">
      <c r="K539" s="4" t="s">
        <v>421</v>
      </c>
      <c r="L539" t="s">
        <v>422</v>
      </c>
      <c r="M539" t="s">
        <v>3290</v>
      </c>
      <c r="N539" t="s">
        <v>44</v>
      </c>
      <c r="O539" t="s">
        <v>131</v>
      </c>
      <c r="P539" t="str">
        <f t="shared" si="181"/>
        <v>[1]</v>
      </c>
      <c r="Q539">
        <f t="shared" si="182"/>
        <v>44</v>
      </c>
      <c r="R539" t="str">
        <f t="shared" si="177"/>
        <v/>
      </c>
      <c r="S539">
        <f>SUMIF(O539:$O$2855,R539,Q539:$Q$2855)</f>
        <v>0</v>
      </c>
      <c r="AP539" s="4" t="s">
        <v>472</v>
      </c>
      <c r="AQ539" t="s">
        <v>479</v>
      </c>
      <c r="AR539" t="s">
        <v>443</v>
      </c>
      <c r="AS539" t="s">
        <v>443</v>
      </c>
      <c r="AT539" t="s">
        <v>612</v>
      </c>
      <c r="AU539" t="str">
        <f t="shared" si="184"/>
        <v>[1]</v>
      </c>
      <c r="AV539">
        <f t="shared" si="185"/>
        <v>0</v>
      </c>
      <c r="AW539" t="str">
        <f t="shared" si="178"/>
        <v/>
      </c>
      <c r="AX539">
        <f>SUMIF(AT539:$AT$651,AW539,AV539:$AV$651)</f>
        <v>0</v>
      </c>
    </row>
    <row r="540" spans="11:50" x14ac:dyDescent="0.25">
      <c r="K540" s="4" t="s">
        <v>421</v>
      </c>
      <c r="L540" t="s">
        <v>422</v>
      </c>
      <c r="M540" t="s">
        <v>1882</v>
      </c>
      <c r="N540" t="s">
        <v>119</v>
      </c>
      <c r="O540" t="s">
        <v>131</v>
      </c>
      <c r="P540" t="str">
        <f t="shared" si="181"/>
        <v>[1]</v>
      </c>
      <c r="Q540">
        <f t="shared" si="182"/>
        <v>32</v>
      </c>
      <c r="R540" t="str">
        <f t="shared" si="177"/>
        <v/>
      </c>
      <c r="S540">
        <f>SUMIF(O540:$O$2855,R540,Q540:$Q$2855)</f>
        <v>0</v>
      </c>
      <c r="AP540" s="4" t="s">
        <v>472</v>
      </c>
      <c r="AQ540" t="s">
        <v>479</v>
      </c>
      <c r="AR540" t="s">
        <v>443</v>
      </c>
      <c r="AS540" t="s">
        <v>443</v>
      </c>
      <c r="AT540" t="s">
        <v>612</v>
      </c>
      <c r="AU540" t="str">
        <f t="shared" si="184"/>
        <v>[1]</v>
      </c>
      <c r="AV540">
        <f t="shared" si="185"/>
        <v>0</v>
      </c>
      <c r="AW540" t="str">
        <f t="shared" si="178"/>
        <v/>
      </c>
      <c r="AX540">
        <f>SUMIF(AT540:$AT$651,AW540,AV540:$AV$651)</f>
        <v>0</v>
      </c>
    </row>
    <row r="541" spans="11:50" x14ac:dyDescent="0.25">
      <c r="K541" s="4" t="s">
        <v>421</v>
      </c>
      <c r="L541" t="s">
        <v>422</v>
      </c>
      <c r="M541" t="s">
        <v>3291</v>
      </c>
      <c r="N541" t="s">
        <v>89</v>
      </c>
      <c r="O541" t="s">
        <v>131</v>
      </c>
      <c r="P541" t="str">
        <f t="shared" si="181"/>
        <v>[1]</v>
      </c>
      <c r="Q541">
        <f t="shared" si="182"/>
        <v>76</v>
      </c>
      <c r="R541" t="str">
        <f t="shared" si="177"/>
        <v/>
      </c>
      <c r="S541">
        <f>SUMIF(O541:$O$2855,R541,Q541:$Q$2855)</f>
        <v>0</v>
      </c>
      <c r="AP541" s="4" t="s">
        <v>472</v>
      </c>
      <c r="AQ541" t="s">
        <v>479</v>
      </c>
      <c r="AR541" t="s">
        <v>443</v>
      </c>
      <c r="AS541" t="s">
        <v>443</v>
      </c>
      <c r="AT541" t="s">
        <v>612</v>
      </c>
      <c r="AU541" t="str">
        <f t="shared" si="184"/>
        <v>[1]</v>
      </c>
      <c r="AV541">
        <f t="shared" si="185"/>
        <v>0</v>
      </c>
      <c r="AW541" t="str">
        <f t="shared" si="178"/>
        <v/>
      </c>
      <c r="AX541">
        <f>SUMIF(AT541:$AT$651,AW541,AV541:$AV$651)</f>
        <v>0</v>
      </c>
    </row>
    <row r="542" spans="11:50" x14ac:dyDescent="0.25">
      <c r="K542" s="4" t="s">
        <v>421</v>
      </c>
      <c r="L542" t="s">
        <v>422</v>
      </c>
      <c r="M542" t="s">
        <v>3292</v>
      </c>
      <c r="N542" t="s">
        <v>435</v>
      </c>
      <c r="O542" t="s">
        <v>131</v>
      </c>
      <c r="P542" t="str">
        <f t="shared" si="181"/>
        <v>[1]</v>
      </c>
      <c r="Q542">
        <f t="shared" si="182"/>
        <v>60</v>
      </c>
      <c r="R542" t="str">
        <f t="shared" si="177"/>
        <v/>
      </c>
      <c r="S542">
        <f>SUMIF(O542:$O$2855,R542,Q542:$Q$2855)</f>
        <v>0</v>
      </c>
      <c r="AP542" s="4" t="s">
        <v>472</v>
      </c>
      <c r="AQ542" t="s">
        <v>479</v>
      </c>
      <c r="AR542" t="s">
        <v>443</v>
      </c>
      <c r="AS542" t="s">
        <v>443</v>
      </c>
      <c r="AT542" t="s">
        <v>612</v>
      </c>
      <c r="AU542" t="str">
        <f t="shared" si="184"/>
        <v>[1]</v>
      </c>
      <c r="AV542">
        <f t="shared" si="185"/>
        <v>0</v>
      </c>
      <c r="AW542" t="str">
        <f t="shared" si="178"/>
        <v/>
      </c>
      <c r="AX542">
        <f>SUMIF(AT542:$AT$651,AW542,AV542:$AV$651)</f>
        <v>0</v>
      </c>
    </row>
    <row r="543" spans="11:50" x14ac:dyDescent="0.25">
      <c r="K543" s="4" t="s">
        <v>421</v>
      </c>
      <c r="L543" t="s">
        <v>422</v>
      </c>
      <c r="M543" t="s">
        <v>3293</v>
      </c>
      <c r="N543" t="s">
        <v>237</v>
      </c>
      <c r="O543" t="s">
        <v>131</v>
      </c>
      <c r="P543" t="str">
        <f t="shared" si="181"/>
        <v>[1]</v>
      </c>
      <c r="Q543">
        <f t="shared" si="182"/>
        <v>52</v>
      </c>
      <c r="R543" t="str">
        <f t="shared" si="177"/>
        <v/>
      </c>
      <c r="S543">
        <f>SUMIF(O543:$O$2855,R543,Q543:$Q$2855)</f>
        <v>0</v>
      </c>
      <c r="AP543" s="4" t="s">
        <v>472</v>
      </c>
      <c r="AQ543" t="s">
        <v>479</v>
      </c>
      <c r="AR543" t="s">
        <v>443</v>
      </c>
      <c r="AS543" t="s">
        <v>443</v>
      </c>
      <c r="AT543" t="s">
        <v>612</v>
      </c>
      <c r="AU543" t="str">
        <f t="shared" si="184"/>
        <v>[1]</v>
      </c>
      <c r="AV543">
        <f t="shared" si="185"/>
        <v>0</v>
      </c>
      <c r="AW543" t="str">
        <f t="shared" si="178"/>
        <v/>
      </c>
      <c r="AX543">
        <f>SUMIF(AT543:$AT$651,AW543,AV543:$AV$651)</f>
        <v>0</v>
      </c>
    </row>
    <row r="544" spans="11:50" x14ac:dyDescent="0.25">
      <c r="K544" s="4" t="s">
        <v>421</v>
      </c>
      <c r="L544" t="s">
        <v>422</v>
      </c>
      <c r="M544" t="s">
        <v>3294</v>
      </c>
      <c r="N544" t="s">
        <v>190</v>
      </c>
      <c r="O544" t="s">
        <v>131</v>
      </c>
      <c r="P544" t="str">
        <f t="shared" si="181"/>
        <v>[1]</v>
      </c>
      <c r="Q544">
        <f t="shared" si="182"/>
        <v>56</v>
      </c>
      <c r="R544" t="str">
        <f t="shared" ref="R544:R607" si="186">IF(O544&lt;&gt;O543,O544,"")</f>
        <v/>
      </c>
      <c r="S544">
        <f>SUMIF(O544:$O$2855,R544,Q544:$Q$2855)</f>
        <v>0</v>
      </c>
      <c r="AP544" s="4" t="s">
        <v>472</v>
      </c>
      <c r="AQ544" t="s">
        <v>479</v>
      </c>
      <c r="AR544" t="s">
        <v>443</v>
      </c>
      <c r="AS544" t="s">
        <v>443</v>
      </c>
      <c r="AT544" t="s">
        <v>612</v>
      </c>
      <c r="AU544" t="str">
        <f t="shared" si="184"/>
        <v>[1]</v>
      </c>
      <c r="AV544">
        <f t="shared" si="185"/>
        <v>0</v>
      </c>
      <c r="AW544" t="str">
        <f t="shared" ref="AW544:AW607" si="187">IF(AT544&lt;&gt;AT543,AT544,"")</f>
        <v/>
      </c>
      <c r="AX544">
        <f>SUMIF(AT544:$AT$651,AW544,AV544:$AV$651)</f>
        <v>0</v>
      </c>
    </row>
    <row r="545" spans="11:50" x14ac:dyDescent="0.25">
      <c r="K545" s="4" t="s">
        <v>421</v>
      </c>
      <c r="L545" t="s">
        <v>422</v>
      </c>
      <c r="M545" t="s">
        <v>3295</v>
      </c>
      <c r="N545" t="s">
        <v>44</v>
      </c>
      <c r="O545" t="s">
        <v>131</v>
      </c>
      <c r="P545" t="str">
        <f t="shared" si="181"/>
        <v>[1]</v>
      </c>
      <c r="Q545">
        <f t="shared" si="182"/>
        <v>44</v>
      </c>
      <c r="R545" t="str">
        <f t="shared" si="186"/>
        <v/>
      </c>
      <c r="S545">
        <f>SUMIF(O545:$O$2855,R545,Q545:$Q$2855)</f>
        <v>0</v>
      </c>
      <c r="AP545" s="4" t="s">
        <v>472</v>
      </c>
      <c r="AQ545" t="s">
        <v>479</v>
      </c>
      <c r="AR545" t="s">
        <v>443</v>
      </c>
      <c r="AS545" t="s">
        <v>443</v>
      </c>
      <c r="AT545" t="s">
        <v>612</v>
      </c>
      <c r="AU545" t="str">
        <f t="shared" si="184"/>
        <v>[1]</v>
      </c>
      <c r="AV545">
        <f t="shared" si="185"/>
        <v>0</v>
      </c>
      <c r="AW545" t="str">
        <f t="shared" si="187"/>
        <v/>
      </c>
      <c r="AX545">
        <f>SUMIF(AT545:$AT$651,AW545,AV545:$AV$651)</f>
        <v>0</v>
      </c>
    </row>
    <row r="546" spans="11:50" x14ac:dyDescent="0.25">
      <c r="K546" s="4" t="s">
        <v>421</v>
      </c>
      <c r="L546" t="s">
        <v>422</v>
      </c>
      <c r="M546" t="s">
        <v>3296</v>
      </c>
      <c r="N546" t="s">
        <v>76</v>
      </c>
      <c r="O546" t="s">
        <v>131</v>
      </c>
      <c r="P546" t="str">
        <f t="shared" si="181"/>
        <v>[1]</v>
      </c>
      <c r="Q546">
        <f t="shared" si="182"/>
        <v>36</v>
      </c>
      <c r="R546" t="str">
        <f t="shared" si="186"/>
        <v/>
      </c>
      <c r="S546">
        <f>SUMIF(O546:$O$2855,R546,Q546:$Q$2855)</f>
        <v>0</v>
      </c>
      <c r="AP546" s="4" t="s">
        <v>472</v>
      </c>
      <c r="AQ546" t="s">
        <v>479</v>
      </c>
      <c r="AR546" t="s">
        <v>443</v>
      </c>
      <c r="AS546" t="s">
        <v>443</v>
      </c>
      <c r="AT546" t="s">
        <v>612</v>
      </c>
      <c r="AU546" t="str">
        <f t="shared" si="184"/>
        <v>[1]</v>
      </c>
      <c r="AV546">
        <f t="shared" si="185"/>
        <v>0</v>
      </c>
      <c r="AW546" t="str">
        <f t="shared" si="187"/>
        <v/>
      </c>
      <c r="AX546">
        <f>SUMIF(AT546:$AT$651,AW546,AV546:$AV$651)</f>
        <v>0</v>
      </c>
    </row>
    <row r="547" spans="11:50" x14ac:dyDescent="0.25">
      <c r="K547" s="4" t="s">
        <v>421</v>
      </c>
      <c r="L547" t="s">
        <v>422</v>
      </c>
      <c r="M547" t="s">
        <v>3297</v>
      </c>
      <c r="N547" t="s">
        <v>6</v>
      </c>
      <c r="O547" t="s">
        <v>131</v>
      </c>
      <c r="P547" t="str">
        <f t="shared" si="181"/>
        <v>[1]</v>
      </c>
      <c r="Q547">
        <f t="shared" si="182"/>
        <v>28</v>
      </c>
      <c r="R547" t="str">
        <f t="shared" si="186"/>
        <v/>
      </c>
      <c r="S547">
        <f>SUMIF(O547:$O$2855,R547,Q547:$Q$2855)</f>
        <v>0</v>
      </c>
      <c r="AP547" s="4" t="s">
        <v>472</v>
      </c>
      <c r="AQ547" t="s">
        <v>479</v>
      </c>
      <c r="AR547" t="s">
        <v>443</v>
      </c>
      <c r="AS547" t="s">
        <v>443</v>
      </c>
      <c r="AT547" t="s">
        <v>612</v>
      </c>
      <c r="AU547" t="str">
        <f t="shared" si="184"/>
        <v>[1]</v>
      </c>
      <c r="AV547">
        <f t="shared" si="185"/>
        <v>0</v>
      </c>
      <c r="AW547" t="str">
        <f t="shared" si="187"/>
        <v/>
      </c>
      <c r="AX547">
        <f>SUMIF(AT547:$AT$651,AW547,AV547:$AV$651)</f>
        <v>0</v>
      </c>
    </row>
    <row r="548" spans="11:50" x14ac:dyDescent="0.25">
      <c r="K548" s="4" t="s">
        <v>421</v>
      </c>
      <c r="L548" t="s">
        <v>422</v>
      </c>
      <c r="M548" t="s">
        <v>3298</v>
      </c>
      <c r="N548" t="s">
        <v>147</v>
      </c>
      <c r="O548" t="s">
        <v>131</v>
      </c>
      <c r="P548" t="str">
        <f t="shared" si="181"/>
        <v>[1]</v>
      </c>
      <c r="Q548">
        <f t="shared" si="182"/>
        <v>72</v>
      </c>
      <c r="R548" t="str">
        <f t="shared" si="186"/>
        <v/>
      </c>
      <c r="S548">
        <f>SUMIF(O548:$O$2855,R548,Q548:$Q$2855)</f>
        <v>0</v>
      </c>
      <c r="AP548" s="4" t="s">
        <v>472</v>
      </c>
      <c r="AQ548" t="s">
        <v>479</v>
      </c>
      <c r="AR548" t="s">
        <v>443</v>
      </c>
      <c r="AS548" t="s">
        <v>443</v>
      </c>
      <c r="AT548" t="s">
        <v>612</v>
      </c>
      <c r="AU548" t="str">
        <f t="shared" si="184"/>
        <v>[1]</v>
      </c>
      <c r="AV548">
        <f t="shared" si="185"/>
        <v>0</v>
      </c>
      <c r="AW548" t="str">
        <f t="shared" si="187"/>
        <v/>
      </c>
      <c r="AX548">
        <f>SUMIF(AT548:$AT$651,AW548,AV548:$AV$651)</f>
        <v>0</v>
      </c>
    </row>
    <row r="549" spans="11:50" x14ac:dyDescent="0.25">
      <c r="K549" s="4" t="s">
        <v>421</v>
      </c>
      <c r="L549" t="s">
        <v>422</v>
      </c>
      <c r="M549" t="s">
        <v>3299</v>
      </c>
      <c r="N549" t="s">
        <v>190</v>
      </c>
      <c r="O549" t="s">
        <v>131</v>
      </c>
      <c r="P549" t="str">
        <f t="shared" si="181"/>
        <v>[1]</v>
      </c>
      <c r="Q549">
        <f t="shared" si="182"/>
        <v>56</v>
      </c>
      <c r="R549" t="str">
        <f t="shared" si="186"/>
        <v/>
      </c>
      <c r="S549">
        <f>SUMIF(O549:$O$2855,R549,Q549:$Q$2855)</f>
        <v>0</v>
      </c>
      <c r="AP549" s="4" t="s">
        <v>472</v>
      </c>
      <c r="AQ549" t="s">
        <v>479</v>
      </c>
      <c r="AR549" t="s">
        <v>443</v>
      </c>
      <c r="AS549" t="s">
        <v>443</v>
      </c>
      <c r="AT549" t="s">
        <v>612</v>
      </c>
      <c r="AU549" t="str">
        <f t="shared" si="184"/>
        <v>[1]</v>
      </c>
      <c r="AV549">
        <f t="shared" si="185"/>
        <v>0</v>
      </c>
      <c r="AW549" t="str">
        <f t="shared" si="187"/>
        <v/>
      </c>
      <c r="AX549">
        <f>SUMIF(AT549:$AT$651,AW549,AV549:$AV$651)</f>
        <v>0</v>
      </c>
    </row>
    <row r="550" spans="11:50" x14ac:dyDescent="0.25">
      <c r="K550" s="4" t="s">
        <v>421</v>
      </c>
      <c r="L550" t="s">
        <v>422</v>
      </c>
      <c r="M550" t="s">
        <v>3300</v>
      </c>
      <c r="N550" t="s">
        <v>67</v>
      </c>
      <c r="O550" t="s">
        <v>131</v>
      </c>
      <c r="P550" t="str">
        <f t="shared" si="181"/>
        <v>[1]</v>
      </c>
      <c r="Q550">
        <f t="shared" si="182"/>
        <v>48</v>
      </c>
      <c r="R550" t="str">
        <f t="shared" si="186"/>
        <v/>
      </c>
      <c r="S550">
        <f>SUMIF(O550:$O$2855,R550,Q550:$Q$2855)</f>
        <v>0</v>
      </c>
      <c r="AP550" s="4" t="s">
        <v>472</v>
      </c>
      <c r="AQ550" t="s">
        <v>479</v>
      </c>
      <c r="AR550" t="s">
        <v>443</v>
      </c>
      <c r="AS550" t="s">
        <v>443</v>
      </c>
      <c r="AT550" t="s">
        <v>612</v>
      </c>
      <c r="AU550" t="str">
        <f t="shared" si="184"/>
        <v>[1]</v>
      </c>
      <c r="AV550">
        <f t="shared" si="185"/>
        <v>0</v>
      </c>
      <c r="AW550" t="str">
        <f t="shared" si="187"/>
        <v/>
      </c>
      <c r="AX550">
        <f>SUMIF(AT550:$AT$651,AW550,AV550:$AV$651)</f>
        <v>0</v>
      </c>
    </row>
    <row r="551" spans="11:50" x14ac:dyDescent="0.25">
      <c r="K551" s="4" t="s">
        <v>421</v>
      </c>
      <c r="L551" t="s">
        <v>422</v>
      </c>
      <c r="M551" t="s">
        <v>3301</v>
      </c>
      <c r="N551" t="s">
        <v>67</v>
      </c>
      <c r="O551" t="s">
        <v>131</v>
      </c>
      <c r="P551" t="str">
        <f t="shared" si="181"/>
        <v>[1]</v>
      </c>
      <c r="Q551">
        <f t="shared" si="182"/>
        <v>48</v>
      </c>
      <c r="R551" t="str">
        <f t="shared" si="186"/>
        <v/>
      </c>
      <c r="S551">
        <f>SUMIF(O551:$O$2855,R551,Q551:$Q$2855)</f>
        <v>0</v>
      </c>
      <c r="AP551" s="4" t="s">
        <v>472</v>
      </c>
      <c r="AQ551" t="s">
        <v>479</v>
      </c>
      <c r="AR551" t="s">
        <v>443</v>
      </c>
      <c r="AS551" t="s">
        <v>443</v>
      </c>
      <c r="AT551" t="s">
        <v>612</v>
      </c>
      <c r="AU551" t="str">
        <f t="shared" si="184"/>
        <v>[1]</v>
      </c>
      <c r="AV551">
        <f t="shared" si="185"/>
        <v>0</v>
      </c>
      <c r="AW551" t="str">
        <f t="shared" si="187"/>
        <v/>
      </c>
      <c r="AX551">
        <f>SUMIF(AT551:$AT$651,AW551,AV551:$AV$651)</f>
        <v>0</v>
      </c>
    </row>
    <row r="552" spans="11:50" x14ac:dyDescent="0.25">
      <c r="K552" s="4" t="s">
        <v>421</v>
      </c>
      <c r="L552" t="s">
        <v>422</v>
      </c>
      <c r="M552" t="s">
        <v>3302</v>
      </c>
      <c r="N552" t="s">
        <v>407</v>
      </c>
      <c r="O552" t="s">
        <v>131</v>
      </c>
      <c r="P552" t="str">
        <f t="shared" si="181"/>
        <v>[1]</v>
      </c>
      <c r="Q552">
        <f t="shared" si="182"/>
        <v>112</v>
      </c>
      <c r="R552" t="str">
        <f t="shared" si="186"/>
        <v/>
      </c>
      <c r="S552">
        <f>SUMIF(O552:$O$2855,R552,Q552:$Q$2855)</f>
        <v>0</v>
      </c>
      <c r="AP552" s="4" t="s">
        <v>472</v>
      </c>
      <c r="AQ552" t="s">
        <v>479</v>
      </c>
      <c r="AR552" t="s">
        <v>443</v>
      </c>
      <c r="AS552" t="s">
        <v>443</v>
      </c>
      <c r="AT552" t="s">
        <v>612</v>
      </c>
      <c r="AU552" t="str">
        <f t="shared" si="184"/>
        <v>[1]</v>
      </c>
      <c r="AV552">
        <f t="shared" si="185"/>
        <v>0</v>
      </c>
      <c r="AW552" t="str">
        <f t="shared" si="187"/>
        <v/>
      </c>
      <c r="AX552">
        <f>SUMIF(AT552:$AT$651,AW552,AV552:$AV$651)</f>
        <v>0</v>
      </c>
    </row>
    <row r="553" spans="11:50" x14ac:dyDescent="0.25">
      <c r="K553" s="4" t="s">
        <v>421</v>
      </c>
      <c r="L553" t="s">
        <v>422</v>
      </c>
      <c r="M553" t="s">
        <v>3303</v>
      </c>
      <c r="N553" t="s">
        <v>250</v>
      </c>
      <c r="O553" t="s">
        <v>131</v>
      </c>
      <c r="P553" t="str">
        <f t="shared" si="181"/>
        <v>[1]</v>
      </c>
      <c r="Q553">
        <f t="shared" si="182"/>
        <v>140</v>
      </c>
      <c r="R553" t="str">
        <f t="shared" si="186"/>
        <v/>
      </c>
      <c r="S553">
        <f>SUMIF(O553:$O$2855,R553,Q553:$Q$2855)</f>
        <v>0</v>
      </c>
      <c r="AP553" s="4" t="s">
        <v>472</v>
      </c>
      <c r="AQ553" t="s">
        <v>479</v>
      </c>
      <c r="AR553" t="s">
        <v>443</v>
      </c>
      <c r="AS553" t="s">
        <v>443</v>
      </c>
      <c r="AT553" t="s">
        <v>612</v>
      </c>
      <c r="AU553" t="str">
        <f t="shared" si="184"/>
        <v>[1]</v>
      </c>
      <c r="AV553">
        <f t="shared" si="185"/>
        <v>0</v>
      </c>
      <c r="AW553" t="str">
        <f t="shared" si="187"/>
        <v/>
      </c>
      <c r="AX553">
        <f>SUMIF(AT553:$AT$651,AW553,AV553:$AV$651)</f>
        <v>0</v>
      </c>
    </row>
    <row r="554" spans="11:50" x14ac:dyDescent="0.25">
      <c r="K554" s="4" t="s">
        <v>421</v>
      </c>
      <c r="L554" t="s">
        <v>422</v>
      </c>
      <c r="M554" t="s">
        <v>3304</v>
      </c>
      <c r="N554" t="s">
        <v>103</v>
      </c>
      <c r="O554" t="s">
        <v>131</v>
      </c>
      <c r="P554" t="str">
        <f t="shared" si="181"/>
        <v>[1]</v>
      </c>
      <c r="Q554">
        <f t="shared" si="182"/>
        <v>64</v>
      </c>
      <c r="R554" t="str">
        <f t="shared" si="186"/>
        <v/>
      </c>
      <c r="S554">
        <f>SUMIF(O554:$O$2855,R554,Q554:$Q$2855)</f>
        <v>0</v>
      </c>
      <c r="AP554" s="4" t="s">
        <v>472</v>
      </c>
      <c r="AQ554" t="s">
        <v>479</v>
      </c>
      <c r="AR554" t="s">
        <v>443</v>
      </c>
      <c r="AS554" t="s">
        <v>443</v>
      </c>
      <c r="AT554" t="s">
        <v>612</v>
      </c>
      <c r="AU554" t="str">
        <f t="shared" si="184"/>
        <v>[1]</v>
      </c>
      <c r="AV554">
        <f t="shared" si="185"/>
        <v>0</v>
      </c>
      <c r="AW554" t="str">
        <f t="shared" si="187"/>
        <v/>
      </c>
      <c r="AX554">
        <f>SUMIF(AT554:$AT$651,AW554,AV554:$AV$651)</f>
        <v>0</v>
      </c>
    </row>
    <row r="555" spans="11:50" x14ac:dyDescent="0.25">
      <c r="K555" s="4" t="s">
        <v>421</v>
      </c>
      <c r="L555" t="s">
        <v>422</v>
      </c>
      <c r="M555" t="s">
        <v>3305</v>
      </c>
      <c r="N555" t="s">
        <v>435</v>
      </c>
      <c r="O555" t="s">
        <v>131</v>
      </c>
      <c r="P555" t="str">
        <f t="shared" si="181"/>
        <v>[1]</v>
      </c>
      <c r="Q555">
        <f t="shared" si="182"/>
        <v>60</v>
      </c>
      <c r="R555" t="str">
        <f t="shared" si="186"/>
        <v/>
      </c>
      <c r="S555">
        <f>SUMIF(O555:$O$2855,R555,Q555:$Q$2855)</f>
        <v>0</v>
      </c>
      <c r="AP555" s="4" t="s">
        <v>472</v>
      </c>
      <c r="AQ555" t="s">
        <v>479</v>
      </c>
      <c r="AR555" t="s">
        <v>443</v>
      </c>
      <c r="AS555" t="s">
        <v>443</v>
      </c>
      <c r="AT555" t="s">
        <v>612</v>
      </c>
      <c r="AU555" t="str">
        <f t="shared" si="184"/>
        <v>[1]</v>
      </c>
      <c r="AV555">
        <f t="shared" si="185"/>
        <v>0</v>
      </c>
      <c r="AW555" t="str">
        <f t="shared" si="187"/>
        <v/>
      </c>
      <c r="AX555">
        <f>SUMIF(AT555:$AT$651,AW555,AV555:$AV$651)</f>
        <v>0</v>
      </c>
    </row>
    <row r="556" spans="11:50" x14ac:dyDescent="0.25">
      <c r="K556" s="4" t="s">
        <v>421</v>
      </c>
      <c r="L556" t="s">
        <v>422</v>
      </c>
      <c r="M556" t="s">
        <v>3306</v>
      </c>
      <c r="N556" t="s">
        <v>103</v>
      </c>
      <c r="O556" t="s">
        <v>131</v>
      </c>
      <c r="P556" t="str">
        <f t="shared" si="181"/>
        <v>[1]</v>
      </c>
      <c r="Q556">
        <f t="shared" si="182"/>
        <v>64</v>
      </c>
      <c r="R556" t="str">
        <f t="shared" si="186"/>
        <v/>
      </c>
      <c r="S556">
        <f>SUMIF(O556:$O$2855,R556,Q556:$Q$2855)</f>
        <v>0</v>
      </c>
      <c r="AP556" s="4" t="s">
        <v>472</v>
      </c>
      <c r="AQ556" t="s">
        <v>479</v>
      </c>
      <c r="AR556" t="s">
        <v>443</v>
      </c>
      <c r="AS556" t="s">
        <v>443</v>
      </c>
      <c r="AT556" t="s">
        <v>612</v>
      </c>
      <c r="AU556" t="str">
        <f t="shared" si="184"/>
        <v>[1]</v>
      </c>
      <c r="AV556">
        <f t="shared" si="185"/>
        <v>0</v>
      </c>
      <c r="AW556" t="str">
        <f t="shared" si="187"/>
        <v/>
      </c>
      <c r="AX556">
        <f>SUMIF(AT556:$AT$651,AW556,AV556:$AV$651)</f>
        <v>0</v>
      </c>
    </row>
    <row r="557" spans="11:50" x14ac:dyDescent="0.25">
      <c r="K557" s="4" t="s">
        <v>421</v>
      </c>
      <c r="L557" t="s">
        <v>422</v>
      </c>
      <c r="M557" t="s">
        <v>3307</v>
      </c>
      <c r="N557" t="s">
        <v>190</v>
      </c>
      <c r="O557" t="s">
        <v>131</v>
      </c>
      <c r="P557" t="str">
        <f t="shared" si="181"/>
        <v>[1]</v>
      </c>
      <c r="Q557">
        <f t="shared" si="182"/>
        <v>56</v>
      </c>
      <c r="R557" t="str">
        <f t="shared" si="186"/>
        <v/>
      </c>
      <c r="S557">
        <f>SUMIF(O557:$O$2855,R557,Q557:$Q$2855)</f>
        <v>0</v>
      </c>
      <c r="AP557" s="4" t="s">
        <v>472</v>
      </c>
      <c r="AQ557" t="s">
        <v>479</v>
      </c>
      <c r="AR557" t="s">
        <v>443</v>
      </c>
      <c r="AS557" t="s">
        <v>443</v>
      </c>
      <c r="AT557" t="s">
        <v>612</v>
      </c>
      <c r="AU557" t="str">
        <f t="shared" si="184"/>
        <v>[1]</v>
      </c>
      <c r="AV557">
        <f t="shared" si="185"/>
        <v>0</v>
      </c>
      <c r="AW557" t="str">
        <f t="shared" si="187"/>
        <v/>
      </c>
      <c r="AX557">
        <f>SUMIF(AT557:$AT$651,AW557,AV557:$AV$651)</f>
        <v>0</v>
      </c>
    </row>
    <row r="558" spans="11:50" x14ac:dyDescent="0.25">
      <c r="K558" s="4" t="s">
        <v>421</v>
      </c>
      <c r="L558" t="s">
        <v>422</v>
      </c>
      <c r="M558" t="s">
        <v>3308</v>
      </c>
      <c r="N558" t="s">
        <v>67</v>
      </c>
      <c r="O558" t="s">
        <v>131</v>
      </c>
      <c r="P558" t="str">
        <f t="shared" si="181"/>
        <v>[1]</v>
      </c>
      <c r="Q558">
        <f t="shared" si="182"/>
        <v>48</v>
      </c>
      <c r="R558" t="str">
        <f t="shared" si="186"/>
        <v/>
      </c>
      <c r="S558">
        <f>SUMIF(O558:$O$2855,R558,Q558:$Q$2855)</f>
        <v>0</v>
      </c>
      <c r="AP558" s="4" t="s">
        <v>472</v>
      </c>
      <c r="AQ558" t="s">
        <v>479</v>
      </c>
      <c r="AR558" t="s">
        <v>443</v>
      </c>
      <c r="AS558" t="s">
        <v>443</v>
      </c>
      <c r="AT558" t="s">
        <v>612</v>
      </c>
      <c r="AU558" t="str">
        <f t="shared" si="184"/>
        <v>[1]</v>
      </c>
      <c r="AV558">
        <f t="shared" si="185"/>
        <v>0</v>
      </c>
      <c r="AW558" t="str">
        <f t="shared" si="187"/>
        <v/>
      </c>
      <c r="AX558">
        <f>SUMIF(AT558:$AT$651,AW558,AV558:$AV$651)</f>
        <v>0</v>
      </c>
    </row>
    <row r="559" spans="11:50" x14ac:dyDescent="0.25">
      <c r="K559" s="4" t="s">
        <v>421</v>
      </c>
      <c r="L559" t="s">
        <v>422</v>
      </c>
      <c r="M559" t="s">
        <v>3309</v>
      </c>
      <c r="N559" t="s">
        <v>190</v>
      </c>
      <c r="O559" t="s">
        <v>131</v>
      </c>
      <c r="P559" t="str">
        <f t="shared" si="181"/>
        <v>[1]</v>
      </c>
      <c r="Q559">
        <f t="shared" si="182"/>
        <v>56</v>
      </c>
      <c r="R559" t="str">
        <f t="shared" si="186"/>
        <v/>
      </c>
      <c r="S559">
        <f>SUMIF(O559:$O$2855,R559,Q559:$Q$2855)</f>
        <v>0</v>
      </c>
      <c r="AP559" s="4" t="s">
        <v>472</v>
      </c>
      <c r="AQ559" t="s">
        <v>479</v>
      </c>
      <c r="AR559" t="s">
        <v>443</v>
      </c>
      <c r="AS559" t="s">
        <v>443</v>
      </c>
      <c r="AT559" t="s">
        <v>612</v>
      </c>
      <c r="AU559" t="str">
        <f t="shared" si="184"/>
        <v>[1]</v>
      </c>
      <c r="AV559">
        <f t="shared" si="185"/>
        <v>0</v>
      </c>
      <c r="AW559" t="str">
        <f t="shared" si="187"/>
        <v/>
      </c>
      <c r="AX559">
        <f>SUMIF(AT559:$AT$651,AW559,AV559:$AV$651)</f>
        <v>0</v>
      </c>
    </row>
    <row r="560" spans="11:50" x14ac:dyDescent="0.25">
      <c r="K560" s="4" t="s">
        <v>421</v>
      </c>
      <c r="L560" t="s">
        <v>422</v>
      </c>
      <c r="M560" t="s">
        <v>3310</v>
      </c>
      <c r="N560" t="s">
        <v>190</v>
      </c>
      <c r="O560" t="s">
        <v>131</v>
      </c>
      <c r="P560" t="str">
        <f t="shared" si="181"/>
        <v>[1]</v>
      </c>
      <c r="Q560">
        <f t="shared" si="182"/>
        <v>56</v>
      </c>
      <c r="R560" t="str">
        <f t="shared" si="186"/>
        <v/>
      </c>
      <c r="S560">
        <f>SUMIF(O560:$O$2855,R560,Q560:$Q$2855)</f>
        <v>0</v>
      </c>
      <c r="AP560" s="4" t="s">
        <v>472</v>
      </c>
      <c r="AQ560" t="s">
        <v>479</v>
      </c>
      <c r="AR560" t="s">
        <v>443</v>
      </c>
      <c r="AS560" t="s">
        <v>443</v>
      </c>
      <c r="AT560" t="s">
        <v>612</v>
      </c>
      <c r="AU560" t="str">
        <f t="shared" si="184"/>
        <v>[1]</v>
      </c>
      <c r="AV560">
        <f t="shared" si="185"/>
        <v>0</v>
      </c>
      <c r="AW560" t="str">
        <f t="shared" si="187"/>
        <v/>
      </c>
      <c r="AX560">
        <f>SUMIF(AT560:$AT$651,AW560,AV560:$AV$651)</f>
        <v>0</v>
      </c>
    </row>
    <row r="561" spans="11:50" x14ac:dyDescent="0.25">
      <c r="K561" s="4" t="s">
        <v>421</v>
      </c>
      <c r="L561" t="s">
        <v>422</v>
      </c>
      <c r="M561" t="s">
        <v>3311</v>
      </c>
      <c r="N561" t="s">
        <v>44</v>
      </c>
      <c r="O561" t="s">
        <v>131</v>
      </c>
      <c r="P561" t="str">
        <f t="shared" si="181"/>
        <v>[1]</v>
      </c>
      <c r="Q561">
        <f t="shared" si="182"/>
        <v>44</v>
      </c>
      <c r="R561" t="str">
        <f t="shared" si="186"/>
        <v/>
      </c>
      <c r="S561">
        <f>SUMIF(O561:$O$2855,R561,Q561:$Q$2855)</f>
        <v>0</v>
      </c>
      <c r="AP561" s="4" t="s">
        <v>472</v>
      </c>
      <c r="AQ561" t="s">
        <v>479</v>
      </c>
      <c r="AR561" t="s">
        <v>443</v>
      </c>
      <c r="AS561" t="s">
        <v>443</v>
      </c>
      <c r="AT561" t="s">
        <v>612</v>
      </c>
      <c r="AU561" t="str">
        <f t="shared" si="184"/>
        <v>[1]</v>
      </c>
      <c r="AV561">
        <f t="shared" si="185"/>
        <v>0</v>
      </c>
      <c r="AW561" t="str">
        <f t="shared" si="187"/>
        <v/>
      </c>
      <c r="AX561">
        <f>SUMIF(AT561:$AT$651,AW561,AV561:$AV$651)</f>
        <v>0</v>
      </c>
    </row>
    <row r="562" spans="11:50" x14ac:dyDescent="0.25">
      <c r="K562" s="4" t="s">
        <v>421</v>
      </c>
      <c r="L562" t="s">
        <v>422</v>
      </c>
      <c r="M562" t="s">
        <v>3312</v>
      </c>
      <c r="N562" t="s">
        <v>435</v>
      </c>
      <c r="O562" t="s">
        <v>131</v>
      </c>
      <c r="P562" t="str">
        <f t="shared" si="181"/>
        <v>[1]</v>
      </c>
      <c r="Q562">
        <f t="shared" si="182"/>
        <v>60</v>
      </c>
      <c r="R562" t="str">
        <f t="shared" si="186"/>
        <v/>
      </c>
      <c r="S562">
        <f>SUMIF(O562:$O$2855,R562,Q562:$Q$2855)</f>
        <v>0</v>
      </c>
      <c r="AP562" s="4" t="s">
        <v>472</v>
      </c>
      <c r="AQ562" t="s">
        <v>479</v>
      </c>
      <c r="AR562" t="s">
        <v>443</v>
      </c>
      <c r="AS562" t="s">
        <v>443</v>
      </c>
      <c r="AT562" t="s">
        <v>612</v>
      </c>
      <c r="AU562" t="str">
        <f t="shared" si="184"/>
        <v>[1]</v>
      </c>
      <c r="AV562">
        <f t="shared" si="185"/>
        <v>0</v>
      </c>
      <c r="AW562" t="str">
        <f t="shared" si="187"/>
        <v/>
      </c>
      <c r="AX562">
        <f>SUMIF(AT562:$AT$651,AW562,AV562:$AV$651)</f>
        <v>0</v>
      </c>
    </row>
    <row r="563" spans="11:50" x14ac:dyDescent="0.25">
      <c r="K563" s="4" t="s">
        <v>421</v>
      </c>
      <c r="L563" t="s">
        <v>422</v>
      </c>
      <c r="M563" t="s">
        <v>3313</v>
      </c>
      <c r="N563" t="s">
        <v>44</v>
      </c>
      <c r="O563" t="s">
        <v>131</v>
      </c>
      <c r="P563" t="str">
        <f t="shared" si="181"/>
        <v>[1]</v>
      </c>
      <c r="Q563">
        <f t="shared" si="182"/>
        <v>44</v>
      </c>
      <c r="R563" t="str">
        <f t="shared" si="186"/>
        <v/>
      </c>
      <c r="S563">
        <f>SUMIF(O563:$O$2855,R563,Q563:$Q$2855)</f>
        <v>0</v>
      </c>
      <c r="AP563" s="4" t="s">
        <v>472</v>
      </c>
      <c r="AQ563" t="s">
        <v>479</v>
      </c>
      <c r="AR563" t="s">
        <v>443</v>
      </c>
      <c r="AS563" t="s">
        <v>443</v>
      </c>
      <c r="AT563" t="s">
        <v>612</v>
      </c>
      <c r="AU563" t="str">
        <f t="shared" si="184"/>
        <v>[1]</v>
      </c>
      <c r="AV563">
        <f t="shared" si="185"/>
        <v>0</v>
      </c>
      <c r="AW563" t="str">
        <f t="shared" si="187"/>
        <v/>
      </c>
      <c r="AX563">
        <f>SUMIF(AT563:$AT$651,AW563,AV563:$AV$651)</f>
        <v>0</v>
      </c>
    </row>
    <row r="564" spans="11:50" x14ac:dyDescent="0.25">
      <c r="K564" s="4" t="s">
        <v>421</v>
      </c>
      <c r="L564" t="s">
        <v>422</v>
      </c>
      <c r="M564" t="s">
        <v>3314</v>
      </c>
      <c r="N564" t="s">
        <v>6</v>
      </c>
      <c r="O564" t="s">
        <v>131</v>
      </c>
      <c r="P564" t="str">
        <f t="shared" si="181"/>
        <v>[1]</v>
      </c>
      <c r="Q564">
        <f t="shared" si="182"/>
        <v>28</v>
      </c>
      <c r="R564" t="str">
        <f t="shared" si="186"/>
        <v/>
      </c>
      <c r="S564">
        <f>SUMIF(O564:$O$2855,R564,Q564:$Q$2855)</f>
        <v>0</v>
      </c>
      <c r="AP564" s="4" t="s">
        <v>472</v>
      </c>
      <c r="AQ564" t="s">
        <v>479</v>
      </c>
      <c r="AR564" t="s">
        <v>443</v>
      </c>
      <c r="AS564" t="s">
        <v>443</v>
      </c>
      <c r="AT564" t="s">
        <v>612</v>
      </c>
      <c r="AU564" t="str">
        <f t="shared" si="184"/>
        <v>[1]</v>
      </c>
      <c r="AV564">
        <f t="shared" ref="AV564:AV651" si="188">HEX2DEC(MID(AS564,3,LEN(AS564)-2))</f>
        <v>0</v>
      </c>
      <c r="AW564" t="str">
        <f t="shared" si="187"/>
        <v/>
      </c>
      <c r="AX564">
        <f>SUMIF(AT564:$AT$651,AW564,AV564:$AV$651)</f>
        <v>0</v>
      </c>
    </row>
    <row r="565" spans="11:50" x14ac:dyDescent="0.25">
      <c r="K565" s="4" t="s">
        <v>421</v>
      </c>
      <c r="L565" t="s">
        <v>422</v>
      </c>
      <c r="M565" t="s">
        <v>3315</v>
      </c>
      <c r="N565" t="s">
        <v>437</v>
      </c>
      <c r="O565" t="s">
        <v>131</v>
      </c>
      <c r="P565" t="str">
        <f t="shared" si="181"/>
        <v>[1]</v>
      </c>
      <c r="Q565">
        <f t="shared" si="182"/>
        <v>24</v>
      </c>
      <c r="R565" t="str">
        <f t="shared" si="186"/>
        <v/>
      </c>
      <c r="S565">
        <f>SUMIF(O565:$O$2855,R565,Q565:$Q$2855)</f>
        <v>0</v>
      </c>
      <c r="AP565" s="4" t="s">
        <v>472</v>
      </c>
      <c r="AQ565" t="s">
        <v>479</v>
      </c>
      <c r="AR565" t="s">
        <v>443</v>
      </c>
      <c r="AS565" t="s">
        <v>443</v>
      </c>
      <c r="AT565" t="s">
        <v>612</v>
      </c>
      <c r="AU565" t="str">
        <f t="shared" si="184"/>
        <v>[1]</v>
      </c>
      <c r="AV565">
        <f t="shared" si="188"/>
        <v>0</v>
      </c>
      <c r="AW565" t="str">
        <f t="shared" si="187"/>
        <v/>
      </c>
      <c r="AX565">
        <f>SUMIF(AT565:$AT$651,AW565,AV565:$AV$651)</f>
        <v>0</v>
      </c>
    </row>
    <row r="566" spans="11:50" x14ac:dyDescent="0.25">
      <c r="K566" s="4" t="s">
        <v>421</v>
      </c>
      <c r="L566" t="s">
        <v>422</v>
      </c>
      <c r="M566" t="s">
        <v>3316</v>
      </c>
      <c r="N566" t="s">
        <v>437</v>
      </c>
      <c r="O566" t="s">
        <v>131</v>
      </c>
      <c r="P566" t="str">
        <f t="shared" si="181"/>
        <v>[1]</v>
      </c>
      <c r="Q566">
        <f t="shared" si="182"/>
        <v>24</v>
      </c>
      <c r="R566" t="str">
        <f t="shared" si="186"/>
        <v/>
      </c>
      <c r="S566">
        <f>SUMIF(O566:$O$2855,R566,Q566:$Q$2855)</f>
        <v>0</v>
      </c>
      <c r="AP566" s="4" t="s">
        <v>472</v>
      </c>
      <c r="AQ566" t="s">
        <v>479</v>
      </c>
      <c r="AR566" t="s">
        <v>443</v>
      </c>
      <c r="AS566" t="s">
        <v>443</v>
      </c>
      <c r="AT566" t="s">
        <v>612</v>
      </c>
      <c r="AU566" t="str">
        <f t="shared" si="184"/>
        <v>[1]</v>
      </c>
      <c r="AV566">
        <f t="shared" si="188"/>
        <v>0</v>
      </c>
      <c r="AW566" t="str">
        <f t="shared" si="187"/>
        <v/>
      </c>
      <c r="AX566">
        <f>SUMIF(AT566:$AT$651,AW566,AV566:$AV$651)</f>
        <v>0</v>
      </c>
    </row>
    <row r="567" spans="11:50" x14ac:dyDescent="0.25">
      <c r="K567" s="4" t="s">
        <v>421</v>
      </c>
      <c r="L567" t="s">
        <v>422</v>
      </c>
      <c r="M567" t="s">
        <v>3317</v>
      </c>
      <c r="N567" t="s">
        <v>6</v>
      </c>
      <c r="O567" t="s">
        <v>131</v>
      </c>
      <c r="P567" t="str">
        <f t="shared" si="181"/>
        <v>[1]</v>
      </c>
      <c r="Q567">
        <f t="shared" si="182"/>
        <v>28</v>
      </c>
      <c r="R567" t="str">
        <f t="shared" si="186"/>
        <v/>
      </c>
      <c r="S567">
        <f>SUMIF(O567:$O$2855,R567,Q567:$Q$2855)</f>
        <v>0</v>
      </c>
      <c r="AP567" s="4" t="s">
        <v>472</v>
      </c>
      <c r="AQ567" t="s">
        <v>479</v>
      </c>
      <c r="AR567" t="s">
        <v>443</v>
      </c>
      <c r="AS567" t="s">
        <v>443</v>
      </c>
      <c r="AT567" t="s">
        <v>612</v>
      </c>
      <c r="AU567" t="str">
        <f t="shared" si="184"/>
        <v>[1]</v>
      </c>
      <c r="AV567">
        <f t="shared" si="188"/>
        <v>0</v>
      </c>
      <c r="AW567" t="str">
        <f t="shared" si="187"/>
        <v/>
      </c>
      <c r="AX567">
        <f>SUMIF(AT567:$AT$651,AW567,AV567:$AV$651)</f>
        <v>0</v>
      </c>
    </row>
    <row r="568" spans="11:50" x14ac:dyDescent="0.25">
      <c r="K568" s="4" t="s">
        <v>421</v>
      </c>
      <c r="L568" t="s">
        <v>422</v>
      </c>
      <c r="M568" t="s">
        <v>3318</v>
      </c>
      <c r="N568" t="s">
        <v>6</v>
      </c>
      <c r="O568" t="s">
        <v>131</v>
      </c>
      <c r="P568" t="str">
        <f t="shared" si="181"/>
        <v>[1]</v>
      </c>
      <c r="Q568">
        <f t="shared" si="182"/>
        <v>28</v>
      </c>
      <c r="R568" t="str">
        <f t="shared" si="186"/>
        <v/>
      </c>
      <c r="S568">
        <f>SUMIF(O568:$O$2855,R568,Q568:$Q$2855)</f>
        <v>0</v>
      </c>
      <c r="AP568" s="4" t="s">
        <v>472</v>
      </c>
      <c r="AQ568" t="s">
        <v>479</v>
      </c>
      <c r="AR568" t="s">
        <v>443</v>
      </c>
      <c r="AS568" t="s">
        <v>443</v>
      </c>
      <c r="AT568" t="s">
        <v>612</v>
      </c>
      <c r="AU568" t="str">
        <f t="shared" si="184"/>
        <v>[1]</v>
      </c>
      <c r="AV568">
        <f t="shared" si="188"/>
        <v>0</v>
      </c>
      <c r="AW568" t="str">
        <f t="shared" si="187"/>
        <v/>
      </c>
      <c r="AX568">
        <f>SUMIF(AT568:$AT$651,AW568,AV568:$AV$651)</f>
        <v>0</v>
      </c>
    </row>
    <row r="569" spans="11:50" x14ac:dyDescent="0.25">
      <c r="K569" s="4" t="s">
        <v>421</v>
      </c>
      <c r="L569" t="s">
        <v>422</v>
      </c>
      <c r="M569" t="s">
        <v>3319</v>
      </c>
      <c r="N569" t="s">
        <v>6</v>
      </c>
      <c r="O569" t="s">
        <v>131</v>
      </c>
      <c r="P569" t="str">
        <f t="shared" si="181"/>
        <v>[1]</v>
      </c>
      <c r="Q569">
        <f t="shared" si="182"/>
        <v>28</v>
      </c>
      <c r="R569" t="str">
        <f t="shared" si="186"/>
        <v/>
      </c>
      <c r="S569">
        <f>SUMIF(O569:$O$2855,R569,Q569:$Q$2855)</f>
        <v>0</v>
      </c>
      <c r="AP569" s="4" t="s">
        <v>472</v>
      </c>
      <c r="AQ569" t="s">
        <v>479</v>
      </c>
      <c r="AR569" t="s">
        <v>443</v>
      </c>
      <c r="AS569" t="s">
        <v>443</v>
      </c>
      <c r="AT569" t="s">
        <v>612</v>
      </c>
      <c r="AU569" t="str">
        <f t="shared" si="184"/>
        <v>[1]</v>
      </c>
      <c r="AV569">
        <f t="shared" si="188"/>
        <v>0</v>
      </c>
      <c r="AW569" t="str">
        <f t="shared" si="187"/>
        <v/>
      </c>
      <c r="AX569">
        <f>SUMIF(AT569:$AT$651,AW569,AV569:$AV$651)</f>
        <v>0</v>
      </c>
    </row>
    <row r="570" spans="11:50" x14ac:dyDescent="0.25">
      <c r="K570" s="4" t="s">
        <v>421</v>
      </c>
      <c r="L570" t="s">
        <v>422</v>
      </c>
      <c r="M570" t="s">
        <v>3320</v>
      </c>
      <c r="N570" t="s">
        <v>67</v>
      </c>
      <c r="O570" t="s">
        <v>131</v>
      </c>
      <c r="P570" t="str">
        <f t="shared" si="181"/>
        <v>[1]</v>
      </c>
      <c r="Q570">
        <f t="shared" si="182"/>
        <v>48</v>
      </c>
      <c r="R570" t="str">
        <f t="shared" si="186"/>
        <v/>
      </c>
      <c r="S570">
        <f>SUMIF(O570:$O$2855,R570,Q570:$Q$2855)</f>
        <v>0</v>
      </c>
      <c r="AP570" s="4" t="s">
        <v>472</v>
      </c>
      <c r="AQ570" t="s">
        <v>479</v>
      </c>
      <c r="AR570" t="s">
        <v>443</v>
      </c>
      <c r="AS570" t="s">
        <v>443</v>
      </c>
      <c r="AT570" t="s">
        <v>612</v>
      </c>
      <c r="AU570" t="str">
        <f t="shared" si="184"/>
        <v>[1]</v>
      </c>
      <c r="AV570">
        <f t="shared" si="188"/>
        <v>0</v>
      </c>
      <c r="AW570" t="str">
        <f t="shared" si="187"/>
        <v/>
      </c>
      <c r="AX570">
        <f>SUMIF(AT570:$AT$651,AW570,AV570:$AV$651)</f>
        <v>0</v>
      </c>
    </row>
    <row r="571" spans="11:50" x14ac:dyDescent="0.25">
      <c r="K571" s="4" t="s">
        <v>421</v>
      </c>
      <c r="L571" t="s">
        <v>422</v>
      </c>
      <c r="M571" t="s">
        <v>3321</v>
      </c>
      <c r="N571" t="s">
        <v>6</v>
      </c>
      <c r="O571" t="s">
        <v>131</v>
      </c>
      <c r="P571" t="str">
        <f t="shared" si="181"/>
        <v>[1]</v>
      </c>
      <c r="Q571">
        <f t="shared" si="182"/>
        <v>28</v>
      </c>
      <c r="R571" t="str">
        <f t="shared" si="186"/>
        <v/>
      </c>
      <c r="S571">
        <f>SUMIF(O571:$O$2855,R571,Q571:$Q$2855)</f>
        <v>0</v>
      </c>
      <c r="AP571" s="4" t="s">
        <v>472</v>
      </c>
      <c r="AQ571" t="s">
        <v>479</v>
      </c>
      <c r="AR571" t="s">
        <v>443</v>
      </c>
      <c r="AS571" t="s">
        <v>443</v>
      </c>
      <c r="AT571" t="s">
        <v>612</v>
      </c>
      <c r="AU571" t="str">
        <f t="shared" si="184"/>
        <v>[1]</v>
      </c>
      <c r="AV571">
        <f t="shared" si="188"/>
        <v>0</v>
      </c>
      <c r="AW571" t="str">
        <f t="shared" si="187"/>
        <v/>
      </c>
      <c r="AX571">
        <f>SUMIF(AT571:$AT$651,AW571,AV571:$AV$651)</f>
        <v>0</v>
      </c>
    </row>
    <row r="572" spans="11:50" x14ac:dyDescent="0.25">
      <c r="K572" s="4" t="s">
        <v>421</v>
      </c>
      <c r="L572" t="s">
        <v>422</v>
      </c>
      <c r="M572" t="s">
        <v>3322</v>
      </c>
      <c r="N572" t="s">
        <v>165</v>
      </c>
      <c r="O572" t="s">
        <v>131</v>
      </c>
      <c r="P572" t="str">
        <f t="shared" si="181"/>
        <v>[1]</v>
      </c>
      <c r="Q572">
        <f t="shared" si="182"/>
        <v>20</v>
      </c>
      <c r="R572" t="str">
        <f t="shared" si="186"/>
        <v/>
      </c>
      <c r="S572">
        <f>SUMIF(O572:$O$2855,R572,Q572:$Q$2855)</f>
        <v>0</v>
      </c>
      <c r="AP572" s="4" t="s">
        <v>472</v>
      </c>
      <c r="AQ572" t="s">
        <v>479</v>
      </c>
      <c r="AR572" t="s">
        <v>443</v>
      </c>
      <c r="AS572" t="s">
        <v>443</v>
      </c>
      <c r="AT572" t="s">
        <v>612</v>
      </c>
      <c r="AU572" t="str">
        <f t="shared" si="184"/>
        <v>[1]</v>
      </c>
      <c r="AV572">
        <f t="shared" si="188"/>
        <v>0</v>
      </c>
      <c r="AW572" t="str">
        <f t="shared" si="187"/>
        <v/>
      </c>
      <c r="AX572">
        <f>SUMIF(AT572:$AT$651,AW572,AV572:$AV$651)</f>
        <v>0</v>
      </c>
    </row>
    <row r="573" spans="11:50" x14ac:dyDescent="0.25">
      <c r="K573" s="4" t="s">
        <v>421</v>
      </c>
      <c r="L573" t="s">
        <v>422</v>
      </c>
      <c r="M573" t="s">
        <v>3323</v>
      </c>
      <c r="N573" t="s">
        <v>211</v>
      </c>
      <c r="O573" t="s">
        <v>131</v>
      </c>
      <c r="P573" t="str">
        <f t="shared" si="181"/>
        <v>[1]</v>
      </c>
      <c r="Q573">
        <f t="shared" si="182"/>
        <v>92</v>
      </c>
      <c r="R573" t="str">
        <f t="shared" si="186"/>
        <v/>
      </c>
      <c r="S573">
        <f>SUMIF(O573:$O$2855,R573,Q573:$Q$2855)</f>
        <v>0</v>
      </c>
      <c r="AP573" s="4" t="s">
        <v>472</v>
      </c>
      <c r="AQ573" t="s">
        <v>479</v>
      </c>
      <c r="AR573" t="s">
        <v>443</v>
      </c>
      <c r="AS573" t="s">
        <v>443</v>
      </c>
      <c r="AT573" t="s">
        <v>612</v>
      </c>
      <c r="AU573" t="str">
        <f t="shared" si="184"/>
        <v>[1]</v>
      </c>
      <c r="AV573">
        <f t="shared" si="188"/>
        <v>0</v>
      </c>
      <c r="AW573" t="str">
        <f t="shared" si="187"/>
        <v/>
      </c>
      <c r="AX573">
        <f>SUMIF(AT573:$AT$651,AW573,AV573:$AV$651)</f>
        <v>0</v>
      </c>
    </row>
    <row r="574" spans="11:50" x14ac:dyDescent="0.25">
      <c r="K574" s="4" t="s">
        <v>421</v>
      </c>
      <c r="L574" t="s">
        <v>422</v>
      </c>
      <c r="M574" t="s">
        <v>1883</v>
      </c>
      <c r="N574" t="s">
        <v>119</v>
      </c>
      <c r="O574" t="s">
        <v>131</v>
      </c>
      <c r="P574" t="str">
        <f t="shared" si="181"/>
        <v>[1]</v>
      </c>
      <c r="Q574">
        <f t="shared" si="182"/>
        <v>32</v>
      </c>
      <c r="R574" t="str">
        <f t="shared" si="186"/>
        <v/>
      </c>
      <c r="S574">
        <f>SUMIF(O574:$O$2855,R574,Q574:$Q$2855)</f>
        <v>0</v>
      </c>
      <c r="AP574" s="4" t="s">
        <v>472</v>
      </c>
      <c r="AQ574" t="s">
        <v>479</v>
      </c>
      <c r="AR574" t="s">
        <v>443</v>
      </c>
      <c r="AS574" t="s">
        <v>443</v>
      </c>
      <c r="AT574" t="s">
        <v>612</v>
      </c>
      <c r="AU574" t="str">
        <f t="shared" si="184"/>
        <v>[1]</v>
      </c>
      <c r="AV574">
        <f t="shared" si="188"/>
        <v>0</v>
      </c>
      <c r="AW574" t="str">
        <f t="shared" si="187"/>
        <v/>
      </c>
      <c r="AX574">
        <f>SUMIF(AT574:$AT$651,AW574,AV574:$AV$651)</f>
        <v>0</v>
      </c>
    </row>
    <row r="575" spans="11:50" x14ac:dyDescent="0.25">
      <c r="K575" s="4" t="s">
        <v>421</v>
      </c>
      <c r="L575" t="s">
        <v>422</v>
      </c>
      <c r="M575" t="s">
        <v>3324</v>
      </c>
      <c r="N575" t="s">
        <v>13</v>
      </c>
      <c r="O575" t="s">
        <v>131</v>
      </c>
      <c r="P575" t="str">
        <f t="shared" si="181"/>
        <v>[1]</v>
      </c>
      <c r="Q575">
        <f t="shared" si="182"/>
        <v>12</v>
      </c>
      <c r="R575" t="str">
        <f t="shared" si="186"/>
        <v/>
      </c>
      <c r="S575">
        <f>SUMIF(O575:$O$2855,R575,Q575:$Q$2855)</f>
        <v>0</v>
      </c>
      <c r="AP575" s="4" t="s">
        <v>472</v>
      </c>
      <c r="AQ575" t="s">
        <v>479</v>
      </c>
      <c r="AR575" t="s">
        <v>443</v>
      </c>
      <c r="AS575" t="s">
        <v>443</v>
      </c>
      <c r="AT575" t="s">
        <v>612</v>
      </c>
      <c r="AU575" t="str">
        <f t="shared" si="184"/>
        <v>[1]</v>
      </c>
      <c r="AV575">
        <f t="shared" si="188"/>
        <v>0</v>
      </c>
      <c r="AW575" t="str">
        <f t="shared" si="187"/>
        <v/>
      </c>
      <c r="AX575">
        <f>SUMIF(AT575:$AT$651,AW575,AV575:$AV$651)</f>
        <v>0</v>
      </c>
    </row>
    <row r="576" spans="11:50" x14ac:dyDescent="0.25">
      <c r="K576" s="4" t="s">
        <v>421</v>
      </c>
      <c r="L576" t="s">
        <v>422</v>
      </c>
      <c r="M576" t="s">
        <v>3325</v>
      </c>
      <c r="N576" t="s">
        <v>437</v>
      </c>
      <c r="O576" t="s">
        <v>131</v>
      </c>
      <c r="P576" t="str">
        <f t="shared" si="181"/>
        <v>[1]</v>
      </c>
      <c r="Q576">
        <f t="shared" si="182"/>
        <v>24</v>
      </c>
      <c r="R576" t="str">
        <f t="shared" si="186"/>
        <v/>
      </c>
      <c r="S576">
        <f>SUMIF(O576:$O$2855,R576,Q576:$Q$2855)</f>
        <v>0</v>
      </c>
      <c r="AP576" s="4" t="s">
        <v>472</v>
      </c>
      <c r="AQ576" t="s">
        <v>479</v>
      </c>
      <c r="AR576" t="s">
        <v>443</v>
      </c>
      <c r="AS576" t="s">
        <v>443</v>
      </c>
      <c r="AT576" t="s">
        <v>612</v>
      </c>
      <c r="AU576" t="str">
        <f t="shared" si="184"/>
        <v>[1]</v>
      </c>
      <c r="AV576">
        <f t="shared" si="188"/>
        <v>0</v>
      </c>
      <c r="AW576" t="str">
        <f t="shared" si="187"/>
        <v/>
      </c>
      <c r="AX576">
        <f>SUMIF(AT576:$AT$651,AW576,AV576:$AV$651)</f>
        <v>0</v>
      </c>
    </row>
    <row r="577" spans="11:50 16384:16384" x14ac:dyDescent="0.25">
      <c r="K577" s="4" t="s">
        <v>421</v>
      </c>
      <c r="L577" t="s">
        <v>422</v>
      </c>
      <c r="M577" t="s">
        <v>3326</v>
      </c>
      <c r="N577" t="s">
        <v>437</v>
      </c>
      <c r="O577" t="s">
        <v>131</v>
      </c>
      <c r="P577" t="str">
        <f t="shared" si="181"/>
        <v>[1]</v>
      </c>
      <c r="Q577">
        <f t="shared" si="182"/>
        <v>24</v>
      </c>
      <c r="R577" t="str">
        <f t="shared" si="186"/>
        <v/>
      </c>
      <c r="S577">
        <f>SUMIF(O577:$O$2855,R577,Q577:$Q$2855)</f>
        <v>0</v>
      </c>
      <c r="AP577" s="4" t="s">
        <v>472</v>
      </c>
      <c r="AQ577" t="s">
        <v>479</v>
      </c>
      <c r="AR577" t="s">
        <v>443</v>
      </c>
      <c r="AS577" t="s">
        <v>443</v>
      </c>
      <c r="AT577" t="s">
        <v>612</v>
      </c>
      <c r="AU577" t="str">
        <f t="shared" si="184"/>
        <v>[1]</v>
      </c>
      <c r="AV577">
        <f t="shared" si="188"/>
        <v>0</v>
      </c>
      <c r="AW577" t="str">
        <f t="shared" si="187"/>
        <v/>
      </c>
      <c r="AX577">
        <f>SUMIF(AT577:$AT$651,AW577,AV577:$AV$651)</f>
        <v>0</v>
      </c>
    </row>
    <row r="578" spans="11:50 16384:16384" x14ac:dyDescent="0.25">
      <c r="K578" s="4" t="s">
        <v>421</v>
      </c>
      <c r="L578" t="s">
        <v>422</v>
      </c>
      <c r="M578" t="s">
        <v>3327</v>
      </c>
      <c r="N578" t="s">
        <v>437</v>
      </c>
      <c r="O578" t="s">
        <v>131</v>
      </c>
      <c r="P578" t="str">
        <f t="shared" ref="P578:P641" si="189">VLOOKUP($K$30,$E$1:$F$26,2,FALSE)</f>
        <v>[1]</v>
      </c>
      <c r="Q578">
        <f t="shared" si="182"/>
        <v>24</v>
      </c>
      <c r="R578" t="str">
        <f t="shared" si="186"/>
        <v/>
      </c>
      <c r="S578">
        <f>SUMIF(O578:$O$2855,R578,Q578:$Q$2855)</f>
        <v>0</v>
      </c>
      <c r="AP578" s="4" t="s">
        <v>472</v>
      </c>
      <c r="AQ578" t="s">
        <v>479</v>
      </c>
      <c r="AR578" t="s">
        <v>443</v>
      </c>
      <c r="AS578" t="s">
        <v>443</v>
      </c>
      <c r="AT578" t="s">
        <v>612</v>
      </c>
      <c r="AU578" t="str">
        <f t="shared" si="184"/>
        <v>[1]</v>
      </c>
      <c r="AV578">
        <f t="shared" si="188"/>
        <v>0</v>
      </c>
      <c r="AW578" t="str">
        <f t="shared" si="187"/>
        <v/>
      </c>
      <c r="AX578">
        <f>SUMIF(AT578:$AT$651,AW578,AV578:$AV$651)</f>
        <v>0</v>
      </c>
    </row>
    <row r="579" spans="11:50 16384:16384" x14ac:dyDescent="0.25">
      <c r="K579" s="4" t="s">
        <v>421</v>
      </c>
      <c r="L579" t="s">
        <v>422</v>
      </c>
      <c r="M579" t="s">
        <v>3328</v>
      </c>
      <c r="N579" t="s">
        <v>437</v>
      </c>
      <c r="O579" t="s">
        <v>131</v>
      </c>
      <c r="P579" t="str">
        <f t="shared" si="189"/>
        <v>[1]</v>
      </c>
      <c r="Q579">
        <f t="shared" ref="Q579:Q642" si="190">HEX2DEC(MID(N579,3,LEN(N579)-2))</f>
        <v>24</v>
      </c>
      <c r="R579" t="str">
        <f t="shared" si="186"/>
        <v/>
      </c>
      <c r="S579">
        <f>SUMIF(O579:$O$2855,R579,Q579:$Q$2855)</f>
        <v>0</v>
      </c>
      <c r="AP579" s="4" t="s">
        <v>472</v>
      </c>
      <c r="AQ579" t="s">
        <v>479</v>
      </c>
      <c r="AR579" t="s">
        <v>443</v>
      </c>
      <c r="AS579" t="s">
        <v>443</v>
      </c>
      <c r="AT579" t="s">
        <v>612</v>
      </c>
      <c r="AU579" t="str">
        <f t="shared" si="184"/>
        <v>[1]</v>
      </c>
      <c r="AV579">
        <f t="shared" si="188"/>
        <v>0</v>
      </c>
      <c r="AW579" t="str">
        <f t="shared" si="187"/>
        <v/>
      </c>
      <c r="AX579">
        <f>SUMIF(AT579:$AT$651,AW579,AV579:$AV$651)</f>
        <v>0</v>
      </c>
    </row>
    <row r="580" spans="11:50 16384:16384" x14ac:dyDescent="0.25">
      <c r="K580" s="4" t="s">
        <v>421</v>
      </c>
      <c r="L580" t="s">
        <v>422</v>
      </c>
      <c r="M580" t="s">
        <v>3329</v>
      </c>
      <c r="N580" t="s">
        <v>407</v>
      </c>
      <c r="O580" t="s">
        <v>131</v>
      </c>
      <c r="P580" t="str">
        <f t="shared" si="189"/>
        <v>[1]</v>
      </c>
      <c r="Q580">
        <f t="shared" si="190"/>
        <v>112</v>
      </c>
      <c r="R580" t="str">
        <f t="shared" si="186"/>
        <v/>
      </c>
      <c r="S580">
        <f>SUMIF(O580:$O$2855,R580,Q580:$Q$2855)</f>
        <v>0</v>
      </c>
      <c r="AP580" s="4" t="s">
        <v>472</v>
      </c>
      <c r="AQ580" t="s">
        <v>479</v>
      </c>
      <c r="AR580" t="s">
        <v>443</v>
      </c>
      <c r="AS580" t="s">
        <v>443</v>
      </c>
      <c r="AT580" t="s">
        <v>612</v>
      </c>
      <c r="AU580" t="str">
        <f t="shared" si="184"/>
        <v>[1]</v>
      </c>
      <c r="AV580">
        <f t="shared" si="188"/>
        <v>0</v>
      </c>
      <c r="AW580" t="str">
        <f t="shared" si="187"/>
        <v/>
      </c>
      <c r="AX580">
        <f>SUMIF(AT580:$AT$651,AW580,AV580:$AV$651)</f>
        <v>0</v>
      </c>
      <c r="XFD580">
        <f>SUM(XFD1:XFD579)</f>
        <v>0</v>
      </c>
    </row>
    <row r="581" spans="11:50 16384:16384" x14ac:dyDescent="0.25">
      <c r="K581" s="4" t="s">
        <v>421</v>
      </c>
      <c r="L581" t="s">
        <v>422</v>
      </c>
      <c r="M581" t="s">
        <v>3330</v>
      </c>
      <c r="N581" t="s">
        <v>89</v>
      </c>
      <c r="O581" t="s">
        <v>131</v>
      </c>
      <c r="P581" t="str">
        <f t="shared" si="189"/>
        <v>[1]</v>
      </c>
      <c r="Q581">
        <f t="shared" si="190"/>
        <v>76</v>
      </c>
      <c r="R581" t="str">
        <f t="shared" si="186"/>
        <v/>
      </c>
      <c r="S581">
        <f>SUMIF(O581:$O$2855,R581,Q581:$Q$2855)</f>
        <v>0</v>
      </c>
      <c r="AP581" s="4" t="s">
        <v>472</v>
      </c>
      <c r="AQ581" t="s">
        <v>479</v>
      </c>
      <c r="AR581" t="s">
        <v>443</v>
      </c>
      <c r="AS581" t="s">
        <v>443</v>
      </c>
      <c r="AT581" t="s">
        <v>612</v>
      </c>
      <c r="AU581" t="str">
        <f t="shared" si="184"/>
        <v>[1]</v>
      </c>
      <c r="AV581">
        <f t="shared" si="188"/>
        <v>0</v>
      </c>
      <c r="AW581" t="str">
        <f t="shared" si="187"/>
        <v/>
      </c>
      <c r="AX581">
        <f>SUMIF(AT581:$AT$651,AW581,AV581:$AV$651)</f>
        <v>0</v>
      </c>
      <c r="XFD581">
        <f>SUM(XFD580:XFD580)</f>
        <v>0</v>
      </c>
    </row>
    <row r="582" spans="11:50 16384:16384" x14ac:dyDescent="0.25">
      <c r="K582" s="4" t="s">
        <v>421</v>
      </c>
      <c r="L582" t="s">
        <v>422</v>
      </c>
      <c r="M582" t="s">
        <v>1760</v>
      </c>
      <c r="N582" t="s">
        <v>119</v>
      </c>
      <c r="O582" t="s">
        <v>131</v>
      </c>
      <c r="P582" t="str">
        <f t="shared" si="189"/>
        <v>[1]</v>
      </c>
      <c r="Q582">
        <f t="shared" si="190"/>
        <v>32</v>
      </c>
      <c r="R582" t="str">
        <f t="shared" si="186"/>
        <v/>
      </c>
      <c r="S582">
        <f>SUMIF(O582:$O$2855,R582,Q582:$Q$2855)</f>
        <v>0</v>
      </c>
      <c r="AP582" s="4" t="s">
        <v>472</v>
      </c>
      <c r="AQ582" t="s">
        <v>479</v>
      </c>
      <c r="AR582" t="s">
        <v>443</v>
      </c>
      <c r="AS582" t="s">
        <v>443</v>
      </c>
      <c r="AT582" t="s">
        <v>612</v>
      </c>
      <c r="AU582" t="str">
        <f t="shared" si="184"/>
        <v>[1]</v>
      </c>
      <c r="AV582">
        <f t="shared" si="188"/>
        <v>0</v>
      </c>
      <c r="AW582" t="str">
        <f t="shared" si="187"/>
        <v/>
      </c>
      <c r="AX582">
        <f>SUMIF(AT582:$AT$651,AW582,AV582:$AV$651)</f>
        <v>0</v>
      </c>
    </row>
    <row r="583" spans="11:50 16384:16384" x14ac:dyDescent="0.25">
      <c r="K583" s="4" t="s">
        <v>421</v>
      </c>
      <c r="L583" t="s">
        <v>422</v>
      </c>
      <c r="M583" t="s">
        <v>3331</v>
      </c>
      <c r="N583" t="s">
        <v>237</v>
      </c>
      <c r="O583" t="s">
        <v>131</v>
      </c>
      <c r="P583" t="str">
        <f t="shared" si="189"/>
        <v>[1]</v>
      </c>
      <c r="Q583">
        <f t="shared" si="190"/>
        <v>52</v>
      </c>
      <c r="R583" t="str">
        <f t="shared" si="186"/>
        <v/>
      </c>
      <c r="S583">
        <f>SUMIF(O583:$O$2855,R583,Q583:$Q$2855)</f>
        <v>0</v>
      </c>
      <c r="AP583" s="4" t="s">
        <v>472</v>
      </c>
      <c r="AQ583" t="s">
        <v>479</v>
      </c>
      <c r="AR583" t="s">
        <v>443</v>
      </c>
      <c r="AS583" t="s">
        <v>443</v>
      </c>
      <c r="AT583" t="s">
        <v>612</v>
      </c>
      <c r="AU583" t="str">
        <f t="shared" si="184"/>
        <v>[1]</v>
      </c>
      <c r="AV583">
        <f t="shared" si="188"/>
        <v>0</v>
      </c>
      <c r="AW583" t="str">
        <f t="shared" si="187"/>
        <v/>
      </c>
      <c r="AX583">
        <f>SUMIF(AT583:$AT$651,AW583,AV583:$AV$651)</f>
        <v>0</v>
      </c>
      <c r="XFD583">
        <f>SUM(XFD581:XFD582)</f>
        <v>0</v>
      </c>
    </row>
    <row r="584" spans="11:50 16384:16384" x14ac:dyDescent="0.25">
      <c r="K584" s="4" t="s">
        <v>421</v>
      </c>
      <c r="L584" t="s">
        <v>422</v>
      </c>
      <c r="M584" t="s">
        <v>3332</v>
      </c>
      <c r="N584" t="s">
        <v>437</v>
      </c>
      <c r="O584" t="s">
        <v>131</v>
      </c>
      <c r="P584" t="str">
        <f t="shared" si="189"/>
        <v>[1]</v>
      </c>
      <c r="Q584">
        <f t="shared" si="190"/>
        <v>24</v>
      </c>
      <c r="R584" t="str">
        <f t="shared" si="186"/>
        <v/>
      </c>
      <c r="S584">
        <f>SUMIF(O584:$O$2855,R584,Q584:$Q$2855)</f>
        <v>0</v>
      </c>
      <c r="AP584" s="4" t="s">
        <v>472</v>
      </c>
      <c r="AQ584" t="s">
        <v>479</v>
      </c>
      <c r="AR584" t="s">
        <v>443</v>
      </c>
      <c r="AS584" t="s">
        <v>443</v>
      </c>
      <c r="AT584" t="s">
        <v>612</v>
      </c>
      <c r="AU584" t="str">
        <f t="shared" si="184"/>
        <v>[1]</v>
      </c>
      <c r="AV584">
        <f t="shared" si="188"/>
        <v>0</v>
      </c>
      <c r="AW584" t="str">
        <f t="shared" si="187"/>
        <v/>
      </c>
      <c r="AX584">
        <f>SUMIF(AT584:$AT$651,AW584,AV584:$AV$651)</f>
        <v>0</v>
      </c>
    </row>
    <row r="585" spans="11:50 16384:16384" x14ac:dyDescent="0.25">
      <c r="K585" s="4" t="s">
        <v>421</v>
      </c>
      <c r="L585" t="s">
        <v>422</v>
      </c>
      <c r="M585" t="s">
        <v>3333</v>
      </c>
      <c r="N585" t="s">
        <v>165</v>
      </c>
      <c r="O585" t="s">
        <v>131</v>
      </c>
      <c r="P585" t="str">
        <f t="shared" si="189"/>
        <v>[1]</v>
      </c>
      <c r="Q585">
        <f t="shared" si="190"/>
        <v>20</v>
      </c>
      <c r="R585" t="str">
        <f t="shared" si="186"/>
        <v/>
      </c>
      <c r="S585">
        <f>SUMIF(O585:$O$2855,R585,Q585:$Q$2855)</f>
        <v>0</v>
      </c>
      <c r="AP585" s="4" t="s">
        <v>472</v>
      </c>
      <c r="AQ585" t="s">
        <v>479</v>
      </c>
      <c r="AR585" t="s">
        <v>443</v>
      </c>
      <c r="AS585" t="s">
        <v>443</v>
      </c>
      <c r="AT585" t="s">
        <v>612</v>
      </c>
      <c r="AU585" t="str">
        <f t="shared" si="184"/>
        <v>[1]</v>
      </c>
      <c r="AV585">
        <f t="shared" si="188"/>
        <v>0</v>
      </c>
      <c r="AW585" t="str">
        <f t="shared" si="187"/>
        <v/>
      </c>
      <c r="AX585">
        <f>SUMIF(AT585:$AT$651,AW585,AV585:$AV$651)</f>
        <v>0</v>
      </c>
    </row>
    <row r="586" spans="11:50 16384:16384" x14ac:dyDescent="0.25">
      <c r="K586" s="4" t="s">
        <v>421</v>
      </c>
      <c r="L586" t="s">
        <v>422</v>
      </c>
      <c r="M586" t="s">
        <v>3334</v>
      </c>
      <c r="N586" t="s">
        <v>126</v>
      </c>
      <c r="O586" t="s">
        <v>131</v>
      </c>
      <c r="P586" t="str">
        <f t="shared" si="189"/>
        <v>[1]</v>
      </c>
      <c r="Q586">
        <f t="shared" si="190"/>
        <v>8</v>
      </c>
      <c r="R586" t="str">
        <f t="shared" si="186"/>
        <v/>
      </c>
      <c r="S586">
        <f>SUMIF(O586:$O$2855,R586,Q586:$Q$2855)</f>
        <v>0</v>
      </c>
      <c r="AP586" s="4" t="s">
        <v>472</v>
      </c>
      <c r="AQ586" t="s">
        <v>479</v>
      </c>
      <c r="AR586" t="s">
        <v>443</v>
      </c>
      <c r="AS586" t="s">
        <v>443</v>
      </c>
      <c r="AT586" t="s">
        <v>612</v>
      </c>
      <c r="AU586" t="str">
        <f t="shared" si="184"/>
        <v>[1]</v>
      </c>
      <c r="AV586">
        <f t="shared" si="188"/>
        <v>0</v>
      </c>
      <c r="AW586" t="str">
        <f t="shared" si="187"/>
        <v/>
      </c>
      <c r="AX586">
        <f>SUMIF(AT586:$AT$651,AW586,AV586:$AV$651)</f>
        <v>0</v>
      </c>
      <c r="XFD586">
        <f>SUM(XFD583:XFD585)</f>
        <v>0</v>
      </c>
    </row>
    <row r="587" spans="11:50 16384:16384" x14ac:dyDescent="0.25">
      <c r="K587" s="4" t="s">
        <v>421</v>
      </c>
      <c r="L587" t="s">
        <v>422</v>
      </c>
      <c r="M587" t="s">
        <v>3335</v>
      </c>
      <c r="N587" t="s">
        <v>6</v>
      </c>
      <c r="O587" t="s">
        <v>131</v>
      </c>
      <c r="P587" t="str">
        <f t="shared" si="189"/>
        <v>[1]</v>
      </c>
      <c r="Q587">
        <f t="shared" si="190"/>
        <v>28</v>
      </c>
      <c r="R587" t="str">
        <f t="shared" si="186"/>
        <v/>
      </c>
      <c r="S587">
        <f>SUMIF(O587:$O$2855,R587,Q587:$Q$2855)</f>
        <v>0</v>
      </c>
      <c r="AP587" s="4" t="s">
        <v>472</v>
      </c>
      <c r="AQ587" t="s">
        <v>479</v>
      </c>
      <c r="AR587" t="s">
        <v>443</v>
      </c>
      <c r="AS587" t="s">
        <v>443</v>
      </c>
      <c r="AT587" t="s">
        <v>612</v>
      </c>
      <c r="AU587" t="str">
        <f t="shared" ref="AU587:AU651" si="191">VLOOKUP($AP$30,$E$1:$F$26,2,FALSE)</f>
        <v>[1]</v>
      </c>
      <c r="AV587">
        <f t="shared" si="188"/>
        <v>0</v>
      </c>
      <c r="AW587" t="str">
        <f t="shared" si="187"/>
        <v/>
      </c>
      <c r="AX587">
        <f>SUMIF(AT587:$AT$651,AW587,AV587:$AV$651)</f>
        <v>0</v>
      </c>
    </row>
    <row r="588" spans="11:50 16384:16384" x14ac:dyDescent="0.25">
      <c r="K588" s="4" t="s">
        <v>421</v>
      </c>
      <c r="L588" t="s">
        <v>422</v>
      </c>
      <c r="M588" t="s">
        <v>3336</v>
      </c>
      <c r="N588" t="s">
        <v>44</v>
      </c>
      <c r="O588" t="s">
        <v>131</v>
      </c>
      <c r="P588" t="str">
        <f t="shared" si="189"/>
        <v>[1]</v>
      </c>
      <c r="Q588">
        <f t="shared" si="190"/>
        <v>44</v>
      </c>
      <c r="R588" t="str">
        <f t="shared" si="186"/>
        <v/>
      </c>
      <c r="S588">
        <f>SUMIF(O588:$O$2855,R588,Q588:$Q$2855)</f>
        <v>0</v>
      </c>
      <c r="AP588" s="4" t="s">
        <v>472</v>
      </c>
      <c r="AQ588" t="s">
        <v>479</v>
      </c>
      <c r="AR588" t="s">
        <v>443</v>
      </c>
      <c r="AS588" t="s">
        <v>443</v>
      </c>
      <c r="AT588" t="s">
        <v>612</v>
      </c>
      <c r="AU588" t="str">
        <f t="shared" si="191"/>
        <v>[1]</v>
      </c>
      <c r="AV588">
        <f t="shared" si="188"/>
        <v>0</v>
      </c>
      <c r="AW588" t="str">
        <f t="shared" si="187"/>
        <v/>
      </c>
      <c r="AX588">
        <f>SUMIF(AT588:$AT$651,AW588,AV588:$AV$651)</f>
        <v>0</v>
      </c>
      <c r="XFD588">
        <f>SUM(XFD586:XFD587)</f>
        <v>0</v>
      </c>
    </row>
    <row r="589" spans="11:50 16384:16384" x14ac:dyDescent="0.25">
      <c r="K589" s="4" t="s">
        <v>421</v>
      </c>
      <c r="L589" t="s">
        <v>422</v>
      </c>
      <c r="M589" t="s">
        <v>3337</v>
      </c>
      <c r="N589" t="s">
        <v>437</v>
      </c>
      <c r="O589" t="s">
        <v>131</v>
      </c>
      <c r="P589" t="str">
        <f t="shared" si="189"/>
        <v>[1]</v>
      </c>
      <c r="Q589">
        <f t="shared" si="190"/>
        <v>24</v>
      </c>
      <c r="R589" t="str">
        <f t="shared" si="186"/>
        <v/>
      </c>
      <c r="S589">
        <f>SUMIF(O589:$O$2855,R589,Q589:$Q$2855)</f>
        <v>0</v>
      </c>
      <c r="AP589" s="4" t="s">
        <v>472</v>
      </c>
      <c r="AQ589" t="s">
        <v>479</v>
      </c>
      <c r="AR589" t="s">
        <v>443</v>
      </c>
      <c r="AS589" t="s">
        <v>443</v>
      </c>
      <c r="AT589" t="s">
        <v>612</v>
      </c>
      <c r="AU589" t="str">
        <f t="shared" si="191"/>
        <v>[1]</v>
      </c>
      <c r="AV589">
        <f t="shared" si="188"/>
        <v>0</v>
      </c>
      <c r="AW589" t="str">
        <f t="shared" si="187"/>
        <v/>
      </c>
      <c r="AX589">
        <f>SUMIF(AT589:$AT$651,AW589,AV589:$AV$651)</f>
        <v>0</v>
      </c>
      <c r="XFD589">
        <f>SUM(XFD588:XFD588)</f>
        <v>0</v>
      </c>
    </row>
    <row r="590" spans="11:50 16384:16384" x14ac:dyDescent="0.25">
      <c r="K590" s="4" t="s">
        <v>421</v>
      </c>
      <c r="L590" t="s">
        <v>422</v>
      </c>
      <c r="M590" t="s">
        <v>3338</v>
      </c>
      <c r="N590" t="s">
        <v>6</v>
      </c>
      <c r="O590" t="s">
        <v>131</v>
      </c>
      <c r="P590" t="str">
        <f t="shared" si="189"/>
        <v>[1]</v>
      </c>
      <c r="Q590">
        <f t="shared" si="190"/>
        <v>28</v>
      </c>
      <c r="R590" t="str">
        <f t="shared" si="186"/>
        <v/>
      </c>
      <c r="S590">
        <f>SUMIF(O590:$O$2855,R590,Q590:$Q$2855)</f>
        <v>0</v>
      </c>
      <c r="AP590" s="4" t="s">
        <v>472</v>
      </c>
      <c r="AQ590" t="s">
        <v>479</v>
      </c>
      <c r="AR590" t="s">
        <v>443</v>
      </c>
      <c r="AS590" t="s">
        <v>443</v>
      </c>
      <c r="AT590" t="s">
        <v>612</v>
      </c>
      <c r="AU590" t="str">
        <f t="shared" si="191"/>
        <v>[1]</v>
      </c>
      <c r="AV590">
        <f t="shared" si="188"/>
        <v>0</v>
      </c>
      <c r="AW590" t="str">
        <f t="shared" si="187"/>
        <v/>
      </c>
      <c r="AX590">
        <f>SUMIF(AT590:$AT$651,AW590,AV590:$AV$651)</f>
        <v>0</v>
      </c>
      <c r="XFD590">
        <f>SUM(XFD589:XFD589)</f>
        <v>0</v>
      </c>
    </row>
    <row r="591" spans="11:50 16384:16384" x14ac:dyDescent="0.25">
      <c r="K591" s="4" t="s">
        <v>421</v>
      </c>
      <c r="L591" t="s">
        <v>422</v>
      </c>
      <c r="M591" t="s">
        <v>3339</v>
      </c>
      <c r="N591" t="s">
        <v>165</v>
      </c>
      <c r="O591" t="s">
        <v>131</v>
      </c>
      <c r="P591" t="str">
        <f t="shared" si="189"/>
        <v>[1]</v>
      </c>
      <c r="Q591">
        <f t="shared" si="190"/>
        <v>20</v>
      </c>
      <c r="R591" t="str">
        <f t="shared" si="186"/>
        <v/>
      </c>
      <c r="S591">
        <f>SUMIF(O591:$O$2855,R591,Q591:$Q$2855)</f>
        <v>0</v>
      </c>
      <c r="AP591" s="4" t="s">
        <v>472</v>
      </c>
      <c r="AQ591" t="s">
        <v>479</v>
      </c>
      <c r="AR591" t="s">
        <v>443</v>
      </c>
      <c r="AS591" t="s">
        <v>443</v>
      </c>
      <c r="AT591" t="s">
        <v>612</v>
      </c>
      <c r="AU591" t="str">
        <f t="shared" si="191"/>
        <v>[1]</v>
      </c>
      <c r="AV591">
        <f t="shared" si="188"/>
        <v>0</v>
      </c>
      <c r="AW591" t="str">
        <f t="shared" si="187"/>
        <v/>
      </c>
      <c r="AX591">
        <f>SUMIF(AT591:$AT$651,AW591,AV591:$AV$651)</f>
        <v>0</v>
      </c>
    </row>
    <row r="592" spans="11:50 16384:16384" x14ac:dyDescent="0.25">
      <c r="K592" s="4" t="s">
        <v>421</v>
      </c>
      <c r="L592" t="s">
        <v>422</v>
      </c>
      <c r="M592" t="s">
        <v>1884</v>
      </c>
      <c r="N592" t="s">
        <v>119</v>
      </c>
      <c r="O592" t="s">
        <v>131</v>
      </c>
      <c r="P592" t="str">
        <f t="shared" si="189"/>
        <v>[1]</v>
      </c>
      <c r="Q592">
        <f t="shared" si="190"/>
        <v>32</v>
      </c>
      <c r="R592" t="str">
        <f t="shared" si="186"/>
        <v/>
      </c>
      <c r="S592">
        <f>SUMIF(O592:$O$2855,R592,Q592:$Q$2855)</f>
        <v>0</v>
      </c>
      <c r="AP592" s="4" t="s">
        <v>472</v>
      </c>
      <c r="AQ592" t="s">
        <v>479</v>
      </c>
      <c r="AR592" t="s">
        <v>443</v>
      </c>
      <c r="AS592" t="s">
        <v>443</v>
      </c>
      <c r="AT592" t="s">
        <v>612</v>
      </c>
      <c r="AU592" t="str">
        <f t="shared" si="191"/>
        <v>[1]</v>
      </c>
      <c r="AV592">
        <f t="shared" si="188"/>
        <v>0</v>
      </c>
      <c r="AW592" t="str">
        <f t="shared" si="187"/>
        <v/>
      </c>
      <c r="AX592">
        <f>SUMIF(AT592:$AT$651,AW592,AV592:$AV$651)</f>
        <v>0</v>
      </c>
      <c r="XFD592">
        <f>SUM(XFD590:XFD591)</f>
        <v>0</v>
      </c>
    </row>
    <row r="593" spans="11:50 16384:16384" x14ac:dyDescent="0.25">
      <c r="K593" s="4" t="s">
        <v>421</v>
      </c>
      <c r="L593" t="s">
        <v>422</v>
      </c>
      <c r="M593" t="s">
        <v>3340</v>
      </c>
      <c r="N593" t="s">
        <v>6</v>
      </c>
      <c r="O593" t="s">
        <v>131</v>
      </c>
      <c r="P593" t="str">
        <f t="shared" si="189"/>
        <v>[1]</v>
      </c>
      <c r="Q593">
        <f t="shared" si="190"/>
        <v>28</v>
      </c>
      <c r="R593" t="str">
        <f t="shared" si="186"/>
        <v/>
      </c>
      <c r="S593">
        <f>SUMIF(O593:$O$2855,R593,Q593:$Q$2855)</f>
        <v>0</v>
      </c>
      <c r="AP593" s="4" t="s">
        <v>472</v>
      </c>
      <c r="AQ593" t="s">
        <v>479</v>
      </c>
      <c r="AR593" t="s">
        <v>443</v>
      </c>
      <c r="AS593" t="s">
        <v>443</v>
      </c>
      <c r="AT593" t="s">
        <v>612</v>
      </c>
      <c r="AU593" t="str">
        <f t="shared" si="191"/>
        <v>[1]</v>
      </c>
      <c r="AV593">
        <f t="shared" ref="AV593:AV629" si="192">HEX2DEC(MID(AS593,3,LEN(AS593)-2))</f>
        <v>0</v>
      </c>
      <c r="AW593" t="str">
        <f t="shared" si="187"/>
        <v/>
      </c>
      <c r="AX593">
        <f>SUMIF(AT593:$AT$651,AW593,AV593:$AV$651)</f>
        <v>0</v>
      </c>
    </row>
    <row r="594" spans="11:50 16384:16384" x14ac:dyDescent="0.25">
      <c r="K594" s="4" t="s">
        <v>421</v>
      </c>
      <c r="L594" t="s">
        <v>422</v>
      </c>
      <c r="M594" t="s">
        <v>3341</v>
      </c>
      <c r="N594" t="s">
        <v>76</v>
      </c>
      <c r="O594" t="s">
        <v>131</v>
      </c>
      <c r="P594" t="str">
        <f t="shared" si="189"/>
        <v>[1]</v>
      </c>
      <c r="Q594">
        <f t="shared" si="190"/>
        <v>36</v>
      </c>
      <c r="R594" t="str">
        <f t="shared" si="186"/>
        <v/>
      </c>
      <c r="S594">
        <f>SUMIF(O594:$O$2855,R594,Q594:$Q$2855)</f>
        <v>0</v>
      </c>
      <c r="AP594" s="4" t="s">
        <v>472</v>
      </c>
      <c r="AQ594" t="s">
        <v>479</v>
      </c>
      <c r="AR594" t="s">
        <v>443</v>
      </c>
      <c r="AS594" t="s">
        <v>443</v>
      </c>
      <c r="AT594" t="s">
        <v>612</v>
      </c>
      <c r="AU594" t="str">
        <f t="shared" si="191"/>
        <v>[1]</v>
      </c>
      <c r="AV594">
        <f t="shared" si="192"/>
        <v>0</v>
      </c>
      <c r="AW594" t="str">
        <f t="shared" si="187"/>
        <v/>
      </c>
      <c r="AX594">
        <f>SUMIF(AT594:$AT$651,AW594,AV594:$AV$651)</f>
        <v>0</v>
      </c>
      <c r="XFD594">
        <f>SUM(XFD592:XFD593)</f>
        <v>0</v>
      </c>
    </row>
    <row r="595" spans="11:50 16384:16384" x14ac:dyDescent="0.25">
      <c r="K595" s="4" t="s">
        <v>421</v>
      </c>
      <c r="L595" t="s">
        <v>422</v>
      </c>
      <c r="M595" t="s">
        <v>3342</v>
      </c>
      <c r="N595" t="s">
        <v>76</v>
      </c>
      <c r="O595" t="s">
        <v>131</v>
      </c>
      <c r="P595" t="str">
        <f t="shared" si="189"/>
        <v>[1]</v>
      </c>
      <c r="Q595">
        <f t="shared" si="190"/>
        <v>36</v>
      </c>
      <c r="R595" t="str">
        <f t="shared" si="186"/>
        <v/>
      </c>
      <c r="S595">
        <f>SUMIF(O595:$O$2855,R595,Q595:$Q$2855)</f>
        <v>0</v>
      </c>
      <c r="AP595" s="4" t="s">
        <v>472</v>
      </c>
      <c r="AQ595" t="s">
        <v>479</v>
      </c>
      <c r="AR595" t="s">
        <v>443</v>
      </c>
      <c r="AS595" t="s">
        <v>443</v>
      </c>
      <c r="AT595" t="s">
        <v>612</v>
      </c>
      <c r="AU595" t="str">
        <f t="shared" si="191"/>
        <v>[1]</v>
      </c>
      <c r="AV595">
        <f t="shared" si="192"/>
        <v>0</v>
      </c>
      <c r="AW595" t="str">
        <f t="shared" si="187"/>
        <v/>
      </c>
      <c r="AX595">
        <f>SUMIF(AT595:$AT$651,AW595,AV595:$AV$651)</f>
        <v>0</v>
      </c>
    </row>
    <row r="596" spans="11:50 16384:16384" x14ac:dyDescent="0.25">
      <c r="K596" s="4" t="s">
        <v>421</v>
      </c>
      <c r="L596" t="s">
        <v>422</v>
      </c>
      <c r="M596" t="s">
        <v>3343</v>
      </c>
      <c r="N596" t="s">
        <v>76</v>
      </c>
      <c r="O596" t="s">
        <v>131</v>
      </c>
      <c r="P596" t="str">
        <f t="shared" si="189"/>
        <v>[1]</v>
      </c>
      <c r="Q596">
        <f t="shared" si="190"/>
        <v>36</v>
      </c>
      <c r="R596" t="str">
        <f t="shared" si="186"/>
        <v/>
      </c>
      <c r="S596">
        <f>SUMIF(O596:$O$2855,R596,Q596:$Q$2855)</f>
        <v>0</v>
      </c>
      <c r="AP596" s="4" t="s">
        <v>472</v>
      </c>
      <c r="AQ596" t="s">
        <v>479</v>
      </c>
      <c r="AR596" t="s">
        <v>443</v>
      </c>
      <c r="AS596" t="s">
        <v>443</v>
      </c>
      <c r="AT596" t="s">
        <v>612</v>
      </c>
      <c r="AU596" t="str">
        <f t="shared" si="191"/>
        <v>[1]</v>
      </c>
      <c r="AV596">
        <f t="shared" ref="AV596:AV621" si="193">HEX2DEC(MID(AS596,3,LEN(AS596)-2))</f>
        <v>0</v>
      </c>
      <c r="AW596" t="str">
        <f t="shared" si="187"/>
        <v/>
      </c>
      <c r="AX596">
        <f>SUMIF(AT596:$AT$651,AW596,AV596:$AV$651)</f>
        <v>0</v>
      </c>
      <c r="XFD596">
        <f>SUM(XFD594:XFD595)</f>
        <v>0</v>
      </c>
    </row>
    <row r="597" spans="11:50 16384:16384" x14ac:dyDescent="0.25">
      <c r="K597" s="4" t="s">
        <v>421</v>
      </c>
      <c r="L597" t="s">
        <v>422</v>
      </c>
      <c r="M597" t="s">
        <v>3344</v>
      </c>
      <c r="N597" t="s">
        <v>103</v>
      </c>
      <c r="O597" t="s">
        <v>131</v>
      </c>
      <c r="P597" t="str">
        <f t="shared" si="189"/>
        <v>[1]</v>
      </c>
      <c r="Q597">
        <f t="shared" si="190"/>
        <v>64</v>
      </c>
      <c r="R597" t="str">
        <f t="shared" si="186"/>
        <v/>
      </c>
      <c r="S597">
        <f>SUMIF(O597:$O$2855,R597,Q597:$Q$2855)</f>
        <v>0</v>
      </c>
      <c r="AP597" s="4" t="s">
        <v>472</v>
      </c>
      <c r="AQ597" t="s">
        <v>479</v>
      </c>
      <c r="AR597" t="s">
        <v>443</v>
      </c>
      <c r="AS597" t="s">
        <v>443</v>
      </c>
      <c r="AT597" t="s">
        <v>612</v>
      </c>
      <c r="AU597" t="str">
        <f t="shared" si="191"/>
        <v>[1]</v>
      </c>
      <c r="AV597">
        <f t="shared" si="193"/>
        <v>0</v>
      </c>
      <c r="AW597" t="str">
        <f t="shared" si="187"/>
        <v/>
      </c>
      <c r="AX597">
        <f>SUMIF(AT597:$AT$651,AW597,AV597:$AV$651)</f>
        <v>0</v>
      </c>
    </row>
    <row r="598" spans="11:50 16384:16384" x14ac:dyDescent="0.25">
      <c r="K598" s="4" t="s">
        <v>421</v>
      </c>
      <c r="L598" t="s">
        <v>422</v>
      </c>
      <c r="M598" t="s">
        <v>3345</v>
      </c>
      <c r="N598" t="s">
        <v>89</v>
      </c>
      <c r="O598" t="s">
        <v>131</v>
      </c>
      <c r="P598" t="str">
        <f t="shared" si="189"/>
        <v>[1]</v>
      </c>
      <c r="Q598">
        <f t="shared" si="190"/>
        <v>76</v>
      </c>
      <c r="R598" t="str">
        <f t="shared" si="186"/>
        <v/>
      </c>
      <c r="S598">
        <f>SUMIF(O598:$O$2855,R598,Q598:$Q$2855)</f>
        <v>0</v>
      </c>
      <c r="AP598" s="4" t="s">
        <v>472</v>
      </c>
      <c r="AQ598" t="s">
        <v>479</v>
      </c>
      <c r="AR598" t="s">
        <v>443</v>
      </c>
      <c r="AS598" t="s">
        <v>443</v>
      </c>
      <c r="AT598" t="s">
        <v>612</v>
      </c>
      <c r="AU598" t="str">
        <f t="shared" si="191"/>
        <v>[1]</v>
      </c>
      <c r="AV598">
        <f t="shared" si="193"/>
        <v>0</v>
      </c>
      <c r="AW598" t="str">
        <f t="shared" si="187"/>
        <v/>
      </c>
      <c r="AX598">
        <f>SUMIF(AT598:$AT$651,AW598,AV598:$AV$651)</f>
        <v>0</v>
      </c>
      <c r="XFD598">
        <f>SUM(XFD596:XFD597)</f>
        <v>0</v>
      </c>
    </row>
    <row r="599" spans="11:50 16384:16384" x14ac:dyDescent="0.25">
      <c r="K599" s="4" t="s">
        <v>421</v>
      </c>
      <c r="L599" t="s">
        <v>422</v>
      </c>
      <c r="M599" t="s">
        <v>3346</v>
      </c>
      <c r="N599" t="s">
        <v>67</v>
      </c>
      <c r="O599" t="s">
        <v>131</v>
      </c>
      <c r="P599" t="str">
        <f t="shared" si="189"/>
        <v>[1]</v>
      </c>
      <c r="Q599">
        <f t="shared" si="190"/>
        <v>48</v>
      </c>
      <c r="R599" t="str">
        <f t="shared" si="186"/>
        <v/>
      </c>
      <c r="S599">
        <f>SUMIF(O599:$O$2855,R599,Q599:$Q$2855)</f>
        <v>0</v>
      </c>
      <c r="AP599" s="4" t="s">
        <v>472</v>
      </c>
      <c r="AQ599" t="s">
        <v>479</v>
      </c>
      <c r="AR599" t="s">
        <v>443</v>
      </c>
      <c r="AS599" t="s">
        <v>443</v>
      </c>
      <c r="AT599" t="s">
        <v>612</v>
      </c>
      <c r="AU599" t="str">
        <f t="shared" si="191"/>
        <v>[1]</v>
      </c>
      <c r="AV599">
        <f t="shared" si="193"/>
        <v>0</v>
      </c>
      <c r="AW599" t="str">
        <f t="shared" si="187"/>
        <v/>
      </c>
      <c r="AX599">
        <f>SUMIF(AT599:$AT$651,AW599,AV599:$AV$651)</f>
        <v>0</v>
      </c>
      <c r="XFD599">
        <f>SUM(XFD598:XFD598)</f>
        <v>0</v>
      </c>
    </row>
    <row r="600" spans="11:50 16384:16384" x14ac:dyDescent="0.25">
      <c r="K600" s="4" t="s">
        <v>421</v>
      </c>
      <c r="L600" t="s">
        <v>422</v>
      </c>
      <c r="M600" t="s">
        <v>3347</v>
      </c>
      <c r="N600" t="s">
        <v>147</v>
      </c>
      <c r="O600" t="s">
        <v>131</v>
      </c>
      <c r="P600" t="str">
        <f t="shared" si="189"/>
        <v>[1]</v>
      </c>
      <c r="Q600">
        <f t="shared" si="190"/>
        <v>72</v>
      </c>
      <c r="R600" t="str">
        <f t="shared" si="186"/>
        <v/>
      </c>
      <c r="S600">
        <f>SUMIF(O600:$O$2855,R600,Q600:$Q$2855)</f>
        <v>0</v>
      </c>
      <c r="AP600" s="4" t="s">
        <v>472</v>
      </c>
      <c r="AQ600" t="s">
        <v>479</v>
      </c>
      <c r="AR600" t="s">
        <v>443</v>
      </c>
      <c r="AS600" t="s">
        <v>443</v>
      </c>
      <c r="AT600" t="s">
        <v>612</v>
      </c>
      <c r="AU600" t="str">
        <f t="shared" si="191"/>
        <v>[1]</v>
      </c>
      <c r="AV600">
        <f t="shared" si="193"/>
        <v>0</v>
      </c>
      <c r="AW600" t="str">
        <f t="shared" si="187"/>
        <v/>
      </c>
      <c r="AX600">
        <f>SUMIF(AT600:$AT$651,AW600,AV600:$AV$651)</f>
        <v>0</v>
      </c>
    </row>
    <row r="601" spans="11:50 16384:16384" x14ac:dyDescent="0.25">
      <c r="K601" s="4" t="s">
        <v>421</v>
      </c>
      <c r="L601" t="s">
        <v>422</v>
      </c>
      <c r="M601" t="s">
        <v>3348</v>
      </c>
      <c r="N601" t="s">
        <v>63</v>
      </c>
      <c r="O601" t="s">
        <v>131</v>
      </c>
      <c r="P601" t="str">
        <f t="shared" si="189"/>
        <v>[1]</v>
      </c>
      <c r="Q601">
        <f t="shared" si="190"/>
        <v>88</v>
      </c>
      <c r="R601" t="str">
        <f t="shared" si="186"/>
        <v/>
      </c>
      <c r="S601">
        <f>SUMIF(O601:$O$2855,R601,Q601:$Q$2855)</f>
        <v>0</v>
      </c>
      <c r="AP601" s="4" t="s">
        <v>472</v>
      </c>
      <c r="AQ601" t="s">
        <v>479</v>
      </c>
      <c r="AR601" t="s">
        <v>443</v>
      </c>
      <c r="AS601" t="s">
        <v>443</v>
      </c>
      <c r="AT601" t="s">
        <v>612</v>
      </c>
      <c r="AU601" t="str">
        <f t="shared" si="191"/>
        <v>[1]</v>
      </c>
      <c r="AV601">
        <f t="shared" si="193"/>
        <v>0</v>
      </c>
      <c r="AW601" t="str">
        <f t="shared" si="187"/>
        <v/>
      </c>
      <c r="AX601">
        <f>SUMIF(AT601:$AT$651,AW601,AV601:$AV$651)</f>
        <v>0</v>
      </c>
      <c r="XFD601">
        <f>SUM(XFD599:XFD600)</f>
        <v>0</v>
      </c>
    </row>
    <row r="602" spans="11:50 16384:16384" x14ac:dyDescent="0.25">
      <c r="K602" s="4" t="s">
        <v>421</v>
      </c>
      <c r="L602" t="s">
        <v>422</v>
      </c>
      <c r="M602" t="s">
        <v>3349</v>
      </c>
      <c r="N602" t="s">
        <v>124</v>
      </c>
      <c r="O602" t="s">
        <v>131</v>
      </c>
      <c r="P602" t="str">
        <f t="shared" si="189"/>
        <v>[1]</v>
      </c>
      <c r="Q602">
        <f t="shared" si="190"/>
        <v>68</v>
      </c>
      <c r="R602" t="str">
        <f t="shared" si="186"/>
        <v/>
      </c>
      <c r="S602">
        <f>SUMIF(O602:$O$2855,R602,Q602:$Q$2855)</f>
        <v>0</v>
      </c>
      <c r="AP602" s="4" t="s">
        <v>472</v>
      </c>
      <c r="AQ602" t="s">
        <v>479</v>
      </c>
      <c r="AR602" t="s">
        <v>443</v>
      </c>
      <c r="AS602" t="s">
        <v>443</v>
      </c>
      <c r="AT602" t="s">
        <v>612</v>
      </c>
      <c r="AU602" t="str">
        <f t="shared" si="191"/>
        <v>[1]</v>
      </c>
      <c r="AV602">
        <f t="shared" si="193"/>
        <v>0</v>
      </c>
      <c r="AW602" t="str">
        <f t="shared" si="187"/>
        <v/>
      </c>
      <c r="AX602">
        <f>SUMIF(AT602:$AT$651,AW602,AV602:$AV$651)</f>
        <v>0</v>
      </c>
    </row>
    <row r="603" spans="11:50 16384:16384" x14ac:dyDescent="0.25">
      <c r="K603" s="4" t="s">
        <v>421</v>
      </c>
      <c r="L603" t="s">
        <v>422</v>
      </c>
      <c r="M603" t="s">
        <v>3350</v>
      </c>
      <c r="N603" t="s">
        <v>237</v>
      </c>
      <c r="O603" t="s">
        <v>131</v>
      </c>
      <c r="P603" t="str">
        <f t="shared" si="189"/>
        <v>[1]</v>
      </c>
      <c r="Q603">
        <f t="shared" si="190"/>
        <v>52</v>
      </c>
      <c r="R603" t="str">
        <f t="shared" si="186"/>
        <v/>
      </c>
      <c r="S603">
        <f>SUMIF(O603:$O$2855,R603,Q603:$Q$2855)</f>
        <v>0</v>
      </c>
      <c r="AP603" s="4" t="s">
        <v>472</v>
      </c>
      <c r="AQ603" t="s">
        <v>479</v>
      </c>
      <c r="AR603" t="s">
        <v>443</v>
      </c>
      <c r="AS603" t="s">
        <v>443</v>
      </c>
      <c r="AT603" t="s">
        <v>612</v>
      </c>
      <c r="AU603" t="str">
        <f t="shared" si="191"/>
        <v>[1]</v>
      </c>
      <c r="AV603">
        <f t="shared" si="193"/>
        <v>0</v>
      </c>
      <c r="AW603" t="str">
        <f t="shared" si="187"/>
        <v/>
      </c>
      <c r="AX603">
        <f>SUMIF(AT603:$AT$651,AW603,AV603:$AV$651)</f>
        <v>0</v>
      </c>
    </row>
    <row r="604" spans="11:50 16384:16384" x14ac:dyDescent="0.25">
      <c r="K604" s="4" t="s">
        <v>421</v>
      </c>
      <c r="L604" t="s">
        <v>422</v>
      </c>
      <c r="M604" t="s">
        <v>3351</v>
      </c>
      <c r="N604" t="s">
        <v>67</v>
      </c>
      <c r="O604" t="s">
        <v>131</v>
      </c>
      <c r="P604" t="str">
        <f t="shared" si="189"/>
        <v>[1]</v>
      </c>
      <c r="Q604">
        <f t="shared" si="190"/>
        <v>48</v>
      </c>
      <c r="R604" t="str">
        <f t="shared" si="186"/>
        <v/>
      </c>
      <c r="S604">
        <f>SUMIF(O604:$O$2855,R604,Q604:$Q$2855)</f>
        <v>0</v>
      </c>
      <c r="AP604" s="4" t="s">
        <v>472</v>
      </c>
      <c r="AQ604" t="s">
        <v>479</v>
      </c>
      <c r="AR604" t="s">
        <v>443</v>
      </c>
      <c r="AS604" t="s">
        <v>443</v>
      </c>
      <c r="AT604" t="s">
        <v>612</v>
      </c>
      <c r="AU604" t="str">
        <f t="shared" si="191"/>
        <v>[1]</v>
      </c>
      <c r="AV604">
        <f t="shared" si="193"/>
        <v>0</v>
      </c>
      <c r="AW604" t="str">
        <f t="shared" si="187"/>
        <v/>
      </c>
      <c r="AX604">
        <f>SUMIF(AT604:$AT$651,AW604,AV604:$AV$651)</f>
        <v>0</v>
      </c>
    </row>
    <row r="605" spans="11:50 16384:16384" x14ac:dyDescent="0.25">
      <c r="K605" s="4" t="s">
        <v>421</v>
      </c>
      <c r="L605" t="s">
        <v>422</v>
      </c>
      <c r="M605" t="s">
        <v>3352</v>
      </c>
      <c r="N605" t="s">
        <v>435</v>
      </c>
      <c r="O605" t="s">
        <v>131</v>
      </c>
      <c r="P605" t="str">
        <f t="shared" si="189"/>
        <v>[1]</v>
      </c>
      <c r="Q605">
        <f t="shared" si="190"/>
        <v>60</v>
      </c>
      <c r="R605" t="str">
        <f t="shared" si="186"/>
        <v/>
      </c>
      <c r="S605">
        <f>SUMIF(O605:$O$2855,R605,Q605:$Q$2855)</f>
        <v>0</v>
      </c>
      <c r="AP605" s="4" t="s">
        <v>472</v>
      </c>
      <c r="AQ605" t="s">
        <v>479</v>
      </c>
      <c r="AR605" t="s">
        <v>443</v>
      </c>
      <c r="AS605" t="s">
        <v>443</v>
      </c>
      <c r="AT605" t="s">
        <v>612</v>
      </c>
      <c r="AU605" t="str">
        <f t="shared" si="191"/>
        <v>[1]</v>
      </c>
      <c r="AV605">
        <f t="shared" si="193"/>
        <v>0</v>
      </c>
      <c r="AW605" t="str">
        <f t="shared" si="187"/>
        <v/>
      </c>
      <c r="AX605">
        <f>SUMIF(AT605:$AT$651,AW605,AV605:$AV$651)</f>
        <v>0</v>
      </c>
    </row>
    <row r="606" spans="11:50 16384:16384" x14ac:dyDescent="0.25">
      <c r="K606" s="4" t="s">
        <v>421</v>
      </c>
      <c r="L606" t="s">
        <v>422</v>
      </c>
      <c r="M606" t="s">
        <v>3353</v>
      </c>
      <c r="N606" t="s">
        <v>435</v>
      </c>
      <c r="O606" t="s">
        <v>131</v>
      </c>
      <c r="P606" t="str">
        <f t="shared" si="189"/>
        <v>[1]</v>
      </c>
      <c r="Q606">
        <f t="shared" si="190"/>
        <v>60</v>
      </c>
      <c r="R606" t="str">
        <f t="shared" si="186"/>
        <v/>
      </c>
      <c r="S606">
        <f>SUMIF(O606:$O$2855,R606,Q606:$Q$2855)</f>
        <v>0</v>
      </c>
      <c r="AP606" s="4" t="s">
        <v>472</v>
      </c>
      <c r="AQ606" t="s">
        <v>479</v>
      </c>
      <c r="AR606" t="s">
        <v>443</v>
      </c>
      <c r="AS606" t="s">
        <v>443</v>
      </c>
      <c r="AT606" t="s">
        <v>612</v>
      </c>
      <c r="AU606" t="str">
        <f t="shared" si="191"/>
        <v>[1]</v>
      </c>
      <c r="AV606">
        <f t="shared" si="193"/>
        <v>0</v>
      </c>
      <c r="AW606" t="str">
        <f t="shared" si="187"/>
        <v/>
      </c>
      <c r="AX606">
        <f>SUMIF(AT606:$AT$651,AW606,AV606:$AV$651)</f>
        <v>0</v>
      </c>
    </row>
    <row r="607" spans="11:50 16384:16384" x14ac:dyDescent="0.25">
      <c r="K607" s="4" t="s">
        <v>421</v>
      </c>
      <c r="L607" t="s">
        <v>422</v>
      </c>
      <c r="M607" t="s">
        <v>1761</v>
      </c>
      <c r="N607" t="s">
        <v>119</v>
      </c>
      <c r="O607" t="s">
        <v>131</v>
      </c>
      <c r="P607" t="str">
        <f t="shared" si="189"/>
        <v>[1]</v>
      </c>
      <c r="Q607">
        <f t="shared" si="190"/>
        <v>32</v>
      </c>
      <c r="R607" t="str">
        <f t="shared" si="186"/>
        <v/>
      </c>
      <c r="S607">
        <f>SUMIF(O607:$O$2855,R607,Q607:$Q$2855)</f>
        <v>0</v>
      </c>
      <c r="AP607" s="4" t="s">
        <v>472</v>
      </c>
      <c r="AQ607" t="s">
        <v>479</v>
      </c>
      <c r="AR607" t="s">
        <v>443</v>
      </c>
      <c r="AS607" t="s">
        <v>443</v>
      </c>
      <c r="AT607" t="s">
        <v>612</v>
      </c>
      <c r="AU607" t="str">
        <f t="shared" si="191"/>
        <v>[1]</v>
      </c>
      <c r="AV607">
        <f t="shared" si="193"/>
        <v>0</v>
      </c>
      <c r="AW607" t="str">
        <f t="shared" si="187"/>
        <v/>
      </c>
      <c r="AX607">
        <f>SUMIF(AT607:$AT$651,AW607,AV607:$AV$651)</f>
        <v>0</v>
      </c>
    </row>
    <row r="608" spans="11:50 16384:16384" x14ac:dyDescent="0.25">
      <c r="K608" s="4" t="s">
        <v>421</v>
      </c>
      <c r="L608" t="s">
        <v>422</v>
      </c>
      <c r="M608" t="s">
        <v>3354</v>
      </c>
      <c r="N608" t="s">
        <v>437</v>
      </c>
      <c r="O608" t="s">
        <v>131</v>
      </c>
      <c r="P608" t="str">
        <f t="shared" si="189"/>
        <v>[1]</v>
      </c>
      <c r="Q608">
        <f t="shared" si="190"/>
        <v>24</v>
      </c>
      <c r="R608" t="str">
        <f t="shared" ref="R608:R671" si="194">IF(O608&lt;&gt;O607,O608,"")</f>
        <v/>
      </c>
      <c r="S608">
        <f>SUMIF(O608:$O$2855,R608,Q608:$Q$2855)</f>
        <v>0</v>
      </c>
      <c r="AP608" s="4" t="s">
        <v>472</v>
      </c>
      <c r="AQ608" t="s">
        <v>479</v>
      </c>
      <c r="AR608" t="s">
        <v>443</v>
      </c>
      <c r="AS608" t="s">
        <v>443</v>
      </c>
      <c r="AT608" t="s">
        <v>612</v>
      </c>
      <c r="AU608" t="str">
        <f t="shared" si="191"/>
        <v>[1]</v>
      </c>
      <c r="AV608">
        <f t="shared" si="193"/>
        <v>0</v>
      </c>
      <c r="AW608" t="str">
        <f t="shared" ref="AW608:AW644" si="195">IF(AT608&lt;&gt;AT607,AT608,"")</f>
        <v/>
      </c>
      <c r="AX608">
        <f>SUMIF(AT608:$AT$651,AW608,AV608:$AV$651)</f>
        <v>0</v>
      </c>
    </row>
    <row r="609" spans="11:50 16384:16384" x14ac:dyDescent="0.25">
      <c r="K609" s="4" t="s">
        <v>421</v>
      </c>
      <c r="L609" t="s">
        <v>422</v>
      </c>
      <c r="M609" t="s">
        <v>3355</v>
      </c>
      <c r="N609" t="s">
        <v>6</v>
      </c>
      <c r="O609" t="s">
        <v>131</v>
      </c>
      <c r="P609" t="str">
        <f t="shared" si="189"/>
        <v>[1]</v>
      </c>
      <c r="Q609">
        <f t="shared" si="190"/>
        <v>28</v>
      </c>
      <c r="R609" t="str">
        <f t="shared" si="194"/>
        <v/>
      </c>
      <c r="S609">
        <f>SUMIF(O609:$O$2855,R609,Q609:$Q$2855)</f>
        <v>0</v>
      </c>
      <c r="AP609" s="4" t="s">
        <v>472</v>
      </c>
      <c r="AQ609" t="s">
        <v>479</v>
      </c>
      <c r="AR609" t="s">
        <v>443</v>
      </c>
      <c r="AS609" t="s">
        <v>443</v>
      </c>
      <c r="AT609" t="s">
        <v>612</v>
      </c>
      <c r="AU609" t="str">
        <f t="shared" si="191"/>
        <v>[1]</v>
      </c>
      <c r="AV609">
        <f t="shared" si="193"/>
        <v>0</v>
      </c>
      <c r="AW609" t="str">
        <f t="shared" si="195"/>
        <v/>
      </c>
      <c r="AX609">
        <f>SUMIF(AT609:$AT$651,AW609,AV609:$AV$651)</f>
        <v>0</v>
      </c>
    </row>
    <row r="610" spans="11:50 16384:16384" x14ac:dyDescent="0.25">
      <c r="K610" s="4" t="s">
        <v>421</v>
      </c>
      <c r="L610" t="s">
        <v>422</v>
      </c>
      <c r="M610" t="s">
        <v>3356</v>
      </c>
      <c r="N610" t="s">
        <v>6</v>
      </c>
      <c r="O610" t="s">
        <v>131</v>
      </c>
      <c r="P610" t="str">
        <f t="shared" si="189"/>
        <v>[1]</v>
      </c>
      <c r="Q610">
        <f t="shared" si="190"/>
        <v>28</v>
      </c>
      <c r="R610" t="str">
        <f t="shared" si="194"/>
        <v/>
      </c>
      <c r="S610">
        <f>SUMIF(O610:$O$2855,R610,Q610:$Q$2855)</f>
        <v>0</v>
      </c>
      <c r="AP610" s="4" t="s">
        <v>472</v>
      </c>
      <c r="AQ610" t="s">
        <v>479</v>
      </c>
      <c r="AR610" t="s">
        <v>443</v>
      </c>
      <c r="AS610" t="s">
        <v>443</v>
      </c>
      <c r="AT610" t="s">
        <v>612</v>
      </c>
      <c r="AU610" t="str">
        <f t="shared" si="191"/>
        <v>[1]</v>
      </c>
      <c r="AV610">
        <f t="shared" si="193"/>
        <v>0</v>
      </c>
      <c r="AW610" t="str">
        <f t="shared" si="195"/>
        <v/>
      </c>
      <c r="AX610">
        <f>SUMIF(AT610:$AT$651,AW610,AV610:$AV$651)</f>
        <v>0</v>
      </c>
    </row>
    <row r="611" spans="11:50 16384:16384" x14ac:dyDescent="0.25">
      <c r="K611" s="4" t="s">
        <v>421</v>
      </c>
      <c r="L611" t="s">
        <v>422</v>
      </c>
      <c r="M611" t="s">
        <v>3357</v>
      </c>
      <c r="N611" t="s">
        <v>76</v>
      </c>
      <c r="O611" t="s">
        <v>131</v>
      </c>
      <c r="P611" t="str">
        <f t="shared" si="189"/>
        <v>[1]</v>
      </c>
      <c r="Q611">
        <f t="shared" si="190"/>
        <v>36</v>
      </c>
      <c r="R611" t="str">
        <f t="shared" si="194"/>
        <v/>
      </c>
      <c r="S611">
        <f>SUMIF(O611:$O$2855,R611,Q611:$Q$2855)</f>
        <v>0</v>
      </c>
      <c r="AP611" s="4" t="s">
        <v>472</v>
      </c>
      <c r="AQ611" t="s">
        <v>479</v>
      </c>
      <c r="AR611" t="s">
        <v>443</v>
      </c>
      <c r="AS611" t="s">
        <v>443</v>
      </c>
      <c r="AT611" t="s">
        <v>612</v>
      </c>
      <c r="AU611" t="str">
        <f t="shared" si="191"/>
        <v>[1]</v>
      </c>
      <c r="AV611">
        <f t="shared" si="193"/>
        <v>0</v>
      </c>
      <c r="AW611" t="str">
        <f t="shared" si="195"/>
        <v/>
      </c>
      <c r="AX611">
        <f>SUMIF(AT611:$AT$651,AW611,AV611:$AV$651)</f>
        <v>0</v>
      </c>
    </row>
    <row r="612" spans="11:50 16384:16384" x14ac:dyDescent="0.25">
      <c r="K612" s="4" t="s">
        <v>421</v>
      </c>
      <c r="L612" t="s">
        <v>422</v>
      </c>
      <c r="M612" t="s">
        <v>1885</v>
      </c>
      <c r="N612" t="s">
        <v>119</v>
      </c>
      <c r="O612" t="s">
        <v>131</v>
      </c>
      <c r="P612" t="str">
        <f t="shared" si="189"/>
        <v>[1]</v>
      </c>
      <c r="Q612">
        <f t="shared" si="190"/>
        <v>32</v>
      </c>
      <c r="R612" t="str">
        <f t="shared" si="194"/>
        <v/>
      </c>
      <c r="S612">
        <f>SUMIF(O612:$O$2855,R612,Q612:$Q$2855)</f>
        <v>0</v>
      </c>
      <c r="AP612" s="4" t="s">
        <v>472</v>
      </c>
      <c r="AQ612" t="s">
        <v>479</v>
      </c>
      <c r="AR612" t="s">
        <v>443</v>
      </c>
      <c r="AS612" t="s">
        <v>443</v>
      </c>
      <c r="AT612" t="s">
        <v>612</v>
      </c>
      <c r="AU612" t="str">
        <f t="shared" si="191"/>
        <v>[1]</v>
      </c>
      <c r="AV612">
        <f t="shared" si="193"/>
        <v>0</v>
      </c>
      <c r="AW612" t="str">
        <f t="shared" si="195"/>
        <v/>
      </c>
      <c r="AX612">
        <f>SUMIF(AT612:$AT$651,AW612,AV612:$AV$651)</f>
        <v>0</v>
      </c>
    </row>
    <row r="613" spans="11:50 16384:16384" x14ac:dyDescent="0.25">
      <c r="K613" s="4" t="s">
        <v>421</v>
      </c>
      <c r="L613" t="s">
        <v>422</v>
      </c>
      <c r="M613" t="s">
        <v>3358</v>
      </c>
      <c r="N613" t="s">
        <v>124</v>
      </c>
      <c r="O613" t="s">
        <v>131</v>
      </c>
      <c r="P613" t="str">
        <f t="shared" si="189"/>
        <v>[1]</v>
      </c>
      <c r="Q613">
        <f t="shared" si="190"/>
        <v>68</v>
      </c>
      <c r="R613" t="str">
        <f t="shared" si="194"/>
        <v/>
      </c>
      <c r="S613">
        <f>SUMIF(O613:$O$2855,R613,Q613:$Q$2855)</f>
        <v>0</v>
      </c>
      <c r="AP613" s="4" t="s">
        <v>472</v>
      </c>
      <c r="AQ613" t="s">
        <v>479</v>
      </c>
      <c r="AR613" t="s">
        <v>443</v>
      </c>
      <c r="AS613" t="s">
        <v>443</v>
      </c>
      <c r="AT613" t="s">
        <v>612</v>
      </c>
      <c r="AU613" t="str">
        <f t="shared" si="191"/>
        <v>[1]</v>
      </c>
      <c r="AV613">
        <f t="shared" si="193"/>
        <v>0</v>
      </c>
      <c r="AW613" t="str">
        <f t="shared" si="195"/>
        <v/>
      </c>
      <c r="AX613">
        <f>SUMIF(AT613:$AT$651,AW613,AV613:$AV$651)</f>
        <v>0</v>
      </c>
    </row>
    <row r="614" spans="11:50 16384:16384" x14ac:dyDescent="0.25">
      <c r="K614" s="4" t="s">
        <v>421</v>
      </c>
      <c r="L614" t="s">
        <v>422</v>
      </c>
      <c r="M614" t="s">
        <v>3359</v>
      </c>
      <c r="N614" t="s">
        <v>44</v>
      </c>
      <c r="O614" t="s">
        <v>131</v>
      </c>
      <c r="P614" t="str">
        <f t="shared" si="189"/>
        <v>[1]</v>
      </c>
      <c r="Q614">
        <f t="shared" si="190"/>
        <v>44</v>
      </c>
      <c r="R614" t="str">
        <f t="shared" si="194"/>
        <v/>
      </c>
      <c r="S614">
        <f>SUMIF(O614:$O$2855,R614,Q614:$Q$2855)</f>
        <v>0</v>
      </c>
      <c r="AP614" s="4" t="s">
        <v>472</v>
      </c>
      <c r="AQ614" t="s">
        <v>479</v>
      </c>
      <c r="AR614" t="s">
        <v>443</v>
      </c>
      <c r="AS614" t="s">
        <v>443</v>
      </c>
      <c r="AT614" t="s">
        <v>612</v>
      </c>
      <c r="AU614" t="str">
        <f t="shared" si="191"/>
        <v>[1]</v>
      </c>
      <c r="AV614">
        <f t="shared" si="193"/>
        <v>0</v>
      </c>
      <c r="AW614" t="str">
        <f t="shared" si="195"/>
        <v/>
      </c>
      <c r="AX614">
        <f>SUMIF(AT614:$AT$651,AW614,AV614:$AV$651)</f>
        <v>0</v>
      </c>
    </row>
    <row r="615" spans="11:50 16384:16384" x14ac:dyDescent="0.25">
      <c r="K615" s="4" t="s">
        <v>421</v>
      </c>
      <c r="L615" t="s">
        <v>422</v>
      </c>
      <c r="M615" t="s">
        <v>3360</v>
      </c>
      <c r="N615" t="s">
        <v>76</v>
      </c>
      <c r="O615" t="s">
        <v>131</v>
      </c>
      <c r="P615" t="str">
        <f t="shared" si="189"/>
        <v>[1]</v>
      </c>
      <c r="Q615">
        <f t="shared" si="190"/>
        <v>36</v>
      </c>
      <c r="R615" t="str">
        <f t="shared" si="194"/>
        <v/>
      </c>
      <c r="S615">
        <f>SUMIF(O615:$O$2855,R615,Q615:$Q$2855)</f>
        <v>0</v>
      </c>
      <c r="AP615" s="4" t="s">
        <v>472</v>
      </c>
      <c r="AQ615" t="s">
        <v>479</v>
      </c>
      <c r="AR615" t="s">
        <v>443</v>
      </c>
      <c r="AS615" t="s">
        <v>443</v>
      </c>
      <c r="AT615" t="s">
        <v>612</v>
      </c>
      <c r="AU615" t="str">
        <f t="shared" si="191"/>
        <v>[1]</v>
      </c>
      <c r="AV615">
        <f t="shared" si="193"/>
        <v>0</v>
      </c>
      <c r="AW615" t="str">
        <f t="shared" si="195"/>
        <v/>
      </c>
      <c r="AX615">
        <f>SUMIF(AT615:$AT$651,AW615,AV615:$AV$651)</f>
        <v>0</v>
      </c>
    </row>
    <row r="616" spans="11:50 16384:16384" x14ac:dyDescent="0.25">
      <c r="K616" s="4" t="s">
        <v>421</v>
      </c>
      <c r="L616" t="s">
        <v>422</v>
      </c>
      <c r="M616" t="s">
        <v>3361</v>
      </c>
      <c r="N616" t="s">
        <v>6</v>
      </c>
      <c r="O616" t="s">
        <v>131</v>
      </c>
      <c r="P616" t="str">
        <f t="shared" si="189"/>
        <v>[1]</v>
      </c>
      <c r="Q616">
        <f t="shared" si="190"/>
        <v>28</v>
      </c>
      <c r="R616" t="str">
        <f t="shared" si="194"/>
        <v/>
      </c>
      <c r="S616">
        <f>SUMIF(O616:$O$2855,R616,Q616:$Q$2855)</f>
        <v>0</v>
      </c>
      <c r="AP616" s="4" t="s">
        <v>472</v>
      </c>
      <c r="AQ616" t="s">
        <v>479</v>
      </c>
      <c r="AR616" t="s">
        <v>443</v>
      </c>
      <c r="AS616" t="s">
        <v>443</v>
      </c>
      <c r="AT616" t="s">
        <v>612</v>
      </c>
      <c r="AU616" t="str">
        <f t="shared" si="191"/>
        <v>[1]</v>
      </c>
      <c r="AV616">
        <f t="shared" si="193"/>
        <v>0</v>
      </c>
      <c r="AW616" t="str">
        <f t="shared" si="195"/>
        <v/>
      </c>
      <c r="AX616">
        <f>SUMIF(AT616:$AT$651,AW616,AV616:$AV$651)</f>
        <v>0</v>
      </c>
    </row>
    <row r="617" spans="11:50 16384:16384" x14ac:dyDescent="0.25">
      <c r="K617" s="4" t="s">
        <v>421</v>
      </c>
      <c r="L617" t="s">
        <v>422</v>
      </c>
      <c r="M617" t="s">
        <v>1886</v>
      </c>
      <c r="N617" t="s">
        <v>202</v>
      </c>
      <c r="O617" t="s">
        <v>131</v>
      </c>
      <c r="P617" t="str">
        <f t="shared" si="189"/>
        <v>[1]</v>
      </c>
      <c r="Q617">
        <f t="shared" si="190"/>
        <v>16</v>
      </c>
      <c r="R617" t="str">
        <f t="shared" si="194"/>
        <v/>
      </c>
      <c r="S617">
        <f>SUMIF(O617:$O$2855,R617,Q617:$Q$2855)</f>
        <v>0</v>
      </c>
      <c r="AP617" s="4" t="s">
        <v>472</v>
      </c>
      <c r="AQ617" t="s">
        <v>479</v>
      </c>
      <c r="AR617" t="s">
        <v>443</v>
      </c>
      <c r="AS617" t="s">
        <v>443</v>
      </c>
      <c r="AT617" t="s">
        <v>612</v>
      </c>
      <c r="AU617" t="str">
        <f t="shared" si="191"/>
        <v>[1]</v>
      </c>
      <c r="AV617">
        <f t="shared" si="193"/>
        <v>0</v>
      </c>
      <c r="AW617" t="str">
        <f t="shared" si="195"/>
        <v/>
      </c>
      <c r="AX617">
        <f>SUMIF(AT617:$AT$651,AW617,AV617:$AV$651)</f>
        <v>0</v>
      </c>
    </row>
    <row r="618" spans="11:50 16384:16384" x14ac:dyDescent="0.25">
      <c r="K618" s="4" t="s">
        <v>421</v>
      </c>
      <c r="L618" t="s">
        <v>422</v>
      </c>
      <c r="M618" t="s">
        <v>3362</v>
      </c>
      <c r="N618" t="s">
        <v>202</v>
      </c>
      <c r="O618" t="s">
        <v>131</v>
      </c>
      <c r="P618" t="str">
        <f t="shared" si="189"/>
        <v>[1]</v>
      </c>
      <c r="Q618">
        <f t="shared" si="190"/>
        <v>16</v>
      </c>
      <c r="R618" t="str">
        <f t="shared" si="194"/>
        <v/>
      </c>
      <c r="S618">
        <f>SUMIF(O618:$O$2855,R618,Q618:$Q$2855)</f>
        <v>0</v>
      </c>
      <c r="AP618" s="4" t="s">
        <v>472</v>
      </c>
      <c r="AQ618" t="s">
        <v>479</v>
      </c>
      <c r="AR618" t="s">
        <v>443</v>
      </c>
      <c r="AS618" t="s">
        <v>443</v>
      </c>
      <c r="AT618" t="s">
        <v>612</v>
      </c>
      <c r="AU618" t="str">
        <f t="shared" si="191"/>
        <v>[1]</v>
      </c>
      <c r="AV618">
        <f t="shared" si="193"/>
        <v>0</v>
      </c>
      <c r="AW618" t="str">
        <f t="shared" si="195"/>
        <v/>
      </c>
      <c r="AX618">
        <f>SUMIF(AT618:$AT$651,AW618,AV618:$AV$651)</f>
        <v>0</v>
      </c>
    </row>
    <row r="619" spans="11:50 16384:16384" x14ac:dyDescent="0.25">
      <c r="K619" s="4" t="s">
        <v>421</v>
      </c>
      <c r="L619" t="s">
        <v>422</v>
      </c>
      <c r="M619" t="s">
        <v>3363</v>
      </c>
      <c r="N619" t="s">
        <v>165</v>
      </c>
      <c r="O619" t="s">
        <v>131</v>
      </c>
      <c r="P619" t="str">
        <f t="shared" si="189"/>
        <v>[1]</v>
      </c>
      <c r="Q619">
        <f t="shared" si="190"/>
        <v>20</v>
      </c>
      <c r="R619" t="str">
        <f t="shared" si="194"/>
        <v/>
      </c>
      <c r="S619">
        <f>SUMIF(O619:$O$2855,R619,Q619:$Q$2855)</f>
        <v>0</v>
      </c>
      <c r="AP619" s="4" t="s">
        <v>472</v>
      </c>
      <c r="AQ619" t="s">
        <v>479</v>
      </c>
      <c r="AR619" t="s">
        <v>443</v>
      </c>
      <c r="AS619" t="s">
        <v>443</v>
      </c>
      <c r="AT619" t="s">
        <v>612</v>
      </c>
      <c r="AU619" t="str">
        <f t="shared" si="191"/>
        <v>[1]</v>
      </c>
      <c r="AV619">
        <f t="shared" si="193"/>
        <v>0</v>
      </c>
      <c r="AW619" t="str">
        <f t="shared" si="195"/>
        <v/>
      </c>
      <c r="AX619">
        <f>SUMIF(AT619:$AT$651,AW619,AV619:$AV$651)</f>
        <v>0</v>
      </c>
    </row>
    <row r="620" spans="11:50 16384:16384" x14ac:dyDescent="0.25">
      <c r="K620" s="4" t="s">
        <v>421</v>
      </c>
      <c r="L620" t="s">
        <v>422</v>
      </c>
      <c r="M620" t="s">
        <v>3364</v>
      </c>
      <c r="N620" t="s">
        <v>6</v>
      </c>
      <c r="O620" t="s">
        <v>131</v>
      </c>
      <c r="P620" t="str">
        <f t="shared" si="189"/>
        <v>[1]</v>
      </c>
      <c r="Q620">
        <f t="shared" si="190"/>
        <v>28</v>
      </c>
      <c r="R620" t="str">
        <f t="shared" si="194"/>
        <v/>
      </c>
      <c r="S620">
        <f>SUMIF(O620:$O$2855,R620,Q620:$Q$2855)</f>
        <v>0</v>
      </c>
      <c r="AP620" s="4" t="s">
        <v>472</v>
      </c>
      <c r="AQ620" t="s">
        <v>479</v>
      </c>
      <c r="AR620" t="s">
        <v>443</v>
      </c>
      <c r="AS620" t="s">
        <v>443</v>
      </c>
      <c r="AT620" t="s">
        <v>612</v>
      </c>
      <c r="AU620" t="str">
        <f t="shared" si="191"/>
        <v>[1]</v>
      </c>
      <c r="AV620">
        <f t="shared" si="193"/>
        <v>0</v>
      </c>
      <c r="AW620" t="str">
        <f t="shared" si="195"/>
        <v/>
      </c>
      <c r="AX620">
        <f>SUMIF(AT620:$AT$651,AW620,AV620:$AV$651)</f>
        <v>0</v>
      </c>
    </row>
    <row r="621" spans="11:50 16384:16384" x14ac:dyDescent="0.25">
      <c r="K621" s="4" t="s">
        <v>421</v>
      </c>
      <c r="L621" t="s">
        <v>422</v>
      </c>
      <c r="M621" t="s">
        <v>3365</v>
      </c>
      <c r="N621" t="s">
        <v>165</v>
      </c>
      <c r="O621" t="s">
        <v>131</v>
      </c>
      <c r="P621" t="str">
        <f t="shared" si="189"/>
        <v>[1]</v>
      </c>
      <c r="Q621">
        <f t="shared" si="190"/>
        <v>20</v>
      </c>
      <c r="R621" t="str">
        <f t="shared" si="194"/>
        <v/>
      </c>
      <c r="S621">
        <f>SUMIF(O621:$O$2855,R621,Q621:$Q$2855)</f>
        <v>0</v>
      </c>
      <c r="AP621" s="4" t="s">
        <v>472</v>
      </c>
      <c r="AQ621" t="s">
        <v>479</v>
      </c>
      <c r="AR621" t="s">
        <v>443</v>
      </c>
      <c r="AS621" t="s">
        <v>443</v>
      </c>
      <c r="AT621" t="s">
        <v>612</v>
      </c>
      <c r="AU621" t="str">
        <f t="shared" si="191"/>
        <v>[1]</v>
      </c>
      <c r="AV621">
        <f t="shared" si="193"/>
        <v>0</v>
      </c>
      <c r="AW621" t="str">
        <f t="shared" si="195"/>
        <v/>
      </c>
      <c r="AX621">
        <f>SUMIF(AT621:$AT$651,AW621,AV621:$AV$651)</f>
        <v>0</v>
      </c>
    </row>
    <row r="622" spans="11:50 16384:16384" x14ac:dyDescent="0.25">
      <c r="K622" s="4" t="s">
        <v>421</v>
      </c>
      <c r="L622" t="s">
        <v>422</v>
      </c>
      <c r="M622" t="s">
        <v>3366</v>
      </c>
      <c r="N622" t="s">
        <v>76</v>
      </c>
      <c r="O622" t="s">
        <v>131</v>
      </c>
      <c r="P622" t="str">
        <f t="shared" si="189"/>
        <v>[1]</v>
      </c>
      <c r="Q622">
        <f t="shared" si="190"/>
        <v>36</v>
      </c>
      <c r="R622" t="str">
        <f t="shared" si="194"/>
        <v/>
      </c>
      <c r="S622">
        <f>SUMIF(O622:$O$2855,R622,Q622:$Q$2855)</f>
        <v>0</v>
      </c>
      <c r="AP622" s="4" t="s">
        <v>472</v>
      </c>
      <c r="AQ622" t="s">
        <v>479</v>
      </c>
      <c r="AR622" t="s">
        <v>443</v>
      </c>
      <c r="AS622" t="s">
        <v>443</v>
      </c>
      <c r="AT622" t="s">
        <v>612</v>
      </c>
      <c r="AU622" t="str">
        <f t="shared" si="191"/>
        <v>[1]</v>
      </c>
      <c r="AV622">
        <f t="shared" si="192"/>
        <v>0</v>
      </c>
      <c r="AW622" t="str">
        <f t="shared" si="195"/>
        <v/>
      </c>
      <c r="AX622">
        <f>SUMIF(AT622:$AT$651,AW622,AV622:$AV$651)</f>
        <v>0</v>
      </c>
      <c r="XFD622">
        <f>SUM(XFD601:XFD621)</f>
        <v>0</v>
      </c>
    </row>
    <row r="623" spans="11:50 16384:16384" x14ac:dyDescent="0.25">
      <c r="K623" s="4" t="s">
        <v>421</v>
      </c>
      <c r="L623" t="s">
        <v>422</v>
      </c>
      <c r="M623" t="s">
        <v>3367</v>
      </c>
      <c r="N623" t="s">
        <v>65</v>
      </c>
      <c r="O623" t="s">
        <v>131</v>
      </c>
      <c r="P623" t="str">
        <f t="shared" si="189"/>
        <v>[1]</v>
      </c>
      <c r="Q623">
        <f t="shared" si="190"/>
        <v>40</v>
      </c>
      <c r="R623" t="str">
        <f t="shared" si="194"/>
        <v/>
      </c>
      <c r="S623">
        <f>SUMIF(O623:$O$2855,R623,Q623:$Q$2855)</f>
        <v>0</v>
      </c>
      <c r="AP623" s="4" t="s">
        <v>472</v>
      </c>
      <c r="AQ623" t="s">
        <v>479</v>
      </c>
      <c r="AR623" t="s">
        <v>443</v>
      </c>
      <c r="AS623" t="s">
        <v>443</v>
      </c>
      <c r="AT623" t="s">
        <v>612</v>
      </c>
      <c r="AU623" t="str">
        <f t="shared" si="191"/>
        <v>[1]</v>
      </c>
      <c r="AV623">
        <f t="shared" si="192"/>
        <v>0</v>
      </c>
      <c r="AW623" t="str">
        <f t="shared" si="195"/>
        <v/>
      </c>
      <c r="AX623">
        <f>SUMIF(AT623:$AT$651,AW623,AV623:$AV$651)</f>
        <v>0</v>
      </c>
    </row>
    <row r="624" spans="11:50 16384:16384" x14ac:dyDescent="0.25">
      <c r="K624" s="4" t="s">
        <v>421</v>
      </c>
      <c r="L624" t="s">
        <v>422</v>
      </c>
      <c r="M624" t="s">
        <v>3368</v>
      </c>
      <c r="N624" t="s">
        <v>76</v>
      </c>
      <c r="O624" t="s">
        <v>131</v>
      </c>
      <c r="P624" t="str">
        <f t="shared" si="189"/>
        <v>[1]</v>
      </c>
      <c r="Q624">
        <f t="shared" si="190"/>
        <v>36</v>
      </c>
      <c r="R624" t="str">
        <f t="shared" si="194"/>
        <v/>
      </c>
      <c r="S624">
        <f>SUMIF(O624:$O$2855,R624,Q624:$Q$2855)</f>
        <v>0</v>
      </c>
      <c r="AP624" s="4" t="s">
        <v>472</v>
      </c>
      <c r="AQ624" t="s">
        <v>479</v>
      </c>
      <c r="AR624" t="s">
        <v>443</v>
      </c>
      <c r="AS624" t="s">
        <v>443</v>
      </c>
      <c r="AT624" t="s">
        <v>612</v>
      </c>
      <c r="AU624" t="str">
        <f t="shared" si="191"/>
        <v>[1]</v>
      </c>
      <c r="AV624">
        <f t="shared" si="192"/>
        <v>0</v>
      </c>
      <c r="AW624" t="str">
        <f t="shared" si="195"/>
        <v/>
      </c>
      <c r="AX624">
        <f>SUMIF(AT624:$AT$651,AW624,AV624:$AV$651)</f>
        <v>0</v>
      </c>
    </row>
    <row r="625" spans="11:50" x14ac:dyDescent="0.25">
      <c r="K625" s="4" t="s">
        <v>421</v>
      </c>
      <c r="L625" t="s">
        <v>422</v>
      </c>
      <c r="M625" t="s">
        <v>1887</v>
      </c>
      <c r="N625" t="s">
        <v>437</v>
      </c>
      <c r="O625" t="s">
        <v>131</v>
      </c>
      <c r="P625" t="str">
        <f t="shared" si="189"/>
        <v>[1]</v>
      </c>
      <c r="Q625">
        <f t="shared" si="190"/>
        <v>24</v>
      </c>
      <c r="R625" t="str">
        <f t="shared" si="194"/>
        <v/>
      </c>
      <c r="S625">
        <f>SUMIF(O625:$O$2855,R625,Q625:$Q$2855)</f>
        <v>0</v>
      </c>
      <c r="AP625" s="4" t="s">
        <v>472</v>
      </c>
      <c r="AQ625" t="s">
        <v>479</v>
      </c>
      <c r="AR625" t="s">
        <v>443</v>
      </c>
      <c r="AS625" t="s">
        <v>443</v>
      </c>
      <c r="AT625" t="s">
        <v>612</v>
      </c>
      <c r="AU625" t="str">
        <f t="shared" si="191"/>
        <v>[1]</v>
      </c>
      <c r="AV625">
        <f t="shared" si="192"/>
        <v>0</v>
      </c>
      <c r="AW625" t="str">
        <f t="shared" si="195"/>
        <v/>
      </c>
      <c r="AX625">
        <f>SUMIF(AT625:$AT$651,AW625,AV625:$AV$651)</f>
        <v>0</v>
      </c>
    </row>
    <row r="626" spans="11:50" x14ac:dyDescent="0.25">
      <c r="K626" s="4" t="s">
        <v>421</v>
      </c>
      <c r="L626" t="s">
        <v>422</v>
      </c>
      <c r="M626" t="s">
        <v>3369</v>
      </c>
      <c r="N626" t="s">
        <v>126</v>
      </c>
      <c r="O626" t="s">
        <v>131</v>
      </c>
      <c r="P626" t="str">
        <f t="shared" si="189"/>
        <v>[1]</v>
      </c>
      <c r="Q626">
        <f t="shared" si="190"/>
        <v>8</v>
      </c>
      <c r="R626" t="str">
        <f t="shared" si="194"/>
        <v/>
      </c>
      <c r="S626">
        <f>SUMIF(O626:$O$2855,R626,Q626:$Q$2855)</f>
        <v>0</v>
      </c>
      <c r="AP626" s="4" t="s">
        <v>472</v>
      </c>
      <c r="AQ626" t="s">
        <v>479</v>
      </c>
      <c r="AR626" t="s">
        <v>443</v>
      </c>
      <c r="AS626" t="s">
        <v>443</v>
      </c>
      <c r="AT626" t="s">
        <v>612</v>
      </c>
      <c r="AU626" t="str">
        <f t="shared" si="191"/>
        <v>[1]</v>
      </c>
      <c r="AV626">
        <f t="shared" si="192"/>
        <v>0</v>
      </c>
      <c r="AW626" t="str">
        <f t="shared" si="195"/>
        <v/>
      </c>
      <c r="AX626">
        <f>SUMIF(AT626:$AT$651,AW626,AV626:$AV$651)</f>
        <v>0</v>
      </c>
    </row>
    <row r="627" spans="11:50" x14ac:dyDescent="0.25">
      <c r="K627" s="4" t="s">
        <v>421</v>
      </c>
      <c r="L627" t="s">
        <v>422</v>
      </c>
      <c r="M627" t="s">
        <v>1888</v>
      </c>
      <c r="N627" t="s">
        <v>126</v>
      </c>
      <c r="O627" t="s">
        <v>131</v>
      </c>
      <c r="P627" t="str">
        <f t="shared" si="189"/>
        <v>[1]</v>
      </c>
      <c r="Q627">
        <f t="shared" si="190"/>
        <v>8</v>
      </c>
      <c r="R627" t="str">
        <f t="shared" si="194"/>
        <v/>
      </c>
      <c r="S627">
        <f>SUMIF(O627:$O$2855,R627,Q627:$Q$2855)</f>
        <v>0</v>
      </c>
      <c r="AP627" s="4" t="s">
        <v>472</v>
      </c>
      <c r="AQ627" t="s">
        <v>479</v>
      </c>
      <c r="AR627" t="s">
        <v>443</v>
      </c>
      <c r="AS627" t="s">
        <v>443</v>
      </c>
      <c r="AT627" t="s">
        <v>612</v>
      </c>
      <c r="AU627" t="str">
        <f t="shared" si="191"/>
        <v>[1]</v>
      </c>
      <c r="AV627">
        <f t="shared" si="192"/>
        <v>0</v>
      </c>
      <c r="AW627" t="str">
        <f t="shared" si="195"/>
        <v/>
      </c>
      <c r="AX627">
        <f>SUMIF(AT627:$AT$651,AW627,AV627:$AV$651)</f>
        <v>0</v>
      </c>
    </row>
    <row r="628" spans="11:50" x14ac:dyDescent="0.25">
      <c r="K628" s="4" t="s">
        <v>421</v>
      </c>
      <c r="L628" t="s">
        <v>422</v>
      </c>
      <c r="M628" t="s">
        <v>3370</v>
      </c>
      <c r="N628" t="s">
        <v>126</v>
      </c>
      <c r="O628" t="s">
        <v>131</v>
      </c>
      <c r="P628" t="str">
        <f t="shared" si="189"/>
        <v>[1]</v>
      </c>
      <c r="Q628">
        <f t="shared" si="190"/>
        <v>8</v>
      </c>
      <c r="R628" t="str">
        <f t="shared" si="194"/>
        <v/>
      </c>
      <c r="S628">
        <f>SUMIF(O628:$O$2855,R628,Q628:$Q$2855)</f>
        <v>0</v>
      </c>
      <c r="AP628" s="4" t="s">
        <v>472</v>
      </c>
      <c r="AQ628" t="s">
        <v>479</v>
      </c>
      <c r="AR628" t="s">
        <v>443</v>
      </c>
      <c r="AS628" t="s">
        <v>443</v>
      </c>
      <c r="AT628" t="s">
        <v>612</v>
      </c>
      <c r="AU628" t="str">
        <f t="shared" si="191"/>
        <v>[1]</v>
      </c>
      <c r="AV628">
        <f t="shared" si="192"/>
        <v>0</v>
      </c>
      <c r="AW628" t="str">
        <f t="shared" si="195"/>
        <v/>
      </c>
      <c r="AX628">
        <f>SUMIF(AT628:$AT$651,AW628,AV628:$AV$651)</f>
        <v>0</v>
      </c>
    </row>
    <row r="629" spans="11:50" x14ac:dyDescent="0.25">
      <c r="K629" s="4" t="s">
        <v>421</v>
      </c>
      <c r="L629" t="s">
        <v>422</v>
      </c>
      <c r="M629" t="s">
        <v>3371</v>
      </c>
      <c r="N629" t="s">
        <v>202</v>
      </c>
      <c r="O629" t="s">
        <v>131</v>
      </c>
      <c r="P629" t="str">
        <f t="shared" si="189"/>
        <v>[1]</v>
      </c>
      <c r="Q629">
        <f t="shared" si="190"/>
        <v>16</v>
      </c>
      <c r="R629" t="str">
        <f t="shared" si="194"/>
        <v/>
      </c>
      <c r="S629">
        <f>SUMIF(O629:$O$2855,R629,Q629:$Q$2855)</f>
        <v>0</v>
      </c>
      <c r="AP629" s="4" t="s">
        <v>472</v>
      </c>
      <c r="AQ629" t="s">
        <v>479</v>
      </c>
      <c r="AR629" t="s">
        <v>443</v>
      </c>
      <c r="AS629" t="s">
        <v>443</v>
      </c>
      <c r="AT629" t="s">
        <v>612</v>
      </c>
      <c r="AU629" t="str">
        <f t="shared" si="191"/>
        <v>[1]</v>
      </c>
      <c r="AV629">
        <f t="shared" si="192"/>
        <v>0</v>
      </c>
      <c r="AW629" t="str">
        <f t="shared" si="195"/>
        <v/>
      </c>
      <c r="AX629">
        <f>SUMIF(AT629:$AT$651,AW629,AV629:$AV$651)</f>
        <v>0</v>
      </c>
    </row>
    <row r="630" spans="11:50" x14ac:dyDescent="0.25">
      <c r="K630" s="4" t="s">
        <v>421</v>
      </c>
      <c r="L630" t="s">
        <v>422</v>
      </c>
      <c r="M630" t="s">
        <v>3372</v>
      </c>
      <c r="N630" t="s">
        <v>147</v>
      </c>
      <c r="O630" t="s">
        <v>131</v>
      </c>
      <c r="P630" t="str">
        <f t="shared" si="189"/>
        <v>[1]</v>
      </c>
      <c r="Q630">
        <f t="shared" si="190"/>
        <v>72</v>
      </c>
      <c r="R630" t="str">
        <f t="shared" si="194"/>
        <v/>
      </c>
      <c r="S630">
        <f>SUMIF(O630:$O$2855,R630,Q630:$Q$2855)</f>
        <v>0</v>
      </c>
      <c r="AP630" s="4" t="s">
        <v>472</v>
      </c>
      <c r="AQ630" t="s">
        <v>479</v>
      </c>
      <c r="AR630" t="s">
        <v>443</v>
      </c>
      <c r="AS630" t="s">
        <v>443</v>
      </c>
      <c r="AT630" t="s">
        <v>612</v>
      </c>
      <c r="AU630" t="str">
        <f t="shared" si="191"/>
        <v>[1]</v>
      </c>
      <c r="AV630">
        <f t="shared" si="188"/>
        <v>0</v>
      </c>
      <c r="AW630" t="str">
        <f t="shared" si="195"/>
        <v/>
      </c>
      <c r="AX630">
        <f>SUMIF(AT630:$AT$651,AW630,AV630:$AV$651)</f>
        <v>0</v>
      </c>
    </row>
    <row r="631" spans="11:50" x14ac:dyDescent="0.25">
      <c r="K631" s="4" t="s">
        <v>421</v>
      </c>
      <c r="L631" t="s">
        <v>422</v>
      </c>
      <c r="M631" t="s">
        <v>3373</v>
      </c>
      <c r="N631" t="s">
        <v>437</v>
      </c>
      <c r="O631" t="s">
        <v>131</v>
      </c>
      <c r="P631" t="str">
        <f t="shared" si="189"/>
        <v>[1]</v>
      </c>
      <c r="Q631">
        <f t="shared" si="190"/>
        <v>24</v>
      </c>
      <c r="R631" t="str">
        <f t="shared" si="194"/>
        <v/>
      </c>
      <c r="S631">
        <f>SUMIF(O631:$O$2855,R631,Q631:$Q$2855)</f>
        <v>0</v>
      </c>
      <c r="AP631" s="4" t="s">
        <v>472</v>
      </c>
      <c r="AQ631" t="s">
        <v>479</v>
      </c>
      <c r="AR631" t="s">
        <v>443</v>
      </c>
      <c r="AS631" t="s">
        <v>443</v>
      </c>
      <c r="AT631" t="s">
        <v>612</v>
      </c>
      <c r="AU631" t="str">
        <f t="shared" si="191"/>
        <v>[1]</v>
      </c>
      <c r="AV631">
        <f t="shared" si="188"/>
        <v>0</v>
      </c>
      <c r="AW631" t="str">
        <f t="shared" si="195"/>
        <v/>
      </c>
      <c r="AX631">
        <f>SUMIF(AT631:$AT$651,AW631,AV631:$AV$651)</f>
        <v>0</v>
      </c>
    </row>
    <row r="632" spans="11:50" x14ac:dyDescent="0.25">
      <c r="K632" s="4" t="s">
        <v>421</v>
      </c>
      <c r="L632" t="s">
        <v>422</v>
      </c>
      <c r="M632" t="s">
        <v>3374</v>
      </c>
      <c r="N632" t="s">
        <v>165</v>
      </c>
      <c r="O632" t="s">
        <v>131</v>
      </c>
      <c r="P632" t="str">
        <f t="shared" si="189"/>
        <v>[1]</v>
      </c>
      <c r="Q632">
        <f t="shared" si="190"/>
        <v>20</v>
      </c>
      <c r="R632" t="str">
        <f t="shared" si="194"/>
        <v/>
      </c>
      <c r="S632">
        <f>SUMIF(O632:$O$2855,R632,Q632:$Q$2855)</f>
        <v>0</v>
      </c>
      <c r="AP632" s="4" t="s">
        <v>472</v>
      </c>
      <c r="AQ632" t="s">
        <v>479</v>
      </c>
      <c r="AR632" t="s">
        <v>443</v>
      </c>
      <c r="AS632" t="s">
        <v>443</v>
      </c>
      <c r="AT632" t="s">
        <v>612</v>
      </c>
      <c r="AU632" t="str">
        <f t="shared" si="191"/>
        <v>[1]</v>
      </c>
      <c r="AV632">
        <f t="shared" si="188"/>
        <v>0</v>
      </c>
      <c r="AW632" t="str">
        <f t="shared" si="195"/>
        <v/>
      </c>
      <c r="AX632">
        <f>SUMIF(AT632:$AT$651,AW632,AV632:$AV$651)</f>
        <v>0</v>
      </c>
    </row>
    <row r="633" spans="11:50" x14ac:dyDescent="0.25">
      <c r="K633" s="4" t="s">
        <v>421</v>
      </c>
      <c r="L633" t="s">
        <v>422</v>
      </c>
      <c r="M633" t="s">
        <v>1889</v>
      </c>
      <c r="N633" t="s">
        <v>119</v>
      </c>
      <c r="O633" t="s">
        <v>131</v>
      </c>
      <c r="P633" t="str">
        <f t="shared" si="189"/>
        <v>[1]</v>
      </c>
      <c r="Q633">
        <f t="shared" si="190"/>
        <v>32</v>
      </c>
      <c r="R633" t="str">
        <f t="shared" si="194"/>
        <v/>
      </c>
      <c r="S633">
        <f>SUMIF(O633:$O$2855,R633,Q633:$Q$2855)</f>
        <v>0</v>
      </c>
      <c r="AP633" s="4" t="s">
        <v>472</v>
      </c>
      <c r="AQ633" t="s">
        <v>479</v>
      </c>
      <c r="AR633" t="s">
        <v>443</v>
      </c>
      <c r="AS633" t="s">
        <v>443</v>
      </c>
      <c r="AT633" t="s">
        <v>612</v>
      </c>
      <c r="AU633" t="str">
        <f t="shared" si="191"/>
        <v>[1]</v>
      </c>
      <c r="AV633">
        <f t="shared" si="188"/>
        <v>0</v>
      </c>
      <c r="AW633" t="str">
        <f t="shared" si="195"/>
        <v/>
      </c>
      <c r="AX633">
        <f>SUMIF(AT633:$AT$651,AW633,AV633:$AV$651)</f>
        <v>0</v>
      </c>
    </row>
    <row r="634" spans="11:50" x14ac:dyDescent="0.25">
      <c r="K634" s="4" t="s">
        <v>421</v>
      </c>
      <c r="L634" t="s">
        <v>422</v>
      </c>
      <c r="M634" t="s">
        <v>3375</v>
      </c>
      <c r="N634" t="s">
        <v>6</v>
      </c>
      <c r="O634" t="s">
        <v>131</v>
      </c>
      <c r="P634" t="str">
        <f t="shared" si="189"/>
        <v>[1]</v>
      </c>
      <c r="Q634">
        <f t="shared" si="190"/>
        <v>28</v>
      </c>
      <c r="R634" t="str">
        <f t="shared" si="194"/>
        <v/>
      </c>
      <c r="S634">
        <f>SUMIF(O634:$O$2855,R634,Q634:$Q$2855)</f>
        <v>0</v>
      </c>
      <c r="AP634" s="4" t="s">
        <v>472</v>
      </c>
      <c r="AQ634" t="s">
        <v>479</v>
      </c>
      <c r="AR634" t="s">
        <v>443</v>
      </c>
      <c r="AS634" t="s">
        <v>443</v>
      </c>
      <c r="AT634" t="s">
        <v>612</v>
      </c>
      <c r="AU634" t="str">
        <f t="shared" si="191"/>
        <v>[1]</v>
      </c>
      <c r="AV634">
        <f t="shared" si="188"/>
        <v>0</v>
      </c>
      <c r="AW634" t="str">
        <f t="shared" si="195"/>
        <v/>
      </c>
      <c r="AX634">
        <f>SUMIF(AT634:$AT$651,AW634,AV634:$AV$651)</f>
        <v>0</v>
      </c>
    </row>
    <row r="635" spans="11:50" x14ac:dyDescent="0.25">
      <c r="K635" s="4" t="s">
        <v>421</v>
      </c>
      <c r="L635" t="s">
        <v>422</v>
      </c>
      <c r="M635" t="s">
        <v>3376</v>
      </c>
      <c r="N635" t="s">
        <v>237</v>
      </c>
      <c r="O635" t="s">
        <v>131</v>
      </c>
      <c r="P635" t="str">
        <f t="shared" si="189"/>
        <v>[1]</v>
      </c>
      <c r="Q635">
        <f t="shared" si="190"/>
        <v>52</v>
      </c>
      <c r="R635" t="str">
        <f t="shared" si="194"/>
        <v/>
      </c>
      <c r="S635">
        <f>SUMIF(O635:$O$2855,R635,Q635:$Q$2855)</f>
        <v>0</v>
      </c>
      <c r="AP635" s="4" t="s">
        <v>472</v>
      </c>
      <c r="AQ635" t="s">
        <v>479</v>
      </c>
      <c r="AR635" t="s">
        <v>443</v>
      </c>
      <c r="AS635" t="s">
        <v>443</v>
      </c>
      <c r="AT635" t="s">
        <v>612</v>
      </c>
      <c r="AU635" t="str">
        <f t="shared" si="191"/>
        <v>[1]</v>
      </c>
      <c r="AV635">
        <f t="shared" si="188"/>
        <v>0</v>
      </c>
      <c r="AW635" t="str">
        <f t="shared" si="195"/>
        <v/>
      </c>
      <c r="AX635">
        <f>SUMIF(AT635:$AT$651,AW635,AV635:$AV$651)</f>
        <v>0</v>
      </c>
    </row>
    <row r="636" spans="11:50" x14ac:dyDescent="0.25">
      <c r="K636" s="4" t="s">
        <v>421</v>
      </c>
      <c r="L636" t="s">
        <v>422</v>
      </c>
      <c r="M636" t="s">
        <v>3377</v>
      </c>
      <c r="N636" t="s">
        <v>6</v>
      </c>
      <c r="O636" t="s">
        <v>131</v>
      </c>
      <c r="P636" t="str">
        <f t="shared" si="189"/>
        <v>[1]</v>
      </c>
      <c r="Q636">
        <f t="shared" si="190"/>
        <v>28</v>
      </c>
      <c r="R636" t="str">
        <f t="shared" si="194"/>
        <v/>
      </c>
      <c r="S636">
        <f>SUMIF(O636:$O$2855,R636,Q636:$Q$2855)</f>
        <v>0</v>
      </c>
      <c r="AP636" s="4" t="s">
        <v>472</v>
      </c>
      <c r="AQ636" t="s">
        <v>479</v>
      </c>
      <c r="AR636" t="s">
        <v>443</v>
      </c>
      <c r="AS636" t="s">
        <v>443</v>
      </c>
      <c r="AT636" t="s">
        <v>612</v>
      </c>
      <c r="AU636" t="str">
        <f t="shared" si="191"/>
        <v>[1]</v>
      </c>
      <c r="AV636">
        <f t="shared" si="188"/>
        <v>0</v>
      </c>
      <c r="AW636" t="str">
        <f t="shared" si="195"/>
        <v/>
      </c>
      <c r="AX636">
        <f>SUMIF(AT636:$AT$651,AW636,AV636:$AV$651)</f>
        <v>0</v>
      </c>
    </row>
    <row r="637" spans="11:50" x14ac:dyDescent="0.25">
      <c r="K637" s="4" t="s">
        <v>421</v>
      </c>
      <c r="L637" t="s">
        <v>422</v>
      </c>
      <c r="M637" t="s">
        <v>3378</v>
      </c>
      <c r="N637" t="s">
        <v>165</v>
      </c>
      <c r="O637" t="s">
        <v>131</v>
      </c>
      <c r="P637" t="str">
        <f t="shared" si="189"/>
        <v>[1]</v>
      </c>
      <c r="Q637">
        <f t="shared" si="190"/>
        <v>20</v>
      </c>
      <c r="R637" t="str">
        <f t="shared" si="194"/>
        <v/>
      </c>
      <c r="S637">
        <f>SUMIF(O637:$O$2855,R637,Q637:$Q$2855)</f>
        <v>0</v>
      </c>
      <c r="AP637" s="4" t="s">
        <v>472</v>
      </c>
      <c r="AQ637" t="s">
        <v>479</v>
      </c>
      <c r="AR637" t="s">
        <v>443</v>
      </c>
      <c r="AS637" t="s">
        <v>443</v>
      </c>
      <c r="AT637" t="s">
        <v>612</v>
      </c>
      <c r="AU637" t="str">
        <f t="shared" si="191"/>
        <v>[1]</v>
      </c>
      <c r="AV637">
        <f t="shared" si="188"/>
        <v>0</v>
      </c>
      <c r="AW637" t="str">
        <f t="shared" si="195"/>
        <v/>
      </c>
      <c r="AX637">
        <f>SUMIF(AT637:$AT$651,AW637,AV637:$AV$651)</f>
        <v>0</v>
      </c>
    </row>
    <row r="638" spans="11:50" x14ac:dyDescent="0.25">
      <c r="K638" s="4" t="s">
        <v>421</v>
      </c>
      <c r="L638" t="s">
        <v>422</v>
      </c>
      <c r="M638" t="s">
        <v>3379</v>
      </c>
      <c r="N638" t="s">
        <v>89</v>
      </c>
      <c r="O638" t="s">
        <v>131</v>
      </c>
      <c r="P638" t="str">
        <f t="shared" si="189"/>
        <v>[1]</v>
      </c>
      <c r="Q638">
        <f t="shared" si="190"/>
        <v>76</v>
      </c>
      <c r="R638" t="str">
        <f t="shared" si="194"/>
        <v/>
      </c>
      <c r="S638">
        <f>SUMIF(O638:$O$2855,R638,Q638:$Q$2855)</f>
        <v>0</v>
      </c>
      <c r="AP638" s="4" t="s">
        <v>472</v>
      </c>
      <c r="AQ638" t="s">
        <v>479</v>
      </c>
      <c r="AR638" t="s">
        <v>443</v>
      </c>
      <c r="AS638" t="s">
        <v>443</v>
      </c>
      <c r="AT638" t="s">
        <v>612</v>
      </c>
      <c r="AU638" t="str">
        <f t="shared" si="191"/>
        <v>[1]</v>
      </c>
      <c r="AV638">
        <f t="shared" ref="AV638" si="196">HEX2DEC(MID(AS638,3,LEN(AS638)-2))</f>
        <v>0</v>
      </c>
      <c r="AW638" t="str">
        <f t="shared" si="195"/>
        <v/>
      </c>
      <c r="AX638">
        <f>SUMIF(AT638:$AT$651,AW638,AV638:$AV$651)</f>
        <v>0</v>
      </c>
    </row>
    <row r="639" spans="11:50" x14ac:dyDescent="0.25">
      <c r="K639" s="4" t="s">
        <v>421</v>
      </c>
      <c r="L639" t="s">
        <v>422</v>
      </c>
      <c r="M639" t="s">
        <v>3380</v>
      </c>
      <c r="N639" t="s">
        <v>124</v>
      </c>
      <c r="O639" t="s">
        <v>131</v>
      </c>
      <c r="P639" t="str">
        <f t="shared" si="189"/>
        <v>[1]</v>
      </c>
      <c r="Q639">
        <f t="shared" si="190"/>
        <v>68</v>
      </c>
      <c r="R639" t="str">
        <f t="shared" si="194"/>
        <v/>
      </c>
      <c r="S639">
        <f>SUMIF(O639:$O$2855,R639,Q639:$Q$2855)</f>
        <v>0</v>
      </c>
      <c r="AP639" s="4" t="s">
        <v>472</v>
      </c>
      <c r="AQ639" t="s">
        <v>479</v>
      </c>
      <c r="AR639" t="s">
        <v>443</v>
      </c>
      <c r="AS639" t="s">
        <v>443</v>
      </c>
      <c r="AT639" t="s">
        <v>612</v>
      </c>
      <c r="AU639" t="str">
        <f t="shared" si="191"/>
        <v>[1]</v>
      </c>
      <c r="AV639">
        <f t="shared" ref="AV639" si="197">HEX2DEC(MID(AS639,3,LEN(AS639)-2))</f>
        <v>0</v>
      </c>
      <c r="AW639" t="str">
        <f t="shared" si="195"/>
        <v/>
      </c>
      <c r="AX639">
        <f>SUMIF(AT639:$AT$651,AW639,AV639:$AV$651)</f>
        <v>0</v>
      </c>
    </row>
    <row r="640" spans="11:50" x14ac:dyDescent="0.25">
      <c r="K640" s="4" t="s">
        <v>421</v>
      </c>
      <c r="L640" t="s">
        <v>422</v>
      </c>
      <c r="M640" t="s">
        <v>3381</v>
      </c>
      <c r="N640" t="s">
        <v>6</v>
      </c>
      <c r="O640" t="s">
        <v>131</v>
      </c>
      <c r="P640" t="str">
        <f t="shared" si="189"/>
        <v>[1]</v>
      </c>
      <c r="Q640">
        <f t="shared" si="190"/>
        <v>28</v>
      </c>
      <c r="R640" t="str">
        <f t="shared" si="194"/>
        <v/>
      </c>
      <c r="S640">
        <f>SUMIF(O640:$O$2855,R640,Q640:$Q$2855)</f>
        <v>0</v>
      </c>
      <c r="AP640" s="4" t="s">
        <v>472</v>
      </c>
      <c r="AQ640" t="s">
        <v>479</v>
      </c>
      <c r="AR640" t="s">
        <v>443</v>
      </c>
      <c r="AS640" t="s">
        <v>443</v>
      </c>
      <c r="AT640" t="s">
        <v>612</v>
      </c>
      <c r="AU640" t="str">
        <f t="shared" si="191"/>
        <v>[1]</v>
      </c>
      <c r="AV640">
        <f t="shared" ref="AV640" si="198">HEX2DEC(MID(AS640,3,LEN(AS640)-2))</f>
        <v>0</v>
      </c>
      <c r="AW640" t="str">
        <f t="shared" si="195"/>
        <v/>
      </c>
      <c r="AX640">
        <f>SUMIF(AT640:$AT$651,AW640,AV640:$AV$651)</f>
        <v>0</v>
      </c>
    </row>
    <row r="641" spans="11:50" x14ac:dyDescent="0.25">
      <c r="K641" s="4" t="s">
        <v>421</v>
      </c>
      <c r="L641" t="s">
        <v>422</v>
      </c>
      <c r="M641" t="s">
        <v>3382</v>
      </c>
      <c r="N641" t="s">
        <v>6</v>
      </c>
      <c r="O641" t="s">
        <v>131</v>
      </c>
      <c r="P641" t="str">
        <f t="shared" si="189"/>
        <v>[1]</v>
      </c>
      <c r="Q641">
        <f t="shared" si="190"/>
        <v>28</v>
      </c>
      <c r="R641" t="str">
        <f t="shared" si="194"/>
        <v/>
      </c>
      <c r="S641">
        <f>SUMIF(O641:$O$2855,R641,Q641:$Q$2855)</f>
        <v>0</v>
      </c>
      <c r="AP641" s="4" t="s">
        <v>472</v>
      </c>
      <c r="AQ641" t="s">
        <v>479</v>
      </c>
      <c r="AR641" t="s">
        <v>443</v>
      </c>
      <c r="AS641" t="s">
        <v>443</v>
      </c>
      <c r="AT641" t="s">
        <v>612</v>
      </c>
      <c r="AU641" t="str">
        <f t="shared" si="191"/>
        <v>[1]</v>
      </c>
      <c r="AV641">
        <f t="shared" ref="AV641:AV642" si="199">HEX2DEC(MID(AS641,3,LEN(AS641)-2))</f>
        <v>0</v>
      </c>
      <c r="AW641" t="str">
        <f t="shared" si="195"/>
        <v/>
      </c>
      <c r="AX641">
        <f>SUMIF(AT641:$AT$651,AW641,AV641:$AV$651)</f>
        <v>0</v>
      </c>
    </row>
    <row r="642" spans="11:50" x14ac:dyDescent="0.25">
      <c r="K642" s="4" t="s">
        <v>421</v>
      </c>
      <c r="L642" t="s">
        <v>422</v>
      </c>
      <c r="M642" t="s">
        <v>1890</v>
      </c>
      <c r="N642" t="s">
        <v>202</v>
      </c>
      <c r="O642" t="s">
        <v>131</v>
      </c>
      <c r="P642" t="str">
        <f t="shared" ref="P642:P705" si="200">VLOOKUP($K$30,$E$1:$F$26,2,FALSE)</f>
        <v>[1]</v>
      </c>
      <c r="Q642">
        <f t="shared" si="190"/>
        <v>16</v>
      </c>
      <c r="R642" t="str">
        <f t="shared" si="194"/>
        <v/>
      </c>
      <c r="S642">
        <f>SUMIF(O642:$O$2855,R642,Q642:$Q$2855)</f>
        <v>0</v>
      </c>
      <c r="AP642" s="4" t="s">
        <v>472</v>
      </c>
      <c r="AQ642" t="s">
        <v>479</v>
      </c>
      <c r="AR642" t="s">
        <v>443</v>
      </c>
      <c r="AS642" t="s">
        <v>443</v>
      </c>
      <c r="AT642" t="s">
        <v>612</v>
      </c>
      <c r="AU642" t="str">
        <f t="shared" si="191"/>
        <v>[1]</v>
      </c>
      <c r="AV642">
        <f t="shared" si="199"/>
        <v>0</v>
      </c>
      <c r="AW642" t="str">
        <f t="shared" si="195"/>
        <v/>
      </c>
      <c r="AX642">
        <f>SUMIF(AT642:$AT$651,AW642,AV642:$AV$651)</f>
        <v>0</v>
      </c>
    </row>
    <row r="643" spans="11:50" x14ac:dyDescent="0.25">
      <c r="K643" s="4" t="s">
        <v>421</v>
      </c>
      <c r="L643" t="s">
        <v>422</v>
      </c>
      <c r="M643" t="s">
        <v>3383</v>
      </c>
      <c r="N643" t="s">
        <v>202</v>
      </c>
      <c r="O643" t="s">
        <v>131</v>
      </c>
      <c r="P643" t="str">
        <f t="shared" si="200"/>
        <v>[1]</v>
      </c>
      <c r="Q643">
        <f t="shared" ref="Q643:Q706" si="201">HEX2DEC(MID(N643,3,LEN(N643)-2))</f>
        <v>16</v>
      </c>
      <c r="R643" t="str">
        <f t="shared" si="194"/>
        <v/>
      </c>
      <c r="S643">
        <f>SUMIF(O643:$O$2855,R643,Q643:$Q$2855)</f>
        <v>0</v>
      </c>
      <c r="AP643" s="4" t="s">
        <v>472</v>
      </c>
      <c r="AQ643" t="s">
        <v>479</v>
      </c>
      <c r="AR643" t="s">
        <v>443</v>
      </c>
      <c r="AS643" t="s">
        <v>443</v>
      </c>
      <c r="AT643" t="s">
        <v>612</v>
      </c>
      <c r="AU643" t="str">
        <f t="shared" si="191"/>
        <v>[1]</v>
      </c>
      <c r="AV643">
        <f t="shared" ref="AV643" si="202">HEX2DEC(MID(AS643,3,LEN(AS643)-2))</f>
        <v>0</v>
      </c>
      <c r="AW643" t="str">
        <f t="shared" si="195"/>
        <v/>
      </c>
      <c r="AX643">
        <f>SUMIF(AT643:$AT$651,AW643,AV643:$AV$651)</f>
        <v>0</v>
      </c>
    </row>
    <row r="644" spans="11:50" x14ac:dyDescent="0.25">
      <c r="K644" s="4" t="s">
        <v>421</v>
      </c>
      <c r="L644" t="s">
        <v>422</v>
      </c>
      <c r="M644" t="s">
        <v>3384</v>
      </c>
      <c r="N644" t="s">
        <v>6</v>
      </c>
      <c r="O644" t="s">
        <v>131</v>
      </c>
      <c r="P644" t="str">
        <f t="shared" si="200"/>
        <v>[1]</v>
      </c>
      <c r="Q644">
        <f t="shared" si="201"/>
        <v>28</v>
      </c>
      <c r="R644" t="str">
        <f t="shared" si="194"/>
        <v/>
      </c>
      <c r="S644">
        <f>SUMIF(O644:$O$2855,R644,Q644:$Q$2855)</f>
        <v>0</v>
      </c>
      <c r="AP644" s="4" t="s">
        <v>472</v>
      </c>
      <c r="AQ644" t="s">
        <v>479</v>
      </c>
      <c r="AR644" t="s">
        <v>443</v>
      </c>
      <c r="AS644" t="s">
        <v>443</v>
      </c>
      <c r="AT644" t="s">
        <v>612</v>
      </c>
      <c r="AU644" t="str">
        <f t="shared" si="191"/>
        <v>[1]</v>
      </c>
      <c r="AV644">
        <f t="shared" ref="AV644" si="203">HEX2DEC(MID(AS644,3,LEN(AS644)-2))</f>
        <v>0</v>
      </c>
      <c r="AW644" t="str">
        <f t="shared" si="195"/>
        <v/>
      </c>
      <c r="AX644">
        <f>SUMIF(AT644:$AT$651,AW644,AV644:$AV$651)</f>
        <v>0</v>
      </c>
    </row>
    <row r="645" spans="11:50" x14ac:dyDescent="0.25">
      <c r="K645" s="4" t="s">
        <v>421</v>
      </c>
      <c r="L645" t="s">
        <v>422</v>
      </c>
      <c r="M645" t="s">
        <v>3385</v>
      </c>
      <c r="N645" t="s">
        <v>141</v>
      </c>
      <c r="O645" t="s">
        <v>131</v>
      </c>
      <c r="P645" t="str">
        <f t="shared" si="200"/>
        <v>[1]</v>
      </c>
      <c r="Q645">
        <f t="shared" si="201"/>
        <v>104</v>
      </c>
      <c r="R645" t="str">
        <f t="shared" si="194"/>
        <v/>
      </c>
      <c r="S645">
        <f>SUMIF(O645:$O$2855,R645,Q645:$Q$2855)</f>
        <v>0</v>
      </c>
      <c r="AP645" s="4" t="s">
        <v>472</v>
      </c>
      <c r="AQ645" t="s">
        <v>479</v>
      </c>
      <c r="AR645" t="s">
        <v>443</v>
      </c>
      <c r="AS645" t="s">
        <v>443</v>
      </c>
      <c r="AT645" t="s">
        <v>612</v>
      </c>
      <c r="AU645" t="str">
        <f t="shared" si="191"/>
        <v>[1]</v>
      </c>
      <c r="AV645">
        <f t="shared" ref="AV645" si="204">HEX2DEC(MID(AS645,3,LEN(AS645)-2))</f>
        <v>0</v>
      </c>
      <c r="AW645" t="str">
        <f t="shared" ref="AW645" si="205">IF(AT645&lt;&gt;AT644,AT645,"")</f>
        <v/>
      </c>
      <c r="AX645">
        <f>SUMIF(AT645:$AT$651,AW645,AV645:$AV$651)</f>
        <v>0</v>
      </c>
    </row>
    <row r="646" spans="11:50" x14ac:dyDescent="0.25">
      <c r="K646" s="4" t="s">
        <v>421</v>
      </c>
      <c r="L646" t="s">
        <v>422</v>
      </c>
      <c r="M646" t="s">
        <v>3386</v>
      </c>
      <c r="N646" t="s">
        <v>190</v>
      </c>
      <c r="O646" t="s">
        <v>131</v>
      </c>
      <c r="P646" t="str">
        <f t="shared" si="200"/>
        <v>[1]</v>
      </c>
      <c r="Q646">
        <f t="shared" si="201"/>
        <v>56</v>
      </c>
      <c r="R646" t="str">
        <f t="shared" si="194"/>
        <v/>
      </c>
      <c r="S646">
        <f>SUMIF(O646:$O$2855,R646,Q646:$Q$2855)</f>
        <v>0</v>
      </c>
      <c r="AP646" s="4" t="s">
        <v>472</v>
      </c>
      <c r="AQ646" t="s">
        <v>479</v>
      </c>
      <c r="AR646" t="s">
        <v>443</v>
      </c>
      <c r="AS646" t="s">
        <v>443</v>
      </c>
      <c r="AT646" t="s">
        <v>612</v>
      </c>
      <c r="AU646" t="str">
        <f t="shared" si="191"/>
        <v>[1]</v>
      </c>
      <c r="AV646">
        <f t="shared" ref="AV646" si="206">HEX2DEC(MID(AS646,3,LEN(AS646)-2))</f>
        <v>0</v>
      </c>
      <c r="AW646" t="str">
        <f t="shared" ref="AW646" si="207">IF(AT646&lt;&gt;AT645,AT646,"")</f>
        <v/>
      </c>
      <c r="AX646">
        <f>SUMIF(AT646:$AT$651,AW646,AV646:$AV$651)</f>
        <v>0</v>
      </c>
    </row>
    <row r="647" spans="11:50" x14ac:dyDescent="0.25">
      <c r="K647" s="4" t="s">
        <v>421</v>
      </c>
      <c r="L647" t="s">
        <v>422</v>
      </c>
      <c r="M647" t="s">
        <v>3387</v>
      </c>
      <c r="N647" t="s">
        <v>143</v>
      </c>
      <c r="O647" t="s">
        <v>131</v>
      </c>
      <c r="P647" t="str">
        <f t="shared" si="200"/>
        <v>[1]</v>
      </c>
      <c r="Q647">
        <f t="shared" si="201"/>
        <v>84</v>
      </c>
      <c r="R647" t="str">
        <f t="shared" si="194"/>
        <v/>
      </c>
      <c r="S647">
        <f>SUMIF(O647:$O$2855,R647,Q647:$Q$2855)</f>
        <v>0</v>
      </c>
      <c r="AP647" s="4" t="s">
        <v>472</v>
      </c>
      <c r="AQ647" t="s">
        <v>479</v>
      </c>
      <c r="AR647" t="s">
        <v>443</v>
      </c>
      <c r="AS647" t="s">
        <v>443</v>
      </c>
      <c r="AT647" t="s">
        <v>612</v>
      </c>
      <c r="AU647" t="str">
        <f t="shared" si="191"/>
        <v>[1]</v>
      </c>
      <c r="AV647">
        <f t="shared" ref="AV647" si="208">HEX2DEC(MID(AS647,3,LEN(AS647)-2))</f>
        <v>0</v>
      </c>
      <c r="AW647" t="str">
        <f t="shared" ref="AW647" si="209">IF(AT647&lt;&gt;AT646,AT647,"")</f>
        <v/>
      </c>
      <c r="AX647">
        <f>SUMIF(AT647:$AT$651,AW647,AV647:$AV$651)</f>
        <v>0</v>
      </c>
    </row>
    <row r="648" spans="11:50" x14ac:dyDescent="0.25">
      <c r="K648" s="4" t="s">
        <v>421</v>
      </c>
      <c r="L648" t="s">
        <v>422</v>
      </c>
      <c r="M648" t="s">
        <v>3388</v>
      </c>
      <c r="N648" t="s">
        <v>76</v>
      </c>
      <c r="O648" t="s">
        <v>131</v>
      </c>
      <c r="P648" t="str">
        <f t="shared" si="200"/>
        <v>[1]</v>
      </c>
      <c r="Q648">
        <f t="shared" si="201"/>
        <v>36</v>
      </c>
      <c r="R648" t="str">
        <f t="shared" si="194"/>
        <v/>
      </c>
      <c r="S648">
        <f>SUMIF(O648:$O$2855,R648,Q648:$Q$2855)</f>
        <v>0</v>
      </c>
      <c r="AP648" s="4" t="s">
        <v>472</v>
      </c>
      <c r="AQ648" t="s">
        <v>479</v>
      </c>
      <c r="AR648" t="s">
        <v>443</v>
      </c>
      <c r="AS648" t="s">
        <v>443</v>
      </c>
      <c r="AT648" t="s">
        <v>612</v>
      </c>
      <c r="AU648" t="str">
        <f t="shared" si="191"/>
        <v>[1]</v>
      </c>
      <c r="AV648">
        <f t="shared" ref="AV648" si="210">HEX2DEC(MID(AS648,3,LEN(AS648)-2))</f>
        <v>0</v>
      </c>
      <c r="AW648" t="str">
        <f t="shared" ref="AW648" si="211">IF(AT648&lt;&gt;AT647,AT648,"")</f>
        <v/>
      </c>
      <c r="AX648">
        <f>SUMIF(AT648:$AT$651,AW648,AV648:$AV$651)</f>
        <v>0</v>
      </c>
    </row>
    <row r="649" spans="11:50" x14ac:dyDescent="0.25">
      <c r="K649" s="4" t="s">
        <v>421</v>
      </c>
      <c r="L649" t="s">
        <v>422</v>
      </c>
      <c r="M649" t="s">
        <v>3389</v>
      </c>
      <c r="N649" t="s">
        <v>1074</v>
      </c>
      <c r="O649" t="s">
        <v>131</v>
      </c>
      <c r="P649" t="str">
        <f t="shared" si="200"/>
        <v>[1]</v>
      </c>
      <c r="Q649">
        <f t="shared" si="201"/>
        <v>124</v>
      </c>
      <c r="R649" t="str">
        <f t="shared" si="194"/>
        <v/>
      </c>
      <c r="S649">
        <f>SUMIF(O649:$O$2855,R649,Q649:$Q$2855)</f>
        <v>0</v>
      </c>
      <c r="AP649" s="4" t="s">
        <v>472</v>
      </c>
      <c r="AQ649" t="s">
        <v>479</v>
      </c>
      <c r="AR649" t="s">
        <v>443</v>
      </c>
      <c r="AS649" t="s">
        <v>443</v>
      </c>
      <c r="AT649" t="s">
        <v>612</v>
      </c>
      <c r="AU649" t="str">
        <f t="shared" si="191"/>
        <v>[1]</v>
      </c>
      <c r="AV649">
        <f t="shared" ref="AV649" si="212">HEX2DEC(MID(AS649,3,LEN(AS649)-2))</f>
        <v>0</v>
      </c>
      <c r="AW649" t="str">
        <f t="shared" ref="AW649" si="213">IF(AT649&lt;&gt;AT648,AT649,"")</f>
        <v/>
      </c>
      <c r="AX649">
        <f>SUMIF(AT649:$AT$651,AW649,AV649:$AV$651)</f>
        <v>0</v>
      </c>
    </row>
    <row r="650" spans="11:50" x14ac:dyDescent="0.25">
      <c r="K650" s="4" t="s">
        <v>421</v>
      </c>
      <c r="L650" t="s">
        <v>422</v>
      </c>
      <c r="M650" t="s">
        <v>3390</v>
      </c>
      <c r="N650" t="s">
        <v>6</v>
      </c>
      <c r="O650" t="s">
        <v>131</v>
      </c>
      <c r="P650" t="str">
        <f t="shared" si="200"/>
        <v>[1]</v>
      </c>
      <c r="Q650">
        <f t="shared" si="201"/>
        <v>28</v>
      </c>
      <c r="R650" t="str">
        <f t="shared" si="194"/>
        <v/>
      </c>
      <c r="S650">
        <f>SUMIF(O650:$O$2855,R650,Q650:$Q$2855)</f>
        <v>0</v>
      </c>
      <c r="AP650" s="4" t="s">
        <v>472</v>
      </c>
      <c r="AQ650" t="s">
        <v>479</v>
      </c>
      <c r="AR650" t="s">
        <v>443</v>
      </c>
      <c r="AS650" t="s">
        <v>443</v>
      </c>
      <c r="AT650" t="s">
        <v>612</v>
      </c>
      <c r="AU650" t="str">
        <f t="shared" si="191"/>
        <v>[1]</v>
      </c>
      <c r="AV650">
        <f t="shared" ref="AV650" si="214">HEX2DEC(MID(AS650,3,LEN(AS650)-2))</f>
        <v>0</v>
      </c>
      <c r="AW650" t="str">
        <f t="shared" ref="AW650" si="215">IF(AT650&lt;&gt;AT649,AT650,"")</f>
        <v/>
      </c>
      <c r="AX650">
        <f>SUMIF(AT650:$AT$651,AW650,AV650:$AV$651)</f>
        <v>0</v>
      </c>
    </row>
    <row r="651" spans="11:50" x14ac:dyDescent="0.25">
      <c r="K651" s="4" t="s">
        <v>421</v>
      </c>
      <c r="L651" t="s">
        <v>422</v>
      </c>
      <c r="M651" t="s">
        <v>3391</v>
      </c>
      <c r="N651" t="s">
        <v>6</v>
      </c>
      <c r="O651" t="s">
        <v>131</v>
      </c>
      <c r="P651" t="str">
        <f t="shared" si="200"/>
        <v>[1]</v>
      </c>
      <c r="Q651">
        <f t="shared" si="201"/>
        <v>28</v>
      </c>
      <c r="R651" t="str">
        <f t="shared" si="194"/>
        <v/>
      </c>
      <c r="S651">
        <f>SUMIF(O651:$O$2855,R651,Q651:$Q$2855)</f>
        <v>0</v>
      </c>
      <c r="AP651" s="4" t="s">
        <v>472</v>
      </c>
      <c r="AQ651" t="s">
        <v>479</v>
      </c>
      <c r="AR651" t="s">
        <v>443</v>
      </c>
      <c r="AS651" t="s">
        <v>443</v>
      </c>
      <c r="AT651" t="s">
        <v>612</v>
      </c>
      <c r="AU651" t="str">
        <f t="shared" si="191"/>
        <v>[1]</v>
      </c>
      <c r="AV651">
        <f t="shared" si="188"/>
        <v>0</v>
      </c>
      <c r="AW651" t="str">
        <f>IF(AT651&lt;&gt;AT644,AT651,"")</f>
        <v/>
      </c>
      <c r="AX651">
        <f>SUMIF(AT651:$AT$651,AW651,AV651:$AV$651)</f>
        <v>0</v>
      </c>
    </row>
    <row r="652" spans="11:50" x14ac:dyDescent="0.25">
      <c r="K652" s="4" t="s">
        <v>421</v>
      </c>
      <c r="L652" t="s">
        <v>422</v>
      </c>
      <c r="M652" t="s">
        <v>3392</v>
      </c>
      <c r="N652" t="s">
        <v>13</v>
      </c>
      <c r="O652" t="s">
        <v>131</v>
      </c>
      <c r="P652" t="str">
        <f t="shared" si="200"/>
        <v>[1]</v>
      </c>
      <c r="Q652">
        <f t="shared" si="201"/>
        <v>12</v>
      </c>
      <c r="R652" t="str">
        <f t="shared" si="194"/>
        <v/>
      </c>
      <c r="S652">
        <f>SUMIF(O652:$O$2855,R652,Q652:$Q$2855)</f>
        <v>0</v>
      </c>
      <c r="AP652" t="s">
        <v>834</v>
      </c>
      <c r="AQ652" t="str">
        <f ca="1">CELL("address",AX652)</f>
        <v>$AX$652</v>
      </c>
      <c r="AV652">
        <f>SUM(AV31:AV651)</f>
        <v>47552</v>
      </c>
      <c r="AW652" t="s">
        <v>734</v>
      </c>
      <c r="AX652">
        <f>SUM(AX31:AX651)</f>
        <v>47552</v>
      </c>
    </row>
    <row r="653" spans="11:50" x14ac:dyDescent="0.25">
      <c r="K653" s="4" t="s">
        <v>421</v>
      </c>
      <c r="L653" t="s">
        <v>422</v>
      </c>
      <c r="M653" t="s">
        <v>3393</v>
      </c>
      <c r="N653" t="s">
        <v>202</v>
      </c>
      <c r="O653" t="s">
        <v>131</v>
      </c>
      <c r="P653" t="str">
        <f t="shared" si="200"/>
        <v>[1]</v>
      </c>
      <c r="Q653">
        <f t="shared" si="201"/>
        <v>16</v>
      </c>
      <c r="R653" t="str">
        <f t="shared" si="194"/>
        <v/>
      </c>
      <c r="S653">
        <f>SUMIF(O653:$O$2855,R653,Q653:$Q$2855)</f>
        <v>0</v>
      </c>
    </row>
    <row r="654" spans="11:50" x14ac:dyDescent="0.25">
      <c r="K654" s="4" t="s">
        <v>421</v>
      </c>
      <c r="L654" t="s">
        <v>422</v>
      </c>
      <c r="M654" t="s">
        <v>1891</v>
      </c>
      <c r="N654" t="s">
        <v>119</v>
      </c>
      <c r="O654" t="s">
        <v>131</v>
      </c>
      <c r="P654" t="str">
        <f t="shared" si="200"/>
        <v>[1]</v>
      </c>
      <c r="Q654">
        <f t="shared" si="201"/>
        <v>32</v>
      </c>
      <c r="R654" t="str">
        <f t="shared" si="194"/>
        <v/>
      </c>
      <c r="S654">
        <f>SUMIF(O654:$O$2855,R654,Q654:$Q$2855)</f>
        <v>0</v>
      </c>
    </row>
    <row r="655" spans="11:50" x14ac:dyDescent="0.25">
      <c r="K655" s="4" t="s">
        <v>421</v>
      </c>
      <c r="L655" t="s">
        <v>422</v>
      </c>
      <c r="M655" t="s">
        <v>1892</v>
      </c>
      <c r="N655" t="s">
        <v>119</v>
      </c>
      <c r="O655" t="s">
        <v>131</v>
      </c>
      <c r="P655" t="str">
        <f t="shared" si="200"/>
        <v>[1]</v>
      </c>
      <c r="Q655">
        <f t="shared" si="201"/>
        <v>32</v>
      </c>
      <c r="R655" t="str">
        <f t="shared" si="194"/>
        <v/>
      </c>
      <c r="S655">
        <f>SUMIF(O655:$O$2855,R655,Q655:$Q$2855)</f>
        <v>0</v>
      </c>
      <c r="AP655" t="s">
        <v>835</v>
      </c>
      <c r="AQ655" t="str">
        <f ca="1">CELL("address",AW657)</f>
        <v>$AW$657</v>
      </c>
    </row>
    <row r="656" spans="11:50" x14ac:dyDescent="0.25">
      <c r="K656" s="4" t="s">
        <v>421</v>
      </c>
      <c r="L656" t="s">
        <v>422</v>
      </c>
      <c r="M656" t="s">
        <v>1893</v>
      </c>
      <c r="N656" t="s">
        <v>437</v>
      </c>
      <c r="O656" t="s">
        <v>131</v>
      </c>
      <c r="P656" t="str">
        <f t="shared" si="200"/>
        <v>[1]</v>
      </c>
      <c r="Q656">
        <f t="shared" si="201"/>
        <v>24</v>
      </c>
      <c r="R656" t="str">
        <f t="shared" si="194"/>
        <v/>
      </c>
      <c r="S656">
        <f>SUMIF(O656:$O$2855,R656,Q656:$Q$2855)</f>
        <v>0</v>
      </c>
      <c r="AP656" s="47" t="s">
        <v>538</v>
      </c>
      <c r="AQ656" s="47"/>
      <c r="AR656" s="47"/>
      <c r="AS656" s="47"/>
      <c r="AT656" s="47"/>
      <c r="AU656" s="47"/>
      <c r="AV656" s="47"/>
      <c r="AW656" s="47"/>
      <c r="AX656" s="47"/>
    </row>
    <row r="657" spans="11:50" x14ac:dyDescent="0.25">
      <c r="K657" s="4" t="s">
        <v>421</v>
      </c>
      <c r="L657" t="s">
        <v>422</v>
      </c>
      <c r="M657" t="s">
        <v>3394</v>
      </c>
      <c r="N657" t="s">
        <v>126</v>
      </c>
      <c r="O657" t="s">
        <v>131</v>
      </c>
      <c r="P657" t="str">
        <f t="shared" si="200"/>
        <v>[1]</v>
      </c>
      <c r="Q657">
        <f t="shared" si="201"/>
        <v>8</v>
      </c>
      <c r="R657" t="str">
        <f t="shared" si="194"/>
        <v/>
      </c>
      <c r="S657">
        <f>SUMIF(O657:$O$2855,R657,Q657:$Q$2855)</f>
        <v>0</v>
      </c>
      <c r="AP657" s="4" t="s">
        <v>473</v>
      </c>
      <c r="AQ657" t="s">
        <v>484</v>
      </c>
      <c r="AR657" t="s">
        <v>1687</v>
      </c>
      <c r="AS657" t="s">
        <v>334</v>
      </c>
      <c r="AT657" t="s">
        <v>177</v>
      </c>
      <c r="AU657" t="str">
        <f>VLOOKUP($AP$656,$E$1:$F$26,2,FALSE)</f>
        <v>[1]</v>
      </c>
      <c r="AV657">
        <f>HEX2DEC(MID(AS657,3,LEN(AS657)-2))</f>
        <v>2048</v>
      </c>
      <c r="AW657" t="str">
        <f>IF(AT657&lt;&gt;AT656,AT657,"")</f>
        <v>partitions.o</v>
      </c>
      <c r="AX657">
        <f>SUMIF(AT657:$AT$657,AW657,AV657:$AV$657)</f>
        <v>2048</v>
      </c>
    </row>
    <row r="658" spans="11:50" x14ac:dyDescent="0.25">
      <c r="K658" s="4" t="s">
        <v>421</v>
      </c>
      <c r="L658" t="s">
        <v>422</v>
      </c>
      <c r="M658" t="s">
        <v>3395</v>
      </c>
      <c r="N658" t="s">
        <v>13</v>
      </c>
      <c r="O658" t="s">
        <v>131</v>
      </c>
      <c r="P658" t="str">
        <f t="shared" si="200"/>
        <v>[1]</v>
      </c>
      <c r="Q658">
        <f t="shared" si="201"/>
        <v>12</v>
      </c>
      <c r="R658" t="str">
        <f t="shared" si="194"/>
        <v/>
      </c>
      <c r="S658">
        <f>SUMIF(O658:$O$2855,R658,Q658:$Q$2855)</f>
        <v>0</v>
      </c>
      <c r="AP658" t="s">
        <v>836</v>
      </c>
      <c r="AQ658" t="str">
        <f ca="1">CELL("address",AX658)</f>
        <v>$AX$658</v>
      </c>
      <c r="AV658">
        <f>SUM(AV657:AV657)</f>
        <v>2048</v>
      </c>
      <c r="AW658" t="s">
        <v>811</v>
      </c>
      <c r="AX658">
        <f>SUM(AX657:AX657)</f>
        <v>2048</v>
      </c>
    </row>
    <row r="659" spans="11:50" x14ac:dyDescent="0.25">
      <c r="K659" s="4" t="s">
        <v>421</v>
      </c>
      <c r="L659" t="s">
        <v>422</v>
      </c>
      <c r="M659" t="s">
        <v>1894</v>
      </c>
      <c r="N659" t="s">
        <v>119</v>
      </c>
      <c r="O659" t="s">
        <v>131</v>
      </c>
      <c r="P659" t="str">
        <f t="shared" si="200"/>
        <v>[1]</v>
      </c>
      <c r="Q659">
        <f t="shared" si="201"/>
        <v>32</v>
      </c>
      <c r="R659" t="str">
        <f t="shared" si="194"/>
        <v/>
      </c>
      <c r="S659">
        <f>SUMIF(O659:$O$2855,R659,Q659:$Q$2855)</f>
        <v>0</v>
      </c>
    </row>
    <row r="660" spans="11:50" x14ac:dyDescent="0.25">
      <c r="K660" s="4" t="s">
        <v>421</v>
      </c>
      <c r="L660" t="s">
        <v>422</v>
      </c>
      <c r="M660" t="s">
        <v>3396</v>
      </c>
      <c r="N660" t="s">
        <v>1270</v>
      </c>
      <c r="O660" t="s">
        <v>131</v>
      </c>
      <c r="P660" t="str">
        <f t="shared" si="200"/>
        <v>[1]</v>
      </c>
      <c r="Q660">
        <f t="shared" si="201"/>
        <v>1332</v>
      </c>
      <c r="R660" t="str">
        <f t="shared" si="194"/>
        <v/>
      </c>
      <c r="S660">
        <f>SUMIF(O660:$O$2855,R660,Q660:$Q$2855)</f>
        <v>0</v>
      </c>
    </row>
    <row r="661" spans="11:50" x14ac:dyDescent="0.25">
      <c r="K661" s="4" t="s">
        <v>421</v>
      </c>
      <c r="L661" t="s">
        <v>422</v>
      </c>
      <c r="M661" t="s">
        <v>3397</v>
      </c>
      <c r="N661" t="s">
        <v>437</v>
      </c>
      <c r="O661" t="s">
        <v>131</v>
      </c>
      <c r="P661" t="str">
        <f t="shared" si="200"/>
        <v>[1]</v>
      </c>
      <c r="Q661">
        <f t="shared" si="201"/>
        <v>24</v>
      </c>
      <c r="R661" t="str">
        <f t="shared" si="194"/>
        <v/>
      </c>
      <c r="S661">
        <f>SUMIF(O661:$O$2855,R661,Q661:$Q$2855)</f>
        <v>0</v>
      </c>
      <c r="AP661" t="s">
        <v>837</v>
      </c>
      <c r="AQ661" t="str">
        <f ca="1">CELL("address",AW663)</f>
        <v>$AW$663</v>
      </c>
    </row>
    <row r="662" spans="11:50" x14ac:dyDescent="0.25">
      <c r="K662" s="4" t="s">
        <v>421</v>
      </c>
      <c r="L662" t="s">
        <v>422</v>
      </c>
      <c r="M662" t="s">
        <v>3398</v>
      </c>
      <c r="N662" t="s">
        <v>165</v>
      </c>
      <c r="O662" t="s">
        <v>131</v>
      </c>
      <c r="P662" t="str">
        <f t="shared" si="200"/>
        <v>[1]</v>
      </c>
      <c r="Q662">
        <f t="shared" si="201"/>
        <v>20</v>
      </c>
      <c r="R662" t="str">
        <f t="shared" si="194"/>
        <v/>
      </c>
      <c r="S662">
        <f>SUMIF(O662:$O$2855,R662,Q662:$Q$2855)</f>
        <v>0</v>
      </c>
      <c r="AP662" s="47" t="s">
        <v>539</v>
      </c>
      <c r="AQ662" s="47"/>
      <c r="AR662" s="47"/>
      <c r="AS662" s="47"/>
      <c r="AT662" s="47"/>
      <c r="AU662" s="47"/>
      <c r="AV662" s="47"/>
      <c r="AW662" s="47"/>
      <c r="AX662" s="47"/>
    </row>
    <row r="663" spans="11:50" x14ac:dyDescent="0.25">
      <c r="K663" s="4" t="s">
        <v>421</v>
      </c>
      <c r="L663" t="s">
        <v>422</v>
      </c>
      <c r="M663" t="s">
        <v>3399</v>
      </c>
      <c r="N663" t="s">
        <v>202</v>
      </c>
      <c r="O663" t="s">
        <v>131</v>
      </c>
      <c r="P663" t="str">
        <f t="shared" si="200"/>
        <v>[1]</v>
      </c>
      <c r="Q663">
        <f t="shared" si="201"/>
        <v>16</v>
      </c>
      <c r="R663" t="str">
        <f t="shared" si="194"/>
        <v/>
      </c>
      <c r="S663">
        <f>SUMIF(O663:$O$2855,R663,Q663:$Q$2855)</f>
        <v>0</v>
      </c>
      <c r="AP663" s="4" t="s">
        <v>472</v>
      </c>
      <c r="AQ663" t="s">
        <v>479</v>
      </c>
      <c r="AR663" t="s">
        <v>1186</v>
      </c>
      <c r="AS663" t="s">
        <v>437</v>
      </c>
      <c r="AT663" t="s">
        <v>352</v>
      </c>
      <c r="AU663" t="str">
        <f t="shared" ref="AU663:AU668" si="216">VLOOKUP($AP$662,$E$1:$F$26,2,FALSE)</f>
        <v>[4]</v>
      </c>
      <c r="AV663">
        <f t="shared" ref="AV663:AV668" si="217">HEX2DEC(MID(AS663,3,LEN(AS663)-2))</f>
        <v>24</v>
      </c>
      <c r="AW663" t="str">
        <f t="shared" ref="AW663:AW668" si="218">IF(AT663&lt;&gt;AT662,AT663,"")</f>
        <v>adc_kadc.o</v>
      </c>
      <c r="AX663">
        <f>SUMIF(AT663:$AT$668,AW663,AV663:$AV$668)</f>
        <v>24</v>
      </c>
    </row>
    <row r="664" spans="11:50" x14ac:dyDescent="0.25">
      <c r="K664" s="4" t="s">
        <v>421</v>
      </c>
      <c r="L664" t="s">
        <v>422</v>
      </c>
      <c r="M664" t="s">
        <v>3400</v>
      </c>
      <c r="N664" t="s">
        <v>165</v>
      </c>
      <c r="O664" t="s">
        <v>131</v>
      </c>
      <c r="P664" t="str">
        <f t="shared" si="200"/>
        <v>[1]</v>
      </c>
      <c r="Q664">
        <f t="shared" si="201"/>
        <v>20</v>
      </c>
      <c r="R664" t="str">
        <f t="shared" si="194"/>
        <v/>
      </c>
      <c r="S664">
        <f>SUMIF(O664:$O$2855,R664,Q664:$Q$2855)</f>
        <v>0</v>
      </c>
      <c r="AP664" s="4" t="s">
        <v>472</v>
      </c>
      <c r="AQ664" t="s">
        <v>479</v>
      </c>
      <c r="AR664" t="s">
        <v>1245</v>
      </c>
      <c r="AS664" t="s">
        <v>442</v>
      </c>
      <c r="AT664" t="s">
        <v>17</v>
      </c>
      <c r="AU664" t="str">
        <f t="shared" si="216"/>
        <v>[4]</v>
      </c>
      <c r="AV664">
        <f t="shared" si="217"/>
        <v>1</v>
      </c>
      <c r="AW664" t="str">
        <f t="shared" si="218"/>
        <v>bsp_cm.o</v>
      </c>
      <c r="AX664">
        <f>SUMIF(AT664:$AT$668,AW664,AV664:$AV$668)</f>
        <v>1</v>
      </c>
    </row>
    <row r="665" spans="11:50" x14ac:dyDescent="0.25">
      <c r="K665" s="4" t="s">
        <v>421</v>
      </c>
      <c r="L665" t="s">
        <v>422</v>
      </c>
      <c r="M665" t="s">
        <v>3401</v>
      </c>
      <c r="N665" t="s">
        <v>437</v>
      </c>
      <c r="O665" t="s">
        <v>131</v>
      </c>
      <c r="P665" t="str">
        <f t="shared" si="200"/>
        <v>[1]</v>
      </c>
      <c r="Q665">
        <f t="shared" si="201"/>
        <v>24</v>
      </c>
      <c r="R665" t="str">
        <f t="shared" si="194"/>
        <v/>
      </c>
      <c r="S665">
        <f>SUMIF(O665:$O$2855,R665,Q665:$Q$2855)</f>
        <v>0</v>
      </c>
      <c r="AP665" s="4" t="s">
        <v>472</v>
      </c>
      <c r="AQ665" t="s">
        <v>479</v>
      </c>
      <c r="AR665" t="s">
        <v>1244</v>
      </c>
      <c r="AS665" t="s">
        <v>126</v>
      </c>
      <c r="AT665" t="s">
        <v>268</v>
      </c>
      <c r="AU665" t="str">
        <f t="shared" si="216"/>
        <v>[4]</v>
      </c>
      <c r="AV665">
        <f t="shared" si="217"/>
        <v>8</v>
      </c>
      <c r="AW665" t="str">
        <f t="shared" si="218"/>
        <v>dma.o</v>
      </c>
      <c r="AX665">
        <f>SUMIF(AT665:$AT$668,AW665,AV665:$AV$668)</f>
        <v>8</v>
      </c>
    </row>
    <row r="666" spans="11:50" x14ac:dyDescent="0.25">
      <c r="K666" s="4" t="s">
        <v>421</v>
      </c>
      <c r="L666" t="s">
        <v>422</v>
      </c>
      <c r="M666" t="s">
        <v>3402</v>
      </c>
      <c r="N666" t="s">
        <v>165</v>
      </c>
      <c r="O666" t="s">
        <v>131</v>
      </c>
      <c r="P666" t="str">
        <f t="shared" si="200"/>
        <v>[1]</v>
      </c>
      <c r="Q666">
        <f t="shared" si="201"/>
        <v>20</v>
      </c>
      <c r="R666" t="str">
        <f t="shared" si="194"/>
        <v/>
      </c>
      <c r="S666">
        <f>SUMIF(O666:$O$2855,R666,Q666:$Q$2855)</f>
        <v>0</v>
      </c>
      <c r="AP666" s="4" t="s">
        <v>472</v>
      </c>
      <c r="AQ666" t="s">
        <v>479</v>
      </c>
      <c r="AR666" t="s">
        <v>1241</v>
      </c>
      <c r="AS666" t="s">
        <v>103</v>
      </c>
      <c r="AT666" t="s">
        <v>173</v>
      </c>
      <c r="AU666" t="str">
        <f t="shared" si="216"/>
        <v>[4]</v>
      </c>
      <c r="AV666">
        <f t="shared" si="217"/>
        <v>64</v>
      </c>
      <c r="AW666" t="str">
        <f t="shared" si="218"/>
        <v>init_bsp.o</v>
      </c>
      <c r="AX666">
        <f>SUMIF(AT666:$AT$668,AW666,AV666:$AV$668)</f>
        <v>64</v>
      </c>
    </row>
    <row r="667" spans="11:50" x14ac:dyDescent="0.25">
      <c r="K667" s="4" t="s">
        <v>421</v>
      </c>
      <c r="L667" t="s">
        <v>422</v>
      </c>
      <c r="M667" t="s">
        <v>3403</v>
      </c>
      <c r="N667" t="s">
        <v>165</v>
      </c>
      <c r="O667" t="s">
        <v>131</v>
      </c>
      <c r="P667" t="str">
        <f t="shared" si="200"/>
        <v>[1]</v>
      </c>
      <c r="Q667">
        <f t="shared" si="201"/>
        <v>20</v>
      </c>
      <c r="R667" t="str">
        <f t="shared" si="194"/>
        <v/>
      </c>
      <c r="S667">
        <f>SUMIF(O667:$O$2855,R667,Q667:$Q$2855)</f>
        <v>0</v>
      </c>
      <c r="AP667" s="4" t="s">
        <v>472</v>
      </c>
      <c r="AQ667" t="s">
        <v>479</v>
      </c>
      <c r="AR667" t="s">
        <v>1243</v>
      </c>
      <c r="AS667" t="s">
        <v>202</v>
      </c>
      <c r="AT667" t="s">
        <v>264</v>
      </c>
      <c r="AU667" t="str">
        <f t="shared" si="216"/>
        <v>[4]</v>
      </c>
      <c r="AV667">
        <f t="shared" si="217"/>
        <v>16</v>
      </c>
      <c r="AW667" t="str">
        <f t="shared" si="218"/>
        <v>krtc.o</v>
      </c>
      <c r="AX667">
        <f>SUMIF(AT667:$AT$668,AW667,AV667:$AV$668)</f>
        <v>16</v>
      </c>
    </row>
    <row r="668" spans="11:50" x14ac:dyDescent="0.25">
      <c r="K668" s="4" t="s">
        <v>421</v>
      </c>
      <c r="L668" t="s">
        <v>422</v>
      </c>
      <c r="M668" t="s">
        <v>3404</v>
      </c>
      <c r="N668" t="s">
        <v>202</v>
      </c>
      <c r="O668" t="s">
        <v>131</v>
      </c>
      <c r="P668" t="str">
        <f t="shared" si="200"/>
        <v>[1]</v>
      </c>
      <c r="Q668">
        <f t="shared" si="201"/>
        <v>16</v>
      </c>
      <c r="R668" t="str">
        <f t="shared" si="194"/>
        <v/>
      </c>
      <c r="S668">
        <f>SUMIF(O668:$O$2855,R668,Q668:$Q$2855)</f>
        <v>0</v>
      </c>
      <c r="AP668" s="4" t="s">
        <v>472</v>
      </c>
      <c r="AQ668" t="s">
        <v>479</v>
      </c>
      <c r="AR668" t="s">
        <v>1242</v>
      </c>
      <c r="AS668" t="s">
        <v>237</v>
      </c>
      <c r="AT668" t="s">
        <v>168</v>
      </c>
      <c r="AU668" t="str">
        <f t="shared" si="216"/>
        <v>[4]</v>
      </c>
      <c r="AV668">
        <f t="shared" si="217"/>
        <v>52</v>
      </c>
      <c r="AW668" t="str">
        <f t="shared" si="218"/>
        <v>lwadc_kadc.o</v>
      </c>
      <c r="AX668">
        <f>SUMIF(AT668:$AT$668,AW668,AV668:$AV$668)</f>
        <v>52</v>
      </c>
    </row>
    <row r="669" spans="11:50" x14ac:dyDescent="0.25">
      <c r="K669" s="4" t="s">
        <v>421</v>
      </c>
      <c r="L669" t="s">
        <v>422</v>
      </c>
      <c r="M669" t="s">
        <v>3405</v>
      </c>
      <c r="N669" t="s">
        <v>165</v>
      </c>
      <c r="O669" t="s">
        <v>131</v>
      </c>
      <c r="P669" t="str">
        <f t="shared" si="200"/>
        <v>[1]</v>
      </c>
      <c r="Q669">
        <f t="shared" si="201"/>
        <v>20</v>
      </c>
      <c r="R669" t="str">
        <f t="shared" si="194"/>
        <v/>
      </c>
      <c r="S669">
        <f>SUMIF(O669:$O$2855,R669,Q669:$Q$2855)</f>
        <v>0</v>
      </c>
      <c r="AV669">
        <f>SUM(AV663:AV668)</f>
        <v>165</v>
      </c>
      <c r="AW669" t="s">
        <v>735</v>
      </c>
      <c r="AX669">
        <f>SUM(AX663:AX668)</f>
        <v>165</v>
      </c>
    </row>
    <row r="670" spans="11:50" x14ac:dyDescent="0.25">
      <c r="K670" s="4" t="s">
        <v>421</v>
      </c>
      <c r="L670" t="s">
        <v>422</v>
      </c>
      <c r="M670" t="s">
        <v>3406</v>
      </c>
      <c r="N670" t="s">
        <v>165</v>
      </c>
      <c r="O670" t="s">
        <v>131</v>
      </c>
      <c r="P670" t="str">
        <f t="shared" si="200"/>
        <v>[1]</v>
      </c>
      <c r="Q670">
        <f t="shared" si="201"/>
        <v>20</v>
      </c>
      <c r="R670" t="str">
        <f t="shared" si="194"/>
        <v/>
      </c>
      <c r="S670">
        <f>SUMIF(O670:$O$2855,R670,Q670:$Q$2855)</f>
        <v>0</v>
      </c>
    </row>
    <row r="671" spans="11:50" x14ac:dyDescent="0.25">
      <c r="K671" s="4" t="s">
        <v>421</v>
      </c>
      <c r="L671" t="s">
        <v>422</v>
      </c>
      <c r="M671" t="s">
        <v>3407</v>
      </c>
      <c r="N671" t="s">
        <v>165</v>
      </c>
      <c r="O671" t="s">
        <v>131</v>
      </c>
      <c r="P671" t="str">
        <f t="shared" si="200"/>
        <v>[1]</v>
      </c>
      <c r="Q671">
        <f t="shared" si="201"/>
        <v>20</v>
      </c>
      <c r="R671" t="str">
        <f t="shared" si="194"/>
        <v/>
      </c>
      <c r="S671">
        <f>SUMIF(O671:$O$2855,R671,Q671:$Q$2855)</f>
        <v>0</v>
      </c>
    </row>
    <row r="672" spans="11:50" x14ac:dyDescent="0.25">
      <c r="K672" s="4" t="s">
        <v>421</v>
      </c>
      <c r="L672" t="s">
        <v>422</v>
      </c>
      <c r="M672" t="s">
        <v>1762</v>
      </c>
      <c r="N672" t="s">
        <v>202</v>
      </c>
      <c r="O672" t="s">
        <v>131</v>
      </c>
      <c r="P672" t="str">
        <f t="shared" si="200"/>
        <v>[1]</v>
      </c>
      <c r="Q672">
        <f t="shared" si="201"/>
        <v>16</v>
      </c>
      <c r="R672" t="str">
        <f t="shared" ref="R672:R735" si="219">IF(O672&lt;&gt;O671,O672,"")</f>
        <v/>
      </c>
      <c r="S672">
        <f>SUMIF(O672:$O$2855,R672,Q672:$Q$2855)</f>
        <v>0</v>
      </c>
      <c r="AP672" s="47" t="s">
        <v>952</v>
      </c>
      <c r="AQ672" s="47"/>
      <c r="AR672" s="47"/>
      <c r="AS672" s="47"/>
      <c r="AT672" s="47"/>
      <c r="AU672" s="47"/>
      <c r="AV672" s="47"/>
      <c r="AW672" s="47"/>
      <c r="AX672" s="47"/>
    </row>
    <row r="673" spans="11:50" x14ac:dyDescent="0.25">
      <c r="K673" s="4" t="s">
        <v>421</v>
      </c>
      <c r="L673" t="s">
        <v>422</v>
      </c>
      <c r="M673" t="s">
        <v>3408</v>
      </c>
      <c r="N673" t="s">
        <v>202</v>
      </c>
      <c r="O673" t="s">
        <v>131</v>
      </c>
      <c r="P673" t="str">
        <f t="shared" si="200"/>
        <v>[1]</v>
      </c>
      <c r="Q673">
        <f t="shared" si="201"/>
        <v>16</v>
      </c>
      <c r="R673" t="str">
        <f t="shared" si="219"/>
        <v/>
      </c>
      <c r="S673">
        <f>SUMIF(O673:$O$2855,R673,Q673:$Q$2855)</f>
        <v>0</v>
      </c>
      <c r="AP673" t="s">
        <v>472</v>
      </c>
      <c r="AQ673" t="s">
        <v>479</v>
      </c>
      <c r="AR673" t="s">
        <v>611</v>
      </c>
      <c r="AS673" t="s">
        <v>443</v>
      </c>
      <c r="AT673" s="6" t="s">
        <v>612</v>
      </c>
      <c r="AU673" t="str">
        <f>VLOOKUP($AP$672,$E$1:$F$26,2,FALSE)</f>
        <v>[5]</v>
      </c>
      <c r="AV673">
        <f>HEX2DEC(MID(AS673,3,LEN(AS673)-2))</f>
        <v>0</v>
      </c>
      <c r="AW673" t="str">
        <f>IF(AT673&lt;&gt;AT672,AT673,"")</f>
        <v>placeholder</v>
      </c>
      <c r="AX673">
        <f>SUMIF(AT673:$AT$673,AW673,AV673:$AV$673)</f>
        <v>0</v>
      </c>
    </row>
    <row r="674" spans="11:50" x14ac:dyDescent="0.25">
      <c r="K674" s="4" t="s">
        <v>421</v>
      </c>
      <c r="L674" t="s">
        <v>422</v>
      </c>
      <c r="M674" t="s">
        <v>3409</v>
      </c>
      <c r="N674" t="s">
        <v>437</v>
      </c>
      <c r="O674" t="s">
        <v>131</v>
      </c>
      <c r="P674" t="str">
        <f t="shared" si="200"/>
        <v>[1]</v>
      </c>
      <c r="Q674">
        <f t="shared" si="201"/>
        <v>24</v>
      </c>
      <c r="R674" t="str">
        <f t="shared" si="219"/>
        <v/>
      </c>
      <c r="S674">
        <f>SUMIF(O674:$O$2855,R674,Q674:$Q$2855)</f>
        <v>0</v>
      </c>
      <c r="AV674">
        <f>SUM(AV673)</f>
        <v>0</v>
      </c>
      <c r="AW674" t="s">
        <v>736</v>
      </c>
      <c r="AX674">
        <f>SUM(AX673)</f>
        <v>0</v>
      </c>
    </row>
    <row r="675" spans="11:50" x14ac:dyDescent="0.25">
      <c r="K675" s="4" t="s">
        <v>421</v>
      </c>
      <c r="L675" t="s">
        <v>422</v>
      </c>
      <c r="M675" t="s">
        <v>3410</v>
      </c>
      <c r="N675" t="s">
        <v>6</v>
      </c>
      <c r="O675" t="s">
        <v>131</v>
      </c>
      <c r="P675" t="str">
        <f t="shared" si="200"/>
        <v>[1]</v>
      </c>
      <c r="Q675">
        <f t="shared" si="201"/>
        <v>28</v>
      </c>
      <c r="R675" t="str">
        <f t="shared" si="219"/>
        <v/>
      </c>
      <c r="S675">
        <f>SUMIF(O675:$O$2855,R675,Q675:$Q$2855)</f>
        <v>0</v>
      </c>
    </row>
    <row r="676" spans="11:50" x14ac:dyDescent="0.25">
      <c r="K676" s="4" t="s">
        <v>421</v>
      </c>
      <c r="L676" t="s">
        <v>422</v>
      </c>
      <c r="M676" t="s">
        <v>3411</v>
      </c>
      <c r="N676" t="s">
        <v>165</v>
      </c>
      <c r="O676" t="s">
        <v>131</v>
      </c>
      <c r="P676" t="str">
        <f t="shared" si="200"/>
        <v>[1]</v>
      </c>
      <c r="Q676">
        <f t="shared" si="201"/>
        <v>20</v>
      </c>
      <c r="R676" t="str">
        <f t="shared" si="219"/>
        <v/>
      </c>
      <c r="S676">
        <f>SUMIF(O676:$O$2855,R676,Q676:$Q$2855)</f>
        <v>0</v>
      </c>
    </row>
    <row r="677" spans="11:50" x14ac:dyDescent="0.25">
      <c r="K677" s="4" t="s">
        <v>421</v>
      </c>
      <c r="L677" t="s">
        <v>422</v>
      </c>
      <c r="M677" t="s">
        <v>3412</v>
      </c>
      <c r="N677" t="s">
        <v>202</v>
      </c>
      <c r="O677" t="s">
        <v>131</v>
      </c>
      <c r="P677" t="str">
        <f t="shared" si="200"/>
        <v>[1]</v>
      </c>
      <c r="Q677">
        <f t="shared" si="201"/>
        <v>16</v>
      </c>
      <c r="R677" t="str">
        <f t="shared" si="219"/>
        <v/>
      </c>
      <c r="S677">
        <f>SUMIF(O677:$O$2855,R677,Q677:$Q$2855)</f>
        <v>0</v>
      </c>
      <c r="AP677" s="47" t="s">
        <v>757</v>
      </c>
      <c r="AQ677" s="47"/>
      <c r="AR677" s="47"/>
      <c r="AS677" s="47"/>
      <c r="AT677" s="47"/>
      <c r="AU677" s="47"/>
      <c r="AV677" s="47"/>
      <c r="AW677" s="47"/>
      <c r="AX677" s="47"/>
    </row>
    <row r="678" spans="11:50" x14ac:dyDescent="0.25">
      <c r="K678" s="4" t="s">
        <v>421</v>
      </c>
      <c r="L678" t="s">
        <v>422</v>
      </c>
      <c r="M678" t="s">
        <v>3413</v>
      </c>
      <c r="N678" t="s">
        <v>126</v>
      </c>
      <c r="O678" t="s">
        <v>131</v>
      </c>
      <c r="P678" t="str">
        <f t="shared" si="200"/>
        <v>[1]</v>
      </c>
      <c r="Q678">
        <f t="shared" si="201"/>
        <v>8</v>
      </c>
      <c r="R678" t="str">
        <f t="shared" si="219"/>
        <v/>
      </c>
      <c r="S678">
        <f>SUMIF(O678:$O$2855,R678,Q678:$Q$2855)</f>
        <v>0</v>
      </c>
      <c r="AP678" t="s">
        <v>472</v>
      </c>
      <c r="AQ678" t="s">
        <v>479</v>
      </c>
      <c r="AR678" s="6" t="s">
        <v>611</v>
      </c>
      <c r="AS678" s="6" t="s">
        <v>443</v>
      </c>
      <c r="AT678" s="6" t="s">
        <v>612</v>
      </c>
      <c r="AU678" t="str">
        <f>VLOOKUP($AP$677,$E$1:$F$26,2,FALSE)</f>
        <v>[6]</v>
      </c>
      <c r="AV678">
        <f>HEX2DEC(MID(AS678,3,LEN(AS678)-2))</f>
        <v>0</v>
      </c>
      <c r="AW678" t="str">
        <f>IF(AT678&lt;&gt;AT677,AT678,"")</f>
        <v>placeholder</v>
      </c>
      <c r="AX678">
        <f>SUMIF(AT678:$AT$678,AW678,AV678:$AV$678)</f>
        <v>0</v>
      </c>
    </row>
    <row r="679" spans="11:50" x14ac:dyDescent="0.25">
      <c r="K679" s="4" t="s">
        <v>421</v>
      </c>
      <c r="L679" t="s">
        <v>422</v>
      </c>
      <c r="M679" t="s">
        <v>3414</v>
      </c>
      <c r="N679" t="s">
        <v>237</v>
      </c>
      <c r="O679" t="s">
        <v>131</v>
      </c>
      <c r="P679" t="str">
        <f t="shared" si="200"/>
        <v>[1]</v>
      </c>
      <c r="Q679">
        <f t="shared" si="201"/>
        <v>52</v>
      </c>
      <c r="R679" t="str">
        <f t="shared" si="219"/>
        <v/>
      </c>
      <c r="S679">
        <f>SUMIF(O679:$O$2855,R679,Q679:$Q$2855)</f>
        <v>0</v>
      </c>
      <c r="AV679">
        <f>SUM(AV678)</f>
        <v>0</v>
      </c>
      <c r="AW679" t="s">
        <v>737</v>
      </c>
      <c r="AX679">
        <f>SUM(AX678)</f>
        <v>0</v>
      </c>
    </row>
    <row r="680" spans="11:50" x14ac:dyDescent="0.25">
      <c r="K680" s="4" t="s">
        <v>421</v>
      </c>
      <c r="L680" t="s">
        <v>422</v>
      </c>
      <c r="M680" t="s">
        <v>1895</v>
      </c>
      <c r="N680" t="s">
        <v>126</v>
      </c>
      <c r="O680" t="s">
        <v>131</v>
      </c>
      <c r="P680" t="str">
        <f t="shared" si="200"/>
        <v>[1]</v>
      </c>
      <c r="Q680">
        <f t="shared" si="201"/>
        <v>8</v>
      </c>
      <c r="R680" t="str">
        <f t="shared" si="219"/>
        <v/>
      </c>
      <c r="S680">
        <f>SUMIF(O680:$O$2855,R680,Q680:$Q$2855)</f>
        <v>0</v>
      </c>
    </row>
    <row r="681" spans="11:50" x14ac:dyDescent="0.25">
      <c r="K681" s="4" t="s">
        <v>421</v>
      </c>
      <c r="L681" t="s">
        <v>422</v>
      </c>
      <c r="M681" t="s">
        <v>3415</v>
      </c>
      <c r="N681" t="s">
        <v>437</v>
      </c>
      <c r="O681" t="s">
        <v>131</v>
      </c>
      <c r="P681" t="str">
        <f t="shared" si="200"/>
        <v>[1]</v>
      </c>
      <c r="Q681">
        <f t="shared" si="201"/>
        <v>24</v>
      </c>
      <c r="R681" t="str">
        <f t="shared" si="219"/>
        <v/>
      </c>
      <c r="S681">
        <f>SUMIF(O681:$O$2855,R681,Q681:$Q$2855)</f>
        <v>0</v>
      </c>
    </row>
    <row r="682" spans="11:50" x14ac:dyDescent="0.25">
      <c r="K682" s="4" t="s">
        <v>421</v>
      </c>
      <c r="L682" t="s">
        <v>422</v>
      </c>
      <c r="M682" t="s">
        <v>3416</v>
      </c>
      <c r="N682" t="s">
        <v>4</v>
      </c>
      <c r="O682" t="s">
        <v>131</v>
      </c>
      <c r="P682" t="str">
        <f t="shared" si="200"/>
        <v>[1]</v>
      </c>
      <c r="Q682">
        <f t="shared" si="201"/>
        <v>100</v>
      </c>
      <c r="R682" t="str">
        <f t="shared" si="219"/>
        <v/>
      </c>
      <c r="S682">
        <f>SUMIF(O682:$O$2855,R682,Q682:$Q$2855)</f>
        <v>0</v>
      </c>
      <c r="AP682" s="47" t="s">
        <v>540</v>
      </c>
      <c r="AQ682" s="47"/>
      <c r="AR682" s="47"/>
      <c r="AS682" s="47"/>
      <c r="AT682" s="47"/>
      <c r="AU682" s="47"/>
      <c r="AV682" s="47"/>
      <c r="AW682" s="47"/>
      <c r="AX682" s="47"/>
    </row>
    <row r="683" spans="11:50" x14ac:dyDescent="0.25">
      <c r="K683" s="4" t="s">
        <v>421</v>
      </c>
      <c r="L683" t="s">
        <v>422</v>
      </c>
      <c r="M683" t="s">
        <v>3417</v>
      </c>
      <c r="N683" t="s">
        <v>46</v>
      </c>
      <c r="O683" t="s">
        <v>131</v>
      </c>
      <c r="P683" t="str">
        <f t="shared" si="200"/>
        <v>[1]</v>
      </c>
      <c r="Q683">
        <f t="shared" si="201"/>
        <v>2</v>
      </c>
      <c r="R683" t="str">
        <f t="shared" si="219"/>
        <v/>
      </c>
      <c r="S683">
        <f>SUMIF(O683:$O$2855,R683,Q683:$Q$2855)</f>
        <v>0</v>
      </c>
      <c r="AP683" s="4" t="s">
        <v>472</v>
      </c>
      <c r="AQ683" t="s">
        <v>479</v>
      </c>
      <c r="AR683" t="s">
        <v>478</v>
      </c>
      <c r="AS683" t="s">
        <v>126</v>
      </c>
      <c r="AT683" t="s">
        <v>142</v>
      </c>
      <c r="AU683" t="str">
        <f>VLOOKUP($AP$682,$E$1:$F$26,2,FALSE)</f>
        <v>[7]</v>
      </c>
      <c r="AV683">
        <f>HEX2DEC(MID(AS683,3,LEN(AS683)-2))</f>
        <v>8</v>
      </c>
      <c r="AW683" t="str">
        <f>IF(AT683&lt;&gt;AT682,AT683,"")</f>
        <v>psp_mstiq.o</v>
      </c>
      <c r="AX683">
        <f>SUMIF(AT683:$AT$684,AW683,AV683:$AV$684)</f>
        <v>8</v>
      </c>
    </row>
    <row r="684" spans="11:50" x14ac:dyDescent="0.25">
      <c r="K684" s="4" t="s">
        <v>421</v>
      </c>
      <c r="L684" t="s">
        <v>422</v>
      </c>
      <c r="M684" t="s">
        <v>3418</v>
      </c>
      <c r="N684" t="s">
        <v>46</v>
      </c>
      <c r="O684" t="s">
        <v>131</v>
      </c>
      <c r="P684" t="str">
        <f t="shared" si="200"/>
        <v>[1]</v>
      </c>
      <c r="Q684">
        <f t="shared" si="201"/>
        <v>2</v>
      </c>
      <c r="R684" t="str">
        <f t="shared" si="219"/>
        <v/>
      </c>
      <c r="S684">
        <f>SUMIF(O684:$O$2855,R684,Q684:$Q$2855)</f>
        <v>0</v>
      </c>
      <c r="AP684" s="4" t="s">
        <v>472</v>
      </c>
      <c r="AQ684" t="s">
        <v>479</v>
      </c>
      <c r="AR684" t="s">
        <v>443</v>
      </c>
      <c r="AS684" t="s">
        <v>443</v>
      </c>
      <c r="AT684" t="s">
        <v>612</v>
      </c>
      <c r="AU684" t="str">
        <f>VLOOKUP($AP$682,$E$1:$F$26,2,FALSE)</f>
        <v>[7]</v>
      </c>
      <c r="AV684">
        <f>HEX2DEC(MID(AS684,3,LEN(AS684)-2))</f>
        <v>0</v>
      </c>
      <c r="AW684" t="str">
        <f>IF(AT684&lt;&gt;AT683,AT684,"")</f>
        <v>placeholder</v>
      </c>
      <c r="AX684">
        <f>SUMIF(AT684:$AT$684,AW684,AV684:$AV$684)</f>
        <v>0</v>
      </c>
    </row>
    <row r="685" spans="11:50" x14ac:dyDescent="0.25">
      <c r="K685" s="4" t="s">
        <v>421</v>
      </c>
      <c r="L685" t="s">
        <v>422</v>
      </c>
      <c r="M685" t="s">
        <v>1896</v>
      </c>
      <c r="N685" t="s">
        <v>165</v>
      </c>
      <c r="O685" t="s">
        <v>82</v>
      </c>
      <c r="P685" t="str">
        <f t="shared" si="200"/>
        <v>[1]</v>
      </c>
      <c r="Q685">
        <f t="shared" si="201"/>
        <v>20</v>
      </c>
      <c r="R685" t="str">
        <f t="shared" si="219"/>
        <v>DBG_SerialDebug.o</v>
      </c>
      <c r="S685">
        <f>SUMIF(O685:$O$2855,R685,Q685:$Q$2855)</f>
        <v>152</v>
      </c>
      <c r="AV685">
        <f>SUM(AV683:AV684)</f>
        <v>8</v>
      </c>
      <c r="AW685" t="s">
        <v>738</v>
      </c>
      <c r="AX685">
        <f>SUM(AX683:AX684)</f>
        <v>8</v>
      </c>
    </row>
    <row r="686" spans="11:50" x14ac:dyDescent="0.25">
      <c r="K686" s="4" t="s">
        <v>421</v>
      </c>
      <c r="L686" t="s">
        <v>422</v>
      </c>
      <c r="M686" t="s">
        <v>3419</v>
      </c>
      <c r="N686" t="s">
        <v>13</v>
      </c>
      <c r="O686" t="s">
        <v>82</v>
      </c>
      <c r="P686" t="str">
        <f t="shared" si="200"/>
        <v>[1]</v>
      </c>
      <c r="Q686">
        <f t="shared" si="201"/>
        <v>12</v>
      </c>
      <c r="R686" t="str">
        <f t="shared" si="219"/>
        <v/>
      </c>
      <c r="S686">
        <f>SUMIF(O686:$O$2855,R686,Q686:$Q$2855)</f>
        <v>0</v>
      </c>
    </row>
    <row r="687" spans="11:50" x14ac:dyDescent="0.25">
      <c r="K687" s="4" t="s">
        <v>421</v>
      </c>
      <c r="L687" t="s">
        <v>422</v>
      </c>
      <c r="M687" t="s">
        <v>3420</v>
      </c>
      <c r="N687" t="s">
        <v>44</v>
      </c>
      <c r="O687" t="s">
        <v>82</v>
      </c>
      <c r="P687" t="str">
        <f t="shared" si="200"/>
        <v>[1]</v>
      </c>
      <c r="Q687">
        <f t="shared" si="201"/>
        <v>44</v>
      </c>
      <c r="R687" t="str">
        <f t="shared" si="219"/>
        <v/>
      </c>
      <c r="S687">
        <f>SUMIF(O687:$O$2855,R687,Q687:$Q$2855)</f>
        <v>0</v>
      </c>
    </row>
    <row r="688" spans="11:50" x14ac:dyDescent="0.25">
      <c r="K688" s="4" t="s">
        <v>421</v>
      </c>
      <c r="L688" t="s">
        <v>422</v>
      </c>
      <c r="M688" t="s">
        <v>3421</v>
      </c>
      <c r="N688" t="s">
        <v>13</v>
      </c>
      <c r="O688" t="s">
        <v>82</v>
      </c>
      <c r="P688" t="str">
        <f t="shared" si="200"/>
        <v>[1]</v>
      </c>
      <c r="Q688">
        <f t="shared" si="201"/>
        <v>12</v>
      </c>
      <c r="R688" t="str">
        <f t="shared" si="219"/>
        <v/>
      </c>
      <c r="S688">
        <f>SUMIF(O688:$O$2855,R688,Q688:$Q$2855)</f>
        <v>0</v>
      </c>
      <c r="AP688" s="47" t="s">
        <v>756</v>
      </c>
      <c r="AQ688" s="47"/>
      <c r="AR688" s="47"/>
      <c r="AS688" s="47"/>
      <c r="AT688" s="47"/>
      <c r="AU688" s="47"/>
      <c r="AV688" s="47"/>
      <c r="AW688" s="47"/>
      <c r="AX688" s="47"/>
    </row>
    <row r="689" spans="11:50" x14ac:dyDescent="0.25">
      <c r="K689" s="4" t="s">
        <v>421</v>
      </c>
      <c r="L689" t="s">
        <v>422</v>
      </c>
      <c r="M689" t="s">
        <v>3422</v>
      </c>
      <c r="N689" t="s">
        <v>126</v>
      </c>
      <c r="O689" t="s">
        <v>82</v>
      </c>
      <c r="P689" t="str">
        <f t="shared" si="200"/>
        <v>[1]</v>
      </c>
      <c r="Q689">
        <f t="shared" si="201"/>
        <v>8</v>
      </c>
      <c r="R689" t="str">
        <f t="shared" si="219"/>
        <v/>
      </c>
      <c r="S689">
        <f>SUMIF(O689:$O$2855,R689,Q689:$Q$2855)</f>
        <v>0</v>
      </c>
      <c r="AP689" t="s">
        <v>472</v>
      </c>
      <c r="AQ689" t="s">
        <v>479</v>
      </c>
      <c r="AR689" s="6" t="s">
        <v>477</v>
      </c>
      <c r="AS689" s="6" t="s">
        <v>126</v>
      </c>
      <c r="AT689" s="6" t="s">
        <v>28</v>
      </c>
      <c r="AU689" t="str">
        <f>VLOOKUP($AP$688,$E$1:$F$26,2,FALSE)</f>
        <v>[8]</v>
      </c>
      <c r="AV689">
        <f>HEX2DEC(MID(AS689,3,LEN(AS689)-2))</f>
        <v>8</v>
      </c>
      <c r="AW689" t="str">
        <f>IF(AT689&lt;&gt;AT688,AT689,"")</f>
        <v>klog.o</v>
      </c>
      <c r="AX689">
        <f>SUMIF(AT689:$AT$690,AW689,AV689:$AV$690)</f>
        <v>8</v>
      </c>
    </row>
    <row r="690" spans="11:50" x14ac:dyDescent="0.25">
      <c r="K690" s="4" t="s">
        <v>421</v>
      </c>
      <c r="L690" t="s">
        <v>422</v>
      </c>
      <c r="M690" t="s">
        <v>3423</v>
      </c>
      <c r="N690" t="s">
        <v>126</v>
      </c>
      <c r="O690" t="s">
        <v>82</v>
      </c>
      <c r="P690" t="str">
        <f t="shared" si="200"/>
        <v>[1]</v>
      </c>
      <c r="Q690">
        <f t="shared" si="201"/>
        <v>8</v>
      </c>
      <c r="R690" t="str">
        <f t="shared" si="219"/>
        <v/>
      </c>
      <c r="S690">
        <f>SUMIF(O690:$O$2855,R690,Q690:$Q$2855)</f>
        <v>0</v>
      </c>
      <c r="AP690" t="s">
        <v>472</v>
      </c>
      <c r="AQ690" t="s">
        <v>479</v>
      </c>
      <c r="AR690" t="s">
        <v>478</v>
      </c>
      <c r="AS690" t="s">
        <v>126</v>
      </c>
      <c r="AT690" t="s">
        <v>142</v>
      </c>
      <c r="AU690" t="str">
        <f>VLOOKUP($AP$688,$E$1:$F$26,2,FALSE)</f>
        <v>[8]</v>
      </c>
      <c r="AV690">
        <f>HEX2DEC(MID(AS690,3,LEN(AS690)-2))</f>
        <v>8</v>
      </c>
      <c r="AW690" t="str">
        <f>IF(AT690&lt;&gt;AT689,AT690,"")</f>
        <v>psp_mstiq.o</v>
      </c>
      <c r="AX690">
        <f>SUMIF(AT690:$AT$690,AW690,AV690:$AV$690)</f>
        <v>8</v>
      </c>
    </row>
    <row r="691" spans="11:50" x14ac:dyDescent="0.25">
      <c r="K691" s="4" t="s">
        <v>421</v>
      </c>
      <c r="L691" t="s">
        <v>422</v>
      </c>
      <c r="M691" t="s">
        <v>3424</v>
      </c>
      <c r="N691" t="s">
        <v>165</v>
      </c>
      <c r="O691" t="s">
        <v>82</v>
      </c>
      <c r="P691" t="str">
        <f t="shared" si="200"/>
        <v>[1]</v>
      </c>
      <c r="Q691">
        <f t="shared" si="201"/>
        <v>20</v>
      </c>
      <c r="R691" t="str">
        <f t="shared" si="219"/>
        <v/>
      </c>
      <c r="S691">
        <f>SUMIF(O691:$O$2855,R691,Q691:$Q$2855)</f>
        <v>0</v>
      </c>
      <c r="AV691">
        <f>SUM(AV689:AV690)</f>
        <v>16</v>
      </c>
      <c r="AW691" t="s">
        <v>739</v>
      </c>
      <c r="AX691">
        <f>SUM(AX689:AX690)</f>
        <v>16</v>
      </c>
    </row>
    <row r="692" spans="11:50" x14ac:dyDescent="0.25">
      <c r="K692" s="4" t="s">
        <v>421</v>
      </c>
      <c r="L692" t="s">
        <v>422</v>
      </c>
      <c r="M692" t="s">
        <v>3425</v>
      </c>
      <c r="N692" t="s">
        <v>165</v>
      </c>
      <c r="O692" t="s">
        <v>82</v>
      </c>
      <c r="P692" t="str">
        <f t="shared" si="200"/>
        <v>[1]</v>
      </c>
      <c r="Q692">
        <f t="shared" si="201"/>
        <v>20</v>
      </c>
      <c r="R692" t="str">
        <f t="shared" si="219"/>
        <v/>
      </c>
      <c r="S692">
        <f>SUMIF(O692:$O$2855,R692,Q692:$Q$2855)</f>
        <v>0</v>
      </c>
    </row>
    <row r="693" spans="11:50" x14ac:dyDescent="0.25">
      <c r="K693" s="4" t="s">
        <v>421</v>
      </c>
      <c r="L693" t="s">
        <v>422</v>
      </c>
      <c r="M693" t="s">
        <v>3426</v>
      </c>
      <c r="N693" t="s">
        <v>126</v>
      </c>
      <c r="O693" t="s">
        <v>82</v>
      </c>
      <c r="P693" t="str">
        <f t="shared" si="200"/>
        <v>[1]</v>
      </c>
      <c r="Q693">
        <f t="shared" si="201"/>
        <v>8</v>
      </c>
      <c r="R693" t="str">
        <f t="shared" si="219"/>
        <v/>
      </c>
      <c r="S693">
        <f>SUMIF(O693:$O$2855,R693,Q693:$Q$2855)</f>
        <v>0</v>
      </c>
    </row>
    <row r="694" spans="11:50" x14ac:dyDescent="0.25">
      <c r="K694" s="4" t="s">
        <v>421</v>
      </c>
      <c r="L694" t="s">
        <v>422</v>
      </c>
      <c r="M694" t="s">
        <v>2095</v>
      </c>
      <c r="N694" t="s">
        <v>13</v>
      </c>
      <c r="O694" t="s">
        <v>228</v>
      </c>
      <c r="P694" t="str">
        <f t="shared" si="200"/>
        <v>[1]</v>
      </c>
      <c r="Q694">
        <f t="shared" si="201"/>
        <v>12</v>
      </c>
      <c r="R694" t="str">
        <f t="shared" si="219"/>
        <v>dfw_app.o</v>
      </c>
      <c r="S694">
        <f>SUMIF(O694:$O$2855,R694,Q694:$Q$2855)</f>
        <v>1296</v>
      </c>
      <c r="AP694" s="47" t="s">
        <v>759</v>
      </c>
      <c r="AQ694" s="47"/>
      <c r="AR694" s="47"/>
      <c r="AS694" s="47"/>
      <c r="AT694" s="47"/>
      <c r="AU694" s="47"/>
      <c r="AV694" s="47"/>
      <c r="AW694" s="47"/>
      <c r="AX694" s="47"/>
    </row>
    <row r="695" spans="11:50" x14ac:dyDescent="0.25">
      <c r="K695" s="4" t="s">
        <v>421</v>
      </c>
      <c r="L695" t="s">
        <v>422</v>
      </c>
      <c r="M695" t="s">
        <v>2096</v>
      </c>
      <c r="N695" t="s">
        <v>165</v>
      </c>
      <c r="O695" t="s">
        <v>228</v>
      </c>
      <c r="P695" t="str">
        <f t="shared" si="200"/>
        <v>[1]</v>
      </c>
      <c r="Q695">
        <f t="shared" si="201"/>
        <v>20</v>
      </c>
      <c r="R695" t="str">
        <f t="shared" si="219"/>
        <v/>
      </c>
      <c r="S695">
        <f>SUMIF(O695:$O$2855,R695,Q695:$Q$2855)</f>
        <v>0</v>
      </c>
      <c r="AP695" t="s">
        <v>472</v>
      </c>
      <c r="AQ695" t="s">
        <v>479</v>
      </c>
      <c r="AR695" s="6" t="s">
        <v>611</v>
      </c>
      <c r="AS695" s="6" t="s">
        <v>443</v>
      </c>
      <c r="AT695" s="6" t="s">
        <v>612</v>
      </c>
      <c r="AU695" t="str">
        <f>VLOOKUP($AP$694,$E$1:$F$26,2,FALSE)</f>
        <v>[9]</v>
      </c>
      <c r="AV695">
        <f>HEX2DEC(MID(AS695,3,LEN(AS695)-2))</f>
        <v>0</v>
      </c>
      <c r="AW695" t="str">
        <f>IF(AT695&lt;&gt;AT694,AT695,"")</f>
        <v>placeholder</v>
      </c>
      <c r="AX695">
        <f>SUMIF(AT695:$AT$695,AW695,AV695:$AV$695)</f>
        <v>0</v>
      </c>
    </row>
    <row r="696" spans="11:50" x14ac:dyDescent="0.25">
      <c r="K696" s="4" t="s">
        <v>421</v>
      </c>
      <c r="L696" t="s">
        <v>422</v>
      </c>
      <c r="M696" t="s">
        <v>2097</v>
      </c>
      <c r="N696" t="s">
        <v>13</v>
      </c>
      <c r="O696" t="s">
        <v>228</v>
      </c>
      <c r="P696" t="str">
        <f t="shared" si="200"/>
        <v>[1]</v>
      </c>
      <c r="Q696">
        <f t="shared" si="201"/>
        <v>12</v>
      </c>
      <c r="R696" t="str">
        <f t="shared" si="219"/>
        <v/>
      </c>
      <c r="S696">
        <f>SUMIF(O696:$O$2855,R696,Q696:$Q$2855)</f>
        <v>0</v>
      </c>
      <c r="AV696">
        <f>SUM(AV695)</f>
        <v>0</v>
      </c>
      <c r="AW696" t="s">
        <v>740</v>
      </c>
      <c r="AX696">
        <f>SUM(AX695)</f>
        <v>0</v>
      </c>
    </row>
    <row r="697" spans="11:50" x14ac:dyDescent="0.25">
      <c r="K697" s="4" t="s">
        <v>421</v>
      </c>
      <c r="L697" t="s">
        <v>422</v>
      </c>
      <c r="M697" t="s">
        <v>2098</v>
      </c>
      <c r="N697" t="s">
        <v>165</v>
      </c>
      <c r="O697" t="s">
        <v>228</v>
      </c>
      <c r="P697" t="str">
        <f t="shared" si="200"/>
        <v>[1]</v>
      </c>
      <c r="Q697">
        <f t="shared" si="201"/>
        <v>20</v>
      </c>
      <c r="R697" t="str">
        <f t="shared" si="219"/>
        <v/>
      </c>
      <c r="S697">
        <f>SUMIF(O697:$O$2855,R697,Q697:$Q$2855)</f>
        <v>0</v>
      </c>
    </row>
    <row r="698" spans="11:50" x14ac:dyDescent="0.25">
      <c r="K698" s="4" t="s">
        <v>421</v>
      </c>
      <c r="L698" t="s">
        <v>422</v>
      </c>
      <c r="M698" t="s">
        <v>1498</v>
      </c>
      <c r="N698" t="s">
        <v>165</v>
      </c>
      <c r="O698" t="s">
        <v>228</v>
      </c>
      <c r="P698" t="str">
        <f t="shared" si="200"/>
        <v>[1]</v>
      </c>
      <c r="Q698">
        <f t="shared" si="201"/>
        <v>20</v>
      </c>
      <c r="R698" t="str">
        <f t="shared" si="219"/>
        <v/>
      </c>
      <c r="S698">
        <f>SUMIF(O698:$O$2855,R698,Q698:$Q$2855)</f>
        <v>0</v>
      </c>
    </row>
    <row r="699" spans="11:50" x14ac:dyDescent="0.25">
      <c r="K699" s="4" t="s">
        <v>421</v>
      </c>
      <c r="L699" t="s">
        <v>422</v>
      </c>
      <c r="M699" t="s">
        <v>1499</v>
      </c>
      <c r="N699" t="s">
        <v>202</v>
      </c>
      <c r="O699" t="s">
        <v>228</v>
      </c>
      <c r="P699" t="str">
        <f t="shared" si="200"/>
        <v>[1]</v>
      </c>
      <c r="Q699">
        <f t="shared" si="201"/>
        <v>16</v>
      </c>
      <c r="R699" t="str">
        <f t="shared" si="219"/>
        <v/>
      </c>
      <c r="S699">
        <f>SUMIF(O699:$O$2855,R699,Q699:$Q$2855)</f>
        <v>0</v>
      </c>
      <c r="AP699" s="47" t="s">
        <v>760</v>
      </c>
      <c r="AQ699" s="47"/>
      <c r="AR699" s="47"/>
      <c r="AS699" s="47"/>
      <c r="AT699" s="47"/>
      <c r="AU699" s="47"/>
      <c r="AV699" s="47"/>
      <c r="AW699" s="47"/>
      <c r="AX699" s="47"/>
    </row>
    <row r="700" spans="11:50" x14ac:dyDescent="0.25">
      <c r="K700" s="4" t="s">
        <v>421</v>
      </c>
      <c r="L700" t="s">
        <v>422</v>
      </c>
      <c r="M700" t="s">
        <v>2099</v>
      </c>
      <c r="N700" t="s">
        <v>165</v>
      </c>
      <c r="O700" t="s">
        <v>228</v>
      </c>
      <c r="P700" t="str">
        <f t="shared" si="200"/>
        <v>[1]</v>
      </c>
      <c r="Q700">
        <f t="shared" si="201"/>
        <v>20</v>
      </c>
      <c r="R700" t="str">
        <f t="shared" si="219"/>
        <v/>
      </c>
      <c r="S700">
        <f>SUMIF(O700:$O$2855,R700,Q700:$Q$2855)</f>
        <v>0</v>
      </c>
      <c r="AP700" s="4" t="s">
        <v>472</v>
      </c>
      <c r="AQ700" t="s">
        <v>479</v>
      </c>
      <c r="AR700" t="s">
        <v>1519</v>
      </c>
      <c r="AS700" t="s">
        <v>119</v>
      </c>
      <c r="AT700" t="s">
        <v>317</v>
      </c>
      <c r="AU700" t="str">
        <f t="shared" ref="AU700:AU708" si="220">VLOOKUP($AP$699,$E$1:$F$26,2,FALSE)</f>
        <v>[10]</v>
      </c>
      <c r="AV700">
        <f t="shared" ref="AV700:AV708" si="221">HEX2DEC(MID(AS700,3,LEN(AS700)-2))</f>
        <v>32</v>
      </c>
      <c r="AW700" t="str">
        <f t="shared" ref="AW700:AW708" si="222">IF(AT700&lt;&gt;AT699,AT700,"")</f>
        <v>aes.o</v>
      </c>
      <c r="AX700">
        <f>SUMIF(AT700:$AT$708,AW700,AV700:$AV$708)</f>
        <v>32</v>
      </c>
    </row>
    <row r="701" spans="11:50" x14ac:dyDescent="0.25">
      <c r="K701" s="4" t="s">
        <v>421</v>
      </c>
      <c r="L701" t="s">
        <v>422</v>
      </c>
      <c r="M701" t="s">
        <v>2100</v>
      </c>
      <c r="N701" t="s">
        <v>165</v>
      </c>
      <c r="O701" t="s">
        <v>228</v>
      </c>
      <c r="P701" t="str">
        <f t="shared" si="200"/>
        <v>[1]</v>
      </c>
      <c r="Q701">
        <f t="shared" si="201"/>
        <v>20</v>
      </c>
      <c r="R701" t="str">
        <f t="shared" si="219"/>
        <v/>
      </c>
      <c r="S701">
        <f>SUMIF(O701:$O$2855,R701,Q701:$Q$2855)</f>
        <v>0</v>
      </c>
      <c r="AP701" s="4" t="s">
        <v>472</v>
      </c>
      <c r="AQ701" t="s">
        <v>479</v>
      </c>
      <c r="AR701" t="s">
        <v>1525</v>
      </c>
      <c r="AS701" t="s">
        <v>442</v>
      </c>
      <c r="AT701" t="s">
        <v>245</v>
      </c>
      <c r="AU701" t="str">
        <f t="shared" si="220"/>
        <v>[10]</v>
      </c>
      <c r="AV701">
        <f t="shared" si="221"/>
        <v>1</v>
      </c>
      <c r="AW701" t="str">
        <f t="shared" si="222"/>
        <v>asn.o</v>
      </c>
      <c r="AX701">
        <f>SUMIF(AT701:$AT$708,AW701,AV701:$AV$708)</f>
        <v>1</v>
      </c>
    </row>
    <row r="702" spans="11:50" x14ac:dyDescent="0.25">
      <c r="K702" s="4" t="s">
        <v>421</v>
      </c>
      <c r="L702" t="s">
        <v>422</v>
      </c>
      <c r="M702" t="s">
        <v>2101</v>
      </c>
      <c r="N702" t="s">
        <v>13</v>
      </c>
      <c r="O702" t="s">
        <v>228</v>
      </c>
      <c r="P702" t="str">
        <f t="shared" si="200"/>
        <v>[1]</v>
      </c>
      <c r="Q702">
        <f t="shared" si="201"/>
        <v>12</v>
      </c>
      <c r="R702" t="str">
        <f t="shared" si="219"/>
        <v/>
      </c>
      <c r="S702">
        <f>SUMIF(O702:$O$2855,R702,Q702:$Q$2855)</f>
        <v>0</v>
      </c>
      <c r="AP702" s="4" t="s">
        <v>472</v>
      </c>
      <c r="AQ702" t="s">
        <v>479</v>
      </c>
      <c r="AR702" t="s">
        <v>1522</v>
      </c>
      <c r="AS702" t="s">
        <v>78</v>
      </c>
      <c r="AT702" t="s">
        <v>330</v>
      </c>
      <c r="AU702" t="str">
        <f t="shared" si="220"/>
        <v>[10]</v>
      </c>
      <c r="AV702">
        <f t="shared" si="221"/>
        <v>4</v>
      </c>
      <c r="AW702" t="str">
        <f t="shared" si="222"/>
        <v>logging.o</v>
      </c>
      <c r="AX702">
        <f>SUMIF(AT702:$AT$708,AW702,AV702:$AV$708)</f>
        <v>8</v>
      </c>
    </row>
    <row r="703" spans="11:50" x14ac:dyDescent="0.25">
      <c r="K703" s="4" t="s">
        <v>421</v>
      </c>
      <c r="L703" t="s">
        <v>422</v>
      </c>
      <c r="M703" t="s">
        <v>2102</v>
      </c>
      <c r="N703" t="s">
        <v>202</v>
      </c>
      <c r="O703" t="s">
        <v>228</v>
      </c>
      <c r="P703" t="str">
        <f t="shared" si="200"/>
        <v>[1]</v>
      </c>
      <c r="Q703">
        <f t="shared" si="201"/>
        <v>16</v>
      </c>
      <c r="R703" t="str">
        <f t="shared" si="219"/>
        <v/>
      </c>
      <c r="S703">
        <f>SUMIF(O703:$O$2855,R703,Q703:$Q$2855)</f>
        <v>0</v>
      </c>
      <c r="AP703" s="4" t="s">
        <v>472</v>
      </c>
      <c r="AQ703" t="s">
        <v>479</v>
      </c>
      <c r="AR703" t="s">
        <v>1523</v>
      </c>
      <c r="AS703" t="s">
        <v>78</v>
      </c>
      <c r="AT703" t="s">
        <v>330</v>
      </c>
      <c r="AU703" t="str">
        <f t="shared" si="220"/>
        <v>[10]</v>
      </c>
      <c r="AV703">
        <f t="shared" si="221"/>
        <v>4</v>
      </c>
      <c r="AW703" t="str">
        <f t="shared" si="222"/>
        <v/>
      </c>
      <c r="AX703">
        <f>SUMIF(AT703:$AT$708,AW703,AV703:$AV$708)</f>
        <v>0</v>
      </c>
    </row>
    <row r="704" spans="11:50" x14ac:dyDescent="0.25">
      <c r="K704" s="4" t="s">
        <v>421</v>
      </c>
      <c r="L704" t="s">
        <v>422</v>
      </c>
      <c r="M704" t="s">
        <v>2103</v>
      </c>
      <c r="N704" t="s">
        <v>437</v>
      </c>
      <c r="O704" t="s">
        <v>228</v>
      </c>
      <c r="P704" t="str">
        <f t="shared" si="200"/>
        <v>[1]</v>
      </c>
      <c r="Q704">
        <f t="shared" si="201"/>
        <v>24</v>
      </c>
      <c r="R704" t="str">
        <f t="shared" si="219"/>
        <v/>
      </c>
      <c r="S704">
        <f>SUMIF(O704:$O$2855,R704,Q704:$Q$2855)</f>
        <v>0</v>
      </c>
      <c r="AP704" s="4" t="s">
        <v>472</v>
      </c>
      <c r="AQ704" t="s">
        <v>479</v>
      </c>
      <c r="AR704" t="s">
        <v>1521</v>
      </c>
      <c r="AS704" t="s">
        <v>13</v>
      </c>
      <c r="AT704" t="s">
        <v>240</v>
      </c>
      <c r="AU704" t="str">
        <f t="shared" si="220"/>
        <v>[10]</v>
      </c>
      <c r="AV704">
        <f t="shared" si="221"/>
        <v>12</v>
      </c>
      <c r="AW704" t="str">
        <f t="shared" si="222"/>
        <v>memory.o</v>
      </c>
      <c r="AX704">
        <f>SUMIF(AT704:$AT$708,AW704,AV704:$AV$708)</f>
        <v>12</v>
      </c>
    </row>
    <row r="705" spans="11:50" x14ac:dyDescent="0.25">
      <c r="K705" s="4" t="s">
        <v>421</v>
      </c>
      <c r="L705" t="s">
        <v>422</v>
      </c>
      <c r="M705" t="s">
        <v>2104</v>
      </c>
      <c r="N705" t="s">
        <v>6</v>
      </c>
      <c r="O705" t="s">
        <v>228</v>
      </c>
      <c r="P705" t="str">
        <f t="shared" si="200"/>
        <v>[1]</v>
      </c>
      <c r="Q705">
        <f t="shared" si="201"/>
        <v>28</v>
      </c>
      <c r="R705" t="str">
        <f t="shared" si="219"/>
        <v/>
      </c>
      <c r="S705">
        <f>SUMIF(O705:$O$2855,R705,Q705:$Q$2855)</f>
        <v>0</v>
      </c>
      <c r="AP705" s="4" t="s">
        <v>472</v>
      </c>
      <c r="AQ705" t="s">
        <v>479</v>
      </c>
      <c r="AR705" t="s">
        <v>1247</v>
      </c>
      <c r="AS705" t="s">
        <v>78</v>
      </c>
      <c r="AT705" t="s">
        <v>242</v>
      </c>
      <c r="AU705" t="str">
        <f t="shared" si="220"/>
        <v>[10]</v>
      </c>
      <c r="AV705">
        <f t="shared" si="221"/>
        <v>4</v>
      </c>
      <c r="AW705" t="str">
        <f t="shared" si="222"/>
        <v>ssl.o</v>
      </c>
      <c r="AX705">
        <f>SUMIF(AT705:$AT$708,AW705,AV705:$AV$708)</f>
        <v>780</v>
      </c>
    </row>
    <row r="706" spans="11:50" x14ac:dyDescent="0.25">
      <c r="K706" s="4" t="s">
        <v>421</v>
      </c>
      <c r="L706" t="s">
        <v>422</v>
      </c>
      <c r="M706" t="s">
        <v>2105</v>
      </c>
      <c r="N706" t="s">
        <v>202</v>
      </c>
      <c r="O706" t="s">
        <v>228</v>
      </c>
      <c r="P706" t="str">
        <f t="shared" ref="P706:P769" si="223">VLOOKUP($K$30,$E$1:$F$26,2,FALSE)</f>
        <v>[1]</v>
      </c>
      <c r="Q706">
        <f t="shared" si="201"/>
        <v>16</v>
      </c>
      <c r="R706" t="str">
        <f t="shared" si="219"/>
        <v/>
      </c>
      <c r="S706">
        <f>SUMIF(O706:$O$2855,R706,Q706:$Q$2855)</f>
        <v>0</v>
      </c>
      <c r="AP706" s="4" t="s">
        <v>472</v>
      </c>
      <c r="AQ706" t="s">
        <v>479</v>
      </c>
      <c r="AR706" t="s">
        <v>1520</v>
      </c>
      <c r="AS706" t="s">
        <v>1273</v>
      </c>
      <c r="AT706" t="s">
        <v>242</v>
      </c>
      <c r="AU706" t="str">
        <f t="shared" si="220"/>
        <v>[10]</v>
      </c>
      <c r="AV706">
        <f t="shared" si="221"/>
        <v>776</v>
      </c>
      <c r="AW706" t="str">
        <f t="shared" si="222"/>
        <v/>
      </c>
      <c r="AX706">
        <f>SUMIF(AT706:$AT$708,AW706,AV706:$AV$708)</f>
        <v>0</v>
      </c>
    </row>
    <row r="707" spans="11:50" x14ac:dyDescent="0.25">
      <c r="K707" s="4" t="s">
        <v>421</v>
      </c>
      <c r="L707" t="s">
        <v>422</v>
      </c>
      <c r="M707" t="s">
        <v>2106</v>
      </c>
      <c r="N707" t="s">
        <v>65</v>
      </c>
      <c r="O707" t="s">
        <v>228</v>
      </c>
      <c r="P707" t="str">
        <f t="shared" si="223"/>
        <v>[1]</v>
      </c>
      <c r="Q707">
        <f t="shared" ref="Q707:Q770" si="224">HEX2DEC(MID(N707,3,LEN(N707)-2))</f>
        <v>40</v>
      </c>
      <c r="R707" t="str">
        <f t="shared" si="219"/>
        <v/>
      </c>
      <c r="S707">
        <f>SUMIF(O707:$O$2855,R707,Q707:$Q$2855)</f>
        <v>0</v>
      </c>
      <c r="AP707" s="4" t="s">
        <v>472</v>
      </c>
      <c r="AQ707" t="s">
        <v>479</v>
      </c>
      <c r="AR707" t="s">
        <v>1524</v>
      </c>
      <c r="AS707" t="s">
        <v>78</v>
      </c>
      <c r="AT707" t="s">
        <v>331</v>
      </c>
      <c r="AU707" t="str">
        <f t="shared" si="220"/>
        <v>[10]</v>
      </c>
      <c r="AV707">
        <f t="shared" si="221"/>
        <v>4</v>
      </c>
      <c r="AW707" t="str">
        <f t="shared" si="222"/>
        <v>wc_port.o</v>
      </c>
      <c r="AX707">
        <f>SUMIF(AT707:$AT$708,AW707,AV707:$AV$708)</f>
        <v>4</v>
      </c>
    </row>
    <row r="708" spans="11:50" x14ac:dyDescent="0.25">
      <c r="K708" s="4" t="s">
        <v>421</v>
      </c>
      <c r="L708" t="s">
        <v>422</v>
      </c>
      <c r="M708" t="s">
        <v>2107</v>
      </c>
      <c r="N708" t="s">
        <v>165</v>
      </c>
      <c r="O708" t="s">
        <v>228</v>
      </c>
      <c r="P708" t="str">
        <f t="shared" si="223"/>
        <v>[1]</v>
      </c>
      <c r="Q708">
        <f t="shared" si="224"/>
        <v>20</v>
      </c>
      <c r="R708" t="str">
        <f t="shared" si="219"/>
        <v/>
      </c>
      <c r="S708">
        <f>SUMIF(O708:$O$2855,R708,Q708:$Q$2855)</f>
        <v>0</v>
      </c>
      <c r="AP708" s="4" t="s">
        <v>472</v>
      </c>
      <c r="AQ708" t="s">
        <v>479</v>
      </c>
      <c r="AR708" t="s">
        <v>443</v>
      </c>
      <c r="AS708" t="s">
        <v>443</v>
      </c>
      <c r="AT708" t="s">
        <v>612</v>
      </c>
      <c r="AU708" t="str">
        <f t="shared" si="220"/>
        <v>[10]</v>
      </c>
      <c r="AV708">
        <f t="shared" si="221"/>
        <v>0</v>
      </c>
      <c r="AW708" t="str">
        <f t="shared" si="222"/>
        <v>placeholder</v>
      </c>
      <c r="AX708">
        <f>SUMIF(AT708:$AT$708,AW708,AV708:$AV$708)</f>
        <v>0</v>
      </c>
    </row>
    <row r="709" spans="11:50" x14ac:dyDescent="0.25">
      <c r="K709" s="4" t="s">
        <v>421</v>
      </c>
      <c r="L709" t="s">
        <v>422</v>
      </c>
      <c r="M709" t="s">
        <v>2108</v>
      </c>
      <c r="N709" t="s">
        <v>437</v>
      </c>
      <c r="O709" t="s">
        <v>228</v>
      </c>
      <c r="P709" t="str">
        <f t="shared" si="223"/>
        <v>[1]</v>
      </c>
      <c r="Q709">
        <f t="shared" si="224"/>
        <v>24</v>
      </c>
      <c r="R709" t="str">
        <f t="shared" si="219"/>
        <v/>
      </c>
      <c r="S709">
        <f>SUMIF(O709:$O$2855,R709,Q709:$Q$2855)</f>
        <v>0</v>
      </c>
      <c r="AP709" t="s">
        <v>838</v>
      </c>
      <c r="AQ709" t="str">
        <f ca="1">CELL("address",AX709)</f>
        <v>$AX$709</v>
      </c>
      <c r="AV709">
        <f>SUM(AV700:AV708)</f>
        <v>837</v>
      </c>
      <c r="AW709" t="s">
        <v>786</v>
      </c>
      <c r="AX709">
        <f>SUM(AX700:AX708)</f>
        <v>837</v>
      </c>
    </row>
    <row r="710" spans="11:50" x14ac:dyDescent="0.25">
      <c r="K710" s="4" t="s">
        <v>421</v>
      </c>
      <c r="L710" t="s">
        <v>422</v>
      </c>
      <c r="M710" t="s">
        <v>2109</v>
      </c>
      <c r="N710" t="s">
        <v>202</v>
      </c>
      <c r="O710" t="s">
        <v>228</v>
      </c>
      <c r="P710" t="str">
        <f t="shared" si="223"/>
        <v>[1]</v>
      </c>
      <c r="Q710">
        <f t="shared" si="224"/>
        <v>16</v>
      </c>
      <c r="R710" t="str">
        <f t="shared" si="219"/>
        <v/>
      </c>
      <c r="S710">
        <f>SUMIF(O710:$O$2855,R710,Q710:$Q$2855)</f>
        <v>0</v>
      </c>
    </row>
    <row r="711" spans="11:50" x14ac:dyDescent="0.25">
      <c r="K711" s="4" t="s">
        <v>421</v>
      </c>
      <c r="L711" t="s">
        <v>422</v>
      </c>
      <c r="M711" t="s">
        <v>2110</v>
      </c>
      <c r="N711" t="s">
        <v>13</v>
      </c>
      <c r="O711" t="s">
        <v>228</v>
      </c>
      <c r="P711" t="str">
        <f t="shared" si="223"/>
        <v>[1]</v>
      </c>
      <c r="Q711">
        <f t="shared" si="224"/>
        <v>12</v>
      </c>
      <c r="R711" t="str">
        <f t="shared" si="219"/>
        <v/>
      </c>
      <c r="S711">
        <f>SUMIF(O711:$O$2855,R711,Q711:$Q$2855)</f>
        <v>0</v>
      </c>
    </row>
    <row r="712" spans="11:50" x14ac:dyDescent="0.25">
      <c r="K712" s="4" t="s">
        <v>421</v>
      </c>
      <c r="L712" t="s">
        <v>422</v>
      </c>
      <c r="M712" t="s">
        <v>2111</v>
      </c>
      <c r="N712" t="s">
        <v>119</v>
      </c>
      <c r="O712" t="s">
        <v>228</v>
      </c>
      <c r="P712" t="str">
        <f t="shared" si="223"/>
        <v>[1]</v>
      </c>
      <c r="Q712">
        <f t="shared" si="224"/>
        <v>32</v>
      </c>
      <c r="R712" t="str">
        <f t="shared" si="219"/>
        <v/>
      </c>
      <c r="S712">
        <f>SUMIF(O712:$O$2855,R712,Q712:$Q$2855)</f>
        <v>0</v>
      </c>
      <c r="AP712" t="s">
        <v>819</v>
      </c>
      <c r="AQ712" t="str">
        <f ca="1">CELL("address",AW714)</f>
        <v>$AW$714</v>
      </c>
    </row>
    <row r="713" spans="11:50" x14ac:dyDescent="0.25">
      <c r="K713" s="4" t="s">
        <v>421</v>
      </c>
      <c r="L713" t="s">
        <v>422</v>
      </c>
      <c r="M713" t="s">
        <v>2112</v>
      </c>
      <c r="N713" t="s">
        <v>65</v>
      </c>
      <c r="O713" t="s">
        <v>228</v>
      </c>
      <c r="P713" t="str">
        <f t="shared" si="223"/>
        <v>[1]</v>
      </c>
      <c r="Q713">
        <f t="shared" si="224"/>
        <v>40</v>
      </c>
      <c r="R713" t="str">
        <f t="shared" si="219"/>
        <v/>
      </c>
      <c r="S713">
        <f>SUMIF(O713:$O$2855,R713,Q713:$Q$2855)</f>
        <v>0</v>
      </c>
      <c r="AP713" s="47" t="s">
        <v>802</v>
      </c>
      <c r="AQ713" s="47"/>
      <c r="AR713" s="47"/>
      <c r="AS713" s="47"/>
      <c r="AT713" s="47"/>
      <c r="AU713" s="47"/>
      <c r="AV713" s="47"/>
      <c r="AW713" s="47"/>
      <c r="AX713" s="47"/>
    </row>
    <row r="714" spans="11:50" x14ac:dyDescent="0.25">
      <c r="K714" s="4" t="s">
        <v>421</v>
      </c>
      <c r="L714" t="s">
        <v>422</v>
      </c>
      <c r="M714" t="s">
        <v>2113</v>
      </c>
      <c r="N714" t="s">
        <v>65</v>
      </c>
      <c r="O714" t="s">
        <v>228</v>
      </c>
      <c r="P714" t="str">
        <f t="shared" si="223"/>
        <v>[1]</v>
      </c>
      <c r="Q714">
        <f t="shared" si="224"/>
        <v>40</v>
      </c>
      <c r="R714" t="str">
        <f t="shared" si="219"/>
        <v/>
      </c>
      <c r="S714">
        <f>SUMIF(O714:$O$2855,R714,Q714:$Q$2855)</f>
        <v>0</v>
      </c>
      <c r="AP714" t="s">
        <v>470</v>
      </c>
      <c r="AQ714" t="s">
        <v>476</v>
      </c>
      <c r="AR714" s="6" t="s">
        <v>611</v>
      </c>
      <c r="AS714" s="6" t="s">
        <v>443</v>
      </c>
      <c r="AT714" s="6" t="s">
        <v>612</v>
      </c>
      <c r="AU714" t="str">
        <f>VLOOKUP($AP$713,$E$1:$F$26,2,FALSE)</f>
        <v>[3]</v>
      </c>
      <c r="AV714">
        <f>HEX2DEC(MID(AS714,3,LEN(AS714)-2))</f>
        <v>0</v>
      </c>
      <c r="AW714" t="str">
        <f>IF(AT714&lt;&gt;AT713,AT714,"")</f>
        <v>placeholder</v>
      </c>
      <c r="AX714">
        <f>SUMIF(AT714:$AT$714,AW714,AV714:$AV$714)</f>
        <v>0</v>
      </c>
    </row>
    <row r="715" spans="11:50" x14ac:dyDescent="0.25">
      <c r="K715" s="4" t="s">
        <v>421</v>
      </c>
      <c r="L715" t="s">
        <v>422</v>
      </c>
      <c r="M715" t="s">
        <v>2114</v>
      </c>
      <c r="N715" t="s">
        <v>65</v>
      </c>
      <c r="O715" t="s">
        <v>228</v>
      </c>
      <c r="P715" t="str">
        <f t="shared" si="223"/>
        <v>[1]</v>
      </c>
      <c r="Q715">
        <f t="shared" si="224"/>
        <v>40</v>
      </c>
      <c r="R715" t="str">
        <f t="shared" si="219"/>
        <v/>
      </c>
      <c r="S715">
        <f>SUMIF(O715:$O$2855,R715,Q715:$Q$2855)</f>
        <v>0</v>
      </c>
      <c r="AP715" t="s">
        <v>820</v>
      </c>
      <c r="AQ715" t="str">
        <f ca="1">CELL("address",AX715)</f>
        <v>$AX$715</v>
      </c>
      <c r="AR715" s="6"/>
      <c r="AS715" s="6"/>
      <c r="AT715" s="6"/>
      <c r="AU715" s="6"/>
      <c r="AV715">
        <f>SUM(AV714:AV714)</f>
        <v>0</v>
      </c>
      <c r="AW715" t="s">
        <v>807</v>
      </c>
      <c r="AX715">
        <f>SUM(AX714:AX714)</f>
        <v>0</v>
      </c>
    </row>
    <row r="716" spans="11:50" x14ac:dyDescent="0.25">
      <c r="K716" s="4" t="s">
        <v>421</v>
      </c>
      <c r="L716" t="s">
        <v>422</v>
      </c>
      <c r="M716" t="s">
        <v>1280</v>
      </c>
      <c r="N716" t="s">
        <v>76</v>
      </c>
      <c r="O716" t="s">
        <v>228</v>
      </c>
      <c r="P716" t="str">
        <f t="shared" si="223"/>
        <v>[1]</v>
      </c>
      <c r="Q716">
        <f t="shared" si="224"/>
        <v>36</v>
      </c>
      <c r="R716" t="str">
        <f t="shared" si="219"/>
        <v/>
      </c>
      <c r="S716">
        <f>SUMIF(O716:$O$2855,R716,Q716:$Q$2855)</f>
        <v>0</v>
      </c>
    </row>
    <row r="717" spans="11:50" x14ac:dyDescent="0.25">
      <c r="K717" s="4" t="s">
        <v>421</v>
      </c>
      <c r="L717" t="s">
        <v>422</v>
      </c>
      <c r="M717" t="s">
        <v>2115</v>
      </c>
      <c r="N717" t="s">
        <v>437</v>
      </c>
      <c r="O717" t="s">
        <v>228</v>
      </c>
      <c r="P717" t="str">
        <f t="shared" si="223"/>
        <v>[1]</v>
      </c>
      <c r="Q717">
        <f t="shared" si="224"/>
        <v>24</v>
      </c>
      <c r="R717" t="str">
        <f t="shared" si="219"/>
        <v/>
      </c>
      <c r="S717">
        <f>SUMIF(O717:$O$2855,R717,Q717:$Q$2855)</f>
        <v>0</v>
      </c>
    </row>
    <row r="718" spans="11:50" x14ac:dyDescent="0.25">
      <c r="K718" s="4" t="s">
        <v>421</v>
      </c>
      <c r="L718" t="s">
        <v>422</v>
      </c>
      <c r="M718" t="s">
        <v>2116</v>
      </c>
      <c r="N718" t="s">
        <v>202</v>
      </c>
      <c r="O718" t="s">
        <v>228</v>
      </c>
      <c r="P718" t="str">
        <f t="shared" si="223"/>
        <v>[1]</v>
      </c>
      <c r="Q718">
        <f t="shared" si="224"/>
        <v>16</v>
      </c>
      <c r="R718" t="str">
        <f t="shared" si="219"/>
        <v/>
      </c>
      <c r="S718">
        <f>SUMIF(O718:$O$2855,R718,Q718:$Q$2855)</f>
        <v>0</v>
      </c>
    </row>
    <row r="719" spans="11:50" x14ac:dyDescent="0.25">
      <c r="K719" s="4" t="s">
        <v>421</v>
      </c>
      <c r="L719" t="s">
        <v>422</v>
      </c>
      <c r="M719" t="s">
        <v>2117</v>
      </c>
      <c r="N719" t="s">
        <v>6</v>
      </c>
      <c r="O719" t="s">
        <v>228</v>
      </c>
      <c r="P719" t="str">
        <f t="shared" si="223"/>
        <v>[1]</v>
      </c>
      <c r="Q719">
        <f t="shared" si="224"/>
        <v>28</v>
      </c>
      <c r="R719" t="str">
        <f t="shared" si="219"/>
        <v/>
      </c>
      <c r="S719">
        <f>SUMIF(O719:$O$2855,R719,Q719:$Q$2855)</f>
        <v>0</v>
      </c>
    </row>
    <row r="720" spans="11:50" x14ac:dyDescent="0.25">
      <c r="K720" s="4" t="s">
        <v>421</v>
      </c>
      <c r="L720" t="s">
        <v>422</v>
      </c>
      <c r="M720" t="s">
        <v>1500</v>
      </c>
      <c r="N720" t="s">
        <v>202</v>
      </c>
      <c r="O720" t="s">
        <v>228</v>
      </c>
      <c r="P720" t="str">
        <f t="shared" si="223"/>
        <v>[1]</v>
      </c>
      <c r="Q720">
        <f t="shared" si="224"/>
        <v>16</v>
      </c>
      <c r="R720" t="str">
        <f t="shared" si="219"/>
        <v/>
      </c>
      <c r="S720">
        <f>SUMIF(O720:$O$2855,R720,Q720:$Q$2855)</f>
        <v>0</v>
      </c>
    </row>
    <row r="721" spans="11:19" x14ac:dyDescent="0.25">
      <c r="K721" s="4" t="s">
        <v>421</v>
      </c>
      <c r="L721" t="s">
        <v>422</v>
      </c>
      <c r="M721" t="s">
        <v>2118</v>
      </c>
      <c r="N721" t="s">
        <v>165</v>
      </c>
      <c r="O721" t="s">
        <v>228</v>
      </c>
      <c r="P721" t="str">
        <f t="shared" si="223"/>
        <v>[1]</v>
      </c>
      <c r="Q721">
        <f t="shared" si="224"/>
        <v>20</v>
      </c>
      <c r="R721" t="str">
        <f t="shared" si="219"/>
        <v/>
      </c>
      <c r="S721">
        <f>SUMIF(O721:$O$2855,R721,Q721:$Q$2855)</f>
        <v>0</v>
      </c>
    </row>
    <row r="722" spans="11:19" x14ac:dyDescent="0.25">
      <c r="K722" s="4" t="s">
        <v>421</v>
      </c>
      <c r="L722" t="s">
        <v>422</v>
      </c>
      <c r="M722" t="s">
        <v>2119</v>
      </c>
      <c r="N722" t="s">
        <v>119</v>
      </c>
      <c r="O722" t="s">
        <v>228</v>
      </c>
      <c r="P722" t="str">
        <f t="shared" si="223"/>
        <v>[1]</v>
      </c>
      <c r="Q722">
        <f t="shared" si="224"/>
        <v>32</v>
      </c>
      <c r="R722" t="str">
        <f t="shared" si="219"/>
        <v/>
      </c>
      <c r="S722">
        <f>SUMIF(O722:$O$2855,R722,Q722:$Q$2855)</f>
        <v>0</v>
      </c>
    </row>
    <row r="723" spans="11:19" x14ac:dyDescent="0.25">
      <c r="K723" s="4" t="s">
        <v>421</v>
      </c>
      <c r="L723" t="s">
        <v>422</v>
      </c>
      <c r="M723" t="s">
        <v>2120</v>
      </c>
      <c r="N723" t="s">
        <v>165</v>
      </c>
      <c r="O723" t="s">
        <v>228</v>
      </c>
      <c r="P723" t="str">
        <f t="shared" si="223"/>
        <v>[1]</v>
      </c>
      <c r="Q723">
        <f t="shared" si="224"/>
        <v>20</v>
      </c>
      <c r="R723" t="str">
        <f t="shared" si="219"/>
        <v/>
      </c>
      <c r="S723">
        <f>SUMIF(O723:$O$2855,R723,Q723:$Q$2855)</f>
        <v>0</v>
      </c>
    </row>
    <row r="724" spans="11:19" x14ac:dyDescent="0.25">
      <c r="K724" s="4" t="s">
        <v>421</v>
      </c>
      <c r="L724" t="s">
        <v>422</v>
      </c>
      <c r="M724" t="s">
        <v>2121</v>
      </c>
      <c r="N724" t="s">
        <v>165</v>
      </c>
      <c r="O724" t="s">
        <v>228</v>
      </c>
      <c r="P724" t="str">
        <f t="shared" si="223"/>
        <v>[1]</v>
      </c>
      <c r="Q724">
        <f t="shared" si="224"/>
        <v>20</v>
      </c>
      <c r="R724" t="str">
        <f t="shared" si="219"/>
        <v/>
      </c>
      <c r="S724">
        <f>SUMIF(O724:$O$2855,R724,Q724:$Q$2855)</f>
        <v>0</v>
      </c>
    </row>
    <row r="725" spans="11:19" x14ac:dyDescent="0.25">
      <c r="K725" s="4" t="s">
        <v>421</v>
      </c>
      <c r="L725" t="s">
        <v>422</v>
      </c>
      <c r="M725" t="s">
        <v>2122</v>
      </c>
      <c r="N725" t="s">
        <v>165</v>
      </c>
      <c r="O725" t="s">
        <v>228</v>
      </c>
      <c r="P725" t="str">
        <f t="shared" si="223"/>
        <v>[1]</v>
      </c>
      <c r="Q725">
        <f t="shared" si="224"/>
        <v>20</v>
      </c>
      <c r="R725" t="str">
        <f t="shared" si="219"/>
        <v/>
      </c>
      <c r="S725">
        <f>SUMIF(O725:$O$2855,R725,Q725:$Q$2855)</f>
        <v>0</v>
      </c>
    </row>
    <row r="726" spans="11:19" x14ac:dyDescent="0.25">
      <c r="K726" s="4" t="s">
        <v>421</v>
      </c>
      <c r="L726" t="s">
        <v>422</v>
      </c>
      <c r="M726" t="s">
        <v>1281</v>
      </c>
      <c r="N726" t="s">
        <v>165</v>
      </c>
      <c r="O726" t="s">
        <v>228</v>
      </c>
      <c r="P726" t="str">
        <f t="shared" si="223"/>
        <v>[1]</v>
      </c>
      <c r="Q726">
        <f t="shared" si="224"/>
        <v>20</v>
      </c>
      <c r="R726" t="str">
        <f t="shared" si="219"/>
        <v/>
      </c>
      <c r="S726">
        <f>SUMIF(O726:$O$2855,R726,Q726:$Q$2855)</f>
        <v>0</v>
      </c>
    </row>
    <row r="727" spans="11:19" x14ac:dyDescent="0.25">
      <c r="K727" s="4" t="s">
        <v>421</v>
      </c>
      <c r="L727" t="s">
        <v>422</v>
      </c>
      <c r="M727" t="s">
        <v>2123</v>
      </c>
      <c r="N727" t="s">
        <v>202</v>
      </c>
      <c r="O727" t="s">
        <v>228</v>
      </c>
      <c r="P727" t="str">
        <f t="shared" si="223"/>
        <v>[1]</v>
      </c>
      <c r="Q727">
        <f t="shared" si="224"/>
        <v>16</v>
      </c>
      <c r="R727" t="str">
        <f t="shared" si="219"/>
        <v/>
      </c>
      <c r="S727">
        <f>SUMIF(O727:$O$2855,R727,Q727:$Q$2855)</f>
        <v>0</v>
      </c>
    </row>
    <row r="728" spans="11:19" x14ac:dyDescent="0.25">
      <c r="K728" s="4" t="s">
        <v>421</v>
      </c>
      <c r="L728" t="s">
        <v>422</v>
      </c>
      <c r="M728" t="s">
        <v>2124</v>
      </c>
      <c r="N728" t="s">
        <v>65</v>
      </c>
      <c r="O728" t="s">
        <v>228</v>
      </c>
      <c r="P728" t="str">
        <f t="shared" si="223"/>
        <v>[1]</v>
      </c>
      <c r="Q728">
        <f t="shared" si="224"/>
        <v>40</v>
      </c>
      <c r="R728" t="str">
        <f t="shared" si="219"/>
        <v/>
      </c>
      <c r="S728">
        <f>SUMIF(O728:$O$2855,R728,Q728:$Q$2855)</f>
        <v>0</v>
      </c>
    </row>
    <row r="729" spans="11:19" x14ac:dyDescent="0.25">
      <c r="K729" s="4" t="s">
        <v>421</v>
      </c>
      <c r="L729" t="s">
        <v>422</v>
      </c>
      <c r="M729" t="s">
        <v>2125</v>
      </c>
      <c r="N729" t="s">
        <v>65</v>
      </c>
      <c r="O729" t="s">
        <v>228</v>
      </c>
      <c r="P729" t="str">
        <f t="shared" si="223"/>
        <v>[1]</v>
      </c>
      <c r="Q729">
        <f t="shared" si="224"/>
        <v>40</v>
      </c>
      <c r="R729" t="str">
        <f t="shared" si="219"/>
        <v/>
      </c>
      <c r="S729">
        <f>SUMIF(O729:$O$2855,R729,Q729:$Q$2855)</f>
        <v>0</v>
      </c>
    </row>
    <row r="730" spans="11:19" x14ac:dyDescent="0.25">
      <c r="K730" s="4" t="s">
        <v>421</v>
      </c>
      <c r="L730" t="s">
        <v>422</v>
      </c>
      <c r="M730" t="s">
        <v>2126</v>
      </c>
      <c r="N730" t="s">
        <v>13</v>
      </c>
      <c r="O730" t="s">
        <v>228</v>
      </c>
      <c r="P730" t="str">
        <f t="shared" si="223"/>
        <v>[1]</v>
      </c>
      <c r="Q730">
        <f t="shared" si="224"/>
        <v>12</v>
      </c>
      <c r="R730" t="str">
        <f t="shared" si="219"/>
        <v/>
      </c>
      <c r="S730">
        <f>SUMIF(O730:$O$2855,R730,Q730:$Q$2855)</f>
        <v>0</v>
      </c>
    </row>
    <row r="731" spans="11:19" x14ac:dyDescent="0.25">
      <c r="K731" s="4" t="s">
        <v>421</v>
      </c>
      <c r="L731" t="s">
        <v>422</v>
      </c>
      <c r="M731" t="s">
        <v>2127</v>
      </c>
      <c r="N731" t="s">
        <v>190</v>
      </c>
      <c r="O731" t="s">
        <v>228</v>
      </c>
      <c r="P731" t="str">
        <f t="shared" si="223"/>
        <v>[1]</v>
      </c>
      <c r="Q731">
        <f t="shared" si="224"/>
        <v>56</v>
      </c>
      <c r="R731" t="str">
        <f t="shared" si="219"/>
        <v/>
      </c>
      <c r="S731">
        <f>SUMIF(O731:$O$2855,R731,Q731:$Q$2855)</f>
        <v>0</v>
      </c>
    </row>
    <row r="732" spans="11:19" x14ac:dyDescent="0.25">
      <c r="K732" s="4" t="s">
        <v>421</v>
      </c>
      <c r="L732" t="s">
        <v>422</v>
      </c>
      <c r="M732" t="s">
        <v>2128</v>
      </c>
      <c r="N732" t="s">
        <v>65</v>
      </c>
      <c r="O732" t="s">
        <v>228</v>
      </c>
      <c r="P732" t="str">
        <f t="shared" si="223"/>
        <v>[1]</v>
      </c>
      <c r="Q732">
        <f t="shared" si="224"/>
        <v>40</v>
      </c>
      <c r="R732" t="str">
        <f t="shared" si="219"/>
        <v/>
      </c>
      <c r="S732">
        <f>SUMIF(O732:$O$2855,R732,Q732:$Q$2855)</f>
        <v>0</v>
      </c>
    </row>
    <row r="733" spans="11:19" x14ac:dyDescent="0.25">
      <c r="K733" s="4" t="s">
        <v>421</v>
      </c>
      <c r="L733" t="s">
        <v>422</v>
      </c>
      <c r="M733" t="s">
        <v>2129</v>
      </c>
      <c r="N733" t="s">
        <v>65</v>
      </c>
      <c r="O733" t="s">
        <v>228</v>
      </c>
      <c r="P733" t="str">
        <f t="shared" si="223"/>
        <v>[1]</v>
      </c>
      <c r="Q733">
        <f t="shared" si="224"/>
        <v>40</v>
      </c>
      <c r="R733" t="str">
        <f t="shared" si="219"/>
        <v/>
      </c>
      <c r="S733">
        <f>SUMIF(O733:$O$2855,R733,Q733:$Q$2855)</f>
        <v>0</v>
      </c>
    </row>
    <row r="734" spans="11:19" x14ac:dyDescent="0.25">
      <c r="K734" s="4" t="s">
        <v>421</v>
      </c>
      <c r="L734" t="s">
        <v>422</v>
      </c>
      <c r="M734" t="s">
        <v>2130</v>
      </c>
      <c r="N734" t="s">
        <v>65</v>
      </c>
      <c r="O734" t="s">
        <v>228</v>
      </c>
      <c r="P734" t="str">
        <f t="shared" si="223"/>
        <v>[1]</v>
      </c>
      <c r="Q734">
        <f t="shared" si="224"/>
        <v>40</v>
      </c>
      <c r="R734" t="str">
        <f t="shared" si="219"/>
        <v/>
      </c>
      <c r="S734">
        <f>SUMIF(O734:$O$2855,R734,Q734:$Q$2855)</f>
        <v>0</v>
      </c>
    </row>
    <row r="735" spans="11:19" x14ac:dyDescent="0.25">
      <c r="K735" s="4" t="s">
        <v>421</v>
      </c>
      <c r="L735" t="s">
        <v>422</v>
      </c>
      <c r="M735" t="s">
        <v>2131</v>
      </c>
      <c r="N735" t="s">
        <v>6</v>
      </c>
      <c r="O735" t="s">
        <v>228</v>
      </c>
      <c r="P735" t="str">
        <f t="shared" si="223"/>
        <v>[1]</v>
      </c>
      <c r="Q735">
        <f t="shared" si="224"/>
        <v>28</v>
      </c>
      <c r="R735" t="str">
        <f t="shared" si="219"/>
        <v/>
      </c>
      <c r="S735">
        <f>SUMIF(O735:$O$2855,R735,Q735:$Q$2855)</f>
        <v>0</v>
      </c>
    </row>
    <row r="736" spans="11:19" x14ac:dyDescent="0.25">
      <c r="K736" s="4" t="s">
        <v>421</v>
      </c>
      <c r="L736" t="s">
        <v>422</v>
      </c>
      <c r="M736" t="s">
        <v>1501</v>
      </c>
      <c r="N736" t="s">
        <v>76</v>
      </c>
      <c r="O736" t="s">
        <v>228</v>
      </c>
      <c r="P736" t="str">
        <f t="shared" si="223"/>
        <v>[1]</v>
      </c>
      <c r="Q736">
        <f t="shared" si="224"/>
        <v>36</v>
      </c>
      <c r="R736" t="str">
        <f t="shared" ref="R736:R799" si="225">IF(O736&lt;&gt;O735,O736,"")</f>
        <v/>
      </c>
      <c r="S736">
        <f>SUMIF(O736:$O$2855,R736,Q736:$Q$2855)</f>
        <v>0</v>
      </c>
    </row>
    <row r="737" spans="11:19" x14ac:dyDescent="0.25">
      <c r="K737" s="4" t="s">
        <v>421</v>
      </c>
      <c r="L737" t="s">
        <v>422</v>
      </c>
      <c r="M737" t="s">
        <v>2132</v>
      </c>
      <c r="N737" t="s">
        <v>165</v>
      </c>
      <c r="O737" t="s">
        <v>228</v>
      </c>
      <c r="P737" t="str">
        <f t="shared" si="223"/>
        <v>[1]</v>
      </c>
      <c r="Q737">
        <f t="shared" si="224"/>
        <v>20</v>
      </c>
      <c r="R737" t="str">
        <f t="shared" si="225"/>
        <v/>
      </c>
      <c r="S737">
        <f>SUMIF(O737:$O$2855,R737,Q737:$Q$2855)</f>
        <v>0</v>
      </c>
    </row>
    <row r="738" spans="11:19" x14ac:dyDescent="0.25">
      <c r="K738" s="4" t="s">
        <v>421</v>
      </c>
      <c r="L738" t="s">
        <v>422</v>
      </c>
      <c r="M738" t="s">
        <v>2133</v>
      </c>
      <c r="N738" t="s">
        <v>119</v>
      </c>
      <c r="O738" t="s">
        <v>228</v>
      </c>
      <c r="P738" t="str">
        <f t="shared" si="223"/>
        <v>[1]</v>
      </c>
      <c r="Q738">
        <f t="shared" si="224"/>
        <v>32</v>
      </c>
      <c r="R738" t="str">
        <f t="shared" si="225"/>
        <v/>
      </c>
      <c r="S738">
        <f>SUMIF(O738:$O$2855,R738,Q738:$Q$2855)</f>
        <v>0</v>
      </c>
    </row>
    <row r="739" spans="11:19" x14ac:dyDescent="0.25">
      <c r="K739" s="4" t="s">
        <v>421</v>
      </c>
      <c r="L739" t="s">
        <v>422</v>
      </c>
      <c r="M739" t="s">
        <v>2134</v>
      </c>
      <c r="N739" t="s">
        <v>119</v>
      </c>
      <c r="O739" t="s">
        <v>228</v>
      </c>
      <c r="P739" t="str">
        <f t="shared" si="223"/>
        <v>[1]</v>
      </c>
      <c r="Q739">
        <f t="shared" si="224"/>
        <v>32</v>
      </c>
      <c r="R739" t="str">
        <f t="shared" si="225"/>
        <v/>
      </c>
      <c r="S739">
        <f>SUMIF(O739:$O$2855,R739,Q739:$Q$2855)</f>
        <v>0</v>
      </c>
    </row>
    <row r="740" spans="11:19" x14ac:dyDescent="0.25">
      <c r="K740" s="4" t="s">
        <v>421</v>
      </c>
      <c r="L740" t="s">
        <v>422</v>
      </c>
      <c r="M740" t="s">
        <v>2135</v>
      </c>
      <c r="N740" t="s">
        <v>165</v>
      </c>
      <c r="O740" t="s">
        <v>228</v>
      </c>
      <c r="P740" t="str">
        <f t="shared" si="223"/>
        <v>[1]</v>
      </c>
      <c r="Q740">
        <f t="shared" si="224"/>
        <v>20</v>
      </c>
      <c r="R740" t="str">
        <f t="shared" si="225"/>
        <v/>
      </c>
      <c r="S740">
        <f>SUMIF(O740:$O$2855,R740,Q740:$Q$2855)</f>
        <v>0</v>
      </c>
    </row>
    <row r="741" spans="11:19" x14ac:dyDescent="0.25">
      <c r="K741" s="4" t="s">
        <v>421</v>
      </c>
      <c r="L741" t="s">
        <v>422</v>
      </c>
      <c r="M741" t="s">
        <v>2136</v>
      </c>
      <c r="N741" t="s">
        <v>165</v>
      </c>
      <c r="O741" t="s">
        <v>228</v>
      </c>
      <c r="P741" t="str">
        <f t="shared" si="223"/>
        <v>[1]</v>
      </c>
      <c r="Q741">
        <f t="shared" si="224"/>
        <v>20</v>
      </c>
      <c r="R741" t="str">
        <f t="shared" si="225"/>
        <v/>
      </c>
      <c r="S741">
        <f>SUMIF(O741:$O$2855,R741,Q741:$Q$2855)</f>
        <v>0</v>
      </c>
    </row>
    <row r="742" spans="11:19" x14ac:dyDescent="0.25">
      <c r="K742" s="4" t="s">
        <v>421</v>
      </c>
      <c r="L742" t="s">
        <v>422</v>
      </c>
      <c r="M742" t="s">
        <v>1502</v>
      </c>
      <c r="N742" t="s">
        <v>76</v>
      </c>
      <c r="O742" t="s">
        <v>228</v>
      </c>
      <c r="P742" t="str">
        <f t="shared" si="223"/>
        <v>[1]</v>
      </c>
      <c r="Q742">
        <f t="shared" si="224"/>
        <v>36</v>
      </c>
      <c r="R742" t="str">
        <f t="shared" si="225"/>
        <v/>
      </c>
      <c r="S742">
        <f>SUMIF(O742:$O$2855,R742,Q742:$Q$2855)</f>
        <v>0</v>
      </c>
    </row>
    <row r="743" spans="11:19" x14ac:dyDescent="0.25">
      <c r="K743" s="4" t="s">
        <v>421</v>
      </c>
      <c r="L743" t="s">
        <v>422</v>
      </c>
      <c r="M743" t="s">
        <v>1503</v>
      </c>
      <c r="N743" t="s">
        <v>202</v>
      </c>
      <c r="O743" t="s">
        <v>228</v>
      </c>
      <c r="P743" t="str">
        <f t="shared" si="223"/>
        <v>[1]</v>
      </c>
      <c r="Q743">
        <f t="shared" si="224"/>
        <v>16</v>
      </c>
      <c r="R743" t="str">
        <f t="shared" si="225"/>
        <v/>
      </c>
      <c r="S743">
        <f>SUMIF(O743:$O$2855,R743,Q743:$Q$2855)</f>
        <v>0</v>
      </c>
    </row>
    <row r="744" spans="11:19" x14ac:dyDescent="0.25">
      <c r="K744" s="4" t="s">
        <v>421</v>
      </c>
      <c r="L744" t="s">
        <v>422</v>
      </c>
      <c r="M744" t="s">
        <v>1504</v>
      </c>
      <c r="N744" t="s">
        <v>126</v>
      </c>
      <c r="O744" t="s">
        <v>228</v>
      </c>
      <c r="P744" t="str">
        <f t="shared" si="223"/>
        <v>[1]</v>
      </c>
      <c r="Q744">
        <f t="shared" si="224"/>
        <v>8</v>
      </c>
      <c r="R744" t="str">
        <f t="shared" si="225"/>
        <v/>
      </c>
      <c r="S744">
        <f>SUMIF(O744:$O$2855,R744,Q744:$Q$2855)</f>
        <v>0</v>
      </c>
    </row>
    <row r="745" spans="11:19" x14ac:dyDescent="0.25">
      <c r="K745" s="4" t="s">
        <v>421</v>
      </c>
      <c r="L745" t="s">
        <v>422</v>
      </c>
      <c r="M745" t="s">
        <v>2137</v>
      </c>
      <c r="N745" t="s">
        <v>13</v>
      </c>
      <c r="O745" t="s">
        <v>228</v>
      </c>
      <c r="P745" t="str">
        <f t="shared" si="223"/>
        <v>[1]</v>
      </c>
      <c r="Q745">
        <f t="shared" si="224"/>
        <v>12</v>
      </c>
      <c r="R745" t="str">
        <f t="shared" si="225"/>
        <v/>
      </c>
      <c r="S745">
        <f>SUMIF(O745:$O$2855,R745,Q745:$Q$2855)</f>
        <v>0</v>
      </c>
    </row>
    <row r="746" spans="11:19" x14ac:dyDescent="0.25">
      <c r="K746" s="4" t="s">
        <v>421</v>
      </c>
      <c r="L746" t="s">
        <v>422</v>
      </c>
      <c r="M746" t="s">
        <v>2138</v>
      </c>
      <c r="N746" t="s">
        <v>202</v>
      </c>
      <c r="O746" t="s">
        <v>193</v>
      </c>
      <c r="P746" t="str">
        <f t="shared" si="223"/>
        <v>[1]</v>
      </c>
      <c r="Q746">
        <f t="shared" si="224"/>
        <v>16</v>
      </c>
      <c r="R746" t="str">
        <f t="shared" si="225"/>
        <v>dfw_interface.o</v>
      </c>
      <c r="S746">
        <f>SUMIF(O746:$O$2855,R746,Q746:$Q$2855)</f>
        <v>2100</v>
      </c>
    </row>
    <row r="747" spans="11:19" x14ac:dyDescent="0.25">
      <c r="K747" s="4" t="s">
        <v>421</v>
      </c>
      <c r="L747" t="s">
        <v>422</v>
      </c>
      <c r="M747" t="s">
        <v>2139</v>
      </c>
      <c r="N747" t="s">
        <v>6</v>
      </c>
      <c r="O747" t="s">
        <v>193</v>
      </c>
      <c r="P747" t="str">
        <f t="shared" si="223"/>
        <v>[1]</v>
      </c>
      <c r="Q747">
        <f t="shared" si="224"/>
        <v>28</v>
      </c>
      <c r="R747" t="str">
        <f t="shared" si="225"/>
        <v/>
      </c>
      <c r="S747">
        <f>SUMIF(O747:$O$2855,R747,Q747:$Q$2855)</f>
        <v>0</v>
      </c>
    </row>
    <row r="748" spans="11:19" x14ac:dyDescent="0.25">
      <c r="K748" s="4" t="s">
        <v>421</v>
      </c>
      <c r="L748" t="s">
        <v>422</v>
      </c>
      <c r="M748" t="s">
        <v>2140</v>
      </c>
      <c r="N748" t="s">
        <v>437</v>
      </c>
      <c r="O748" t="s">
        <v>193</v>
      </c>
      <c r="P748" t="str">
        <f t="shared" si="223"/>
        <v>[1]</v>
      </c>
      <c r="Q748">
        <f t="shared" si="224"/>
        <v>24</v>
      </c>
      <c r="R748" t="str">
        <f t="shared" si="225"/>
        <v/>
      </c>
      <c r="S748">
        <f>SUMIF(O748:$O$2855,R748,Q748:$Q$2855)</f>
        <v>0</v>
      </c>
    </row>
    <row r="749" spans="11:19" x14ac:dyDescent="0.25">
      <c r="K749" s="4" t="s">
        <v>421</v>
      </c>
      <c r="L749" t="s">
        <v>422</v>
      </c>
      <c r="M749" t="s">
        <v>2141</v>
      </c>
      <c r="N749" t="s">
        <v>437</v>
      </c>
      <c r="O749" t="s">
        <v>193</v>
      </c>
      <c r="P749" t="str">
        <f t="shared" si="223"/>
        <v>[1]</v>
      </c>
      <c r="Q749">
        <f t="shared" si="224"/>
        <v>24</v>
      </c>
      <c r="R749" t="str">
        <f t="shared" si="225"/>
        <v/>
      </c>
      <c r="S749">
        <f>SUMIF(O749:$O$2855,R749,Q749:$Q$2855)</f>
        <v>0</v>
      </c>
    </row>
    <row r="750" spans="11:19" x14ac:dyDescent="0.25">
      <c r="K750" s="4" t="s">
        <v>421</v>
      </c>
      <c r="L750" t="s">
        <v>422</v>
      </c>
      <c r="M750" t="s">
        <v>2142</v>
      </c>
      <c r="N750" t="s">
        <v>165</v>
      </c>
      <c r="O750" t="s">
        <v>193</v>
      </c>
      <c r="P750" t="str">
        <f t="shared" si="223"/>
        <v>[1]</v>
      </c>
      <c r="Q750">
        <f t="shared" si="224"/>
        <v>20</v>
      </c>
      <c r="R750" t="str">
        <f t="shared" si="225"/>
        <v/>
      </c>
      <c r="S750">
        <f>SUMIF(O750:$O$2855,R750,Q750:$Q$2855)</f>
        <v>0</v>
      </c>
    </row>
    <row r="751" spans="11:19" x14ac:dyDescent="0.25">
      <c r="K751" s="4" t="s">
        <v>421</v>
      </c>
      <c r="L751" t="s">
        <v>422</v>
      </c>
      <c r="M751" t="s">
        <v>2143</v>
      </c>
      <c r="N751" t="s">
        <v>126</v>
      </c>
      <c r="O751" t="s">
        <v>193</v>
      </c>
      <c r="P751" t="str">
        <f t="shared" si="223"/>
        <v>[1]</v>
      </c>
      <c r="Q751">
        <f t="shared" si="224"/>
        <v>8</v>
      </c>
      <c r="R751" t="str">
        <f t="shared" si="225"/>
        <v/>
      </c>
      <c r="S751">
        <f>SUMIF(O751:$O$2855,R751,Q751:$Q$2855)</f>
        <v>0</v>
      </c>
    </row>
    <row r="752" spans="11:19" x14ac:dyDescent="0.25">
      <c r="K752" s="4" t="s">
        <v>421</v>
      </c>
      <c r="L752" t="s">
        <v>422</v>
      </c>
      <c r="M752" t="s">
        <v>2144</v>
      </c>
      <c r="N752" t="s">
        <v>202</v>
      </c>
      <c r="O752" t="s">
        <v>193</v>
      </c>
      <c r="P752" t="str">
        <f t="shared" si="223"/>
        <v>[1]</v>
      </c>
      <c r="Q752">
        <f t="shared" si="224"/>
        <v>16</v>
      </c>
      <c r="R752" t="str">
        <f t="shared" si="225"/>
        <v/>
      </c>
      <c r="S752">
        <f>SUMIF(O752:$O$2855,R752,Q752:$Q$2855)</f>
        <v>0</v>
      </c>
    </row>
    <row r="753" spans="11:19" x14ac:dyDescent="0.25">
      <c r="K753" s="4" t="s">
        <v>421</v>
      </c>
      <c r="L753" t="s">
        <v>422</v>
      </c>
      <c r="M753" t="s">
        <v>2145</v>
      </c>
      <c r="N753" t="s">
        <v>202</v>
      </c>
      <c r="O753" t="s">
        <v>193</v>
      </c>
      <c r="P753" t="str">
        <f t="shared" si="223"/>
        <v>[1]</v>
      </c>
      <c r="Q753">
        <f t="shared" si="224"/>
        <v>16</v>
      </c>
      <c r="R753" t="str">
        <f t="shared" si="225"/>
        <v/>
      </c>
      <c r="S753">
        <f>SUMIF(O753:$O$2855,R753,Q753:$Q$2855)</f>
        <v>0</v>
      </c>
    </row>
    <row r="754" spans="11:19" x14ac:dyDescent="0.25">
      <c r="K754" s="4" t="s">
        <v>421</v>
      </c>
      <c r="L754" t="s">
        <v>422</v>
      </c>
      <c r="M754" t="s">
        <v>2146</v>
      </c>
      <c r="N754" t="s">
        <v>13</v>
      </c>
      <c r="O754" t="s">
        <v>193</v>
      </c>
      <c r="P754" t="str">
        <f t="shared" si="223"/>
        <v>[1]</v>
      </c>
      <c r="Q754">
        <f t="shared" si="224"/>
        <v>12</v>
      </c>
      <c r="R754" t="str">
        <f t="shared" si="225"/>
        <v/>
      </c>
      <c r="S754">
        <f>SUMIF(O754:$O$2855,R754,Q754:$Q$2855)</f>
        <v>0</v>
      </c>
    </row>
    <row r="755" spans="11:19" x14ac:dyDescent="0.25">
      <c r="K755" s="4" t="s">
        <v>421</v>
      </c>
      <c r="L755" t="s">
        <v>422</v>
      </c>
      <c r="M755" t="s">
        <v>2147</v>
      </c>
      <c r="N755" t="s">
        <v>202</v>
      </c>
      <c r="O755" t="s">
        <v>193</v>
      </c>
      <c r="P755" t="str">
        <f t="shared" si="223"/>
        <v>[1]</v>
      </c>
      <c r="Q755">
        <f t="shared" si="224"/>
        <v>16</v>
      </c>
      <c r="R755" t="str">
        <f t="shared" si="225"/>
        <v/>
      </c>
      <c r="S755">
        <f>SUMIF(O755:$O$2855,R755,Q755:$Q$2855)</f>
        <v>0</v>
      </c>
    </row>
    <row r="756" spans="11:19" x14ac:dyDescent="0.25">
      <c r="K756" s="4" t="s">
        <v>421</v>
      </c>
      <c r="L756" t="s">
        <v>422</v>
      </c>
      <c r="M756" t="s">
        <v>2148</v>
      </c>
      <c r="N756" t="s">
        <v>202</v>
      </c>
      <c r="O756" t="s">
        <v>193</v>
      </c>
      <c r="P756" t="str">
        <f t="shared" si="223"/>
        <v>[1]</v>
      </c>
      <c r="Q756">
        <f t="shared" si="224"/>
        <v>16</v>
      </c>
      <c r="R756" t="str">
        <f t="shared" si="225"/>
        <v/>
      </c>
      <c r="S756">
        <f>SUMIF(O756:$O$2855,R756,Q756:$Q$2855)</f>
        <v>0</v>
      </c>
    </row>
    <row r="757" spans="11:19" x14ac:dyDescent="0.25">
      <c r="K757" s="4" t="s">
        <v>421</v>
      </c>
      <c r="L757" t="s">
        <v>422</v>
      </c>
      <c r="M757" t="s">
        <v>2149</v>
      </c>
      <c r="N757" t="s">
        <v>13</v>
      </c>
      <c r="O757" t="s">
        <v>193</v>
      </c>
      <c r="P757" t="str">
        <f t="shared" si="223"/>
        <v>[1]</v>
      </c>
      <c r="Q757">
        <f t="shared" si="224"/>
        <v>12</v>
      </c>
      <c r="R757" t="str">
        <f t="shared" si="225"/>
        <v/>
      </c>
      <c r="S757">
        <f>SUMIF(O757:$O$2855,R757,Q757:$Q$2855)</f>
        <v>0</v>
      </c>
    </row>
    <row r="758" spans="11:19" x14ac:dyDescent="0.25">
      <c r="K758" s="4" t="s">
        <v>421</v>
      </c>
      <c r="L758" t="s">
        <v>422</v>
      </c>
      <c r="M758" t="s">
        <v>1505</v>
      </c>
      <c r="N758" t="s">
        <v>165</v>
      </c>
      <c r="O758" t="s">
        <v>193</v>
      </c>
      <c r="P758" t="str">
        <f t="shared" si="223"/>
        <v>[1]</v>
      </c>
      <c r="Q758">
        <f t="shared" si="224"/>
        <v>20</v>
      </c>
      <c r="R758" t="str">
        <f t="shared" si="225"/>
        <v/>
      </c>
      <c r="S758">
        <f>SUMIF(O758:$O$2855,R758,Q758:$Q$2855)</f>
        <v>0</v>
      </c>
    </row>
    <row r="759" spans="11:19" x14ac:dyDescent="0.25">
      <c r="K759" s="4" t="s">
        <v>421</v>
      </c>
      <c r="L759" t="s">
        <v>422</v>
      </c>
      <c r="M759" t="s">
        <v>2150</v>
      </c>
      <c r="N759" t="s">
        <v>202</v>
      </c>
      <c r="O759" t="s">
        <v>193</v>
      </c>
      <c r="P759" t="str">
        <f t="shared" si="223"/>
        <v>[1]</v>
      </c>
      <c r="Q759">
        <f t="shared" si="224"/>
        <v>16</v>
      </c>
      <c r="R759" t="str">
        <f t="shared" si="225"/>
        <v/>
      </c>
      <c r="S759">
        <f>SUMIF(O759:$O$2855,R759,Q759:$Q$2855)</f>
        <v>0</v>
      </c>
    </row>
    <row r="760" spans="11:19" x14ac:dyDescent="0.25">
      <c r="K760" s="4" t="s">
        <v>421</v>
      </c>
      <c r="L760" t="s">
        <v>422</v>
      </c>
      <c r="M760" t="s">
        <v>1506</v>
      </c>
      <c r="N760" t="s">
        <v>13</v>
      </c>
      <c r="O760" t="s">
        <v>193</v>
      </c>
      <c r="P760" t="str">
        <f t="shared" si="223"/>
        <v>[1]</v>
      </c>
      <c r="Q760">
        <f t="shared" si="224"/>
        <v>12</v>
      </c>
      <c r="R760" t="str">
        <f t="shared" si="225"/>
        <v/>
      </c>
      <c r="S760">
        <f>SUMIF(O760:$O$2855,R760,Q760:$Q$2855)</f>
        <v>0</v>
      </c>
    </row>
    <row r="761" spans="11:19" x14ac:dyDescent="0.25">
      <c r="K761" s="4" t="s">
        <v>421</v>
      </c>
      <c r="L761" t="s">
        <v>422</v>
      </c>
      <c r="M761" t="s">
        <v>2151</v>
      </c>
      <c r="N761" t="s">
        <v>437</v>
      </c>
      <c r="O761" t="s">
        <v>193</v>
      </c>
      <c r="P761" t="str">
        <f t="shared" si="223"/>
        <v>[1]</v>
      </c>
      <c r="Q761">
        <f t="shared" si="224"/>
        <v>24</v>
      </c>
      <c r="R761" t="str">
        <f t="shared" si="225"/>
        <v/>
      </c>
      <c r="S761">
        <f>SUMIF(O761:$O$2855,R761,Q761:$Q$2855)</f>
        <v>0</v>
      </c>
    </row>
    <row r="762" spans="11:19" x14ac:dyDescent="0.25">
      <c r="K762" s="4" t="s">
        <v>421</v>
      </c>
      <c r="L762" t="s">
        <v>422</v>
      </c>
      <c r="M762" t="s">
        <v>2152</v>
      </c>
      <c r="N762" t="s">
        <v>165</v>
      </c>
      <c r="O762" t="s">
        <v>193</v>
      </c>
      <c r="P762" t="str">
        <f t="shared" si="223"/>
        <v>[1]</v>
      </c>
      <c r="Q762">
        <f t="shared" si="224"/>
        <v>20</v>
      </c>
      <c r="R762" t="str">
        <f t="shared" si="225"/>
        <v/>
      </c>
      <c r="S762">
        <f>SUMIF(O762:$O$2855,R762,Q762:$Q$2855)</f>
        <v>0</v>
      </c>
    </row>
    <row r="763" spans="11:19" x14ac:dyDescent="0.25">
      <c r="K763" s="4" t="s">
        <v>421</v>
      </c>
      <c r="L763" t="s">
        <v>422</v>
      </c>
      <c r="M763" t="s">
        <v>1507</v>
      </c>
      <c r="N763" t="s">
        <v>13</v>
      </c>
      <c r="O763" t="s">
        <v>193</v>
      </c>
      <c r="P763" t="str">
        <f t="shared" si="223"/>
        <v>[1]</v>
      </c>
      <c r="Q763">
        <f t="shared" si="224"/>
        <v>12</v>
      </c>
      <c r="R763" t="str">
        <f t="shared" si="225"/>
        <v/>
      </c>
      <c r="S763">
        <f>SUMIF(O763:$O$2855,R763,Q763:$Q$2855)</f>
        <v>0</v>
      </c>
    </row>
    <row r="764" spans="11:19" x14ac:dyDescent="0.25">
      <c r="K764" s="4" t="s">
        <v>421</v>
      </c>
      <c r="L764" t="s">
        <v>422</v>
      </c>
      <c r="M764" t="s">
        <v>1282</v>
      </c>
      <c r="N764" t="s">
        <v>13</v>
      </c>
      <c r="O764" t="s">
        <v>193</v>
      </c>
      <c r="P764" t="str">
        <f t="shared" si="223"/>
        <v>[1]</v>
      </c>
      <c r="Q764">
        <f t="shared" si="224"/>
        <v>12</v>
      </c>
      <c r="R764" t="str">
        <f t="shared" si="225"/>
        <v/>
      </c>
      <c r="S764">
        <f>SUMIF(O764:$O$2855,R764,Q764:$Q$2855)</f>
        <v>0</v>
      </c>
    </row>
    <row r="765" spans="11:19" x14ac:dyDescent="0.25">
      <c r="K765" s="4" t="s">
        <v>421</v>
      </c>
      <c r="L765" t="s">
        <v>422</v>
      </c>
      <c r="M765" t="s">
        <v>2153</v>
      </c>
      <c r="N765" t="s">
        <v>13</v>
      </c>
      <c r="O765" t="s">
        <v>193</v>
      </c>
      <c r="P765" t="str">
        <f t="shared" si="223"/>
        <v>[1]</v>
      </c>
      <c r="Q765">
        <f t="shared" si="224"/>
        <v>12</v>
      </c>
      <c r="R765" t="str">
        <f t="shared" si="225"/>
        <v/>
      </c>
      <c r="S765">
        <f>SUMIF(O765:$O$2855,R765,Q765:$Q$2855)</f>
        <v>0</v>
      </c>
    </row>
    <row r="766" spans="11:19" x14ac:dyDescent="0.25">
      <c r="K766" s="4" t="s">
        <v>421</v>
      </c>
      <c r="L766" t="s">
        <v>422</v>
      </c>
      <c r="M766" t="s">
        <v>2154</v>
      </c>
      <c r="N766" t="s">
        <v>13</v>
      </c>
      <c r="O766" t="s">
        <v>193</v>
      </c>
      <c r="P766" t="str">
        <f t="shared" si="223"/>
        <v>[1]</v>
      </c>
      <c r="Q766">
        <f t="shared" si="224"/>
        <v>12</v>
      </c>
      <c r="R766" t="str">
        <f t="shared" si="225"/>
        <v/>
      </c>
      <c r="S766">
        <f>SUMIF(O766:$O$2855,R766,Q766:$Q$2855)</f>
        <v>0</v>
      </c>
    </row>
    <row r="767" spans="11:19" x14ac:dyDescent="0.25">
      <c r="K767" s="4" t="s">
        <v>421</v>
      </c>
      <c r="L767" t="s">
        <v>422</v>
      </c>
      <c r="M767" t="s">
        <v>2155</v>
      </c>
      <c r="N767" t="s">
        <v>202</v>
      </c>
      <c r="O767" t="s">
        <v>193</v>
      </c>
      <c r="P767" t="str">
        <f t="shared" si="223"/>
        <v>[1]</v>
      </c>
      <c r="Q767">
        <f t="shared" si="224"/>
        <v>16</v>
      </c>
      <c r="R767" t="str">
        <f t="shared" si="225"/>
        <v/>
      </c>
      <c r="S767">
        <f>SUMIF(O767:$O$2855,R767,Q767:$Q$2855)</f>
        <v>0</v>
      </c>
    </row>
    <row r="768" spans="11:19" x14ac:dyDescent="0.25">
      <c r="K768" s="4" t="s">
        <v>421</v>
      </c>
      <c r="L768" t="s">
        <v>422</v>
      </c>
      <c r="M768" t="s">
        <v>2156</v>
      </c>
      <c r="N768" t="s">
        <v>13</v>
      </c>
      <c r="O768" t="s">
        <v>193</v>
      </c>
      <c r="P768" t="str">
        <f t="shared" si="223"/>
        <v>[1]</v>
      </c>
      <c r="Q768">
        <f t="shared" si="224"/>
        <v>12</v>
      </c>
      <c r="R768" t="str">
        <f t="shared" si="225"/>
        <v/>
      </c>
      <c r="S768">
        <f>SUMIF(O768:$O$2855,R768,Q768:$Q$2855)</f>
        <v>0</v>
      </c>
    </row>
    <row r="769" spans="11:19" x14ac:dyDescent="0.25">
      <c r="K769" s="4" t="s">
        <v>421</v>
      </c>
      <c r="L769" t="s">
        <v>422</v>
      </c>
      <c r="M769" t="s">
        <v>2157</v>
      </c>
      <c r="N769" t="s">
        <v>13</v>
      </c>
      <c r="O769" t="s">
        <v>193</v>
      </c>
      <c r="P769" t="str">
        <f t="shared" si="223"/>
        <v>[1]</v>
      </c>
      <c r="Q769">
        <f t="shared" si="224"/>
        <v>12</v>
      </c>
      <c r="R769" t="str">
        <f t="shared" si="225"/>
        <v/>
      </c>
      <c r="S769">
        <f>SUMIF(O769:$O$2855,R769,Q769:$Q$2855)</f>
        <v>0</v>
      </c>
    </row>
    <row r="770" spans="11:19" x14ac:dyDescent="0.25">
      <c r="K770" s="4" t="s">
        <v>421</v>
      </c>
      <c r="L770" t="s">
        <v>422</v>
      </c>
      <c r="M770" t="s">
        <v>2158</v>
      </c>
      <c r="N770" t="s">
        <v>202</v>
      </c>
      <c r="O770" t="s">
        <v>193</v>
      </c>
      <c r="P770" t="str">
        <f t="shared" ref="P770:P833" si="226">VLOOKUP($K$30,$E$1:$F$26,2,FALSE)</f>
        <v>[1]</v>
      </c>
      <c r="Q770">
        <f t="shared" si="224"/>
        <v>16</v>
      </c>
      <c r="R770" t="str">
        <f t="shared" si="225"/>
        <v/>
      </c>
      <c r="S770">
        <f>SUMIF(O770:$O$2855,R770,Q770:$Q$2855)</f>
        <v>0</v>
      </c>
    </row>
    <row r="771" spans="11:19" x14ac:dyDescent="0.25">
      <c r="K771" s="4" t="s">
        <v>421</v>
      </c>
      <c r="L771" t="s">
        <v>422</v>
      </c>
      <c r="M771" t="s">
        <v>2159</v>
      </c>
      <c r="N771" t="s">
        <v>202</v>
      </c>
      <c r="O771" t="s">
        <v>193</v>
      </c>
      <c r="P771" t="str">
        <f t="shared" si="226"/>
        <v>[1]</v>
      </c>
      <c r="Q771">
        <f t="shared" ref="Q771:Q834" si="227">HEX2DEC(MID(N771,3,LEN(N771)-2))</f>
        <v>16</v>
      </c>
      <c r="R771" t="str">
        <f t="shared" si="225"/>
        <v/>
      </c>
      <c r="S771">
        <f>SUMIF(O771:$O$2855,R771,Q771:$Q$2855)</f>
        <v>0</v>
      </c>
    </row>
    <row r="772" spans="11:19" x14ac:dyDescent="0.25">
      <c r="K772" s="4" t="s">
        <v>421</v>
      </c>
      <c r="L772" t="s">
        <v>422</v>
      </c>
      <c r="M772" t="s">
        <v>2160</v>
      </c>
      <c r="N772" t="s">
        <v>202</v>
      </c>
      <c r="O772" t="s">
        <v>193</v>
      </c>
      <c r="P772" t="str">
        <f t="shared" si="226"/>
        <v>[1]</v>
      </c>
      <c r="Q772">
        <f t="shared" si="227"/>
        <v>16</v>
      </c>
      <c r="R772" t="str">
        <f t="shared" si="225"/>
        <v/>
      </c>
      <c r="S772">
        <f>SUMIF(O772:$O$2855,R772,Q772:$Q$2855)</f>
        <v>0</v>
      </c>
    </row>
    <row r="773" spans="11:19" x14ac:dyDescent="0.25">
      <c r="K773" s="4" t="s">
        <v>421</v>
      </c>
      <c r="L773" t="s">
        <v>422</v>
      </c>
      <c r="M773" t="s">
        <v>1508</v>
      </c>
      <c r="N773" t="s">
        <v>13</v>
      </c>
      <c r="O773" t="s">
        <v>193</v>
      </c>
      <c r="P773" t="str">
        <f t="shared" si="226"/>
        <v>[1]</v>
      </c>
      <c r="Q773">
        <f t="shared" si="227"/>
        <v>12</v>
      </c>
      <c r="R773" t="str">
        <f t="shared" si="225"/>
        <v/>
      </c>
      <c r="S773">
        <f>SUMIF(O773:$O$2855,R773,Q773:$Q$2855)</f>
        <v>0</v>
      </c>
    </row>
    <row r="774" spans="11:19" x14ac:dyDescent="0.25">
      <c r="K774" s="4" t="s">
        <v>421</v>
      </c>
      <c r="L774" t="s">
        <v>422</v>
      </c>
      <c r="M774" t="s">
        <v>1509</v>
      </c>
      <c r="N774" t="s">
        <v>13</v>
      </c>
      <c r="O774" t="s">
        <v>193</v>
      </c>
      <c r="P774" t="str">
        <f t="shared" si="226"/>
        <v>[1]</v>
      </c>
      <c r="Q774">
        <f t="shared" si="227"/>
        <v>12</v>
      </c>
      <c r="R774" t="str">
        <f t="shared" si="225"/>
        <v/>
      </c>
      <c r="S774">
        <f>SUMIF(O774:$O$2855,R774,Q774:$Q$2855)</f>
        <v>0</v>
      </c>
    </row>
    <row r="775" spans="11:19" x14ac:dyDescent="0.25">
      <c r="K775" s="4" t="s">
        <v>421</v>
      </c>
      <c r="L775" t="s">
        <v>422</v>
      </c>
      <c r="M775" t="s">
        <v>1510</v>
      </c>
      <c r="N775" t="s">
        <v>13</v>
      </c>
      <c r="O775" t="s">
        <v>193</v>
      </c>
      <c r="P775" t="str">
        <f t="shared" si="226"/>
        <v>[1]</v>
      </c>
      <c r="Q775">
        <f t="shared" si="227"/>
        <v>12</v>
      </c>
      <c r="R775" t="str">
        <f t="shared" si="225"/>
        <v/>
      </c>
      <c r="S775">
        <f>SUMIF(O775:$O$2855,R775,Q775:$Q$2855)</f>
        <v>0</v>
      </c>
    </row>
    <row r="776" spans="11:19" x14ac:dyDescent="0.25">
      <c r="K776" s="4" t="s">
        <v>421</v>
      </c>
      <c r="L776" t="s">
        <v>422</v>
      </c>
      <c r="M776" t="s">
        <v>1262</v>
      </c>
      <c r="N776" t="s">
        <v>13</v>
      </c>
      <c r="O776" t="s">
        <v>193</v>
      </c>
      <c r="P776" t="str">
        <f t="shared" si="226"/>
        <v>[1]</v>
      </c>
      <c r="Q776">
        <f t="shared" si="227"/>
        <v>12</v>
      </c>
      <c r="R776" t="str">
        <f t="shared" si="225"/>
        <v/>
      </c>
      <c r="S776">
        <f>SUMIF(O776:$O$2855,R776,Q776:$Q$2855)</f>
        <v>0</v>
      </c>
    </row>
    <row r="777" spans="11:19" x14ac:dyDescent="0.25">
      <c r="K777" s="4" t="s">
        <v>421</v>
      </c>
      <c r="L777" t="s">
        <v>422</v>
      </c>
      <c r="M777" t="s">
        <v>1511</v>
      </c>
      <c r="N777" t="s">
        <v>13</v>
      </c>
      <c r="O777" t="s">
        <v>193</v>
      </c>
      <c r="P777" t="str">
        <f t="shared" si="226"/>
        <v>[1]</v>
      </c>
      <c r="Q777">
        <f t="shared" si="227"/>
        <v>12</v>
      </c>
      <c r="R777" t="str">
        <f t="shared" si="225"/>
        <v/>
      </c>
      <c r="S777">
        <f>SUMIF(O777:$O$2855,R777,Q777:$Q$2855)</f>
        <v>0</v>
      </c>
    </row>
    <row r="778" spans="11:19" x14ac:dyDescent="0.25">
      <c r="K778" s="4" t="s">
        <v>421</v>
      </c>
      <c r="L778" t="s">
        <v>422</v>
      </c>
      <c r="M778" t="s">
        <v>1811</v>
      </c>
      <c r="N778" t="s">
        <v>13</v>
      </c>
      <c r="O778" t="s">
        <v>193</v>
      </c>
      <c r="P778" t="str">
        <f t="shared" si="226"/>
        <v>[1]</v>
      </c>
      <c r="Q778">
        <f t="shared" si="227"/>
        <v>12</v>
      </c>
      <c r="R778" t="str">
        <f t="shared" si="225"/>
        <v/>
      </c>
      <c r="S778">
        <f>SUMIF(O778:$O$2855,R778,Q778:$Q$2855)</f>
        <v>0</v>
      </c>
    </row>
    <row r="779" spans="11:19" x14ac:dyDescent="0.25">
      <c r="K779" s="4" t="s">
        <v>421</v>
      </c>
      <c r="L779" t="s">
        <v>422</v>
      </c>
      <c r="M779" t="s">
        <v>2161</v>
      </c>
      <c r="N779" t="s">
        <v>13</v>
      </c>
      <c r="O779" t="s">
        <v>193</v>
      </c>
      <c r="P779" t="str">
        <f t="shared" si="226"/>
        <v>[1]</v>
      </c>
      <c r="Q779">
        <f t="shared" si="227"/>
        <v>12</v>
      </c>
      <c r="R779" t="str">
        <f t="shared" si="225"/>
        <v/>
      </c>
      <c r="S779">
        <f>SUMIF(O779:$O$2855,R779,Q779:$Q$2855)</f>
        <v>0</v>
      </c>
    </row>
    <row r="780" spans="11:19" x14ac:dyDescent="0.25">
      <c r="K780" s="4" t="s">
        <v>421</v>
      </c>
      <c r="L780" t="s">
        <v>422</v>
      </c>
      <c r="M780" t="s">
        <v>2162</v>
      </c>
      <c r="N780" t="s">
        <v>78</v>
      </c>
      <c r="O780" t="s">
        <v>193</v>
      </c>
      <c r="P780" t="str">
        <f t="shared" si="226"/>
        <v>[1]</v>
      </c>
      <c r="Q780">
        <f t="shared" si="227"/>
        <v>4</v>
      </c>
      <c r="R780" t="str">
        <f t="shared" si="225"/>
        <v/>
      </c>
      <c r="S780">
        <f>SUMIF(O780:$O$2855,R780,Q780:$Q$2855)</f>
        <v>0</v>
      </c>
    </row>
    <row r="781" spans="11:19" x14ac:dyDescent="0.25">
      <c r="K781" s="4" t="s">
        <v>421</v>
      </c>
      <c r="L781" t="s">
        <v>422</v>
      </c>
      <c r="M781" t="s">
        <v>2163</v>
      </c>
      <c r="N781" t="s">
        <v>126</v>
      </c>
      <c r="O781" t="s">
        <v>193</v>
      </c>
      <c r="P781" t="str">
        <f t="shared" si="226"/>
        <v>[1]</v>
      </c>
      <c r="Q781">
        <f t="shared" si="227"/>
        <v>8</v>
      </c>
      <c r="R781" t="str">
        <f t="shared" si="225"/>
        <v/>
      </c>
      <c r="S781">
        <f>SUMIF(O781:$O$2855,R781,Q781:$Q$2855)</f>
        <v>0</v>
      </c>
    </row>
    <row r="782" spans="11:19" x14ac:dyDescent="0.25">
      <c r="K782" s="4" t="s">
        <v>421</v>
      </c>
      <c r="L782" t="s">
        <v>422</v>
      </c>
      <c r="M782" t="s">
        <v>2164</v>
      </c>
      <c r="N782" t="s">
        <v>202</v>
      </c>
      <c r="O782" t="s">
        <v>193</v>
      </c>
      <c r="P782" t="str">
        <f t="shared" si="226"/>
        <v>[1]</v>
      </c>
      <c r="Q782">
        <f t="shared" si="227"/>
        <v>16</v>
      </c>
      <c r="R782" t="str">
        <f t="shared" si="225"/>
        <v/>
      </c>
      <c r="S782">
        <f>SUMIF(O782:$O$2855,R782,Q782:$Q$2855)</f>
        <v>0</v>
      </c>
    </row>
    <row r="783" spans="11:19" x14ac:dyDescent="0.25">
      <c r="K783" s="4" t="s">
        <v>421</v>
      </c>
      <c r="L783" t="s">
        <v>422</v>
      </c>
      <c r="M783" t="s">
        <v>2165</v>
      </c>
      <c r="N783" t="s">
        <v>202</v>
      </c>
      <c r="O783" t="s">
        <v>193</v>
      </c>
      <c r="P783" t="str">
        <f t="shared" si="226"/>
        <v>[1]</v>
      </c>
      <c r="Q783">
        <f t="shared" si="227"/>
        <v>16</v>
      </c>
      <c r="R783" t="str">
        <f t="shared" si="225"/>
        <v/>
      </c>
      <c r="S783">
        <f>SUMIF(O783:$O$2855,R783,Q783:$Q$2855)</f>
        <v>0</v>
      </c>
    </row>
    <row r="784" spans="11:19" x14ac:dyDescent="0.25">
      <c r="K784" s="4" t="s">
        <v>421</v>
      </c>
      <c r="L784" t="s">
        <v>422</v>
      </c>
      <c r="M784" t="s">
        <v>2166</v>
      </c>
      <c r="N784" t="s">
        <v>435</v>
      </c>
      <c r="O784" t="s">
        <v>193</v>
      </c>
      <c r="P784" t="str">
        <f t="shared" si="226"/>
        <v>[1]</v>
      </c>
      <c r="Q784">
        <f t="shared" si="227"/>
        <v>60</v>
      </c>
      <c r="R784" t="str">
        <f t="shared" si="225"/>
        <v/>
      </c>
      <c r="S784">
        <f>SUMIF(O784:$O$2855,R784,Q784:$Q$2855)</f>
        <v>0</v>
      </c>
    </row>
    <row r="785" spans="11:19" x14ac:dyDescent="0.25">
      <c r="K785" s="4" t="s">
        <v>421</v>
      </c>
      <c r="L785" t="s">
        <v>422</v>
      </c>
      <c r="M785" t="s">
        <v>2167</v>
      </c>
      <c r="N785" t="s">
        <v>275</v>
      </c>
      <c r="O785" t="s">
        <v>193</v>
      </c>
      <c r="P785" t="str">
        <f t="shared" si="226"/>
        <v>[1]</v>
      </c>
      <c r="Q785">
        <f t="shared" si="227"/>
        <v>80</v>
      </c>
      <c r="R785" t="str">
        <f t="shared" si="225"/>
        <v/>
      </c>
      <c r="S785">
        <f>SUMIF(O785:$O$2855,R785,Q785:$Q$2855)</f>
        <v>0</v>
      </c>
    </row>
    <row r="786" spans="11:19" x14ac:dyDescent="0.25">
      <c r="K786" s="4" t="s">
        <v>421</v>
      </c>
      <c r="L786" t="s">
        <v>422</v>
      </c>
      <c r="M786" t="s">
        <v>1812</v>
      </c>
      <c r="N786" t="s">
        <v>76</v>
      </c>
      <c r="O786" t="s">
        <v>193</v>
      </c>
      <c r="P786" t="str">
        <f t="shared" si="226"/>
        <v>[1]</v>
      </c>
      <c r="Q786">
        <f t="shared" si="227"/>
        <v>36</v>
      </c>
      <c r="R786" t="str">
        <f t="shared" si="225"/>
        <v/>
      </c>
      <c r="S786">
        <f>SUMIF(O786:$O$2855,R786,Q786:$Q$2855)</f>
        <v>0</v>
      </c>
    </row>
    <row r="787" spans="11:19" x14ac:dyDescent="0.25">
      <c r="K787" s="4" t="s">
        <v>421</v>
      </c>
      <c r="L787" t="s">
        <v>422</v>
      </c>
      <c r="M787" t="s">
        <v>1813</v>
      </c>
      <c r="N787" t="s">
        <v>76</v>
      </c>
      <c r="O787" t="s">
        <v>193</v>
      </c>
      <c r="P787" t="str">
        <f t="shared" si="226"/>
        <v>[1]</v>
      </c>
      <c r="Q787">
        <f t="shared" si="227"/>
        <v>36</v>
      </c>
      <c r="R787" t="str">
        <f t="shared" si="225"/>
        <v/>
      </c>
      <c r="S787">
        <f>SUMIF(O787:$O$2855,R787,Q787:$Q$2855)</f>
        <v>0</v>
      </c>
    </row>
    <row r="788" spans="11:19" x14ac:dyDescent="0.25">
      <c r="K788" s="4" t="s">
        <v>421</v>
      </c>
      <c r="L788" t="s">
        <v>422</v>
      </c>
      <c r="M788" t="s">
        <v>1814</v>
      </c>
      <c r="N788" t="s">
        <v>165</v>
      </c>
      <c r="O788" t="s">
        <v>193</v>
      </c>
      <c r="P788" t="str">
        <f t="shared" si="226"/>
        <v>[1]</v>
      </c>
      <c r="Q788">
        <f t="shared" si="227"/>
        <v>20</v>
      </c>
      <c r="R788" t="str">
        <f t="shared" si="225"/>
        <v/>
      </c>
      <c r="S788">
        <f>SUMIF(O788:$O$2855,R788,Q788:$Q$2855)</f>
        <v>0</v>
      </c>
    </row>
    <row r="789" spans="11:19" x14ac:dyDescent="0.25">
      <c r="K789" s="4" t="s">
        <v>421</v>
      </c>
      <c r="L789" t="s">
        <v>422</v>
      </c>
      <c r="M789" t="s">
        <v>2168</v>
      </c>
      <c r="N789" t="s">
        <v>202</v>
      </c>
      <c r="O789" t="s">
        <v>193</v>
      </c>
      <c r="P789" t="str">
        <f t="shared" si="226"/>
        <v>[1]</v>
      </c>
      <c r="Q789">
        <f t="shared" si="227"/>
        <v>16</v>
      </c>
      <c r="R789" t="str">
        <f t="shared" si="225"/>
        <v/>
      </c>
      <c r="S789">
        <f>SUMIF(O789:$O$2855,R789,Q789:$Q$2855)</f>
        <v>0</v>
      </c>
    </row>
    <row r="790" spans="11:19" x14ac:dyDescent="0.25">
      <c r="K790" s="4" t="s">
        <v>421</v>
      </c>
      <c r="L790" t="s">
        <v>422</v>
      </c>
      <c r="M790" t="s">
        <v>2169</v>
      </c>
      <c r="N790" t="s">
        <v>437</v>
      </c>
      <c r="O790" t="s">
        <v>193</v>
      </c>
      <c r="P790" t="str">
        <f t="shared" si="226"/>
        <v>[1]</v>
      </c>
      <c r="Q790">
        <f t="shared" si="227"/>
        <v>24</v>
      </c>
      <c r="R790" t="str">
        <f t="shared" si="225"/>
        <v/>
      </c>
      <c r="S790">
        <f>SUMIF(O790:$O$2855,R790,Q790:$Q$2855)</f>
        <v>0</v>
      </c>
    </row>
    <row r="791" spans="11:19" x14ac:dyDescent="0.25">
      <c r="K791" s="4" t="s">
        <v>421</v>
      </c>
      <c r="L791" t="s">
        <v>422</v>
      </c>
      <c r="M791" t="s">
        <v>2170</v>
      </c>
      <c r="N791" t="s">
        <v>202</v>
      </c>
      <c r="O791" t="s">
        <v>193</v>
      </c>
      <c r="P791" t="str">
        <f t="shared" si="226"/>
        <v>[1]</v>
      </c>
      <c r="Q791">
        <f t="shared" si="227"/>
        <v>16</v>
      </c>
      <c r="R791" t="str">
        <f t="shared" si="225"/>
        <v/>
      </c>
      <c r="S791">
        <f>SUMIF(O791:$O$2855,R791,Q791:$Q$2855)</f>
        <v>0</v>
      </c>
    </row>
    <row r="792" spans="11:19" x14ac:dyDescent="0.25">
      <c r="K792" s="4" t="s">
        <v>421</v>
      </c>
      <c r="L792" t="s">
        <v>422</v>
      </c>
      <c r="M792" t="s">
        <v>2171</v>
      </c>
      <c r="N792" t="s">
        <v>202</v>
      </c>
      <c r="O792" t="s">
        <v>193</v>
      </c>
      <c r="P792" t="str">
        <f t="shared" si="226"/>
        <v>[1]</v>
      </c>
      <c r="Q792">
        <f t="shared" si="227"/>
        <v>16</v>
      </c>
      <c r="R792" t="str">
        <f t="shared" si="225"/>
        <v/>
      </c>
      <c r="S792">
        <f>SUMIF(O792:$O$2855,R792,Q792:$Q$2855)</f>
        <v>0</v>
      </c>
    </row>
    <row r="793" spans="11:19" x14ac:dyDescent="0.25">
      <c r="K793" s="4" t="s">
        <v>421</v>
      </c>
      <c r="L793" t="s">
        <v>422</v>
      </c>
      <c r="M793" t="s">
        <v>2172</v>
      </c>
      <c r="N793" t="s">
        <v>67</v>
      </c>
      <c r="O793" t="s">
        <v>193</v>
      </c>
      <c r="P793" t="str">
        <f t="shared" si="226"/>
        <v>[1]</v>
      </c>
      <c r="Q793">
        <f t="shared" si="227"/>
        <v>48</v>
      </c>
      <c r="R793" t="str">
        <f t="shared" si="225"/>
        <v/>
      </c>
      <c r="S793">
        <f>SUMIF(O793:$O$2855,R793,Q793:$Q$2855)</f>
        <v>0</v>
      </c>
    </row>
    <row r="794" spans="11:19" x14ac:dyDescent="0.25">
      <c r="K794" s="4" t="s">
        <v>421</v>
      </c>
      <c r="L794" t="s">
        <v>422</v>
      </c>
      <c r="M794" t="s">
        <v>2173</v>
      </c>
      <c r="N794" t="s">
        <v>165</v>
      </c>
      <c r="O794" t="s">
        <v>193</v>
      </c>
      <c r="P794" t="str">
        <f t="shared" si="226"/>
        <v>[1]</v>
      </c>
      <c r="Q794">
        <f t="shared" si="227"/>
        <v>20</v>
      </c>
      <c r="R794" t="str">
        <f t="shared" si="225"/>
        <v/>
      </c>
      <c r="S794">
        <f>SUMIF(O794:$O$2855,R794,Q794:$Q$2855)</f>
        <v>0</v>
      </c>
    </row>
    <row r="795" spans="11:19" x14ac:dyDescent="0.25">
      <c r="K795" s="4" t="s">
        <v>421</v>
      </c>
      <c r="L795" t="s">
        <v>422</v>
      </c>
      <c r="M795" t="s">
        <v>2174</v>
      </c>
      <c r="N795" t="s">
        <v>165</v>
      </c>
      <c r="O795" t="s">
        <v>193</v>
      </c>
      <c r="P795" t="str">
        <f t="shared" si="226"/>
        <v>[1]</v>
      </c>
      <c r="Q795">
        <f t="shared" si="227"/>
        <v>20</v>
      </c>
      <c r="R795" t="str">
        <f t="shared" si="225"/>
        <v/>
      </c>
      <c r="S795">
        <f>SUMIF(O795:$O$2855,R795,Q795:$Q$2855)</f>
        <v>0</v>
      </c>
    </row>
    <row r="796" spans="11:19" x14ac:dyDescent="0.25">
      <c r="K796" s="4" t="s">
        <v>421</v>
      </c>
      <c r="L796" t="s">
        <v>422</v>
      </c>
      <c r="M796" t="s">
        <v>2175</v>
      </c>
      <c r="N796" t="s">
        <v>6</v>
      </c>
      <c r="O796" t="s">
        <v>193</v>
      </c>
      <c r="P796" t="str">
        <f t="shared" si="226"/>
        <v>[1]</v>
      </c>
      <c r="Q796">
        <f t="shared" si="227"/>
        <v>28</v>
      </c>
      <c r="R796" t="str">
        <f t="shared" si="225"/>
        <v/>
      </c>
      <c r="S796">
        <f>SUMIF(O796:$O$2855,R796,Q796:$Q$2855)</f>
        <v>0</v>
      </c>
    </row>
    <row r="797" spans="11:19" x14ac:dyDescent="0.25">
      <c r="K797" s="4" t="s">
        <v>421</v>
      </c>
      <c r="L797" t="s">
        <v>422</v>
      </c>
      <c r="M797" t="s">
        <v>2176</v>
      </c>
      <c r="N797" t="s">
        <v>6</v>
      </c>
      <c r="O797" t="s">
        <v>193</v>
      </c>
      <c r="P797" t="str">
        <f t="shared" si="226"/>
        <v>[1]</v>
      </c>
      <c r="Q797">
        <f t="shared" si="227"/>
        <v>28</v>
      </c>
      <c r="R797" t="str">
        <f t="shared" si="225"/>
        <v/>
      </c>
      <c r="S797">
        <f>SUMIF(O797:$O$2855,R797,Q797:$Q$2855)</f>
        <v>0</v>
      </c>
    </row>
    <row r="798" spans="11:19" x14ac:dyDescent="0.25">
      <c r="K798" s="4" t="s">
        <v>421</v>
      </c>
      <c r="L798" t="s">
        <v>422</v>
      </c>
      <c r="M798" t="s">
        <v>2177</v>
      </c>
      <c r="N798" t="s">
        <v>165</v>
      </c>
      <c r="O798" t="s">
        <v>193</v>
      </c>
      <c r="P798" t="str">
        <f t="shared" si="226"/>
        <v>[1]</v>
      </c>
      <c r="Q798">
        <f t="shared" si="227"/>
        <v>20</v>
      </c>
      <c r="R798" t="str">
        <f t="shared" si="225"/>
        <v/>
      </c>
      <c r="S798">
        <f>SUMIF(O798:$O$2855,R798,Q798:$Q$2855)</f>
        <v>0</v>
      </c>
    </row>
    <row r="799" spans="11:19" x14ac:dyDescent="0.25">
      <c r="K799" s="4" t="s">
        <v>421</v>
      </c>
      <c r="L799" t="s">
        <v>422</v>
      </c>
      <c r="M799" t="s">
        <v>2178</v>
      </c>
      <c r="N799" t="s">
        <v>6</v>
      </c>
      <c r="O799" t="s">
        <v>193</v>
      </c>
      <c r="P799" t="str">
        <f t="shared" si="226"/>
        <v>[1]</v>
      </c>
      <c r="Q799">
        <f t="shared" si="227"/>
        <v>28</v>
      </c>
      <c r="R799" t="str">
        <f t="shared" si="225"/>
        <v/>
      </c>
      <c r="S799">
        <f>SUMIF(O799:$O$2855,R799,Q799:$Q$2855)</f>
        <v>0</v>
      </c>
    </row>
    <row r="800" spans="11:19" x14ac:dyDescent="0.25">
      <c r="K800" s="4" t="s">
        <v>421</v>
      </c>
      <c r="L800" t="s">
        <v>422</v>
      </c>
      <c r="M800" t="s">
        <v>1815</v>
      </c>
      <c r="N800" t="s">
        <v>76</v>
      </c>
      <c r="O800" t="s">
        <v>193</v>
      </c>
      <c r="P800" t="str">
        <f t="shared" si="226"/>
        <v>[1]</v>
      </c>
      <c r="Q800">
        <f t="shared" si="227"/>
        <v>36</v>
      </c>
      <c r="R800" t="str">
        <f t="shared" ref="R800:R863" si="228">IF(O800&lt;&gt;O799,O800,"")</f>
        <v/>
      </c>
      <c r="S800">
        <f>SUMIF(O800:$O$2855,R800,Q800:$Q$2855)</f>
        <v>0</v>
      </c>
    </row>
    <row r="801" spans="11:19" x14ac:dyDescent="0.25">
      <c r="K801" s="4" t="s">
        <v>421</v>
      </c>
      <c r="L801" t="s">
        <v>422</v>
      </c>
      <c r="M801" t="s">
        <v>2179</v>
      </c>
      <c r="N801" t="s">
        <v>119</v>
      </c>
      <c r="O801" t="s">
        <v>193</v>
      </c>
      <c r="P801" t="str">
        <f t="shared" si="226"/>
        <v>[1]</v>
      </c>
      <c r="Q801">
        <f t="shared" si="227"/>
        <v>32</v>
      </c>
      <c r="R801" t="str">
        <f t="shared" si="228"/>
        <v/>
      </c>
      <c r="S801">
        <f>SUMIF(O801:$O$2855,R801,Q801:$Q$2855)</f>
        <v>0</v>
      </c>
    </row>
    <row r="802" spans="11:19" x14ac:dyDescent="0.25">
      <c r="K802" s="4" t="s">
        <v>421</v>
      </c>
      <c r="L802" t="s">
        <v>422</v>
      </c>
      <c r="M802" t="s">
        <v>2180</v>
      </c>
      <c r="N802" t="s">
        <v>6</v>
      </c>
      <c r="O802" t="s">
        <v>193</v>
      </c>
      <c r="P802" t="str">
        <f t="shared" si="226"/>
        <v>[1]</v>
      </c>
      <c r="Q802">
        <f t="shared" si="227"/>
        <v>28</v>
      </c>
      <c r="R802" t="str">
        <f t="shared" si="228"/>
        <v/>
      </c>
      <c r="S802">
        <f>SUMIF(O802:$O$2855,R802,Q802:$Q$2855)</f>
        <v>0</v>
      </c>
    </row>
    <row r="803" spans="11:19" x14ac:dyDescent="0.25">
      <c r="K803" s="4" t="s">
        <v>421</v>
      </c>
      <c r="L803" t="s">
        <v>422</v>
      </c>
      <c r="M803" t="s">
        <v>2181</v>
      </c>
      <c r="N803" t="s">
        <v>437</v>
      </c>
      <c r="O803" t="s">
        <v>193</v>
      </c>
      <c r="P803" t="str">
        <f t="shared" si="226"/>
        <v>[1]</v>
      </c>
      <c r="Q803">
        <f t="shared" si="227"/>
        <v>24</v>
      </c>
      <c r="R803" t="str">
        <f t="shared" si="228"/>
        <v/>
      </c>
      <c r="S803">
        <f>SUMIF(O803:$O$2855,R803,Q803:$Q$2855)</f>
        <v>0</v>
      </c>
    </row>
    <row r="804" spans="11:19" x14ac:dyDescent="0.25">
      <c r="K804" s="4" t="s">
        <v>421</v>
      </c>
      <c r="L804" t="s">
        <v>422</v>
      </c>
      <c r="M804" t="s">
        <v>2182</v>
      </c>
      <c r="N804" t="s">
        <v>6</v>
      </c>
      <c r="O804" t="s">
        <v>193</v>
      </c>
      <c r="P804" t="str">
        <f t="shared" si="226"/>
        <v>[1]</v>
      </c>
      <c r="Q804">
        <f t="shared" si="227"/>
        <v>28</v>
      </c>
      <c r="R804" t="str">
        <f t="shared" si="228"/>
        <v/>
      </c>
      <c r="S804">
        <f>SUMIF(O804:$O$2855,R804,Q804:$Q$2855)</f>
        <v>0</v>
      </c>
    </row>
    <row r="805" spans="11:19" x14ac:dyDescent="0.25">
      <c r="K805" s="4" t="s">
        <v>421</v>
      </c>
      <c r="L805" t="s">
        <v>422</v>
      </c>
      <c r="M805" t="s">
        <v>2183</v>
      </c>
      <c r="N805" t="s">
        <v>119</v>
      </c>
      <c r="O805" t="s">
        <v>193</v>
      </c>
      <c r="P805" t="str">
        <f t="shared" si="226"/>
        <v>[1]</v>
      </c>
      <c r="Q805">
        <f t="shared" si="227"/>
        <v>32</v>
      </c>
      <c r="R805" t="str">
        <f t="shared" si="228"/>
        <v/>
      </c>
      <c r="S805">
        <f>SUMIF(O805:$O$2855,R805,Q805:$Q$2855)</f>
        <v>0</v>
      </c>
    </row>
    <row r="806" spans="11:19" x14ac:dyDescent="0.25">
      <c r="K806" s="4" t="s">
        <v>421</v>
      </c>
      <c r="L806" t="s">
        <v>422</v>
      </c>
      <c r="M806" t="s">
        <v>2184</v>
      </c>
      <c r="N806" t="s">
        <v>13</v>
      </c>
      <c r="O806" t="s">
        <v>193</v>
      </c>
      <c r="P806" t="str">
        <f t="shared" si="226"/>
        <v>[1]</v>
      </c>
      <c r="Q806">
        <f t="shared" si="227"/>
        <v>12</v>
      </c>
      <c r="R806" t="str">
        <f t="shared" si="228"/>
        <v/>
      </c>
      <c r="S806">
        <f>SUMIF(O806:$O$2855,R806,Q806:$Q$2855)</f>
        <v>0</v>
      </c>
    </row>
    <row r="807" spans="11:19" x14ac:dyDescent="0.25">
      <c r="K807" s="4" t="s">
        <v>421</v>
      </c>
      <c r="L807" t="s">
        <v>422</v>
      </c>
      <c r="M807" t="s">
        <v>2185</v>
      </c>
      <c r="N807" t="s">
        <v>6</v>
      </c>
      <c r="O807" t="s">
        <v>193</v>
      </c>
      <c r="P807" t="str">
        <f t="shared" si="226"/>
        <v>[1]</v>
      </c>
      <c r="Q807">
        <f t="shared" si="227"/>
        <v>28</v>
      </c>
      <c r="R807" t="str">
        <f t="shared" si="228"/>
        <v/>
      </c>
      <c r="S807">
        <f>SUMIF(O807:$O$2855,R807,Q807:$Q$2855)</f>
        <v>0</v>
      </c>
    </row>
    <row r="808" spans="11:19" x14ac:dyDescent="0.25">
      <c r="K808" s="4" t="s">
        <v>421</v>
      </c>
      <c r="L808" t="s">
        <v>422</v>
      </c>
      <c r="M808" t="s">
        <v>2186</v>
      </c>
      <c r="N808" t="s">
        <v>119</v>
      </c>
      <c r="O808" t="s">
        <v>193</v>
      </c>
      <c r="P808" t="str">
        <f t="shared" si="226"/>
        <v>[1]</v>
      </c>
      <c r="Q808">
        <f t="shared" si="227"/>
        <v>32</v>
      </c>
      <c r="R808" t="str">
        <f t="shared" si="228"/>
        <v/>
      </c>
      <c r="S808">
        <f>SUMIF(O808:$O$2855,R808,Q808:$Q$2855)</f>
        <v>0</v>
      </c>
    </row>
    <row r="809" spans="11:19" x14ac:dyDescent="0.25">
      <c r="K809" s="4" t="s">
        <v>421</v>
      </c>
      <c r="L809" t="s">
        <v>422</v>
      </c>
      <c r="M809" t="s">
        <v>2187</v>
      </c>
      <c r="N809" t="s">
        <v>6</v>
      </c>
      <c r="O809" t="s">
        <v>193</v>
      </c>
      <c r="P809" t="str">
        <f t="shared" si="226"/>
        <v>[1]</v>
      </c>
      <c r="Q809">
        <f t="shared" si="227"/>
        <v>28</v>
      </c>
      <c r="R809" t="str">
        <f t="shared" si="228"/>
        <v/>
      </c>
      <c r="S809">
        <f>SUMIF(O809:$O$2855,R809,Q809:$Q$2855)</f>
        <v>0</v>
      </c>
    </row>
    <row r="810" spans="11:19" x14ac:dyDescent="0.25">
      <c r="K810" s="4" t="s">
        <v>421</v>
      </c>
      <c r="L810" t="s">
        <v>422</v>
      </c>
      <c r="M810" t="s">
        <v>1816</v>
      </c>
      <c r="N810" t="s">
        <v>165</v>
      </c>
      <c r="O810" t="s">
        <v>193</v>
      </c>
      <c r="P810" t="str">
        <f t="shared" si="226"/>
        <v>[1]</v>
      </c>
      <c r="Q810">
        <f t="shared" si="227"/>
        <v>20</v>
      </c>
      <c r="R810" t="str">
        <f t="shared" si="228"/>
        <v/>
      </c>
      <c r="S810">
        <f>SUMIF(O810:$O$2855,R810,Q810:$Q$2855)</f>
        <v>0</v>
      </c>
    </row>
    <row r="811" spans="11:19" x14ac:dyDescent="0.25">
      <c r="K811" s="4" t="s">
        <v>421</v>
      </c>
      <c r="L811" t="s">
        <v>422</v>
      </c>
      <c r="M811" t="s">
        <v>2188</v>
      </c>
      <c r="N811" t="s">
        <v>202</v>
      </c>
      <c r="O811" t="s">
        <v>193</v>
      </c>
      <c r="P811" t="str">
        <f t="shared" si="226"/>
        <v>[1]</v>
      </c>
      <c r="Q811">
        <f t="shared" si="227"/>
        <v>16</v>
      </c>
      <c r="R811" t="str">
        <f t="shared" si="228"/>
        <v/>
      </c>
      <c r="S811">
        <f>SUMIF(O811:$O$2855,R811,Q811:$Q$2855)</f>
        <v>0</v>
      </c>
    </row>
    <row r="812" spans="11:19" x14ac:dyDescent="0.25">
      <c r="K812" s="4" t="s">
        <v>421</v>
      </c>
      <c r="L812" t="s">
        <v>422</v>
      </c>
      <c r="M812" t="s">
        <v>2189</v>
      </c>
      <c r="N812" t="s">
        <v>13</v>
      </c>
      <c r="O812" t="s">
        <v>193</v>
      </c>
      <c r="P812" t="str">
        <f t="shared" si="226"/>
        <v>[1]</v>
      </c>
      <c r="Q812">
        <f t="shared" si="227"/>
        <v>12</v>
      </c>
      <c r="R812" t="str">
        <f t="shared" si="228"/>
        <v/>
      </c>
      <c r="S812">
        <f>SUMIF(O812:$O$2855,R812,Q812:$Q$2855)</f>
        <v>0</v>
      </c>
    </row>
    <row r="813" spans="11:19" x14ac:dyDescent="0.25">
      <c r="K813" s="4" t="s">
        <v>421</v>
      </c>
      <c r="L813" t="s">
        <v>422</v>
      </c>
      <c r="M813" t="s">
        <v>2190</v>
      </c>
      <c r="N813" t="s">
        <v>6</v>
      </c>
      <c r="O813" t="s">
        <v>193</v>
      </c>
      <c r="P813" t="str">
        <f t="shared" si="226"/>
        <v>[1]</v>
      </c>
      <c r="Q813">
        <f t="shared" si="227"/>
        <v>28</v>
      </c>
      <c r="R813" t="str">
        <f t="shared" si="228"/>
        <v/>
      </c>
      <c r="S813">
        <f>SUMIF(O813:$O$2855,R813,Q813:$Q$2855)</f>
        <v>0</v>
      </c>
    </row>
    <row r="814" spans="11:19" x14ac:dyDescent="0.25">
      <c r="K814" s="4" t="s">
        <v>421</v>
      </c>
      <c r="L814" t="s">
        <v>422</v>
      </c>
      <c r="M814" t="s">
        <v>1817</v>
      </c>
      <c r="N814" t="s">
        <v>76</v>
      </c>
      <c r="O814" t="s">
        <v>193</v>
      </c>
      <c r="P814" t="str">
        <f t="shared" si="226"/>
        <v>[1]</v>
      </c>
      <c r="Q814">
        <f t="shared" si="227"/>
        <v>36</v>
      </c>
      <c r="R814" t="str">
        <f t="shared" si="228"/>
        <v/>
      </c>
      <c r="S814">
        <f>SUMIF(O814:$O$2855,R814,Q814:$Q$2855)</f>
        <v>0</v>
      </c>
    </row>
    <row r="815" spans="11:19" x14ac:dyDescent="0.25">
      <c r="K815" s="4" t="s">
        <v>421</v>
      </c>
      <c r="L815" t="s">
        <v>422</v>
      </c>
      <c r="M815" t="s">
        <v>2191</v>
      </c>
      <c r="N815" t="s">
        <v>6</v>
      </c>
      <c r="O815" t="s">
        <v>193</v>
      </c>
      <c r="P815" t="str">
        <f t="shared" si="226"/>
        <v>[1]</v>
      </c>
      <c r="Q815">
        <f t="shared" si="227"/>
        <v>28</v>
      </c>
      <c r="R815" t="str">
        <f t="shared" si="228"/>
        <v/>
      </c>
      <c r="S815">
        <f>SUMIF(O815:$O$2855,R815,Q815:$Q$2855)</f>
        <v>0</v>
      </c>
    </row>
    <row r="816" spans="11:19" x14ac:dyDescent="0.25">
      <c r="K816" s="4" t="s">
        <v>421</v>
      </c>
      <c r="L816" t="s">
        <v>422</v>
      </c>
      <c r="M816" t="s">
        <v>2192</v>
      </c>
      <c r="N816" t="s">
        <v>6</v>
      </c>
      <c r="O816" t="s">
        <v>193</v>
      </c>
      <c r="P816" t="str">
        <f t="shared" si="226"/>
        <v>[1]</v>
      </c>
      <c r="Q816">
        <f t="shared" si="227"/>
        <v>28</v>
      </c>
      <c r="R816" t="str">
        <f t="shared" si="228"/>
        <v/>
      </c>
      <c r="S816">
        <f>SUMIF(O816:$O$2855,R816,Q816:$Q$2855)</f>
        <v>0</v>
      </c>
    </row>
    <row r="817" spans="11:19" x14ac:dyDescent="0.25">
      <c r="K817" s="4" t="s">
        <v>421</v>
      </c>
      <c r="L817" t="s">
        <v>422</v>
      </c>
      <c r="M817" t="s">
        <v>1818</v>
      </c>
      <c r="N817" t="s">
        <v>76</v>
      </c>
      <c r="O817" t="s">
        <v>193</v>
      </c>
      <c r="P817" t="str">
        <f t="shared" si="226"/>
        <v>[1]</v>
      </c>
      <c r="Q817">
        <f t="shared" si="227"/>
        <v>36</v>
      </c>
      <c r="R817" t="str">
        <f t="shared" si="228"/>
        <v/>
      </c>
      <c r="S817">
        <f>SUMIF(O817:$O$2855,R817,Q817:$Q$2855)</f>
        <v>0</v>
      </c>
    </row>
    <row r="818" spans="11:19" x14ac:dyDescent="0.25">
      <c r="K818" s="4" t="s">
        <v>421</v>
      </c>
      <c r="L818" t="s">
        <v>422</v>
      </c>
      <c r="M818" t="s">
        <v>2193</v>
      </c>
      <c r="N818" t="s">
        <v>67</v>
      </c>
      <c r="O818" t="s">
        <v>193</v>
      </c>
      <c r="P818" t="str">
        <f t="shared" si="226"/>
        <v>[1]</v>
      </c>
      <c r="Q818">
        <f t="shared" si="227"/>
        <v>48</v>
      </c>
      <c r="R818" t="str">
        <f t="shared" si="228"/>
        <v/>
      </c>
      <c r="S818">
        <f>SUMIF(O818:$O$2855,R818,Q818:$Q$2855)</f>
        <v>0</v>
      </c>
    </row>
    <row r="819" spans="11:19" x14ac:dyDescent="0.25">
      <c r="K819" s="4" t="s">
        <v>421</v>
      </c>
      <c r="L819" t="s">
        <v>422</v>
      </c>
      <c r="M819" t="s">
        <v>2194</v>
      </c>
      <c r="N819" t="s">
        <v>165</v>
      </c>
      <c r="O819" t="s">
        <v>193</v>
      </c>
      <c r="P819" t="str">
        <f t="shared" si="226"/>
        <v>[1]</v>
      </c>
      <c r="Q819">
        <f t="shared" si="227"/>
        <v>20</v>
      </c>
      <c r="R819" t="str">
        <f t="shared" si="228"/>
        <v/>
      </c>
      <c r="S819">
        <f>SUMIF(O819:$O$2855,R819,Q819:$Q$2855)</f>
        <v>0</v>
      </c>
    </row>
    <row r="820" spans="11:19" x14ac:dyDescent="0.25">
      <c r="K820" s="4" t="s">
        <v>421</v>
      </c>
      <c r="L820" t="s">
        <v>422</v>
      </c>
      <c r="M820" t="s">
        <v>2195</v>
      </c>
      <c r="N820" t="s">
        <v>190</v>
      </c>
      <c r="O820" t="s">
        <v>193</v>
      </c>
      <c r="P820" t="str">
        <f t="shared" si="226"/>
        <v>[1]</v>
      </c>
      <c r="Q820">
        <f t="shared" si="227"/>
        <v>56</v>
      </c>
      <c r="R820" t="str">
        <f t="shared" si="228"/>
        <v/>
      </c>
      <c r="S820">
        <f>SUMIF(O820:$O$2855,R820,Q820:$Q$2855)</f>
        <v>0</v>
      </c>
    </row>
    <row r="821" spans="11:19" x14ac:dyDescent="0.25">
      <c r="K821" s="4" t="s">
        <v>421</v>
      </c>
      <c r="L821" t="s">
        <v>422</v>
      </c>
      <c r="M821" t="s">
        <v>1819</v>
      </c>
      <c r="N821" t="s">
        <v>76</v>
      </c>
      <c r="O821" t="s">
        <v>193</v>
      </c>
      <c r="P821" t="str">
        <f t="shared" si="226"/>
        <v>[1]</v>
      </c>
      <c r="Q821">
        <f t="shared" si="227"/>
        <v>36</v>
      </c>
      <c r="R821" t="str">
        <f t="shared" si="228"/>
        <v/>
      </c>
      <c r="S821">
        <f>SUMIF(O821:$O$2855,R821,Q821:$Q$2855)</f>
        <v>0</v>
      </c>
    </row>
    <row r="822" spans="11:19" x14ac:dyDescent="0.25">
      <c r="K822" s="4" t="s">
        <v>421</v>
      </c>
      <c r="L822" t="s">
        <v>422</v>
      </c>
      <c r="M822" t="s">
        <v>2196</v>
      </c>
      <c r="N822" t="s">
        <v>237</v>
      </c>
      <c r="O822" t="s">
        <v>193</v>
      </c>
      <c r="P822" t="str">
        <f t="shared" si="226"/>
        <v>[1]</v>
      </c>
      <c r="Q822">
        <f t="shared" si="227"/>
        <v>52</v>
      </c>
      <c r="R822" t="str">
        <f t="shared" si="228"/>
        <v/>
      </c>
      <c r="S822">
        <f>SUMIF(O822:$O$2855,R822,Q822:$Q$2855)</f>
        <v>0</v>
      </c>
    </row>
    <row r="823" spans="11:19" x14ac:dyDescent="0.25">
      <c r="K823" s="4" t="s">
        <v>421</v>
      </c>
      <c r="L823" t="s">
        <v>422</v>
      </c>
      <c r="M823" t="s">
        <v>2197</v>
      </c>
      <c r="N823" t="s">
        <v>67</v>
      </c>
      <c r="O823" t="s">
        <v>193</v>
      </c>
      <c r="P823" t="str">
        <f t="shared" si="226"/>
        <v>[1]</v>
      </c>
      <c r="Q823">
        <f t="shared" si="227"/>
        <v>48</v>
      </c>
      <c r="R823" t="str">
        <f t="shared" si="228"/>
        <v/>
      </c>
      <c r="S823">
        <f>SUMIF(O823:$O$2855,R823,Q823:$Q$2855)</f>
        <v>0</v>
      </c>
    </row>
    <row r="824" spans="11:19" x14ac:dyDescent="0.25">
      <c r="K824" s="4" t="s">
        <v>421</v>
      </c>
      <c r="L824" t="s">
        <v>422</v>
      </c>
      <c r="M824" t="s">
        <v>2198</v>
      </c>
      <c r="N824" t="s">
        <v>437</v>
      </c>
      <c r="O824" t="s">
        <v>193</v>
      </c>
      <c r="P824" t="str">
        <f t="shared" si="226"/>
        <v>[1]</v>
      </c>
      <c r="Q824">
        <f t="shared" si="227"/>
        <v>24</v>
      </c>
      <c r="R824" t="str">
        <f t="shared" si="228"/>
        <v/>
      </c>
      <c r="S824">
        <f>SUMIF(O824:$O$2855,R824,Q824:$Q$2855)</f>
        <v>0</v>
      </c>
    </row>
    <row r="825" spans="11:19" x14ac:dyDescent="0.25">
      <c r="K825" s="4" t="s">
        <v>421</v>
      </c>
      <c r="L825" t="s">
        <v>422</v>
      </c>
      <c r="M825" t="s">
        <v>2199</v>
      </c>
      <c r="N825" t="s">
        <v>190</v>
      </c>
      <c r="O825" t="s">
        <v>193</v>
      </c>
      <c r="P825" t="str">
        <f t="shared" si="226"/>
        <v>[1]</v>
      </c>
      <c r="Q825">
        <f t="shared" si="227"/>
        <v>56</v>
      </c>
      <c r="R825" t="str">
        <f t="shared" si="228"/>
        <v/>
      </c>
      <c r="S825">
        <f>SUMIF(O825:$O$2855,R825,Q825:$Q$2855)</f>
        <v>0</v>
      </c>
    </row>
    <row r="826" spans="11:19" x14ac:dyDescent="0.25">
      <c r="K826" s="4" t="s">
        <v>421</v>
      </c>
      <c r="L826" t="s">
        <v>422</v>
      </c>
      <c r="M826" t="s">
        <v>2200</v>
      </c>
      <c r="N826" t="s">
        <v>190</v>
      </c>
      <c r="O826" t="s">
        <v>193</v>
      </c>
      <c r="P826" t="str">
        <f t="shared" si="226"/>
        <v>[1]</v>
      </c>
      <c r="Q826">
        <f t="shared" si="227"/>
        <v>56</v>
      </c>
      <c r="R826" t="str">
        <f t="shared" si="228"/>
        <v/>
      </c>
      <c r="S826">
        <f>SUMIF(O826:$O$2855,R826,Q826:$Q$2855)</f>
        <v>0</v>
      </c>
    </row>
    <row r="827" spans="11:19" x14ac:dyDescent="0.25">
      <c r="K827" s="4" t="s">
        <v>421</v>
      </c>
      <c r="L827" t="s">
        <v>422</v>
      </c>
      <c r="M827" t="s">
        <v>2201</v>
      </c>
      <c r="N827" t="s">
        <v>165</v>
      </c>
      <c r="O827" t="s">
        <v>193</v>
      </c>
      <c r="P827" t="str">
        <f t="shared" si="226"/>
        <v>[1]</v>
      </c>
      <c r="Q827">
        <f t="shared" si="227"/>
        <v>20</v>
      </c>
      <c r="R827" t="str">
        <f t="shared" si="228"/>
        <v/>
      </c>
      <c r="S827">
        <f>SUMIF(O827:$O$2855,R827,Q827:$Q$2855)</f>
        <v>0</v>
      </c>
    </row>
    <row r="828" spans="11:19" x14ac:dyDescent="0.25">
      <c r="K828" s="4" t="s">
        <v>421</v>
      </c>
      <c r="L828" t="s">
        <v>422</v>
      </c>
      <c r="M828" t="s">
        <v>2202</v>
      </c>
      <c r="N828" t="s">
        <v>65</v>
      </c>
      <c r="O828" t="s">
        <v>193</v>
      </c>
      <c r="P828" t="str">
        <f t="shared" si="226"/>
        <v>[1]</v>
      </c>
      <c r="Q828">
        <f t="shared" si="227"/>
        <v>40</v>
      </c>
      <c r="R828" t="str">
        <f t="shared" si="228"/>
        <v/>
      </c>
      <c r="S828">
        <f>SUMIF(O828:$O$2855,R828,Q828:$Q$2855)</f>
        <v>0</v>
      </c>
    </row>
    <row r="829" spans="11:19" x14ac:dyDescent="0.25">
      <c r="K829" s="4" t="s">
        <v>421</v>
      </c>
      <c r="L829" t="s">
        <v>422</v>
      </c>
      <c r="M829" t="s">
        <v>2203</v>
      </c>
      <c r="N829" t="s">
        <v>202</v>
      </c>
      <c r="O829" t="s">
        <v>193</v>
      </c>
      <c r="P829" t="str">
        <f t="shared" si="226"/>
        <v>[1]</v>
      </c>
      <c r="Q829">
        <f t="shared" si="227"/>
        <v>16</v>
      </c>
      <c r="R829" t="str">
        <f t="shared" si="228"/>
        <v/>
      </c>
      <c r="S829">
        <f>SUMIF(O829:$O$2855,R829,Q829:$Q$2855)</f>
        <v>0</v>
      </c>
    </row>
    <row r="830" spans="11:19" x14ac:dyDescent="0.25">
      <c r="K830" s="4" t="s">
        <v>421</v>
      </c>
      <c r="L830" t="s">
        <v>422</v>
      </c>
      <c r="M830" t="s">
        <v>2204</v>
      </c>
      <c r="N830" t="s">
        <v>13</v>
      </c>
      <c r="O830" t="s">
        <v>193</v>
      </c>
      <c r="P830" t="str">
        <f t="shared" si="226"/>
        <v>[1]</v>
      </c>
      <c r="Q830">
        <f t="shared" si="227"/>
        <v>12</v>
      </c>
      <c r="R830" t="str">
        <f t="shared" si="228"/>
        <v/>
      </c>
      <c r="S830">
        <f>SUMIF(O830:$O$2855,R830,Q830:$Q$2855)</f>
        <v>0</v>
      </c>
    </row>
    <row r="831" spans="11:19" x14ac:dyDescent="0.25">
      <c r="K831" s="4" t="s">
        <v>421</v>
      </c>
      <c r="L831" t="s">
        <v>422</v>
      </c>
      <c r="M831" t="s">
        <v>2205</v>
      </c>
      <c r="N831" t="s">
        <v>147</v>
      </c>
      <c r="O831" t="s">
        <v>193</v>
      </c>
      <c r="P831" t="str">
        <f t="shared" si="226"/>
        <v>[1]</v>
      </c>
      <c r="Q831">
        <f t="shared" si="227"/>
        <v>72</v>
      </c>
      <c r="R831" t="str">
        <f t="shared" si="228"/>
        <v/>
      </c>
      <c r="S831">
        <f>SUMIF(O831:$O$2855,R831,Q831:$Q$2855)</f>
        <v>0</v>
      </c>
    </row>
    <row r="832" spans="11:19" x14ac:dyDescent="0.25">
      <c r="K832" s="4" t="s">
        <v>421</v>
      </c>
      <c r="L832" t="s">
        <v>422</v>
      </c>
      <c r="M832" t="s">
        <v>2206</v>
      </c>
      <c r="N832" t="s">
        <v>202</v>
      </c>
      <c r="O832" t="s">
        <v>195</v>
      </c>
      <c r="P832" t="str">
        <f t="shared" si="226"/>
        <v>[1]</v>
      </c>
      <c r="Q832">
        <f t="shared" si="227"/>
        <v>16</v>
      </c>
      <c r="R832" t="str">
        <f t="shared" si="228"/>
        <v>dfwtd_config.o</v>
      </c>
      <c r="S832">
        <f>SUMIF(O832:$O$2855,R832,Q832:$Q$2855)</f>
        <v>76</v>
      </c>
    </row>
    <row r="833" spans="11:19" x14ac:dyDescent="0.25">
      <c r="K833" s="4" t="s">
        <v>421</v>
      </c>
      <c r="L833" t="s">
        <v>422</v>
      </c>
      <c r="M833" t="s">
        <v>2207</v>
      </c>
      <c r="N833" t="s">
        <v>119</v>
      </c>
      <c r="O833" t="s">
        <v>195</v>
      </c>
      <c r="P833" t="str">
        <f t="shared" si="226"/>
        <v>[1]</v>
      </c>
      <c r="Q833">
        <f t="shared" si="227"/>
        <v>32</v>
      </c>
      <c r="R833" t="str">
        <f t="shared" si="228"/>
        <v/>
      </c>
      <c r="S833">
        <f>SUMIF(O833:$O$2855,R833,Q833:$Q$2855)</f>
        <v>0</v>
      </c>
    </row>
    <row r="834" spans="11:19" x14ac:dyDescent="0.25">
      <c r="K834" s="4" t="s">
        <v>421</v>
      </c>
      <c r="L834" t="s">
        <v>422</v>
      </c>
      <c r="M834" t="s">
        <v>2208</v>
      </c>
      <c r="N834" t="s">
        <v>6</v>
      </c>
      <c r="O834" t="s">
        <v>195</v>
      </c>
      <c r="P834" t="str">
        <f t="shared" ref="P834:P897" si="229">VLOOKUP($K$30,$E$1:$F$26,2,FALSE)</f>
        <v>[1]</v>
      </c>
      <c r="Q834">
        <f t="shared" si="227"/>
        <v>28</v>
      </c>
      <c r="R834" t="str">
        <f t="shared" si="228"/>
        <v/>
      </c>
      <c r="S834">
        <f>SUMIF(O834:$O$2855,R834,Q834:$Q$2855)</f>
        <v>0</v>
      </c>
    </row>
    <row r="835" spans="11:19" x14ac:dyDescent="0.25">
      <c r="K835" s="4" t="s">
        <v>421</v>
      </c>
      <c r="L835" t="s">
        <v>422</v>
      </c>
      <c r="M835" t="s">
        <v>2268</v>
      </c>
      <c r="N835" t="s">
        <v>6</v>
      </c>
      <c r="O835" t="s">
        <v>137</v>
      </c>
      <c r="P835" t="str">
        <f t="shared" si="229"/>
        <v>[1]</v>
      </c>
      <c r="Q835">
        <f t="shared" ref="Q835:Q898" si="230">HEX2DEC(MID(N835,3,LEN(N835)-2))</f>
        <v>28</v>
      </c>
      <c r="R835" t="str">
        <f t="shared" si="228"/>
        <v>dtls.o</v>
      </c>
      <c r="S835">
        <f>SUMIF(O835:$O$2855,R835,Q835:$Q$2855)</f>
        <v>3420</v>
      </c>
    </row>
    <row r="836" spans="11:19" x14ac:dyDescent="0.25">
      <c r="K836" s="4" t="s">
        <v>421</v>
      </c>
      <c r="L836" t="s">
        <v>422</v>
      </c>
      <c r="M836" t="s">
        <v>2269</v>
      </c>
      <c r="N836" t="s">
        <v>13</v>
      </c>
      <c r="O836" t="s">
        <v>137</v>
      </c>
      <c r="P836" t="str">
        <f t="shared" si="229"/>
        <v>[1]</v>
      </c>
      <c r="Q836">
        <f t="shared" si="230"/>
        <v>12</v>
      </c>
      <c r="R836" t="str">
        <f t="shared" si="228"/>
        <v/>
      </c>
      <c r="S836">
        <f>SUMIF(O836:$O$2855,R836,Q836:$Q$2855)</f>
        <v>0</v>
      </c>
    </row>
    <row r="837" spans="11:19" x14ac:dyDescent="0.25">
      <c r="K837" s="4" t="s">
        <v>421</v>
      </c>
      <c r="L837" t="s">
        <v>422</v>
      </c>
      <c r="M837" t="s">
        <v>2270</v>
      </c>
      <c r="N837" t="s">
        <v>13</v>
      </c>
      <c r="O837" t="s">
        <v>137</v>
      </c>
      <c r="P837" t="str">
        <f t="shared" si="229"/>
        <v>[1]</v>
      </c>
      <c r="Q837">
        <f t="shared" si="230"/>
        <v>12</v>
      </c>
      <c r="R837" t="str">
        <f t="shared" si="228"/>
        <v/>
      </c>
      <c r="S837">
        <f>SUMIF(O837:$O$2855,R837,Q837:$Q$2855)</f>
        <v>0</v>
      </c>
    </row>
    <row r="838" spans="11:19" x14ac:dyDescent="0.25">
      <c r="K838" s="4" t="s">
        <v>421</v>
      </c>
      <c r="L838" t="s">
        <v>422</v>
      </c>
      <c r="M838" t="s">
        <v>2271</v>
      </c>
      <c r="N838" t="s">
        <v>437</v>
      </c>
      <c r="O838" t="s">
        <v>137</v>
      </c>
      <c r="P838" t="str">
        <f t="shared" si="229"/>
        <v>[1]</v>
      </c>
      <c r="Q838">
        <f t="shared" si="230"/>
        <v>24</v>
      </c>
      <c r="R838" t="str">
        <f t="shared" si="228"/>
        <v/>
      </c>
      <c r="S838">
        <f>SUMIF(O838:$O$2855,R838,Q838:$Q$2855)</f>
        <v>0</v>
      </c>
    </row>
    <row r="839" spans="11:19" x14ac:dyDescent="0.25">
      <c r="K839" s="4" t="s">
        <v>421</v>
      </c>
      <c r="L839" t="s">
        <v>422</v>
      </c>
      <c r="M839" t="s">
        <v>2272</v>
      </c>
      <c r="N839" t="s">
        <v>126</v>
      </c>
      <c r="O839" t="s">
        <v>137</v>
      </c>
      <c r="P839" t="str">
        <f t="shared" si="229"/>
        <v>[1]</v>
      </c>
      <c r="Q839">
        <f t="shared" si="230"/>
        <v>8</v>
      </c>
      <c r="R839" t="str">
        <f t="shared" si="228"/>
        <v/>
      </c>
      <c r="S839">
        <f>SUMIF(O839:$O$2855,R839,Q839:$Q$2855)</f>
        <v>0</v>
      </c>
    </row>
    <row r="840" spans="11:19" x14ac:dyDescent="0.25">
      <c r="K840" s="4" t="s">
        <v>421</v>
      </c>
      <c r="L840" t="s">
        <v>422</v>
      </c>
      <c r="M840" t="s">
        <v>2273</v>
      </c>
      <c r="N840" t="s">
        <v>103</v>
      </c>
      <c r="O840" t="s">
        <v>137</v>
      </c>
      <c r="P840" t="str">
        <f t="shared" si="229"/>
        <v>[1]</v>
      </c>
      <c r="Q840">
        <f t="shared" si="230"/>
        <v>64</v>
      </c>
      <c r="R840" t="str">
        <f t="shared" si="228"/>
        <v/>
      </c>
      <c r="S840">
        <f>SUMIF(O840:$O$2855,R840,Q840:$Q$2855)</f>
        <v>0</v>
      </c>
    </row>
    <row r="841" spans="11:19" x14ac:dyDescent="0.25">
      <c r="K841" s="4" t="s">
        <v>421</v>
      </c>
      <c r="L841" t="s">
        <v>422</v>
      </c>
      <c r="M841" t="s">
        <v>2274</v>
      </c>
      <c r="N841" t="s">
        <v>119</v>
      </c>
      <c r="O841" t="s">
        <v>137</v>
      </c>
      <c r="P841" t="str">
        <f t="shared" si="229"/>
        <v>[1]</v>
      </c>
      <c r="Q841">
        <f t="shared" si="230"/>
        <v>32</v>
      </c>
      <c r="R841" t="str">
        <f t="shared" si="228"/>
        <v/>
      </c>
      <c r="S841">
        <f>SUMIF(O841:$O$2855,R841,Q841:$Q$2855)</f>
        <v>0</v>
      </c>
    </row>
    <row r="842" spans="11:19" x14ac:dyDescent="0.25">
      <c r="K842" s="4" t="s">
        <v>421</v>
      </c>
      <c r="L842" t="s">
        <v>422</v>
      </c>
      <c r="M842" t="s">
        <v>2275</v>
      </c>
      <c r="N842" t="s">
        <v>437</v>
      </c>
      <c r="O842" t="s">
        <v>137</v>
      </c>
      <c r="P842" t="str">
        <f t="shared" si="229"/>
        <v>[1]</v>
      </c>
      <c r="Q842">
        <f t="shared" si="230"/>
        <v>24</v>
      </c>
      <c r="R842" t="str">
        <f t="shared" si="228"/>
        <v/>
      </c>
      <c r="S842">
        <f>SUMIF(O842:$O$2855,R842,Q842:$Q$2855)</f>
        <v>0</v>
      </c>
    </row>
    <row r="843" spans="11:19" x14ac:dyDescent="0.25">
      <c r="K843" s="4" t="s">
        <v>421</v>
      </c>
      <c r="L843" t="s">
        <v>422</v>
      </c>
      <c r="M843" t="s">
        <v>2276</v>
      </c>
      <c r="N843" t="s">
        <v>67</v>
      </c>
      <c r="O843" t="s">
        <v>137</v>
      </c>
      <c r="P843" t="str">
        <f t="shared" si="229"/>
        <v>[1]</v>
      </c>
      <c r="Q843">
        <f t="shared" si="230"/>
        <v>48</v>
      </c>
      <c r="R843" t="str">
        <f t="shared" si="228"/>
        <v/>
      </c>
      <c r="S843">
        <f>SUMIF(O843:$O$2855,R843,Q843:$Q$2855)</f>
        <v>0</v>
      </c>
    </row>
    <row r="844" spans="11:19" x14ac:dyDescent="0.25">
      <c r="K844" s="4" t="s">
        <v>421</v>
      </c>
      <c r="L844" t="s">
        <v>422</v>
      </c>
      <c r="M844" t="s">
        <v>2277</v>
      </c>
      <c r="N844" t="s">
        <v>65</v>
      </c>
      <c r="O844" t="s">
        <v>137</v>
      </c>
      <c r="P844" t="str">
        <f t="shared" si="229"/>
        <v>[1]</v>
      </c>
      <c r="Q844">
        <f t="shared" si="230"/>
        <v>40</v>
      </c>
      <c r="R844" t="str">
        <f t="shared" si="228"/>
        <v/>
      </c>
      <c r="S844">
        <f>SUMIF(O844:$O$2855,R844,Q844:$Q$2855)</f>
        <v>0</v>
      </c>
    </row>
    <row r="845" spans="11:19" x14ac:dyDescent="0.25">
      <c r="K845" s="4" t="s">
        <v>421</v>
      </c>
      <c r="L845" t="s">
        <v>422</v>
      </c>
      <c r="M845" t="s">
        <v>2278</v>
      </c>
      <c r="N845" t="s">
        <v>44</v>
      </c>
      <c r="O845" t="s">
        <v>137</v>
      </c>
      <c r="P845" t="str">
        <f t="shared" si="229"/>
        <v>[1]</v>
      </c>
      <c r="Q845">
        <f t="shared" si="230"/>
        <v>44</v>
      </c>
      <c r="R845" t="str">
        <f t="shared" si="228"/>
        <v/>
      </c>
      <c r="S845">
        <f>SUMIF(O845:$O$2855,R845,Q845:$Q$2855)</f>
        <v>0</v>
      </c>
    </row>
    <row r="846" spans="11:19" x14ac:dyDescent="0.25">
      <c r="K846" s="4" t="s">
        <v>421</v>
      </c>
      <c r="L846" t="s">
        <v>422</v>
      </c>
      <c r="M846" t="s">
        <v>2279</v>
      </c>
      <c r="N846" t="s">
        <v>437</v>
      </c>
      <c r="O846" t="s">
        <v>137</v>
      </c>
      <c r="P846" t="str">
        <f t="shared" si="229"/>
        <v>[1]</v>
      </c>
      <c r="Q846">
        <f t="shared" si="230"/>
        <v>24</v>
      </c>
      <c r="R846" t="str">
        <f t="shared" si="228"/>
        <v/>
      </c>
      <c r="S846">
        <f>SUMIF(O846:$O$2855,R846,Q846:$Q$2855)</f>
        <v>0</v>
      </c>
    </row>
    <row r="847" spans="11:19" x14ac:dyDescent="0.25">
      <c r="K847" s="4" t="s">
        <v>421</v>
      </c>
      <c r="L847" t="s">
        <v>422</v>
      </c>
      <c r="M847" t="s">
        <v>2280</v>
      </c>
      <c r="N847" t="s">
        <v>76</v>
      </c>
      <c r="O847" t="s">
        <v>137</v>
      </c>
      <c r="P847" t="str">
        <f t="shared" si="229"/>
        <v>[1]</v>
      </c>
      <c r="Q847">
        <f t="shared" si="230"/>
        <v>36</v>
      </c>
      <c r="R847" t="str">
        <f t="shared" si="228"/>
        <v/>
      </c>
      <c r="S847">
        <f>SUMIF(O847:$O$2855,R847,Q847:$Q$2855)</f>
        <v>0</v>
      </c>
    </row>
    <row r="848" spans="11:19" x14ac:dyDescent="0.25">
      <c r="K848" s="4" t="s">
        <v>421</v>
      </c>
      <c r="L848" t="s">
        <v>422</v>
      </c>
      <c r="M848" t="s">
        <v>2281</v>
      </c>
      <c r="N848" t="s">
        <v>6</v>
      </c>
      <c r="O848" t="s">
        <v>137</v>
      </c>
      <c r="P848" t="str">
        <f t="shared" si="229"/>
        <v>[1]</v>
      </c>
      <c r="Q848">
        <f t="shared" si="230"/>
        <v>28</v>
      </c>
      <c r="R848" t="str">
        <f t="shared" si="228"/>
        <v/>
      </c>
      <c r="S848">
        <f>SUMIF(O848:$O$2855,R848,Q848:$Q$2855)</f>
        <v>0</v>
      </c>
    </row>
    <row r="849" spans="11:19" x14ac:dyDescent="0.25">
      <c r="K849" s="4" t="s">
        <v>421</v>
      </c>
      <c r="L849" t="s">
        <v>422</v>
      </c>
      <c r="M849" t="s">
        <v>2282</v>
      </c>
      <c r="N849" t="s">
        <v>165</v>
      </c>
      <c r="O849" t="s">
        <v>137</v>
      </c>
      <c r="P849" t="str">
        <f t="shared" si="229"/>
        <v>[1]</v>
      </c>
      <c r="Q849">
        <f t="shared" si="230"/>
        <v>20</v>
      </c>
      <c r="R849" t="str">
        <f t="shared" si="228"/>
        <v/>
      </c>
      <c r="S849">
        <f>SUMIF(O849:$O$2855,R849,Q849:$Q$2855)</f>
        <v>0</v>
      </c>
    </row>
    <row r="850" spans="11:19" x14ac:dyDescent="0.25">
      <c r="K850" s="4" t="s">
        <v>421</v>
      </c>
      <c r="L850" t="s">
        <v>422</v>
      </c>
      <c r="M850" t="s">
        <v>2283</v>
      </c>
      <c r="N850" t="s">
        <v>65</v>
      </c>
      <c r="O850" t="s">
        <v>137</v>
      </c>
      <c r="P850" t="str">
        <f t="shared" si="229"/>
        <v>[1]</v>
      </c>
      <c r="Q850">
        <f t="shared" si="230"/>
        <v>40</v>
      </c>
      <c r="R850" t="str">
        <f t="shared" si="228"/>
        <v/>
      </c>
      <c r="S850">
        <f>SUMIF(O850:$O$2855,R850,Q850:$Q$2855)</f>
        <v>0</v>
      </c>
    </row>
    <row r="851" spans="11:19" x14ac:dyDescent="0.25">
      <c r="K851" s="4" t="s">
        <v>421</v>
      </c>
      <c r="L851" t="s">
        <v>422</v>
      </c>
      <c r="M851" t="s">
        <v>2284</v>
      </c>
      <c r="N851" t="s">
        <v>44</v>
      </c>
      <c r="O851" t="s">
        <v>137</v>
      </c>
      <c r="P851" t="str">
        <f t="shared" si="229"/>
        <v>[1]</v>
      </c>
      <c r="Q851">
        <f t="shared" si="230"/>
        <v>44</v>
      </c>
      <c r="R851" t="str">
        <f t="shared" si="228"/>
        <v/>
      </c>
      <c r="S851">
        <f>SUMIF(O851:$O$2855,R851,Q851:$Q$2855)</f>
        <v>0</v>
      </c>
    </row>
    <row r="852" spans="11:19" x14ac:dyDescent="0.25">
      <c r="K852" s="4" t="s">
        <v>421</v>
      </c>
      <c r="L852" t="s">
        <v>422</v>
      </c>
      <c r="M852" t="s">
        <v>2285</v>
      </c>
      <c r="N852" t="s">
        <v>44</v>
      </c>
      <c r="O852" t="s">
        <v>137</v>
      </c>
      <c r="P852" t="str">
        <f t="shared" si="229"/>
        <v>[1]</v>
      </c>
      <c r="Q852">
        <f t="shared" si="230"/>
        <v>44</v>
      </c>
      <c r="R852" t="str">
        <f t="shared" si="228"/>
        <v/>
      </c>
      <c r="S852">
        <f>SUMIF(O852:$O$2855,R852,Q852:$Q$2855)</f>
        <v>0</v>
      </c>
    </row>
    <row r="853" spans="11:19" x14ac:dyDescent="0.25">
      <c r="K853" s="4" t="s">
        <v>421</v>
      </c>
      <c r="L853" t="s">
        <v>422</v>
      </c>
      <c r="M853" t="s">
        <v>2286</v>
      </c>
      <c r="N853" t="s">
        <v>76</v>
      </c>
      <c r="O853" t="s">
        <v>137</v>
      </c>
      <c r="P853" t="str">
        <f t="shared" si="229"/>
        <v>[1]</v>
      </c>
      <c r="Q853">
        <f t="shared" si="230"/>
        <v>36</v>
      </c>
      <c r="R853" t="str">
        <f t="shared" si="228"/>
        <v/>
      </c>
      <c r="S853">
        <f>SUMIF(O853:$O$2855,R853,Q853:$Q$2855)</f>
        <v>0</v>
      </c>
    </row>
    <row r="854" spans="11:19" x14ac:dyDescent="0.25">
      <c r="K854" s="4" t="s">
        <v>421</v>
      </c>
      <c r="L854" t="s">
        <v>422</v>
      </c>
      <c r="M854" t="s">
        <v>2287</v>
      </c>
      <c r="N854" t="s">
        <v>119</v>
      </c>
      <c r="O854" t="s">
        <v>137</v>
      </c>
      <c r="P854" t="str">
        <f t="shared" si="229"/>
        <v>[1]</v>
      </c>
      <c r="Q854">
        <f t="shared" si="230"/>
        <v>32</v>
      </c>
      <c r="R854" t="str">
        <f t="shared" si="228"/>
        <v/>
      </c>
      <c r="S854">
        <f>SUMIF(O854:$O$2855,R854,Q854:$Q$2855)</f>
        <v>0</v>
      </c>
    </row>
    <row r="855" spans="11:19" x14ac:dyDescent="0.25">
      <c r="K855" s="4" t="s">
        <v>421</v>
      </c>
      <c r="L855" t="s">
        <v>422</v>
      </c>
      <c r="M855" t="s">
        <v>2288</v>
      </c>
      <c r="N855" t="s">
        <v>126</v>
      </c>
      <c r="O855" t="s">
        <v>137</v>
      </c>
      <c r="P855" t="str">
        <f t="shared" si="229"/>
        <v>[1]</v>
      </c>
      <c r="Q855">
        <f t="shared" si="230"/>
        <v>8</v>
      </c>
      <c r="R855" t="str">
        <f t="shared" si="228"/>
        <v/>
      </c>
      <c r="S855">
        <f>SUMIF(O855:$O$2855,R855,Q855:$Q$2855)</f>
        <v>0</v>
      </c>
    </row>
    <row r="856" spans="11:19" x14ac:dyDescent="0.25">
      <c r="K856" s="4" t="s">
        <v>421</v>
      </c>
      <c r="L856" t="s">
        <v>422</v>
      </c>
      <c r="M856" t="s">
        <v>2289</v>
      </c>
      <c r="N856" t="s">
        <v>126</v>
      </c>
      <c r="O856" t="s">
        <v>137</v>
      </c>
      <c r="P856" t="str">
        <f t="shared" si="229"/>
        <v>[1]</v>
      </c>
      <c r="Q856">
        <f t="shared" si="230"/>
        <v>8</v>
      </c>
      <c r="R856" t="str">
        <f t="shared" si="228"/>
        <v/>
      </c>
      <c r="S856">
        <f>SUMIF(O856:$O$2855,R856,Q856:$Q$2855)</f>
        <v>0</v>
      </c>
    </row>
    <row r="857" spans="11:19" x14ac:dyDescent="0.25">
      <c r="K857" s="4" t="s">
        <v>421</v>
      </c>
      <c r="L857" t="s">
        <v>422</v>
      </c>
      <c r="M857" t="s">
        <v>2290</v>
      </c>
      <c r="N857" t="s">
        <v>435</v>
      </c>
      <c r="O857" t="s">
        <v>137</v>
      </c>
      <c r="P857" t="str">
        <f t="shared" si="229"/>
        <v>[1]</v>
      </c>
      <c r="Q857">
        <f t="shared" si="230"/>
        <v>60</v>
      </c>
      <c r="R857" t="str">
        <f t="shared" si="228"/>
        <v/>
      </c>
      <c r="S857">
        <f>SUMIF(O857:$O$2855,R857,Q857:$Q$2855)</f>
        <v>0</v>
      </c>
    </row>
    <row r="858" spans="11:19" x14ac:dyDescent="0.25">
      <c r="K858" s="4" t="s">
        <v>421</v>
      </c>
      <c r="L858" t="s">
        <v>422</v>
      </c>
      <c r="M858" t="s">
        <v>2291</v>
      </c>
      <c r="N858" t="s">
        <v>124</v>
      </c>
      <c r="O858" t="s">
        <v>137</v>
      </c>
      <c r="P858" t="str">
        <f t="shared" si="229"/>
        <v>[1]</v>
      </c>
      <c r="Q858">
        <f t="shared" si="230"/>
        <v>68</v>
      </c>
      <c r="R858" t="str">
        <f t="shared" si="228"/>
        <v/>
      </c>
      <c r="S858">
        <f>SUMIF(O858:$O$2855,R858,Q858:$Q$2855)</f>
        <v>0</v>
      </c>
    </row>
    <row r="859" spans="11:19" x14ac:dyDescent="0.25">
      <c r="K859" s="4" t="s">
        <v>421</v>
      </c>
      <c r="L859" t="s">
        <v>422</v>
      </c>
      <c r="M859" t="s">
        <v>2292</v>
      </c>
      <c r="N859" t="s">
        <v>124</v>
      </c>
      <c r="O859" t="s">
        <v>137</v>
      </c>
      <c r="P859" t="str">
        <f t="shared" si="229"/>
        <v>[1]</v>
      </c>
      <c r="Q859">
        <f t="shared" si="230"/>
        <v>68</v>
      </c>
      <c r="R859" t="str">
        <f t="shared" si="228"/>
        <v/>
      </c>
      <c r="S859">
        <f>SUMIF(O859:$O$2855,R859,Q859:$Q$2855)</f>
        <v>0</v>
      </c>
    </row>
    <row r="860" spans="11:19" x14ac:dyDescent="0.25">
      <c r="K860" s="4" t="s">
        <v>421</v>
      </c>
      <c r="L860" t="s">
        <v>422</v>
      </c>
      <c r="M860" t="s">
        <v>2293</v>
      </c>
      <c r="N860" t="s">
        <v>119</v>
      </c>
      <c r="O860" t="s">
        <v>137</v>
      </c>
      <c r="P860" t="str">
        <f t="shared" si="229"/>
        <v>[1]</v>
      </c>
      <c r="Q860">
        <f t="shared" si="230"/>
        <v>32</v>
      </c>
      <c r="R860" t="str">
        <f t="shared" si="228"/>
        <v/>
      </c>
      <c r="S860">
        <f>SUMIF(O860:$O$2855,R860,Q860:$Q$2855)</f>
        <v>0</v>
      </c>
    </row>
    <row r="861" spans="11:19" x14ac:dyDescent="0.25">
      <c r="K861" s="4" t="s">
        <v>421</v>
      </c>
      <c r="L861" t="s">
        <v>422</v>
      </c>
      <c r="M861" t="s">
        <v>2294</v>
      </c>
      <c r="N861" t="s">
        <v>119</v>
      </c>
      <c r="O861" t="s">
        <v>137</v>
      </c>
      <c r="P861" t="str">
        <f t="shared" si="229"/>
        <v>[1]</v>
      </c>
      <c r="Q861">
        <f t="shared" si="230"/>
        <v>32</v>
      </c>
      <c r="R861" t="str">
        <f t="shared" si="228"/>
        <v/>
      </c>
      <c r="S861">
        <f>SUMIF(O861:$O$2855,R861,Q861:$Q$2855)</f>
        <v>0</v>
      </c>
    </row>
    <row r="862" spans="11:19" x14ac:dyDescent="0.25">
      <c r="K862" s="4" t="s">
        <v>421</v>
      </c>
      <c r="L862" t="s">
        <v>422</v>
      </c>
      <c r="M862" t="s">
        <v>2295</v>
      </c>
      <c r="N862" t="s">
        <v>76</v>
      </c>
      <c r="O862" t="s">
        <v>137</v>
      </c>
      <c r="P862" t="str">
        <f t="shared" si="229"/>
        <v>[1]</v>
      </c>
      <c r="Q862">
        <f t="shared" si="230"/>
        <v>36</v>
      </c>
      <c r="R862" t="str">
        <f t="shared" si="228"/>
        <v/>
      </c>
      <c r="S862">
        <f>SUMIF(O862:$O$2855,R862,Q862:$Q$2855)</f>
        <v>0</v>
      </c>
    </row>
    <row r="863" spans="11:19" x14ac:dyDescent="0.25">
      <c r="K863" s="4" t="s">
        <v>421</v>
      </c>
      <c r="L863" t="s">
        <v>422</v>
      </c>
      <c r="M863" t="s">
        <v>2296</v>
      </c>
      <c r="N863" t="s">
        <v>147</v>
      </c>
      <c r="O863" t="s">
        <v>137</v>
      </c>
      <c r="P863" t="str">
        <f t="shared" si="229"/>
        <v>[1]</v>
      </c>
      <c r="Q863">
        <f t="shared" si="230"/>
        <v>72</v>
      </c>
      <c r="R863" t="str">
        <f t="shared" si="228"/>
        <v/>
      </c>
      <c r="S863">
        <f>SUMIF(O863:$O$2855,R863,Q863:$Q$2855)</f>
        <v>0</v>
      </c>
    </row>
    <row r="864" spans="11:19" x14ac:dyDescent="0.25">
      <c r="K864" s="4" t="s">
        <v>421</v>
      </c>
      <c r="L864" t="s">
        <v>422</v>
      </c>
      <c r="M864" t="s">
        <v>2297</v>
      </c>
      <c r="N864" t="s">
        <v>437</v>
      </c>
      <c r="O864" t="s">
        <v>137</v>
      </c>
      <c r="P864" t="str">
        <f t="shared" si="229"/>
        <v>[1]</v>
      </c>
      <c r="Q864">
        <f t="shared" si="230"/>
        <v>24</v>
      </c>
      <c r="R864" t="str">
        <f t="shared" ref="R864:R927" si="231">IF(O864&lt;&gt;O863,O864,"")</f>
        <v/>
      </c>
      <c r="S864">
        <f>SUMIF(O864:$O$2855,R864,Q864:$Q$2855)</f>
        <v>0</v>
      </c>
    </row>
    <row r="865" spans="11:19" x14ac:dyDescent="0.25">
      <c r="K865" s="4" t="s">
        <v>421</v>
      </c>
      <c r="L865" t="s">
        <v>422</v>
      </c>
      <c r="M865" t="s">
        <v>2298</v>
      </c>
      <c r="N865" t="s">
        <v>6</v>
      </c>
      <c r="O865" t="s">
        <v>137</v>
      </c>
      <c r="P865" t="str">
        <f t="shared" si="229"/>
        <v>[1]</v>
      </c>
      <c r="Q865">
        <f t="shared" si="230"/>
        <v>28</v>
      </c>
      <c r="R865" t="str">
        <f t="shared" si="231"/>
        <v/>
      </c>
      <c r="S865">
        <f>SUMIF(O865:$O$2855,R865,Q865:$Q$2855)</f>
        <v>0</v>
      </c>
    </row>
    <row r="866" spans="11:19" x14ac:dyDescent="0.25">
      <c r="K866" s="4" t="s">
        <v>421</v>
      </c>
      <c r="L866" t="s">
        <v>422</v>
      </c>
      <c r="M866" t="s">
        <v>2299</v>
      </c>
      <c r="N866" t="s">
        <v>76</v>
      </c>
      <c r="O866" t="s">
        <v>137</v>
      </c>
      <c r="P866" t="str">
        <f t="shared" si="229"/>
        <v>[1]</v>
      </c>
      <c r="Q866">
        <f t="shared" si="230"/>
        <v>36</v>
      </c>
      <c r="R866" t="str">
        <f t="shared" si="231"/>
        <v/>
      </c>
      <c r="S866">
        <f>SUMIF(O866:$O$2855,R866,Q866:$Q$2855)</f>
        <v>0</v>
      </c>
    </row>
    <row r="867" spans="11:19" x14ac:dyDescent="0.25">
      <c r="K867" s="4" t="s">
        <v>421</v>
      </c>
      <c r="L867" t="s">
        <v>422</v>
      </c>
      <c r="M867" t="s">
        <v>2300</v>
      </c>
      <c r="N867" t="s">
        <v>65</v>
      </c>
      <c r="O867" t="s">
        <v>137</v>
      </c>
      <c r="P867" t="str">
        <f t="shared" si="229"/>
        <v>[1]</v>
      </c>
      <c r="Q867">
        <f t="shared" si="230"/>
        <v>40</v>
      </c>
      <c r="R867" t="str">
        <f t="shared" si="231"/>
        <v/>
      </c>
      <c r="S867">
        <f>SUMIF(O867:$O$2855,R867,Q867:$Q$2855)</f>
        <v>0</v>
      </c>
    </row>
    <row r="868" spans="11:19" x14ac:dyDescent="0.25">
      <c r="K868" s="4" t="s">
        <v>421</v>
      </c>
      <c r="L868" t="s">
        <v>422</v>
      </c>
      <c r="M868" t="s">
        <v>2301</v>
      </c>
      <c r="N868" t="s">
        <v>119</v>
      </c>
      <c r="O868" t="s">
        <v>137</v>
      </c>
      <c r="P868" t="str">
        <f t="shared" si="229"/>
        <v>[1]</v>
      </c>
      <c r="Q868">
        <f t="shared" si="230"/>
        <v>32</v>
      </c>
      <c r="R868" t="str">
        <f t="shared" si="231"/>
        <v/>
      </c>
      <c r="S868">
        <f>SUMIF(O868:$O$2855,R868,Q868:$Q$2855)</f>
        <v>0</v>
      </c>
    </row>
    <row r="869" spans="11:19" x14ac:dyDescent="0.25">
      <c r="K869" s="4" t="s">
        <v>421</v>
      </c>
      <c r="L869" t="s">
        <v>422</v>
      </c>
      <c r="M869" t="s">
        <v>2302</v>
      </c>
      <c r="N869" t="s">
        <v>44</v>
      </c>
      <c r="O869" t="s">
        <v>137</v>
      </c>
      <c r="P869" t="str">
        <f t="shared" si="229"/>
        <v>[1]</v>
      </c>
      <c r="Q869">
        <f t="shared" si="230"/>
        <v>44</v>
      </c>
      <c r="R869" t="str">
        <f t="shared" si="231"/>
        <v/>
      </c>
      <c r="S869">
        <f>SUMIF(O869:$O$2855,R869,Q869:$Q$2855)</f>
        <v>0</v>
      </c>
    </row>
    <row r="870" spans="11:19" x14ac:dyDescent="0.25">
      <c r="K870" s="4" t="s">
        <v>421</v>
      </c>
      <c r="L870" t="s">
        <v>422</v>
      </c>
      <c r="M870" t="s">
        <v>2303</v>
      </c>
      <c r="N870" t="s">
        <v>165</v>
      </c>
      <c r="O870" t="s">
        <v>137</v>
      </c>
      <c r="P870" t="str">
        <f t="shared" si="229"/>
        <v>[1]</v>
      </c>
      <c r="Q870">
        <f t="shared" si="230"/>
        <v>20</v>
      </c>
      <c r="R870" t="str">
        <f t="shared" si="231"/>
        <v/>
      </c>
      <c r="S870">
        <f>SUMIF(O870:$O$2855,R870,Q870:$Q$2855)</f>
        <v>0</v>
      </c>
    </row>
    <row r="871" spans="11:19" x14ac:dyDescent="0.25">
      <c r="K871" s="4" t="s">
        <v>421</v>
      </c>
      <c r="L871" t="s">
        <v>422</v>
      </c>
      <c r="M871" t="s">
        <v>2304</v>
      </c>
      <c r="N871" t="s">
        <v>124</v>
      </c>
      <c r="O871" t="s">
        <v>137</v>
      </c>
      <c r="P871" t="str">
        <f t="shared" si="229"/>
        <v>[1]</v>
      </c>
      <c r="Q871">
        <f t="shared" si="230"/>
        <v>68</v>
      </c>
      <c r="R871" t="str">
        <f t="shared" si="231"/>
        <v/>
      </c>
      <c r="S871">
        <f>SUMIF(O871:$O$2855,R871,Q871:$Q$2855)</f>
        <v>0</v>
      </c>
    </row>
    <row r="872" spans="11:19" x14ac:dyDescent="0.25">
      <c r="K872" s="4" t="s">
        <v>421</v>
      </c>
      <c r="L872" t="s">
        <v>422</v>
      </c>
      <c r="M872" t="s">
        <v>2305</v>
      </c>
      <c r="N872" t="s">
        <v>89</v>
      </c>
      <c r="O872" t="s">
        <v>137</v>
      </c>
      <c r="P872" t="str">
        <f t="shared" si="229"/>
        <v>[1]</v>
      </c>
      <c r="Q872">
        <f t="shared" si="230"/>
        <v>76</v>
      </c>
      <c r="R872" t="str">
        <f t="shared" si="231"/>
        <v/>
      </c>
      <c r="S872">
        <f>SUMIF(O872:$O$2855,R872,Q872:$Q$2855)</f>
        <v>0</v>
      </c>
    </row>
    <row r="873" spans="11:19" x14ac:dyDescent="0.25">
      <c r="K873" s="4" t="s">
        <v>421</v>
      </c>
      <c r="L873" t="s">
        <v>422</v>
      </c>
      <c r="M873" t="s">
        <v>2306</v>
      </c>
      <c r="N873" t="s">
        <v>437</v>
      </c>
      <c r="O873" t="s">
        <v>137</v>
      </c>
      <c r="P873" t="str">
        <f t="shared" si="229"/>
        <v>[1]</v>
      </c>
      <c r="Q873">
        <f t="shared" si="230"/>
        <v>24</v>
      </c>
      <c r="R873" t="str">
        <f t="shared" si="231"/>
        <v/>
      </c>
      <c r="S873">
        <f>SUMIF(O873:$O$2855,R873,Q873:$Q$2855)</f>
        <v>0</v>
      </c>
    </row>
    <row r="874" spans="11:19" x14ac:dyDescent="0.25">
      <c r="K874" s="4" t="s">
        <v>421</v>
      </c>
      <c r="L874" t="s">
        <v>422</v>
      </c>
      <c r="M874" t="s">
        <v>2307</v>
      </c>
      <c r="N874" t="s">
        <v>437</v>
      </c>
      <c r="O874" t="s">
        <v>137</v>
      </c>
      <c r="P874" t="str">
        <f t="shared" si="229"/>
        <v>[1]</v>
      </c>
      <c r="Q874">
        <f t="shared" si="230"/>
        <v>24</v>
      </c>
      <c r="R874" t="str">
        <f t="shared" si="231"/>
        <v/>
      </c>
      <c r="S874">
        <f>SUMIF(O874:$O$2855,R874,Q874:$Q$2855)</f>
        <v>0</v>
      </c>
    </row>
    <row r="875" spans="11:19" x14ac:dyDescent="0.25">
      <c r="K875" s="4" t="s">
        <v>421</v>
      </c>
      <c r="L875" t="s">
        <v>422</v>
      </c>
      <c r="M875" t="s">
        <v>2308</v>
      </c>
      <c r="N875" t="s">
        <v>119</v>
      </c>
      <c r="O875" t="s">
        <v>137</v>
      </c>
      <c r="P875" t="str">
        <f t="shared" si="229"/>
        <v>[1]</v>
      </c>
      <c r="Q875">
        <f t="shared" si="230"/>
        <v>32</v>
      </c>
      <c r="R875" t="str">
        <f t="shared" si="231"/>
        <v/>
      </c>
      <c r="S875">
        <f>SUMIF(O875:$O$2855,R875,Q875:$Q$2855)</f>
        <v>0</v>
      </c>
    </row>
    <row r="876" spans="11:19" x14ac:dyDescent="0.25">
      <c r="K876" s="4" t="s">
        <v>421</v>
      </c>
      <c r="L876" t="s">
        <v>422</v>
      </c>
      <c r="M876" t="s">
        <v>2309</v>
      </c>
      <c r="N876" t="s">
        <v>237</v>
      </c>
      <c r="O876" t="s">
        <v>137</v>
      </c>
      <c r="P876" t="str">
        <f t="shared" si="229"/>
        <v>[1]</v>
      </c>
      <c r="Q876">
        <f t="shared" si="230"/>
        <v>52</v>
      </c>
      <c r="R876" t="str">
        <f t="shared" si="231"/>
        <v/>
      </c>
      <c r="S876">
        <f>SUMIF(O876:$O$2855,R876,Q876:$Q$2855)</f>
        <v>0</v>
      </c>
    </row>
    <row r="877" spans="11:19" x14ac:dyDescent="0.25">
      <c r="K877" s="4" t="s">
        <v>421</v>
      </c>
      <c r="L877" t="s">
        <v>422</v>
      </c>
      <c r="M877" t="s">
        <v>2310</v>
      </c>
      <c r="N877" t="s">
        <v>437</v>
      </c>
      <c r="O877" t="s">
        <v>137</v>
      </c>
      <c r="P877" t="str">
        <f t="shared" si="229"/>
        <v>[1]</v>
      </c>
      <c r="Q877">
        <f t="shared" si="230"/>
        <v>24</v>
      </c>
      <c r="R877" t="str">
        <f t="shared" si="231"/>
        <v/>
      </c>
      <c r="S877">
        <f>SUMIF(O877:$O$2855,R877,Q877:$Q$2855)</f>
        <v>0</v>
      </c>
    </row>
    <row r="878" spans="11:19" x14ac:dyDescent="0.25">
      <c r="K878" s="4" t="s">
        <v>421</v>
      </c>
      <c r="L878" t="s">
        <v>422</v>
      </c>
      <c r="M878" t="s">
        <v>2311</v>
      </c>
      <c r="N878" t="s">
        <v>6</v>
      </c>
      <c r="O878" t="s">
        <v>137</v>
      </c>
      <c r="P878" t="str">
        <f t="shared" si="229"/>
        <v>[1]</v>
      </c>
      <c r="Q878">
        <f t="shared" si="230"/>
        <v>28</v>
      </c>
      <c r="R878" t="str">
        <f t="shared" si="231"/>
        <v/>
      </c>
      <c r="S878">
        <f>SUMIF(O878:$O$2855,R878,Q878:$Q$2855)</f>
        <v>0</v>
      </c>
    </row>
    <row r="879" spans="11:19" x14ac:dyDescent="0.25">
      <c r="K879" s="4" t="s">
        <v>421</v>
      </c>
      <c r="L879" t="s">
        <v>422</v>
      </c>
      <c r="M879" t="s">
        <v>2312</v>
      </c>
      <c r="N879" t="s">
        <v>435</v>
      </c>
      <c r="O879" t="s">
        <v>137</v>
      </c>
      <c r="P879" t="str">
        <f t="shared" si="229"/>
        <v>[1]</v>
      </c>
      <c r="Q879">
        <f t="shared" si="230"/>
        <v>60</v>
      </c>
      <c r="R879" t="str">
        <f t="shared" si="231"/>
        <v/>
      </c>
      <c r="S879">
        <f>SUMIF(O879:$O$2855,R879,Q879:$Q$2855)</f>
        <v>0</v>
      </c>
    </row>
    <row r="880" spans="11:19" x14ac:dyDescent="0.25">
      <c r="K880" s="4" t="s">
        <v>421</v>
      </c>
      <c r="L880" t="s">
        <v>422</v>
      </c>
      <c r="M880" t="s">
        <v>2313</v>
      </c>
      <c r="N880" t="s">
        <v>67</v>
      </c>
      <c r="O880" t="s">
        <v>137</v>
      </c>
      <c r="P880" t="str">
        <f t="shared" si="229"/>
        <v>[1]</v>
      </c>
      <c r="Q880">
        <f t="shared" si="230"/>
        <v>48</v>
      </c>
      <c r="R880" t="str">
        <f t="shared" si="231"/>
        <v/>
      </c>
      <c r="S880">
        <f>SUMIF(O880:$O$2855,R880,Q880:$Q$2855)</f>
        <v>0</v>
      </c>
    </row>
    <row r="881" spans="11:19" x14ac:dyDescent="0.25">
      <c r="K881" s="4" t="s">
        <v>421</v>
      </c>
      <c r="L881" t="s">
        <v>422</v>
      </c>
      <c r="M881" t="s">
        <v>2314</v>
      </c>
      <c r="N881" t="s">
        <v>237</v>
      </c>
      <c r="O881" t="s">
        <v>137</v>
      </c>
      <c r="P881" t="str">
        <f t="shared" si="229"/>
        <v>[1]</v>
      </c>
      <c r="Q881">
        <f t="shared" si="230"/>
        <v>52</v>
      </c>
      <c r="R881" t="str">
        <f t="shared" si="231"/>
        <v/>
      </c>
      <c r="S881">
        <f>SUMIF(O881:$O$2855,R881,Q881:$Q$2855)</f>
        <v>0</v>
      </c>
    </row>
    <row r="882" spans="11:19" x14ac:dyDescent="0.25">
      <c r="K882" s="4" t="s">
        <v>421</v>
      </c>
      <c r="L882" t="s">
        <v>422</v>
      </c>
      <c r="M882" t="s">
        <v>2315</v>
      </c>
      <c r="N882" t="s">
        <v>67</v>
      </c>
      <c r="O882" t="s">
        <v>137</v>
      </c>
      <c r="P882" t="str">
        <f t="shared" si="229"/>
        <v>[1]</v>
      </c>
      <c r="Q882">
        <f t="shared" si="230"/>
        <v>48</v>
      </c>
      <c r="R882" t="str">
        <f t="shared" si="231"/>
        <v/>
      </c>
      <c r="S882">
        <f>SUMIF(O882:$O$2855,R882,Q882:$Q$2855)</f>
        <v>0</v>
      </c>
    </row>
    <row r="883" spans="11:19" x14ac:dyDescent="0.25">
      <c r="K883" s="4" t="s">
        <v>421</v>
      </c>
      <c r="L883" t="s">
        <v>422</v>
      </c>
      <c r="M883" t="s">
        <v>2316</v>
      </c>
      <c r="N883" t="s">
        <v>44</v>
      </c>
      <c r="O883" t="s">
        <v>137</v>
      </c>
      <c r="P883" t="str">
        <f t="shared" si="229"/>
        <v>[1]</v>
      </c>
      <c r="Q883">
        <f t="shared" si="230"/>
        <v>44</v>
      </c>
      <c r="R883" t="str">
        <f t="shared" si="231"/>
        <v/>
      </c>
      <c r="S883">
        <f>SUMIF(O883:$O$2855,R883,Q883:$Q$2855)</f>
        <v>0</v>
      </c>
    </row>
    <row r="884" spans="11:19" x14ac:dyDescent="0.25">
      <c r="K884" s="4" t="s">
        <v>421</v>
      </c>
      <c r="L884" t="s">
        <v>422</v>
      </c>
      <c r="M884" t="s">
        <v>2317</v>
      </c>
      <c r="N884" t="s">
        <v>76</v>
      </c>
      <c r="O884" t="s">
        <v>137</v>
      </c>
      <c r="P884" t="str">
        <f t="shared" si="229"/>
        <v>[1]</v>
      </c>
      <c r="Q884">
        <f t="shared" si="230"/>
        <v>36</v>
      </c>
      <c r="R884" t="str">
        <f t="shared" si="231"/>
        <v/>
      </c>
      <c r="S884">
        <f>SUMIF(O884:$O$2855,R884,Q884:$Q$2855)</f>
        <v>0</v>
      </c>
    </row>
    <row r="885" spans="11:19" x14ac:dyDescent="0.25">
      <c r="K885" s="4" t="s">
        <v>421</v>
      </c>
      <c r="L885" t="s">
        <v>422</v>
      </c>
      <c r="M885" t="s">
        <v>2318</v>
      </c>
      <c r="N885" t="s">
        <v>103</v>
      </c>
      <c r="O885" t="s">
        <v>137</v>
      </c>
      <c r="P885" t="str">
        <f t="shared" si="229"/>
        <v>[1]</v>
      </c>
      <c r="Q885">
        <f t="shared" si="230"/>
        <v>64</v>
      </c>
      <c r="R885" t="str">
        <f t="shared" si="231"/>
        <v/>
      </c>
      <c r="S885">
        <f>SUMIF(O885:$O$2855,R885,Q885:$Q$2855)</f>
        <v>0</v>
      </c>
    </row>
    <row r="886" spans="11:19" x14ac:dyDescent="0.25">
      <c r="K886" s="4" t="s">
        <v>421</v>
      </c>
      <c r="L886" t="s">
        <v>422</v>
      </c>
      <c r="M886" t="s">
        <v>2319</v>
      </c>
      <c r="N886" t="s">
        <v>6</v>
      </c>
      <c r="O886" t="s">
        <v>137</v>
      </c>
      <c r="P886" t="str">
        <f t="shared" si="229"/>
        <v>[1]</v>
      </c>
      <c r="Q886">
        <f t="shared" si="230"/>
        <v>28</v>
      </c>
      <c r="R886" t="str">
        <f t="shared" si="231"/>
        <v/>
      </c>
      <c r="S886">
        <f>SUMIF(O886:$O$2855,R886,Q886:$Q$2855)</f>
        <v>0</v>
      </c>
    </row>
    <row r="887" spans="11:19" x14ac:dyDescent="0.25">
      <c r="K887" s="4" t="s">
        <v>421</v>
      </c>
      <c r="L887" t="s">
        <v>422</v>
      </c>
      <c r="M887" t="s">
        <v>2320</v>
      </c>
      <c r="N887" t="s">
        <v>103</v>
      </c>
      <c r="O887" t="s">
        <v>137</v>
      </c>
      <c r="P887" t="str">
        <f t="shared" si="229"/>
        <v>[1]</v>
      </c>
      <c r="Q887">
        <f t="shared" si="230"/>
        <v>64</v>
      </c>
      <c r="R887" t="str">
        <f t="shared" si="231"/>
        <v/>
      </c>
      <c r="S887">
        <f>SUMIF(O887:$O$2855,R887,Q887:$Q$2855)</f>
        <v>0</v>
      </c>
    </row>
    <row r="888" spans="11:19" x14ac:dyDescent="0.25">
      <c r="K888" s="4" t="s">
        <v>421</v>
      </c>
      <c r="L888" t="s">
        <v>422</v>
      </c>
      <c r="M888" t="s">
        <v>2321</v>
      </c>
      <c r="N888" t="s">
        <v>119</v>
      </c>
      <c r="O888" t="s">
        <v>137</v>
      </c>
      <c r="P888" t="str">
        <f t="shared" si="229"/>
        <v>[1]</v>
      </c>
      <c r="Q888">
        <f t="shared" si="230"/>
        <v>32</v>
      </c>
      <c r="R888" t="str">
        <f t="shared" si="231"/>
        <v/>
      </c>
      <c r="S888">
        <f>SUMIF(O888:$O$2855,R888,Q888:$Q$2855)</f>
        <v>0</v>
      </c>
    </row>
    <row r="889" spans="11:19" x14ac:dyDescent="0.25">
      <c r="K889" s="4" t="s">
        <v>421</v>
      </c>
      <c r="L889" t="s">
        <v>422</v>
      </c>
      <c r="M889" t="s">
        <v>2322</v>
      </c>
      <c r="N889" t="s">
        <v>165</v>
      </c>
      <c r="O889" t="s">
        <v>137</v>
      </c>
      <c r="P889" t="str">
        <f t="shared" si="229"/>
        <v>[1]</v>
      </c>
      <c r="Q889">
        <f t="shared" si="230"/>
        <v>20</v>
      </c>
      <c r="R889" t="str">
        <f t="shared" si="231"/>
        <v/>
      </c>
      <c r="S889">
        <f>SUMIF(O889:$O$2855,R889,Q889:$Q$2855)</f>
        <v>0</v>
      </c>
    </row>
    <row r="890" spans="11:19" x14ac:dyDescent="0.25">
      <c r="K890" s="4" t="s">
        <v>421</v>
      </c>
      <c r="L890" t="s">
        <v>422</v>
      </c>
      <c r="M890" t="s">
        <v>2323</v>
      </c>
      <c r="N890" t="s">
        <v>437</v>
      </c>
      <c r="O890" t="s">
        <v>137</v>
      </c>
      <c r="P890" t="str">
        <f t="shared" si="229"/>
        <v>[1]</v>
      </c>
      <c r="Q890">
        <f t="shared" si="230"/>
        <v>24</v>
      </c>
      <c r="R890" t="str">
        <f t="shared" si="231"/>
        <v/>
      </c>
      <c r="S890">
        <f>SUMIF(O890:$O$2855,R890,Q890:$Q$2855)</f>
        <v>0</v>
      </c>
    </row>
    <row r="891" spans="11:19" x14ac:dyDescent="0.25">
      <c r="K891" s="4" t="s">
        <v>421</v>
      </c>
      <c r="L891" t="s">
        <v>422</v>
      </c>
      <c r="M891" t="s">
        <v>2324</v>
      </c>
      <c r="N891" t="s">
        <v>437</v>
      </c>
      <c r="O891" t="s">
        <v>137</v>
      </c>
      <c r="P891" t="str">
        <f t="shared" si="229"/>
        <v>[1]</v>
      </c>
      <c r="Q891">
        <f t="shared" si="230"/>
        <v>24</v>
      </c>
      <c r="R891" t="str">
        <f t="shared" si="231"/>
        <v/>
      </c>
      <c r="S891">
        <f>SUMIF(O891:$O$2855,R891,Q891:$Q$2855)</f>
        <v>0</v>
      </c>
    </row>
    <row r="892" spans="11:19" x14ac:dyDescent="0.25">
      <c r="K892" s="4" t="s">
        <v>421</v>
      </c>
      <c r="L892" t="s">
        <v>422</v>
      </c>
      <c r="M892" t="s">
        <v>2325</v>
      </c>
      <c r="N892" t="s">
        <v>437</v>
      </c>
      <c r="O892" t="s">
        <v>137</v>
      </c>
      <c r="P892" t="str">
        <f t="shared" si="229"/>
        <v>[1]</v>
      </c>
      <c r="Q892">
        <f t="shared" si="230"/>
        <v>24</v>
      </c>
      <c r="R892" t="str">
        <f t="shared" si="231"/>
        <v/>
      </c>
      <c r="S892">
        <f>SUMIF(O892:$O$2855,R892,Q892:$Q$2855)</f>
        <v>0</v>
      </c>
    </row>
    <row r="893" spans="11:19" x14ac:dyDescent="0.25">
      <c r="K893" s="4" t="s">
        <v>421</v>
      </c>
      <c r="L893" t="s">
        <v>422</v>
      </c>
      <c r="M893" t="s">
        <v>2326</v>
      </c>
      <c r="N893" t="s">
        <v>437</v>
      </c>
      <c r="O893" t="s">
        <v>137</v>
      </c>
      <c r="P893" t="str">
        <f t="shared" si="229"/>
        <v>[1]</v>
      </c>
      <c r="Q893">
        <f t="shared" si="230"/>
        <v>24</v>
      </c>
      <c r="R893" t="str">
        <f t="shared" si="231"/>
        <v/>
      </c>
      <c r="S893">
        <f>SUMIF(O893:$O$2855,R893,Q893:$Q$2855)</f>
        <v>0</v>
      </c>
    </row>
    <row r="894" spans="11:19" x14ac:dyDescent="0.25">
      <c r="K894" s="4" t="s">
        <v>421</v>
      </c>
      <c r="L894" t="s">
        <v>422</v>
      </c>
      <c r="M894" t="s">
        <v>2327</v>
      </c>
      <c r="N894" t="s">
        <v>437</v>
      </c>
      <c r="O894" t="s">
        <v>137</v>
      </c>
      <c r="P894" t="str">
        <f t="shared" si="229"/>
        <v>[1]</v>
      </c>
      <c r="Q894">
        <f t="shared" si="230"/>
        <v>24</v>
      </c>
      <c r="R894" t="str">
        <f t="shared" si="231"/>
        <v/>
      </c>
      <c r="S894">
        <f>SUMIF(O894:$O$2855,R894,Q894:$Q$2855)</f>
        <v>0</v>
      </c>
    </row>
    <row r="895" spans="11:19" x14ac:dyDescent="0.25">
      <c r="K895" s="4" t="s">
        <v>421</v>
      </c>
      <c r="L895" t="s">
        <v>422</v>
      </c>
      <c r="M895" t="s">
        <v>2328</v>
      </c>
      <c r="N895" t="s">
        <v>437</v>
      </c>
      <c r="O895" t="s">
        <v>137</v>
      </c>
      <c r="P895" t="str">
        <f t="shared" si="229"/>
        <v>[1]</v>
      </c>
      <c r="Q895">
        <f t="shared" si="230"/>
        <v>24</v>
      </c>
      <c r="R895" t="str">
        <f t="shared" si="231"/>
        <v/>
      </c>
      <c r="S895">
        <f>SUMIF(O895:$O$2855,R895,Q895:$Q$2855)</f>
        <v>0</v>
      </c>
    </row>
    <row r="896" spans="11:19" x14ac:dyDescent="0.25">
      <c r="K896" s="4" t="s">
        <v>421</v>
      </c>
      <c r="L896" t="s">
        <v>422</v>
      </c>
      <c r="M896" t="s">
        <v>2329</v>
      </c>
      <c r="N896" t="s">
        <v>437</v>
      </c>
      <c r="O896" t="s">
        <v>137</v>
      </c>
      <c r="P896" t="str">
        <f t="shared" si="229"/>
        <v>[1]</v>
      </c>
      <c r="Q896">
        <f t="shared" si="230"/>
        <v>24</v>
      </c>
      <c r="R896" t="str">
        <f t="shared" si="231"/>
        <v/>
      </c>
      <c r="S896">
        <f>SUMIF(O896:$O$2855,R896,Q896:$Q$2855)</f>
        <v>0</v>
      </c>
    </row>
    <row r="897" spans="11:19" x14ac:dyDescent="0.25">
      <c r="K897" s="4" t="s">
        <v>421</v>
      </c>
      <c r="L897" t="s">
        <v>422</v>
      </c>
      <c r="M897" t="s">
        <v>2330</v>
      </c>
      <c r="N897" t="s">
        <v>437</v>
      </c>
      <c r="O897" t="s">
        <v>137</v>
      </c>
      <c r="P897" t="str">
        <f t="shared" si="229"/>
        <v>[1]</v>
      </c>
      <c r="Q897">
        <f t="shared" si="230"/>
        <v>24</v>
      </c>
      <c r="R897" t="str">
        <f t="shared" si="231"/>
        <v/>
      </c>
      <c r="S897">
        <f>SUMIF(O897:$O$2855,R897,Q897:$Q$2855)</f>
        <v>0</v>
      </c>
    </row>
    <row r="898" spans="11:19" x14ac:dyDescent="0.25">
      <c r="K898" s="4" t="s">
        <v>421</v>
      </c>
      <c r="L898" t="s">
        <v>422</v>
      </c>
      <c r="M898" t="s">
        <v>2331</v>
      </c>
      <c r="N898" t="s">
        <v>6</v>
      </c>
      <c r="O898" t="s">
        <v>137</v>
      </c>
      <c r="P898" t="str">
        <f t="shared" ref="P898:P961" si="232">VLOOKUP($K$30,$E$1:$F$26,2,FALSE)</f>
        <v>[1]</v>
      </c>
      <c r="Q898">
        <f t="shared" si="230"/>
        <v>28</v>
      </c>
      <c r="R898" t="str">
        <f t="shared" si="231"/>
        <v/>
      </c>
      <c r="S898">
        <f>SUMIF(O898:$O$2855,R898,Q898:$Q$2855)</f>
        <v>0</v>
      </c>
    </row>
    <row r="899" spans="11:19" x14ac:dyDescent="0.25">
      <c r="K899" s="4" t="s">
        <v>421</v>
      </c>
      <c r="L899" t="s">
        <v>422</v>
      </c>
      <c r="M899" t="s">
        <v>2332</v>
      </c>
      <c r="N899" t="s">
        <v>6</v>
      </c>
      <c r="O899" t="s">
        <v>137</v>
      </c>
      <c r="P899" t="str">
        <f t="shared" si="232"/>
        <v>[1]</v>
      </c>
      <c r="Q899">
        <f t="shared" ref="Q899:Q962" si="233">HEX2DEC(MID(N899,3,LEN(N899)-2))</f>
        <v>28</v>
      </c>
      <c r="R899" t="str">
        <f t="shared" si="231"/>
        <v/>
      </c>
      <c r="S899">
        <f>SUMIF(O899:$O$2855,R899,Q899:$Q$2855)</f>
        <v>0</v>
      </c>
    </row>
    <row r="900" spans="11:19" x14ac:dyDescent="0.25">
      <c r="K900" s="4" t="s">
        <v>421</v>
      </c>
      <c r="L900" t="s">
        <v>422</v>
      </c>
      <c r="M900" t="s">
        <v>2333</v>
      </c>
      <c r="N900" t="s">
        <v>6</v>
      </c>
      <c r="O900" t="s">
        <v>137</v>
      </c>
      <c r="P900" t="str">
        <f t="shared" si="232"/>
        <v>[1]</v>
      </c>
      <c r="Q900">
        <f t="shared" si="233"/>
        <v>28</v>
      </c>
      <c r="R900" t="str">
        <f t="shared" si="231"/>
        <v/>
      </c>
      <c r="S900">
        <f>SUMIF(O900:$O$2855,R900,Q900:$Q$2855)</f>
        <v>0</v>
      </c>
    </row>
    <row r="901" spans="11:19" x14ac:dyDescent="0.25">
      <c r="K901" s="4" t="s">
        <v>421</v>
      </c>
      <c r="L901" t="s">
        <v>422</v>
      </c>
      <c r="M901" t="s">
        <v>2334</v>
      </c>
      <c r="N901" t="s">
        <v>437</v>
      </c>
      <c r="O901" t="s">
        <v>137</v>
      </c>
      <c r="P901" t="str">
        <f t="shared" si="232"/>
        <v>[1]</v>
      </c>
      <c r="Q901">
        <f t="shared" si="233"/>
        <v>24</v>
      </c>
      <c r="R901" t="str">
        <f t="shared" si="231"/>
        <v/>
      </c>
      <c r="S901">
        <f>SUMIF(O901:$O$2855,R901,Q901:$Q$2855)</f>
        <v>0</v>
      </c>
    </row>
    <row r="902" spans="11:19" x14ac:dyDescent="0.25">
      <c r="K902" s="4" t="s">
        <v>421</v>
      </c>
      <c r="L902" t="s">
        <v>422</v>
      </c>
      <c r="M902" t="s">
        <v>2335</v>
      </c>
      <c r="N902" t="s">
        <v>437</v>
      </c>
      <c r="O902" t="s">
        <v>137</v>
      </c>
      <c r="P902" t="str">
        <f t="shared" si="232"/>
        <v>[1]</v>
      </c>
      <c r="Q902">
        <f t="shared" si="233"/>
        <v>24</v>
      </c>
      <c r="R902" t="str">
        <f t="shared" si="231"/>
        <v/>
      </c>
      <c r="S902">
        <f>SUMIF(O902:$O$2855,R902,Q902:$Q$2855)</f>
        <v>0</v>
      </c>
    </row>
    <row r="903" spans="11:19" x14ac:dyDescent="0.25">
      <c r="K903" s="4" t="s">
        <v>421</v>
      </c>
      <c r="L903" t="s">
        <v>422</v>
      </c>
      <c r="M903" t="s">
        <v>2336</v>
      </c>
      <c r="N903" t="s">
        <v>165</v>
      </c>
      <c r="O903" t="s">
        <v>137</v>
      </c>
      <c r="P903" t="str">
        <f t="shared" si="232"/>
        <v>[1]</v>
      </c>
      <c r="Q903">
        <f t="shared" si="233"/>
        <v>20</v>
      </c>
      <c r="R903" t="str">
        <f t="shared" si="231"/>
        <v/>
      </c>
      <c r="S903">
        <f>SUMIF(O903:$O$2855,R903,Q903:$Q$2855)</f>
        <v>0</v>
      </c>
    </row>
    <row r="904" spans="11:19" x14ac:dyDescent="0.25">
      <c r="K904" s="4" t="s">
        <v>421</v>
      </c>
      <c r="L904" t="s">
        <v>422</v>
      </c>
      <c r="M904" t="s">
        <v>2337</v>
      </c>
      <c r="N904" t="s">
        <v>6</v>
      </c>
      <c r="O904" t="s">
        <v>137</v>
      </c>
      <c r="P904" t="str">
        <f t="shared" si="232"/>
        <v>[1]</v>
      </c>
      <c r="Q904">
        <f t="shared" si="233"/>
        <v>28</v>
      </c>
      <c r="R904" t="str">
        <f t="shared" si="231"/>
        <v/>
      </c>
      <c r="S904">
        <f>SUMIF(O904:$O$2855,R904,Q904:$Q$2855)</f>
        <v>0</v>
      </c>
    </row>
    <row r="905" spans="11:19" x14ac:dyDescent="0.25">
      <c r="K905" s="4" t="s">
        <v>421</v>
      </c>
      <c r="L905" t="s">
        <v>422</v>
      </c>
      <c r="M905" t="s">
        <v>2338</v>
      </c>
      <c r="N905" t="s">
        <v>65</v>
      </c>
      <c r="O905" t="s">
        <v>137</v>
      </c>
      <c r="P905" t="str">
        <f t="shared" si="232"/>
        <v>[1]</v>
      </c>
      <c r="Q905">
        <f t="shared" si="233"/>
        <v>40</v>
      </c>
      <c r="R905" t="str">
        <f t="shared" si="231"/>
        <v/>
      </c>
      <c r="S905">
        <f>SUMIF(O905:$O$2855,R905,Q905:$Q$2855)</f>
        <v>0</v>
      </c>
    </row>
    <row r="906" spans="11:19" x14ac:dyDescent="0.25">
      <c r="K906" s="4" t="s">
        <v>421</v>
      </c>
      <c r="L906" t="s">
        <v>422</v>
      </c>
      <c r="M906" t="s">
        <v>2339</v>
      </c>
      <c r="N906" t="s">
        <v>44</v>
      </c>
      <c r="O906" t="s">
        <v>137</v>
      </c>
      <c r="P906" t="str">
        <f t="shared" si="232"/>
        <v>[1]</v>
      </c>
      <c r="Q906">
        <f t="shared" si="233"/>
        <v>44</v>
      </c>
      <c r="R906" t="str">
        <f t="shared" si="231"/>
        <v/>
      </c>
      <c r="S906">
        <f>SUMIF(O906:$O$2855,R906,Q906:$Q$2855)</f>
        <v>0</v>
      </c>
    </row>
    <row r="907" spans="11:19" x14ac:dyDescent="0.25">
      <c r="K907" s="4" t="s">
        <v>421</v>
      </c>
      <c r="L907" t="s">
        <v>422</v>
      </c>
      <c r="M907" t="s">
        <v>2340</v>
      </c>
      <c r="N907" t="s">
        <v>65</v>
      </c>
      <c r="O907" t="s">
        <v>137</v>
      </c>
      <c r="P907" t="str">
        <f t="shared" si="232"/>
        <v>[1]</v>
      </c>
      <c r="Q907">
        <f t="shared" si="233"/>
        <v>40</v>
      </c>
      <c r="R907" t="str">
        <f t="shared" si="231"/>
        <v/>
      </c>
      <c r="S907">
        <f>SUMIF(O907:$O$2855,R907,Q907:$Q$2855)</f>
        <v>0</v>
      </c>
    </row>
    <row r="908" spans="11:19" x14ac:dyDescent="0.25">
      <c r="K908" s="4" t="s">
        <v>421</v>
      </c>
      <c r="L908" t="s">
        <v>422</v>
      </c>
      <c r="M908" t="s">
        <v>2341</v>
      </c>
      <c r="N908" t="s">
        <v>119</v>
      </c>
      <c r="O908" t="s">
        <v>137</v>
      </c>
      <c r="P908" t="str">
        <f t="shared" si="232"/>
        <v>[1]</v>
      </c>
      <c r="Q908">
        <f t="shared" si="233"/>
        <v>32</v>
      </c>
      <c r="R908" t="str">
        <f t="shared" si="231"/>
        <v/>
      </c>
      <c r="S908">
        <f>SUMIF(O908:$O$2855,R908,Q908:$Q$2855)</f>
        <v>0</v>
      </c>
    </row>
    <row r="909" spans="11:19" x14ac:dyDescent="0.25">
      <c r="K909" s="4" t="s">
        <v>421</v>
      </c>
      <c r="L909" t="s">
        <v>422</v>
      </c>
      <c r="M909" t="s">
        <v>2342</v>
      </c>
      <c r="N909" t="s">
        <v>437</v>
      </c>
      <c r="O909" t="s">
        <v>137</v>
      </c>
      <c r="P909" t="str">
        <f t="shared" si="232"/>
        <v>[1]</v>
      </c>
      <c r="Q909">
        <f t="shared" si="233"/>
        <v>24</v>
      </c>
      <c r="R909" t="str">
        <f t="shared" si="231"/>
        <v/>
      </c>
      <c r="S909">
        <f>SUMIF(O909:$O$2855,R909,Q909:$Q$2855)</f>
        <v>0</v>
      </c>
    </row>
    <row r="910" spans="11:19" x14ac:dyDescent="0.25">
      <c r="K910" s="4" t="s">
        <v>421</v>
      </c>
      <c r="L910" t="s">
        <v>422</v>
      </c>
      <c r="M910" t="s">
        <v>2343</v>
      </c>
      <c r="N910" t="s">
        <v>13</v>
      </c>
      <c r="O910" t="s">
        <v>137</v>
      </c>
      <c r="P910" t="str">
        <f t="shared" si="232"/>
        <v>[1]</v>
      </c>
      <c r="Q910">
        <f t="shared" si="233"/>
        <v>12</v>
      </c>
      <c r="R910" t="str">
        <f t="shared" si="231"/>
        <v/>
      </c>
      <c r="S910">
        <f>SUMIF(O910:$O$2855,R910,Q910:$Q$2855)</f>
        <v>0</v>
      </c>
    </row>
    <row r="911" spans="11:19" x14ac:dyDescent="0.25">
      <c r="K911" s="4" t="s">
        <v>421</v>
      </c>
      <c r="L911" t="s">
        <v>422</v>
      </c>
      <c r="M911" t="s">
        <v>2344</v>
      </c>
      <c r="N911" t="s">
        <v>437</v>
      </c>
      <c r="O911" t="s">
        <v>137</v>
      </c>
      <c r="P911" t="str">
        <f t="shared" si="232"/>
        <v>[1]</v>
      </c>
      <c r="Q911">
        <f t="shared" si="233"/>
        <v>24</v>
      </c>
      <c r="R911" t="str">
        <f t="shared" si="231"/>
        <v/>
      </c>
      <c r="S911">
        <f>SUMIF(O911:$O$2855,R911,Q911:$Q$2855)</f>
        <v>0</v>
      </c>
    </row>
    <row r="912" spans="11:19" x14ac:dyDescent="0.25">
      <c r="K912" s="4" t="s">
        <v>421</v>
      </c>
      <c r="L912" t="s">
        <v>422</v>
      </c>
      <c r="M912" t="s">
        <v>2345</v>
      </c>
      <c r="N912" t="s">
        <v>437</v>
      </c>
      <c r="O912" t="s">
        <v>137</v>
      </c>
      <c r="P912" t="str">
        <f t="shared" si="232"/>
        <v>[1]</v>
      </c>
      <c r="Q912">
        <f t="shared" si="233"/>
        <v>24</v>
      </c>
      <c r="R912" t="str">
        <f t="shared" si="231"/>
        <v/>
      </c>
      <c r="S912">
        <f>SUMIF(O912:$O$2855,R912,Q912:$Q$2855)</f>
        <v>0</v>
      </c>
    </row>
    <row r="913" spans="11:19" x14ac:dyDescent="0.25">
      <c r="K913" s="4" t="s">
        <v>421</v>
      </c>
      <c r="L913" t="s">
        <v>422</v>
      </c>
      <c r="M913" t="s">
        <v>2346</v>
      </c>
      <c r="N913" t="s">
        <v>119</v>
      </c>
      <c r="O913" t="s">
        <v>137</v>
      </c>
      <c r="P913" t="str">
        <f t="shared" si="232"/>
        <v>[1]</v>
      </c>
      <c r="Q913">
        <f t="shared" si="233"/>
        <v>32</v>
      </c>
      <c r="R913" t="str">
        <f t="shared" si="231"/>
        <v/>
      </c>
      <c r="S913">
        <f>SUMIF(O913:$O$2855,R913,Q913:$Q$2855)</f>
        <v>0</v>
      </c>
    </row>
    <row r="914" spans="11:19" x14ac:dyDescent="0.25">
      <c r="K914" s="4" t="s">
        <v>421</v>
      </c>
      <c r="L914" t="s">
        <v>422</v>
      </c>
      <c r="M914" t="s">
        <v>2347</v>
      </c>
      <c r="N914" t="s">
        <v>119</v>
      </c>
      <c r="O914" t="s">
        <v>137</v>
      </c>
      <c r="P914" t="str">
        <f t="shared" si="232"/>
        <v>[1]</v>
      </c>
      <c r="Q914">
        <f t="shared" si="233"/>
        <v>32</v>
      </c>
      <c r="R914" t="str">
        <f t="shared" si="231"/>
        <v/>
      </c>
      <c r="S914">
        <f>SUMIF(O914:$O$2855,R914,Q914:$Q$2855)</f>
        <v>0</v>
      </c>
    </row>
    <row r="915" spans="11:19" x14ac:dyDescent="0.25">
      <c r="K915" s="4" t="s">
        <v>421</v>
      </c>
      <c r="L915" t="s">
        <v>422</v>
      </c>
      <c r="M915" t="s">
        <v>2348</v>
      </c>
      <c r="N915" t="s">
        <v>6</v>
      </c>
      <c r="O915" t="s">
        <v>137</v>
      </c>
      <c r="P915" t="str">
        <f t="shared" si="232"/>
        <v>[1]</v>
      </c>
      <c r="Q915">
        <f t="shared" si="233"/>
        <v>28</v>
      </c>
      <c r="R915" t="str">
        <f t="shared" si="231"/>
        <v/>
      </c>
      <c r="S915">
        <f>SUMIF(O915:$O$2855,R915,Q915:$Q$2855)</f>
        <v>0</v>
      </c>
    </row>
    <row r="916" spans="11:19" x14ac:dyDescent="0.25">
      <c r="K916" s="4" t="s">
        <v>421</v>
      </c>
      <c r="L916" t="s">
        <v>422</v>
      </c>
      <c r="M916" t="s">
        <v>2349</v>
      </c>
      <c r="N916" t="s">
        <v>437</v>
      </c>
      <c r="O916" t="s">
        <v>137</v>
      </c>
      <c r="P916" t="str">
        <f t="shared" si="232"/>
        <v>[1]</v>
      </c>
      <c r="Q916">
        <f t="shared" si="233"/>
        <v>24</v>
      </c>
      <c r="R916" t="str">
        <f t="shared" si="231"/>
        <v/>
      </c>
      <c r="S916">
        <f>SUMIF(O916:$O$2855,R916,Q916:$Q$2855)</f>
        <v>0</v>
      </c>
    </row>
    <row r="917" spans="11:19" x14ac:dyDescent="0.25">
      <c r="K917" s="4" t="s">
        <v>421</v>
      </c>
      <c r="L917" t="s">
        <v>422</v>
      </c>
      <c r="M917" t="s">
        <v>2350</v>
      </c>
      <c r="N917" t="s">
        <v>165</v>
      </c>
      <c r="O917" t="s">
        <v>137</v>
      </c>
      <c r="P917" t="str">
        <f t="shared" si="232"/>
        <v>[1]</v>
      </c>
      <c r="Q917">
        <f t="shared" si="233"/>
        <v>20</v>
      </c>
      <c r="R917" t="str">
        <f t="shared" si="231"/>
        <v/>
      </c>
      <c r="S917">
        <f>SUMIF(O917:$O$2855,R917,Q917:$Q$2855)</f>
        <v>0</v>
      </c>
    </row>
    <row r="918" spans="11:19" x14ac:dyDescent="0.25">
      <c r="K918" s="4" t="s">
        <v>421</v>
      </c>
      <c r="L918" t="s">
        <v>422</v>
      </c>
      <c r="M918" t="s">
        <v>2351</v>
      </c>
      <c r="N918" t="s">
        <v>67</v>
      </c>
      <c r="O918" t="s">
        <v>137</v>
      </c>
      <c r="P918" t="str">
        <f t="shared" si="232"/>
        <v>[1]</v>
      </c>
      <c r="Q918">
        <f t="shared" si="233"/>
        <v>48</v>
      </c>
      <c r="R918" t="str">
        <f t="shared" si="231"/>
        <v/>
      </c>
      <c r="S918">
        <f>SUMIF(O918:$O$2855,R918,Q918:$Q$2855)</f>
        <v>0</v>
      </c>
    </row>
    <row r="919" spans="11:19" x14ac:dyDescent="0.25">
      <c r="K919" s="4" t="s">
        <v>421</v>
      </c>
      <c r="L919" t="s">
        <v>422</v>
      </c>
      <c r="M919" t="s">
        <v>2352</v>
      </c>
      <c r="N919" t="s">
        <v>202</v>
      </c>
      <c r="O919" t="s">
        <v>137</v>
      </c>
      <c r="P919" t="str">
        <f t="shared" si="232"/>
        <v>[1]</v>
      </c>
      <c r="Q919">
        <f t="shared" si="233"/>
        <v>16</v>
      </c>
      <c r="R919" t="str">
        <f t="shared" si="231"/>
        <v/>
      </c>
      <c r="S919">
        <f>SUMIF(O919:$O$2855,R919,Q919:$Q$2855)</f>
        <v>0</v>
      </c>
    </row>
    <row r="920" spans="11:19" x14ac:dyDescent="0.25">
      <c r="K920" s="4" t="s">
        <v>421</v>
      </c>
      <c r="L920" t="s">
        <v>422</v>
      </c>
      <c r="M920" t="s">
        <v>2353</v>
      </c>
      <c r="N920" t="s">
        <v>126</v>
      </c>
      <c r="O920" t="s">
        <v>137</v>
      </c>
      <c r="P920" t="str">
        <f t="shared" si="232"/>
        <v>[1]</v>
      </c>
      <c r="Q920">
        <f t="shared" si="233"/>
        <v>8</v>
      </c>
      <c r="R920" t="str">
        <f t="shared" si="231"/>
        <v/>
      </c>
      <c r="S920">
        <f>SUMIF(O920:$O$2855,R920,Q920:$Q$2855)</f>
        <v>0</v>
      </c>
    </row>
    <row r="921" spans="11:19" x14ac:dyDescent="0.25">
      <c r="K921" s="4" t="s">
        <v>421</v>
      </c>
      <c r="L921" t="s">
        <v>422</v>
      </c>
      <c r="M921" t="s">
        <v>2354</v>
      </c>
      <c r="N921" t="s">
        <v>78</v>
      </c>
      <c r="O921" t="s">
        <v>137</v>
      </c>
      <c r="P921" t="str">
        <f t="shared" si="232"/>
        <v>[1]</v>
      </c>
      <c r="Q921">
        <f t="shared" si="233"/>
        <v>4</v>
      </c>
      <c r="R921" t="str">
        <f t="shared" si="231"/>
        <v/>
      </c>
      <c r="S921">
        <f>SUMIF(O921:$O$2855,R921,Q921:$Q$2855)</f>
        <v>0</v>
      </c>
    </row>
    <row r="922" spans="11:19" x14ac:dyDescent="0.25">
      <c r="K922" s="4" t="s">
        <v>421</v>
      </c>
      <c r="L922" t="s">
        <v>422</v>
      </c>
      <c r="M922" t="s">
        <v>1824</v>
      </c>
      <c r="N922" t="s">
        <v>202</v>
      </c>
      <c r="O922" t="s">
        <v>137</v>
      </c>
      <c r="P922" t="str">
        <f t="shared" si="232"/>
        <v>[1]</v>
      </c>
      <c r="Q922">
        <f t="shared" si="233"/>
        <v>16</v>
      </c>
      <c r="R922" t="str">
        <f t="shared" si="231"/>
        <v/>
      </c>
      <c r="S922">
        <f>SUMIF(O922:$O$2855,R922,Q922:$Q$2855)</f>
        <v>0</v>
      </c>
    </row>
    <row r="923" spans="11:19" x14ac:dyDescent="0.25">
      <c r="K923" s="4" t="s">
        <v>421</v>
      </c>
      <c r="L923" t="s">
        <v>422</v>
      </c>
      <c r="M923" t="s">
        <v>2355</v>
      </c>
      <c r="N923" t="s">
        <v>65</v>
      </c>
      <c r="O923" t="s">
        <v>137</v>
      </c>
      <c r="P923" t="str">
        <f t="shared" si="232"/>
        <v>[1]</v>
      </c>
      <c r="Q923">
        <f t="shared" si="233"/>
        <v>40</v>
      </c>
      <c r="R923" t="str">
        <f t="shared" si="231"/>
        <v/>
      </c>
      <c r="S923">
        <f>SUMIF(O923:$O$2855,R923,Q923:$Q$2855)</f>
        <v>0</v>
      </c>
    </row>
    <row r="924" spans="11:19" x14ac:dyDescent="0.25">
      <c r="K924" s="4" t="s">
        <v>421</v>
      </c>
      <c r="L924" t="s">
        <v>422</v>
      </c>
      <c r="M924" t="s">
        <v>2356</v>
      </c>
      <c r="N924" t="s">
        <v>67</v>
      </c>
      <c r="O924" t="s">
        <v>137</v>
      </c>
      <c r="P924" t="str">
        <f t="shared" si="232"/>
        <v>[1]</v>
      </c>
      <c r="Q924">
        <f t="shared" si="233"/>
        <v>48</v>
      </c>
      <c r="R924" t="str">
        <f t="shared" si="231"/>
        <v/>
      </c>
      <c r="S924">
        <f>SUMIF(O924:$O$2855,R924,Q924:$Q$2855)</f>
        <v>0</v>
      </c>
    </row>
    <row r="925" spans="11:19" x14ac:dyDescent="0.25">
      <c r="K925" s="4" t="s">
        <v>421</v>
      </c>
      <c r="L925" t="s">
        <v>422</v>
      </c>
      <c r="M925" t="s">
        <v>2357</v>
      </c>
      <c r="N925" t="s">
        <v>237</v>
      </c>
      <c r="O925" t="s">
        <v>137</v>
      </c>
      <c r="P925" t="str">
        <f t="shared" si="232"/>
        <v>[1]</v>
      </c>
      <c r="Q925">
        <f t="shared" si="233"/>
        <v>52</v>
      </c>
      <c r="R925" t="str">
        <f t="shared" si="231"/>
        <v/>
      </c>
      <c r="S925">
        <f>SUMIF(O925:$O$2855,R925,Q925:$Q$2855)</f>
        <v>0</v>
      </c>
    </row>
    <row r="926" spans="11:19" x14ac:dyDescent="0.25">
      <c r="K926" s="4" t="s">
        <v>421</v>
      </c>
      <c r="L926" t="s">
        <v>422</v>
      </c>
      <c r="M926" t="s">
        <v>2358</v>
      </c>
      <c r="N926" t="s">
        <v>65</v>
      </c>
      <c r="O926" t="s">
        <v>137</v>
      </c>
      <c r="P926" t="str">
        <f t="shared" si="232"/>
        <v>[1]</v>
      </c>
      <c r="Q926">
        <f t="shared" si="233"/>
        <v>40</v>
      </c>
      <c r="R926" t="str">
        <f t="shared" si="231"/>
        <v/>
      </c>
      <c r="S926">
        <f>SUMIF(O926:$O$2855,R926,Q926:$Q$2855)</f>
        <v>0</v>
      </c>
    </row>
    <row r="927" spans="11:19" x14ac:dyDescent="0.25">
      <c r="K927" s="4" t="s">
        <v>421</v>
      </c>
      <c r="L927" t="s">
        <v>422</v>
      </c>
      <c r="M927" t="s">
        <v>2359</v>
      </c>
      <c r="N927" t="s">
        <v>124</v>
      </c>
      <c r="O927" t="s">
        <v>137</v>
      </c>
      <c r="P927" t="str">
        <f t="shared" si="232"/>
        <v>[1]</v>
      </c>
      <c r="Q927">
        <f t="shared" si="233"/>
        <v>68</v>
      </c>
      <c r="R927" t="str">
        <f t="shared" si="231"/>
        <v/>
      </c>
      <c r="S927">
        <f>SUMIF(O927:$O$2855,R927,Q927:$Q$2855)</f>
        <v>0</v>
      </c>
    </row>
    <row r="928" spans="11:19" x14ac:dyDescent="0.25">
      <c r="K928" s="4" t="s">
        <v>421</v>
      </c>
      <c r="L928" t="s">
        <v>422</v>
      </c>
      <c r="M928" t="s">
        <v>2360</v>
      </c>
      <c r="N928" t="s">
        <v>6</v>
      </c>
      <c r="O928" t="s">
        <v>137</v>
      </c>
      <c r="P928" t="str">
        <f t="shared" si="232"/>
        <v>[1]</v>
      </c>
      <c r="Q928">
        <f t="shared" si="233"/>
        <v>28</v>
      </c>
      <c r="R928" t="str">
        <f t="shared" ref="R928:R991" si="234">IF(O928&lt;&gt;O927,O928,"")</f>
        <v/>
      </c>
      <c r="S928">
        <f>SUMIF(O928:$O$2855,R928,Q928:$Q$2855)</f>
        <v>0</v>
      </c>
    </row>
    <row r="929" spans="11:19" x14ac:dyDescent="0.25">
      <c r="K929" s="4" t="s">
        <v>421</v>
      </c>
      <c r="L929" t="s">
        <v>422</v>
      </c>
      <c r="M929" t="s">
        <v>2361</v>
      </c>
      <c r="N929" t="s">
        <v>6</v>
      </c>
      <c r="O929" t="s">
        <v>137</v>
      </c>
      <c r="P929" t="str">
        <f t="shared" si="232"/>
        <v>[1]</v>
      </c>
      <c r="Q929">
        <f t="shared" si="233"/>
        <v>28</v>
      </c>
      <c r="R929" t="str">
        <f t="shared" si="234"/>
        <v/>
      </c>
      <c r="S929">
        <f>SUMIF(O929:$O$2855,R929,Q929:$Q$2855)</f>
        <v>0</v>
      </c>
    </row>
    <row r="930" spans="11:19" x14ac:dyDescent="0.25">
      <c r="K930" s="4" t="s">
        <v>421</v>
      </c>
      <c r="L930" t="s">
        <v>422</v>
      </c>
      <c r="M930" t="s">
        <v>2362</v>
      </c>
      <c r="N930" t="s">
        <v>165</v>
      </c>
      <c r="O930" t="s">
        <v>137</v>
      </c>
      <c r="P930" t="str">
        <f t="shared" si="232"/>
        <v>[1]</v>
      </c>
      <c r="Q930">
        <f t="shared" si="233"/>
        <v>20</v>
      </c>
      <c r="R930" t="str">
        <f t="shared" si="234"/>
        <v/>
      </c>
      <c r="S930">
        <f>SUMIF(O930:$O$2855,R930,Q930:$Q$2855)</f>
        <v>0</v>
      </c>
    </row>
    <row r="931" spans="11:19" x14ac:dyDescent="0.25">
      <c r="K931" s="4" t="s">
        <v>421</v>
      </c>
      <c r="L931" t="s">
        <v>422</v>
      </c>
      <c r="M931" t="s">
        <v>2363</v>
      </c>
      <c r="N931" t="s">
        <v>437</v>
      </c>
      <c r="O931" t="s">
        <v>137</v>
      </c>
      <c r="P931" t="str">
        <f t="shared" si="232"/>
        <v>[1]</v>
      </c>
      <c r="Q931">
        <f t="shared" si="233"/>
        <v>24</v>
      </c>
      <c r="R931" t="str">
        <f t="shared" si="234"/>
        <v/>
      </c>
      <c r="S931">
        <f>SUMIF(O931:$O$2855,R931,Q931:$Q$2855)</f>
        <v>0</v>
      </c>
    </row>
    <row r="932" spans="11:19" x14ac:dyDescent="0.25">
      <c r="K932" s="4" t="s">
        <v>421</v>
      </c>
      <c r="L932" t="s">
        <v>422</v>
      </c>
      <c r="M932" t="s">
        <v>2364</v>
      </c>
      <c r="N932" t="s">
        <v>437</v>
      </c>
      <c r="O932" t="s">
        <v>137</v>
      </c>
      <c r="P932" t="str">
        <f t="shared" si="232"/>
        <v>[1]</v>
      </c>
      <c r="Q932">
        <f t="shared" si="233"/>
        <v>24</v>
      </c>
      <c r="R932" t="str">
        <f t="shared" si="234"/>
        <v/>
      </c>
      <c r="S932">
        <f>SUMIF(O932:$O$2855,R932,Q932:$Q$2855)</f>
        <v>0</v>
      </c>
    </row>
    <row r="933" spans="11:19" x14ac:dyDescent="0.25">
      <c r="K933" s="4" t="s">
        <v>421</v>
      </c>
      <c r="L933" t="s">
        <v>422</v>
      </c>
      <c r="M933" t="s">
        <v>2365</v>
      </c>
      <c r="N933" t="s">
        <v>78</v>
      </c>
      <c r="O933" t="s">
        <v>137</v>
      </c>
      <c r="P933" t="str">
        <f t="shared" si="232"/>
        <v>[1]</v>
      </c>
      <c r="Q933">
        <f t="shared" si="233"/>
        <v>4</v>
      </c>
      <c r="R933" t="str">
        <f t="shared" si="234"/>
        <v/>
      </c>
      <c r="S933">
        <f>SUMIF(O933:$O$2855,R933,Q933:$Q$2855)</f>
        <v>0</v>
      </c>
    </row>
    <row r="934" spans="11:19" x14ac:dyDescent="0.25">
      <c r="K934" s="4" t="s">
        <v>421</v>
      </c>
      <c r="L934" t="s">
        <v>422</v>
      </c>
      <c r="M934" t="s">
        <v>1825</v>
      </c>
      <c r="N934" t="s">
        <v>1074</v>
      </c>
      <c r="O934" t="s">
        <v>137</v>
      </c>
      <c r="P934" t="str">
        <f t="shared" si="232"/>
        <v>[1]</v>
      </c>
      <c r="Q934">
        <f t="shared" si="233"/>
        <v>124</v>
      </c>
      <c r="R934" t="str">
        <f t="shared" si="234"/>
        <v/>
      </c>
      <c r="S934">
        <f>SUMIF(O934:$O$2855,R934,Q934:$Q$2855)</f>
        <v>0</v>
      </c>
    </row>
    <row r="935" spans="11:19" x14ac:dyDescent="0.25">
      <c r="K935" s="4" t="s">
        <v>421</v>
      </c>
      <c r="L935" t="s">
        <v>422</v>
      </c>
      <c r="M935" t="s">
        <v>2366</v>
      </c>
      <c r="N935" t="s">
        <v>126</v>
      </c>
      <c r="O935" t="s">
        <v>137</v>
      </c>
      <c r="P935" t="str">
        <f t="shared" si="232"/>
        <v>[1]</v>
      </c>
      <c r="Q935">
        <f t="shared" si="233"/>
        <v>8</v>
      </c>
      <c r="R935" t="str">
        <f t="shared" si="234"/>
        <v/>
      </c>
      <c r="S935">
        <f>SUMIF(O935:$O$2855,R935,Q935:$Q$2855)</f>
        <v>0</v>
      </c>
    </row>
    <row r="936" spans="11:19" x14ac:dyDescent="0.25">
      <c r="K936" s="4" t="s">
        <v>421</v>
      </c>
      <c r="L936" t="s">
        <v>422</v>
      </c>
      <c r="M936" t="s">
        <v>2209</v>
      </c>
      <c r="N936" t="s">
        <v>202</v>
      </c>
      <c r="O936" t="s">
        <v>401</v>
      </c>
      <c r="P936" t="str">
        <f t="shared" si="232"/>
        <v>[1]</v>
      </c>
      <c r="Q936">
        <f t="shared" si="233"/>
        <v>16</v>
      </c>
      <c r="R936" t="str">
        <f t="shared" si="234"/>
        <v>dvr_banked.o</v>
      </c>
      <c r="S936">
        <f>SUMIF(O936:$O$2855,R936,Q936:$Q$2855)</f>
        <v>60</v>
      </c>
    </row>
    <row r="937" spans="11:19" x14ac:dyDescent="0.25">
      <c r="K937" s="4" t="s">
        <v>421</v>
      </c>
      <c r="L937" t="s">
        <v>422</v>
      </c>
      <c r="M937" t="s">
        <v>2210</v>
      </c>
      <c r="N937" t="s">
        <v>44</v>
      </c>
      <c r="O937" t="s">
        <v>401</v>
      </c>
      <c r="P937" t="str">
        <f t="shared" si="232"/>
        <v>[1]</v>
      </c>
      <c r="Q937">
        <f t="shared" si="233"/>
        <v>44</v>
      </c>
      <c r="R937" t="str">
        <f t="shared" si="234"/>
        <v/>
      </c>
      <c r="S937">
        <f>SUMIF(O937:$O$2855,R937,Q937:$Q$2855)</f>
        <v>0</v>
      </c>
    </row>
    <row r="938" spans="11:19" x14ac:dyDescent="0.25">
      <c r="K938" s="4" t="s">
        <v>421</v>
      </c>
      <c r="L938" t="s">
        <v>422</v>
      </c>
      <c r="M938" t="s">
        <v>2211</v>
      </c>
      <c r="N938" t="s">
        <v>13</v>
      </c>
      <c r="O938" t="s">
        <v>402</v>
      </c>
      <c r="P938" t="str">
        <f t="shared" si="232"/>
        <v>[1]</v>
      </c>
      <c r="Q938">
        <f t="shared" si="233"/>
        <v>12</v>
      </c>
      <c r="R938" t="str">
        <f t="shared" si="234"/>
        <v>dvr_cache.o</v>
      </c>
      <c r="S938">
        <f>SUMIF(O938:$O$2855,R938,Q938:$Q$2855)</f>
        <v>56</v>
      </c>
    </row>
    <row r="939" spans="11:19" x14ac:dyDescent="0.25">
      <c r="K939" s="4" t="s">
        <v>421</v>
      </c>
      <c r="L939" t="s">
        <v>422</v>
      </c>
      <c r="M939" t="s">
        <v>2212</v>
      </c>
      <c r="N939" t="s">
        <v>44</v>
      </c>
      <c r="O939" t="s">
        <v>402</v>
      </c>
      <c r="P939" t="str">
        <f t="shared" si="232"/>
        <v>[1]</v>
      </c>
      <c r="Q939">
        <f t="shared" si="233"/>
        <v>44</v>
      </c>
      <c r="R939" t="str">
        <f t="shared" si="234"/>
        <v/>
      </c>
      <c r="S939">
        <f>SUMIF(O939:$O$2855,R939,Q939:$Q$2855)</f>
        <v>0</v>
      </c>
    </row>
    <row r="940" spans="11:19" x14ac:dyDescent="0.25">
      <c r="K940" s="4" t="s">
        <v>421</v>
      </c>
      <c r="L940" t="s">
        <v>422</v>
      </c>
      <c r="M940" t="s">
        <v>2213</v>
      </c>
      <c r="N940" t="s">
        <v>202</v>
      </c>
      <c r="O940" t="s">
        <v>199</v>
      </c>
      <c r="P940" t="str">
        <f t="shared" si="232"/>
        <v>[1]</v>
      </c>
      <c r="Q940">
        <f t="shared" si="233"/>
        <v>16</v>
      </c>
      <c r="R940" t="str">
        <f t="shared" si="234"/>
        <v>dvr_extflash.o</v>
      </c>
      <c r="S940">
        <f>SUMIF(O940:$O$2855,R940,Q940:$Q$2855)</f>
        <v>464</v>
      </c>
    </row>
    <row r="941" spans="11:19" x14ac:dyDescent="0.25">
      <c r="K941" s="4" t="s">
        <v>421</v>
      </c>
      <c r="L941" t="s">
        <v>422</v>
      </c>
      <c r="M941" t="s">
        <v>2214</v>
      </c>
      <c r="N941" t="s">
        <v>44</v>
      </c>
      <c r="O941" t="s">
        <v>199</v>
      </c>
      <c r="P941" t="str">
        <f t="shared" si="232"/>
        <v>[1]</v>
      </c>
      <c r="Q941">
        <f t="shared" si="233"/>
        <v>44</v>
      </c>
      <c r="R941" t="str">
        <f t="shared" si="234"/>
        <v/>
      </c>
      <c r="S941">
        <f>SUMIF(O941:$O$2855,R941,Q941:$Q$2855)</f>
        <v>0</v>
      </c>
    </row>
    <row r="942" spans="11:19" x14ac:dyDescent="0.25">
      <c r="K942" s="4" t="s">
        <v>421</v>
      </c>
      <c r="L942" t="s">
        <v>422</v>
      </c>
      <c r="M942" t="s">
        <v>2215</v>
      </c>
      <c r="N942" t="s">
        <v>44</v>
      </c>
      <c r="O942" t="s">
        <v>199</v>
      </c>
      <c r="P942" t="str">
        <f t="shared" si="232"/>
        <v>[1]</v>
      </c>
      <c r="Q942">
        <f t="shared" si="233"/>
        <v>44</v>
      </c>
      <c r="R942" t="str">
        <f t="shared" si="234"/>
        <v/>
      </c>
      <c r="S942">
        <f>SUMIF(O942:$O$2855,R942,Q942:$Q$2855)</f>
        <v>0</v>
      </c>
    </row>
    <row r="943" spans="11:19" x14ac:dyDescent="0.25">
      <c r="K943" s="4" t="s">
        <v>421</v>
      </c>
      <c r="L943" t="s">
        <v>422</v>
      </c>
      <c r="M943" t="s">
        <v>2216</v>
      </c>
      <c r="N943" t="s">
        <v>435</v>
      </c>
      <c r="O943" t="s">
        <v>199</v>
      </c>
      <c r="P943" t="str">
        <f t="shared" si="232"/>
        <v>[1]</v>
      </c>
      <c r="Q943">
        <f t="shared" si="233"/>
        <v>60</v>
      </c>
      <c r="R943" t="str">
        <f t="shared" si="234"/>
        <v/>
      </c>
      <c r="S943">
        <f>SUMIF(O943:$O$2855,R943,Q943:$Q$2855)</f>
        <v>0</v>
      </c>
    </row>
    <row r="944" spans="11:19" x14ac:dyDescent="0.25">
      <c r="K944" s="4" t="s">
        <v>421</v>
      </c>
      <c r="L944" t="s">
        <v>422</v>
      </c>
      <c r="M944" t="s">
        <v>2217</v>
      </c>
      <c r="N944" t="s">
        <v>1820</v>
      </c>
      <c r="O944" t="s">
        <v>199</v>
      </c>
      <c r="P944" t="str">
        <f t="shared" si="232"/>
        <v>[1]</v>
      </c>
      <c r="Q944">
        <f t="shared" si="233"/>
        <v>252</v>
      </c>
      <c r="R944" t="str">
        <f t="shared" si="234"/>
        <v/>
      </c>
      <c r="S944">
        <f>SUMIF(O944:$O$2855,R944,Q944:$Q$2855)</f>
        <v>0</v>
      </c>
    </row>
    <row r="945" spans="11:19" x14ac:dyDescent="0.25">
      <c r="K945" s="4" t="s">
        <v>421</v>
      </c>
      <c r="L945" t="s">
        <v>422</v>
      </c>
      <c r="M945" t="s">
        <v>2218</v>
      </c>
      <c r="N945" t="s">
        <v>44</v>
      </c>
      <c r="O945" t="s">
        <v>199</v>
      </c>
      <c r="P945" t="str">
        <f t="shared" si="232"/>
        <v>[1]</v>
      </c>
      <c r="Q945">
        <f t="shared" si="233"/>
        <v>44</v>
      </c>
      <c r="R945" t="str">
        <f t="shared" si="234"/>
        <v/>
      </c>
      <c r="S945">
        <f>SUMIF(O945:$O$2855,R945,Q945:$Q$2855)</f>
        <v>0</v>
      </c>
    </row>
    <row r="946" spans="11:19" x14ac:dyDescent="0.25">
      <c r="K946" s="4" t="s">
        <v>421</v>
      </c>
      <c r="L946" t="s">
        <v>422</v>
      </c>
      <c r="M946" t="s">
        <v>2219</v>
      </c>
      <c r="N946" t="s">
        <v>78</v>
      </c>
      <c r="O946" t="s">
        <v>199</v>
      </c>
      <c r="P946" t="str">
        <f t="shared" si="232"/>
        <v>[1]</v>
      </c>
      <c r="Q946">
        <f t="shared" si="233"/>
        <v>4</v>
      </c>
      <c r="R946" t="str">
        <f t="shared" si="234"/>
        <v/>
      </c>
      <c r="S946">
        <f>SUMIF(O946:$O$2855,R946,Q946:$Q$2855)</f>
        <v>0</v>
      </c>
    </row>
    <row r="947" spans="11:19" x14ac:dyDescent="0.25">
      <c r="K947" s="4" t="s">
        <v>421</v>
      </c>
      <c r="L947" t="s">
        <v>422</v>
      </c>
      <c r="M947" t="s">
        <v>2220</v>
      </c>
      <c r="N947" t="s">
        <v>165</v>
      </c>
      <c r="O947" t="s">
        <v>403</v>
      </c>
      <c r="P947" t="str">
        <f t="shared" si="232"/>
        <v>[1]</v>
      </c>
      <c r="Q947">
        <f t="shared" si="233"/>
        <v>20</v>
      </c>
      <c r="R947" t="str">
        <f t="shared" si="234"/>
        <v>dvr_sectPreErase.o</v>
      </c>
      <c r="S947">
        <f>SUMIF(O947:$O$2855,R947,Q947:$Q$2855)</f>
        <v>64</v>
      </c>
    </row>
    <row r="948" spans="11:19" x14ac:dyDescent="0.25">
      <c r="K948" s="4" t="s">
        <v>421</v>
      </c>
      <c r="L948" t="s">
        <v>422</v>
      </c>
      <c r="M948" t="s">
        <v>2221</v>
      </c>
      <c r="N948" t="s">
        <v>44</v>
      </c>
      <c r="O948" t="s">
        <v>403</v>
      </c>
      <c r="P948" t="str">
        <f t="shared" si="232"/>
        <v>[1]</v>
      </c>
      <c r="Q948">
        <f t="shared" si="233"/>
        <v>44</v>
      </c>
      <c r="R948" t="str">
        <f t="shared" si="234"/>
        <v/>
      </c>
      <c r="S948">
        <f>SUMIF(O948:$O$2855,R948,Q948:$Q$2855)</f>
        <v>0</v>
      </c>
    </row>
    <row r="949" spans="11:19" x14ac:dyDescent="0.25">
      <c r="K949" s="4" t="s">
        <v>421</v>
      </c>
      <c r="L949" t="s">
        <v>422</v>
      </c>
      <c r="M949" t="s">
        <v>2222</v>
      </c>
      <c r="N949" t="s">
        <v>202</v>
      </c>
      <c r="O949" t="s">
        <v>90</v>
      </c>
      <c r="P949" t="str">
        <f t="shared" si="232"/>
        <v>[1]</v>
      </c>
      <c r="Q949">
        <f t="shared" si="233"/>
        <v>16</v>
      </c>
      <c r="R949" t="str">
        <f t="shared" si="234"/>
        <v>dvr_sharedMem.o</v>
      </c>
      <c r="S949">
        <f>SUMIF(O949:$O$2855,R949,Q949:$Q$2855)</f>
        <v>16</v>
      </c>
    </row>
    <row r="950" spans="11:19" x14ac:dyDescent="0.25">
      <c r="K950" s="4" t="s">
        <v>421</v>
      </c>
      <c r="L950" t="s">
        <v>422</v>
      </c>
      <c r="M950" t="s">
        <v>2829</v>
      </c>
      <c r="N950" t="s">
        <v>202</v>
      </c>
      <c r="O950" t="s">
        <v>204</v>
      </c>
      <c r="P950" t="str">
        <f t="shared" si="232"/>
        <v>[1]</v>
      </c>
      <c r="Q950">
        <f t="shared" si="233"/>
        <v>16</v>
      </c>
      <c r="R950" t="str">
        <f t="shared" si="234"/>
        <v>ecc108_apps.o</v>
      </c>
      <c r="S950">
        <f>SUMIF(O950:$O$2855,R950,Q950:$Q$2855)</f>
        <v>4560</v>
      </c>
    </row>
    <row r="951" spans="11:19" x14ac:dyDescent="0.25">
      <c r="K951" s="4" t="s">
        <v>421</v>
      </c>
      <c r="L951" t="s">
        <v>422</v>
      </c>
      <c r="M951" t="s">
        <v>2830</v>
      </c>
      <c r="N951" t="s">
        <v>398</v>
      </c>
      <c r="O951" t="s">
        <v>204</v>
      </c>
      <c r="P951" t="str">
        <f t="shared" si="232"/>
        <v>[1]</v>
      </c>
      <c r="Q951">
        <f t="shared" si="233"/>
        <v>132</v>
      </c>
      <c r="R951" t="str">
        <f t="shared" si="234"/>
        <v/>
      </c>
      <c r="S951">
        <f>SUMIF(O951:$O$2855,R951,Q951:$Q$2855)</f>
        <v>0</v>
      </c>
    </row>
    <row r="952" spans="11:19" x14ac:dyDescent="0.25">
      <c r="K952" s="4" t="s">
        <v>421</v>
      </c>
      <c r="L952" t="s">
        <v>422</v>
      </c>
      <c r="M952" t="s">
        <v>2831</v>
      </c>
      <c r="N952" t="s">
        <v>126</v>
      </c>
      <c r="O952" t="s">
        <v>204</v>
      </c>
      <c r="P952" t="str">
        <f t="shared" si="232"/>
        <v>[1]</v>
      </c>
      <c r="Q952">
        <f t="shared" si="233"/>
        <v>8</v>
      </c>
      <c r="R952" t="str">
        <f t="shared" si="234"/>
        <v/>
      </c>
      <c r="S952">
        <f>SUMIF(O952:$O$2855,R952,Q952:$Q$2855)</f>
        <v>0</v>
      </c>
    </row>
    <row r="953" spans="11:19" x14ac:dyDescent="0.25">
      <c r="K953" s="4" t="s">
        <v>421</v>
      </c>
      <c r="L953" t="s">
        <v>422</v>
      </c>
      <c r="M953" t="s">
        <v>2832</v>
      </c>
      <c r="N953" t="s">
        <v>13</v>
      </c>
      <c r="O953" t="s">
        <v>204</v>
      </c>
      <c r="P953" t="str">
        <f t="shared" si="232"/>
        <v>[1]</v>
      </c>
      <c r="Q953">
        <f t="shared" si="233"/>
        <v>12</v>
      </c>
      <c r="R953" t="str">
        <f t="shared" si="234"/>
        <v/>
      </c>
      <c r="S953">
        <f>SUMIF(O953:$O$2855,R953,Q953:$Q$2855)</f>
        <v>0</v>
      </c>
    </row>
    <row r="954" spans="11:19" x14ac:dyDescent="0.25">
      <c r="K954" s="4" t="s">
        <v>421</v>
      </c>
      <c r="L954" t="s">
        <v>422</v>
      </c>
      <c r="M954" t="s">
        <v>2833</v>
      </c>
      <c r="N954" t="s">
        <v>65</v>
      </c>
      <c r="O954" t="s">
        <v>204</v>
      </c>
      <c r="P954" t="str">
        <f t="shared" si="232"/>
        <v>[1]</v>
      </c>
      <c r="Q954">
        <f t="shared" si="233"/>
        <v>40</v>
      </c>
      <c r="R954" t="str">
        <f t="shared" si="234"/>
        <v/>
      </c>
      <c r="S954">
        <f>SUMIF(O954:$O$2855,R954,Q954:$Q$2855)</f>
        <v>0</v>
      </c>
    </row>
    <row r="955" spans="11:19" x14ac:dyDescent="0.25">
      <c r="K955" s="4" t="s">
        <v>421</v>
      </c>
      <c r="L955" t="s">
        <v>422</v>
      </c>
      <c r="M955" t="s">
        <v>1837</v>
      </c>
      <c r="N955" t="s">
        <v>119</v>
      </c>
      <c r="O955" t="s">
        <v>204</v>
      </c>
      <c r="P955" t="str">
        <f t="shared" si="232"/>
        <v>[1]</v>
      </c>
      <c r="Q955">
        <f t="shared" si="233"/>
        <v>32</v>
      </c>
      <c r="R955" t="str">
        <f t="shared" si="234"/>
        <v/>
      </c>
      <c r="S955">
        <f>SUMIF(O955:$O$2855,R955,Q955:$Q$2855)</f>
        <v>0</v>
      </c>
    </row>
    <row r="956" spans="11:19" x14ac:dyDescent="0.25">
      <c r="K956" s="4" t="s">
        <v>421</v>
      </c>
      <c r="L956" t="s">
        <v>422</v>
      </c>
      <c r="M956" t="s">
        <v>2834</v>
      </c>
      <c r="N956" t="s">
        <v>65</v>
      </c>
      <c r="O956" t="s">
        <v>204</v>
      </c>
      <c r="P956" t="str">
        <f t="shared" si="232"/>
        <v>[1]</v>
      </c>
      <c r="Q956">
        <f t="shared" si="233"/>
        <v>40</v>
      </c>
      <c r="R956" t="str">
        <f t="shared" si="234"/>
        <v/>
      </c>
      <c r="S956">
        <f>SUMIF(O956:$O$2855,R956,Q956:$Q$2855)</f>
        <v>0</v>
      </c>
    </row>
    <row r="957" spans="11:19" x14ac:dyDescent="0.25">
      <c r="K957" s="4" t="s">
        <v>421</v>
      </c>
      <c r="L957" t="s">
        <v>422</v>
      </c>
      <c r="M957" t="s">
        <v>2835</v>
      </c>
      <c r="N957" t="s">
        <v>437</v>
      </c>
      <c r="O957" t="s">
        <v>204</v>
      </c>
      <c r="P957" t="str">
        <f t="shared" si="232"/>
        <v>[1]</v>
      </c>
      <c r="Q957">
        <f t="shared" si="233"/>
        <v>24</v>
      </c>
      <c r="R957" t="str">
        <f t="shared" si="234"/>
        <v/>
      </c>
      <c r="S957">
        <f>SUMIF(O957:$O$2855,R957,Q957:$Q$2855)</f>
        <v>0</v>
      </c>
    </row>
    <row r="958" spans="11:19" x14ac:dyDescent="0.25">
      <c r="K958" s="4" t="s">
        <v>421</v>
      </c>
      <c r="L958" t="s">
        <v>422</v>
      </c>
      <c r="M958" t="s">
        <v>2836</v>
      </c>
      <c r="N958" t="s">
        <v>13</v>
      </c>
      <c r="O958" t="s">
        <v>204</v>
      </c>
      <c r="P958" t="str">
        <f t="shared" si="232"/>
        <v>[1]</v>
      </c>
      <c r="Q958">
        <f t="shared" si="233"/>
        <v>12</v>
      </c>
      <c r="R958" t="str">
        <f t="shared" si="234"/>
        <v/>
      </c>
      <c r="S958">
        <f>SUMIF(O958:$O$2855,R958,Q958:$Q$2855)</f>
        <v>0</v>
      </c>
    </row>
    <row r="959" spans="11:19" x14ac:dyDescent="0.25">
      <c r="K959" s="4" t="s">
        <v>421</v>
      </c>
      <c r="L959" t="s">
        <v>422</v>
      </c>
      <c r="M959" t="s">
        <v>2837</v>
      </c>
      <c r="N959" t="s">
        <v>237</v>
      </c>
      <c r="O959" t="s">
        <v>204</v>
      </c>
      <c r="P959" t="str">
        <f t="shared" si="232"/>
        <v>[1]</v>
      </c>
      <c r="Q959">
        <f t="shared" si="233"/>
        <v>52</v>
      </c>
      <c r="R959" t="str">
        <f t="shared" si="234"/>
        <v/>
      </c>
      <c r="S959">
        <f>SUMIF(O959:$O$2855,R959,Q959:$Q$2855)</f>
        <v>0</v>
      </c>
    </row>
    <row r="960" spans="11:19" x14ac:dyDescent="0.25">
      <c r="K960" s="4" t="s">
        <v>421</v>
      </c>
      <c r="L960" t="s">
        <v>422</v>
      </c>
      <c r="M960" t="s">
        <v>2838</v>
      </c>
      <c r="N960" t="s">
        <v>103</v>
      </c>
      <c r="O960" t="s">
        <v>204</v>
      </c>
      <c r="P960" t="str">
        <f t="shared" si="232"/>
        <v>[1]</v>
      </c>
      <c r="Q960">
        <f t="shared" si="233"/>
        <v>64</v>
      </c>
      <c r="R960" t="str">
        <f t="shared" si="234"/>
        <v/>
      </c>
      <c r="S960">
        <f>SUMIF(O960:$O$2855,R960,Q960:$Q$2855)</f>
        <v>0</v>
      </c>
    </row>
    <row r="961" spans="11:19" x14ac:dyDescent="0.25">
      <c r="K961" s="4" t="s">
        <v>421</v>
      </c>
      <c r="L961" t="s">
        <v>422</v>
      </c>
      <c r="M961" t="s">
        <v>2839</v>
      </c>
      <c r="N961" t="s">
        <v>437</v>
      </c>
      <c r="O961" t="s">
        <v>204</v>
      </c>
      <c r="P961" t="str">
        <f t="shared" si="232"/>
        <v>[1]</v>
      </c>
      <c r="Q961">
        <f t="shared" si="233"/>
        <v>24</v>
      </c>
      <c r="R961" t="str">
        <f t="shared" si="234"/>
        <v/>
      </c>
      <c r="S961">
        <f>SUMIF(O961:$O$2855,R961,Q961:$Q$2855)</f>
        <v>0</v>
      </c>
    </row>
    <row r="962" spans="11:19" x14ac:dyDescent="0.25">
      <c r="K962" s="4" t="s">
        <v>421</v>
      </c>
      <c r="L962" t="s">
        <v>422</v>
      </c>
      <c r="M962" t="s">
        <v>2840</v>
      </c>
      <c r="N962" t="s">
        <v>44</v>
      </c>
      <c r="O962" t="s">
        <v>204</v>
      </c>
      <c r="P962" t="str">
        <f t="shared" ref="P962:P1025" si="235">VLOOKUP($K$30,$E$1:$F$26,2,FALSE)</f>
        <v>[1]</v>
      </c>
      <c r="Q962">
        <f t="shared" si="233"/>
        <v>44</v>
      </c>
      <c r="R962" t="str">
        <f t="shared" si="234"/>
        <v/>
      </c>
      <c r="S962">
        <f>SUMIF(O962:$O$2855,R962,Q962:$Q$2855)</f>
        <v>0</v>
      </c>
    </row>
    <row r="963" spans="11:19" x14ac:dyDescent="0.25">
      <c r="K963" s="4" t="s">
        <v>421</v>
      </c>
      <c r="L963" t="s">
        <v>422</v>
      </c>
      <c r="M963" t="s">
        <v>2841</v>
      </c>
      <c r="N963" t="s">
        <v>6</v>
      </c>
      <c r="O963" t="s">
        <v>204</v>
      </c>
      <c r="P963" t="str">
        <f t="shared" si="235"/>
        <v>[1]</v>
      </c>
      <c r="Q963">
        <f t="shared" ref="Q963:Q1026" si="236">HEX2DEC(MID(N963,3,LEN(N963)-2))</f>
        <v>28</v>
      </c>
      <c r="R963" t="str">
        <f t="shared" si="234"/>
        <v/>
      </c>
      <c r="S963">
        <f>SUMIF(O963:$O$2855,R963,Q963:$Q$2855)</f>
        <v>0</v>
      </c>
    </row>
    <row r="964" spans="11:19" x14ac:dyDescent="0.25">
      <c r="K964" s="4" t="s">
        <v>421</v>
      </c>
      <c r="L964" t="s">
        <v>422</v>
      </c>
      <c r="M964" t="s">
        <v>2842</v>
      </c>
      <c r="N964" t="s">
        <v>65</v>
      </c>
      <c r="O964" t="s">
        <v>204</v>
      </c>
      <c r="P964" t="str">
        <f t="shared" si="235"/>
        <v>[1]</v>
      </c>
      <c r="Q964">
        <f t="shared" si="236"/>
        <v>40</v>
      </c>
      <c r="R964" t="str">
        <f t="shared" si="234"/>
        <v/>
      </c>
      <c r="S964">
        <f>SUMIF(O964:$O$2855,R964,Q964:$Q$2855)</f>
        <v>0</v>
      </c>
    </row>
    <row r="965" spans="11:19" x14ac:dyDescent="0.25">
      <c r="K965" s="4" t="s">
        <v>421</v>
      </c>
      <c r="L965" t="s">
        <v>422</v>
      </c>
      <c r="M965" t="s">
        <v>2843</v>
      </c>
      <c r="N965" t="s">
        <v>6</v>
      </c>
      <c r="O965" t="s">
        <v>204</v>
      </c>
      <c r="P965" t="str">
        <f t="shared" si="235"/>
        <v>[1]</v>
      </c>
      <c r="Q965">
        <f t="shared" si="236"/>
        <v>28</v>
      </c>
      <c r="R965" t="str">
        <f t="shared" si="234"/>
        <v/>
      </c>
      <c r="S965">
        <f>SUMIF(O965:$O$2855,R965,Q965:$Q$2855)</f>
        <v>0</v>
      </c>
    </row>
    <row r="966" spans="11:19" x14ac:dyDescent="0.25">
      <c r="K966" s="4" t="s">
        <v>421</v>
      </c>
      <c r="L966" t="s">
        <v>422</v>
      </c>
      <c r="M966" t="s">
        <v>2844</v>
      </c>
      <c r="N966" t="s">
        <v>435</v>
      </c>
      <c r="O966" t="s">
        <v>204</v>
      </c>
      <c r="P966" t="str">
        <f t="shared" si="235"/>
        <v>[1]</v>
      </c>
      <c r="Q966">
        <f t="shared" si="236"/>
        <v>60</v>
      </c>
      <c r="R966" t="str">
        <f t="shared" si="234"/>
        <v/>
      </c>
      <c r="S966">
        <f>SUMIF(O966:$O$2855,R966,Q966:$Q$2855)</f>
        <v>0</v>
      </c>
    </row>
    <row r="967" spans="11:19" x14ac:dyDescent="0.25">
      <c r="K967" s="4" t="s">
        <v>421</v>
      </c>
      <c r="L967" t="s">
        <v>422</v>
      </c>
      <c r="M967" t="s">
        <v>2845</v>
      </c>
      <c r="N967" t="s">
        <v>124</v>
      </c>
      <c r="O967" t="s">
        <v>204</v>
      </c>
      <c r="P967" t="str">
        <f t="shared" si="235"/>
        <v>[1]</v>
      </c>
      <c r="Q967">
        <f t="shared" si="236"/>
        <v>68</v>
      </c>
      <c r="R967" t="str">
        <f t="shared" si="234"/>
        <v/>
      </c>
      <c r="S967">
        <f>SUMIF(O967:$O$2855,R967,Q967:$Q$2855)</f>
        <v>0</v>
      </c>
    </row>
    <row r="968" spans="11:19" x14ac:dyDescent="0.25">
      <c r="K968" s="4" t="s">
        <v>421</v>
      </c>
      <c r="L968" t="s">
        <v>422</v>
      </c>
      <c r="M968" t="s">
        <v>2846</v>
      </c>
      <c r="N968" t="s">
        <v>202</v>
      </c>
      <c r="O968" t="s">
        <v>204</v>
      </c>
      <c r="P968" t="str">
        <f t="shared" si="235"/>
        <v>[1]</v>
      </c>
      <c r="Q968">
        <f t="shared" si="236"/>
        <v>16</v>
      </c>
      <c r="R968" t="str">
        <f t="shared" si="234"/>
        <v/>
      </c>
      <c r="S968">
        <f>SUMIF(O968:$O$2855,R968,Q968:$Q$2855)</f>
        <v>0</v>
      </c>
    </row>
    <row r="969" spans="11:19" x14ac:dyDescent="0.25">
      <c r="K969" s="4" t="s">
        <v>421</v>
      </c>
      <c r="L969" t="s">
        <v>422</v>
      </c>
      <c r="M969" t="s">
        <v>2847</v>
      </c>
      <c r="N969" t="s">
        <v>65</v>
      </c>
      <c r="O969" t="s">
        <v>204</v>
      </c>
      <c r="P969" t="str">
        <f t="shared" si="235"/>
        <v>[1]</v>
      </c>
      <c r="Q969">
        <f t="shared" si="236"/>
        <v>40</v>
      </c>
      <c r="R969" t="str">
        <f t="shared" si="234"/>
        <v/>
      </c>
      <c r="S969">
        <f>SUMIF(O969:$O$2855,R969,Q969:$Q$2855)</f>
        <v>0</v>
      </c>
    </row>
    <row r="970" spans="11:19" x14ac:dyDescent="0.25">
      <c r="K970" s="4" t="s">
        <v>421</v>
      </c>
      <c r="L970" t="s">
        <v>422</v>
      </c>
      <c r="M970" t="s">
        <v>2848</v>
      </c>
      <c r="N970" t="s">
        <v>65</v>
      </c>
      <c r="O970" t="s">
        <v>204</v>
      </c>
      <c r="P970" t="str">
        <f t="shared" si="235"/>
        <v>[1]</v>
      </c>
      <c r="Q970">
        <f t="shared" si="236"/>
        <v>40</v>
      </c>
      <c r="R970" t="str">
        <f t="shared" si="234"/>
        <v/>
      </c>
      <c r="S970">
        <f>SUMIF(O970:$O$2855,R970,Q970:$Q$2855)</f>
        <v>0</v>
      </c>
    </row>
    <row r="971" spans="11:19" x14ac:dyDescent="0.25">
      <c r="K971" s="4" t="s">
        <v>421</v>
      </c>
      <c r="L971" t="s">
        <v>422</v>
      </c>
      <c r="M971" t="s">
        <v>2849</v>
      </c>
      <c r="N971" t="s">
        <v>76</v>
      </c>
      <c r="O971" t="s">
        <v>204</v>
      </c>
      <c r="P971" t="str">
        <f t="shared" si="235"/>
        <v>[1]</v>
      </c>
      <c r="Q971">
        <f t="shared" si="236"/>
        <v>36</v>
      </c>
      <c r="R971" t="str">
        <f t="shared" si="234"/>
        <v/>
      </c>
      <c r="S971">
        <f>SUMIF(O971:$O$2855,R971,Q971:$Q$2855)</f>
        <v>0</v>
      </c>
    </row>
    <row r="972" spans="11:19" x14ac:dyDescent="0.25">
      <c r="K972" s="4" t="s">
        <v>421</v>
      </c>
      <c r="L972" t="s">
        <v>422</v>
      </c>
      <c r="M972" t="s">
        <v>2850</v>
      </c>
      <c r="N972" t="s">
        <v>65</v>
      </c>
      <c r="O972" t="s">
        <v>204</v>
      </c>
      <c r="P972" t="str">
        <f t="shared" si="235"/>
        <v>[1]</v>
      </c>
      <c r="Q972">
        <f t="shared" si="236"/>
        <v>40</v>
      </c>
      <c r="R972" t="str">
        <f t="shared" si="234"/>
        <v/>
      </c>
      <c r="S972">
        <f>SUMIF(O972:$O$2855,R972,Q972:$Q$2855)</f>
        <v>0</v>
      </c>
    </row>
    <row r="973" spans="11:19" x14ac:dyDescent="0.25">
      <c r="K973" s="4" t="s">
        <v>421</v>
      </c>
      <c r="L973" t="s">
        <v>422</v>
      </c>
      <c r="M973" t="s">
        <v>2851</v>
      </c>
      <c r="N973" t="s">
        <v>6</v>
      </c>
      <c r="O973" t="s">
        <v>204</v>
      </c>
      <c r="P973" t="str">
        <f t="shared" si="235"/>
        <v>[1]</v>
      </c>
      <c r="Q973">
        <f t="shared" si="236"/>
        <v>28</v>
      </c>
      <c r="R973" t="str">
        <f t="shared" si="234"/>
        <v/>
      </c>
      <c r="S973">
        <f>SUMIF(O973:$O$2855,R973,Q973:$Q$2855)</f>
        <v>0</v>
      </c>
    </row>
    <row r="974" spans="11:19" x14ac:dyDescent="0.25">
      <c r="K974" s="4" t="s">
        <v>421</v>
      </c>
      <c r="L974" t="s">
        <v>422</v>
      </c>
      <c r="M974" t="s">
        <v>1838</v>
      </c>
      <c r="N974" t="s">
        <v>119</v>
      </c>
      <c r="O974" t="s">
        <v>204</v>
      </c>
      <c r="P974" t="str">
        <f t="shared" si="235"/>
        <v>[1]</v>
      </c>
      <c r="Q974">
        <f t="shared" si="236"/>
        <v>32</v>
      </c>
      <c r="R974" t="str">
        <f t="shared" si="234"/>
        <v/>
      </c>
      <c r="S974">
        <f>SUMIF(O974:$O$2855,R974,Q974:$Q$2855)</f>
        <v>0</v>
      </c>
    </row>
    <row r="975" spans="11:19" x14ac:dyDescent="0.25">
      <c r="K975" s="4" t="s">
        <v>421</v>
      </c>
      <c r="L975" t="s">
        <v>422</v>
      </c>
      <c r="M975" t="s">
        <v>2852</v>
      </c>
      <c r="N975" t="s">
        <v>124</v>
      </c>
      <c r="O975" t="s">
        <v>204</v>
      </c>
      <c r="P975" t="str">
        <f t="shared" si="235"/>
        <v>[1]</v>
      </c>
      <c r="Q975">
        <f t="shared" si="236"/>
        <v>68</v>
      </c>
      <c r="R975" t="str">
        <f t="shared" si="234"/>
        <v/>
      </c>
      <c r="S975">
        <f>SUMIF(O975:$O$2855,R975,Q975:$Q$2855)</f>
        <v>0</v>
      </c>
    </row>
    <row r="976" spans="11:19" x14ac:dyDescent="0.25">
      <c r="K976" s="4" t="s">
        <v>421</v>
      </c>
      <c r="L976" t="s">
        <v>422</v>
      </c>
      <c r="M976" t="s">
        <v>2853</v>
      </c>
      <c r="N976" t="s">
        <v>63</v>
      </c>
      <c r="O976" t="s">
        <v>204</v>
      </c>
      <c r="P976" t="str">
        <f t="shared" si="235"/>
        <v>[1]</v>
      </c>
      <c r="Q976">
        <f t="shared" si="236"/>
        <v>88</v>
      </c>
      <c r="R976" t="str">
        <f t="shared" si="234"/>
        <v/>
      </c>
      <c r="S976">
        <f>SUMIF(O976:$O$2855,R976,Q976:$Q$2855)</f>
        <v>0</v>
      </c>
    </row>
    <row r="977" spans="11:19" x14ac:dyDescent="0.25">
      <c r="K977" s="4" t="s">
        <v>421</v>
      </c>
      <c r="L977" t="s">
        <v>422</v>
      </c>
      <c r="M977" t="s">
        <v>2854</v>
      </c>
      <c r="N977" t="s">
        <v>1674</v>
      </c>
      <c r="O977" t="s">
        <v>204</v>
      </c>
      <c r="P977" t="str">
        <f t="shared" si="235"/>
        <v>[1]</v>
      </c>
      <c r="Q977">
        <f t="shared" si="236"/>
        <v>2500</v>
      </c>
      <c r="R977" t="str">
        <f t="shared" si="234"/>
        <v/>
      </c>
      <c r="S977">
        <f>SUMIF(O977:$O$2855,R977,Q977:$Q$2855)</f>
        <v>0</v>
      </c>
    </row>
    <row r="978" spans="11:19" x14ac:dyDescent="0.25">
      <c r="K978" s="4" t="s">
        <v>421</v>
      </c>
      <c r="L978" t="s">
        <v>422</v>
      </c>
      <c r="M978" t="s">
        <v>2855</v>
      </c>
      <c r="N978" t="s">
        <v>428</v>
      </c>
      <c r="O978" t="s">
        <v>204</v>
      </c>
      <c r="P978" t="str">
        <f t="shared" si="235"/>
        <v>[1]</v>
      </c>
      <c r="Q978">
        <f t="shared" si="236"/>
        <v>424</v>
      </c>
      <c r="R978" t="str">
        <f t="shared" si="234"/>
        <v/>
      </c>
      <c r="S978">
        <f>SUMIF(O978:$O$2855,R978,Q978:$Q$2855)</f>
        <v>0</v>
      </c>
    </row>
    <row r="979" spans="11:19" x14ac:dyDescent="0.25">
      <c r="K979" s="4" t="s">
        <v>421</v>
      </c>
      <c r="L979" t="s">
        <v>422</v>
      </c>
      <c r="M979" t="s">
        <v>2856</v>
      </c>
      <c r="N979" t="s">
        <v>126</v>
      </c>
      <c r="O979" t="s">
        <v>204</v>
      </c>
      <c r="P979" t="str">
        <f t="shared" si="235"/>
        <v>[1]</v>
      </c>
      <c r="Q979">
        <f t="shared" si="236"/>
        <v>8</v>
      </c>
      <c r="R979" t="str">
        <f t="shared" si="234"/>
        <v/>
      </c>
      <c r="S979">
        <f>SUMIF(O979:$O$2855,R979,Q979:$Q$2855)</f>
        <v>0</v>
      </c>
    </row>
    <row r="980" spans="11:19" x14ac:dyDescent="0.25">
      <c r="K980" s="4" t="s">
        <v>421</v>
      </c>
      <c r="L980" t="s">
        <v>422</v>
      </c>
      <c r="M980" t="s">
        <v>2857</v>
      </c>
      <c r="N980" t="s">
        <v>103</v>
      </c>
      <c r="O980" t="s">
        <v>204</v>
      </c>
      <c r="P980" t="str">
        <f t="shared" si="235"/>
        <v>[1]</v>
      </c>
      <c r="Q980">
        <f t="shared" si="236"/>
        <v>64</v>
      </c>
      <c r="R980" t="str">
        <f t="shared" si="234"/>
        <v/>
      </c>
      <c r="S980">
        <f>SUMIF(O980:$O$2855,R980,Q980:$Q$2855)</f>
        <v>0</v>
      </c>
    </row>
    <row r="981" spans="11:19" x14ac:dyDescent="0.25">
      <c r="K981" s="4" t="s">
        <v>421</v>
      </c>
      <c r="L981" t="s">
        <v>422</v>
      </c>
      <c r="M981" t="s">
        <v>2858</v>
      </c>
      <c r="N981" t="s">
        <v>428</v>
      </c>
      <c r="O981" t="s">
        <v>204</v>
      </c>
      <c r="P981" t="str">
        <f t="shared" si="235"/>
        <v>[1]</v>
      </c>
      <c r="Q981">
        <f t="shared" si="236"/>
        <v>424</v>
      </c>
      <c r="R981" t="str">
        <f t="shared" si="234"/>
        <v/>
      </c>
      <c r="S981">
        <f>SUMIF(O981:$O$2855,R981,Q981:$Q$2855)</f>
        <v>0</v>
      </c>
    </row>
    <row r="982" spans="11:19" x14ac:dyDescent="0.25">
      <c r="K982" s="4" t="s">
        <v>421</v>
      </c>
      <c r="L982" t="s">
        <v>422</v>
      </c>
      <c r="M982" t="s">
        <v>2859</v>
      </c>
      <c r="N982" t="s">
        <v>437</v>
      </c>
      <c r="O982" t="s">
        <v>204</v>
      </c>
      <c r="P982" t="str">
        <f t="shared" si="235"/>
        <v>[1]</v>
      </c>
      <c r="Q982">
        <f t="shared" si="236"/>
        <v>24</v>
      </c>
      <c r="R982" t="str">
        <f t="shared" si="234"/>
        <v/>
      </c>
      <c r="S982">
        <f>SUMIF(O982:$O$2855,R982,Q982:$Q$2855)</f>
        <v>0</v>
      </c>
    </row>
    <row r="983" spans="11:19" x14ac:dyDescent="0.25">
      <c r="K983" s="4" t="s">
        <v>421</v>
      </c>
      <c r="L983" t="s">
        <v>422</v>
      </c>
      <c r="M983" t="s">
        <v>2860</v>
      </c>
      <c r="N983" t="s">
        <v>46</v>
      </c>
      <c r="O983" t="s">
        <v>204</v>
      </c>
      <c r="P983" t="str">
        <f t="shared" si="235"/>
        <v>[1]</v>
      </c>
      <c r="Q983">
        <f t="shared" si="236"/>
        <v>2</v>
      </c>
      <c r="R983" t="str">
        <f t="shared" si="234"/>
        <v/>
      </c>
      <c r="S983">
        <f>SUMIF(O983:$O$2855,R983,Q983:$Q$2855)</f>
        <v>0</v>
      </c>
    </row>
    <row r="984" spans="11:19" x14ac:dyDescent="0.25">
      <c r="K984" s="4" t="s">
        <v>421</v>
      </c>
      <c r="L984" t="s">
        <v>422</v>
      </c>
      <c r="M984" t="s">
        <v>2861</v>
      </c>
      <c r="N984" t="s">
        <v>46</v>
      </c>
      <c r="O984" t="s">
        <v>204</v>
      </c>
      <c r="P984" t="str">
        <f t="shared" si="235"/>
        <v>[1]</v>
      </c>
      <c r="Q984">
        <f t="shared" si="236"/>
        <v>2</v>
      </c>
      <c r="R984" t="str">
        <f t="shared" si="234"/>
        <v/>
      </c>
      <c r="S984">
        <f>SUMIF(O984:$O$2855,R984,Q984:$Q$2855)</f>
        <v>0</v>
      </c>
    </row>
    <row r="985" spans="11:19" x14ac:dyDescent="0.25">
      <c r="K985" s="4" t="s">
        <v>421</v>
      </c>
      <c r="L985" t="s">
        <v>422</v>
      </c>
      <c r="M985" t="s">
        <v>1839</v>
      </c>
      <c r="N985" t="s">
        <v>202</v>
      </c>
      <c r="O985" t="s">
        <v>205</v>
      </c>
      <c r="P985" t="str">
        <f t="shared" si="235"/>
        <v>[1]</v>
      </c>
      <c r="Q985">
        <f t="shared" si="236"/>
        <v>16</v>
      </c>
      <c r="R985" t="str">
        <f t="shared" si="234"/>
        <v>ecc108_mqx.o</v>
      </c>
      <c r="S985">
        <f>SUMIF(O985:$O$2855,R985,Q985:$Q$2855)</f>
        <v>68</v>
      </c>
    </row>
    <row r="986" spans="11:19" x14ac:dyDescent="0.25">
      <c r="K986" s="4" t="s">
        <v>421</v>
      </c>
      <c r="L986" t="s">
        <v>422</v>
      </c>
      <c r="M986" t="s">
        <v>2862</v>
      </c>
      <c r="N986" t="s">
        <v>202</v>
      </c>
      <c r="O986" t="s">
        <v>205</v>
      </c>
      <c r="P986" t="str">
        <f t="shared" si="235"/>
        <v>[1]</v>
      </c>
      <c r="Q986">
        <f t="shared" si="236"/>
        <v>16</v>
      </c>
      <c r="R986" t="str">
        <f t="shared" si="234"/>
        <v/>
      </c>
      <c r="S986">
        <f>SUMIF(O986:$O$2855,R986,Q986:$Q$2855)</f>
        <v>0</v>
      </c>
    </row>
    <row r="987" spans="11:19" x14ac:dyDescent="0.25">
      <c r="K987" s="4" t="s">
        <v>421</v>
      </c>
      <c r="L987" t="s">
        <v>422</v>
      </c>
      <c r="M987" t="s">
        <v>2863</v>
      </c>
      <c r="N987" t="s">
        <v>6</v>
      </c>
      <c r="O987" t="s">
        <v>205</v>
      </c>
      <c r="P987" t="str">
        <f t="shared" si="235"/>
        <v>[1]</v>
      </c>
      <c r="Q987">
        <f t="shared" si="236"/>
        <v>28</v>
      </c>
      <c r="R987" t="str">
        <f t="shared" si="234"/>
        <v/>
      </c>
      <c r="S987">
        <f>SUMIF(O987:$O$2855,R987,Q987:$Q$2855)</f>
        <v>0</v>
      </c>
    </row>
    <row r="988" spans="11:19" x14ac:dyDescent="0.25">
      <c r="K988" s="4" t="s">
        <v>421</v>
      </c>
      <c r="L988" t="s">
        <v>422</v>
      </c>
      <c r="M988" t="s">
        <v>2864</v>
      </c>
      <c r="N988" t="s">
        <v>126</v>
      </c>
      <c r="O988" t="s">
        <v>205</v>
      </c>
      <c r="P988" t="str">
        <f t="shared" si="235"/>
        <v>[1]</v>
      </c>
      <c r="Q988">
        <f t="shared" si="236"/>
        <v>8</v>
      </c>
      <c r="R988" t="str">
        <f t="shared" si="234"/>
        <v/>
      </c>
      <c r="S988">
        <f>SUMIF(O988:$O$2855,R988,Q988:$Q$2855)</f>
        <v>0</v>
      </c>
    </row>
    <row r="989" spans="11:19" x14ac:dyDescent="0.25">
      <c r="K989" s="4" t="s">
        <v>421</v>
      </c>
      <c r="L989" t="s">
        <v>422</v>
      </c>
      <c r="M989" t="s">
        <v>4116</v>
      </c>
      <c r="N989" t="s">
        <v>13</v>
      </c>
      <c r="O989" t="s">
        <v>227</v>
      </c>
      <c r="P989" t="str">
        <f t="shared" si="235"/>
        <v>[1]</v>
      </c>
      <c r="Q989">
        <f t="shared" si="236"/>
        <v>12</v>
      </c>
      <c r="R989" t="str">
        <f t="shared" si="234"/>
        <v>ed_config.o</v>
      </c>
      <c r="S989">
        <f>SUMIF(O989:$O$2855,R989,Q989:$Q$2855)</f>
        <v>64</v>
      </c>
    </row>
    <row r="990" spans="11:19" x14ac:dyDescent="0.25">
      <c r="K990" s="4" t="s">
        <v>421</v>
      </c>
      <c r="L990" t="s">
        <v>422</v>
      </c>
      <c r="M990" t="s">
        <v>1997</v>
      </c>
      <c r="N990" t="s">
        <v>6</v>
      </c>
      <c r="O990" t="s">
        <v>227</v>
      </c>
      <c r="P990" t="str">
        <f t="shared" si="235"/>
        <v>[1]</v>
      </c>
      <c r="Q990">
        <f t="shared" si="236"/>
        <v>28</v>
      </c>
      <c r="R990" t="str">
        <f t="shared" si="234"/>
        <v/>
      </c>
      <c r="S990">
        <f>SUMIF(O990:$O$2855,R990,Q990:$Q$2855)</f>
        <v>0</v>
      </c>
    </row>
    <row r="991" spans="11:19" x14ac:dyDescent="0.25">
      <c r="K991" s="4" t="s">
        <v>421</v>
      </c>
      <c r="L991" t="s">
        <v>422</v>
      </c>
      <c r="M991" t="s">
        <v>4117</v>
      </c>
      <c r="N991" t="s">
        <v>437</v>
      </c>
      <c r="O991" t="s">
        <v>227</v>
      </c>
      <c r="P991" t="str">
        <f t="shared" si="235"/>
        <v>[1]</v>
      </c>
      <c r="Q991">
        <f t="shared" si="236"/>
        <v>24</v>
      </c>
      <c r="R991" t="str">
        <f t="shared" si="234"/>
        <v/>
      </c>
      <c r="S991">
        <f>SUMIF(O991:$O$2855,R991,Q991:$Q$2855)</f>
        <v>0</v>
      </c>
    </row>
    <row r="992" spans="11:19" x14ac:dyDescent="0.25">
      <c r="K992" s="4" t="s">
        <v>421</v>
      </c>
      <c r="L992" t="s">
        <v>422</v>
      </c>
      <c r="M992" t="s">
        <v>4118</v>
      </c>
      <c r="N992" t="s">
        <v>13</v>
      </c>
      <c r="O992" t="s">
        <v>367</v>
      </c>
      <c r="P992" t="str">
        <f t="shared" si="235"/>
        <v>[1]</v>
      </c>
      <c r="Q992">
        <f t="shared" si="236"/>
        <v>12</v>
      </c>
      <c r="R992" t="str">
        <f t="shared" ref="R992:R1055" si="237">IF(O992&lt;&gt;O991,O992,"")</f>
        <v>endpt_cim_cmd.o</v>
      </c>
      <c r="S992">
        <f>SUMIF(O992:$O$2855,R992,Q992:$Q$2855)</f>
        <v>12</v>
      </c>
    </row>
    <row r="993" spans="11:19" x14ac:dyDescent="0.25">
      <c r="K993" s="4" t="s">
        <v>421</v>
      </c>
      <c r="L993" t="s">
        <v>422</v>
      </c>
      <c r="M993" t="s">
        <v>3427</v>
      </c>
      <c r="N993" t="s">
        <v>13</v>
      </c>
      <c r="O993" t="s">
        <v>249</v>
      </c>
      <c r="P993" t="str">
        <f t="shared" si="235"/>
        <v>[1]</v>
      </c>
      <c r="Q993">
        <f t="shared" si="236"/>
        <v>12</v>
      </c>
      <c r="R993" t="str">
        <f t="shared" si="237"/>
        <v>eng_res.o</v>
      </c>
      <c r="S993">
        <f>SUMIF(O993:$O$2855,R993,Q993:$Q$2855)</f>
        <v>284</v>
      </c>
    </row>
    <row r="994" spans="11:19" x14ac:dyDescent="0.25">
      <c r="K994" s="4" t="s">
        <v>421</v>
      </c>
      <c r="L994" t="s">
        <v>422</v>
      </c>
      <c r="M994" t="s">
        <v>3428</v>
      </c>
      <c r="N994" t="s">
        <v>190</v>
      </c>
      <c r="O994" t="s">
        <v>249</v>
      </c>
      <c r="P994" t="str">
        <f t="shared" si="235"/>
        <v>[1]</v>
      </c>
      <c r="Q994">
        <f t="shared" si="236"/>
        <v>56</v>
      </c>
      <c r="R994" t="str">
        <f t="shared" si="237"/>
        <v/>
      </c>
      <c r="S994">
        <f>SUMIF(O994:$O$2855,R994,Q994:$Q$2855)</f>
        <v>0</v>
      </c>
    </row>
    <row r="995" spans="11:19" x14ac:dyDescent="0.25">
      <c r="K995" s="4" t="s">
        <v>421</v>
      </c>
      <c r="L995" t="s">
        <v>422</v>
      </c>
      <c r="M995" t="s">
        <v>3429</v>
      </c>
      <c r="N995" t="s">
        <v>190</v>
      </c>
      <c r="O995" t="s">
        <v>249</v>
      </c>
      <c r="P995" t="str">
        <f t="shared" si="235"/>
        <v>[1]</v>
      </c>
      <c r="Q995">
        <f t="shared" si="236"/>
        <v>56</v>
      </c>
      <c r="R995" t="str">
        <f t="shared" si="237"/>
        <v/>
      </c>
      <c r="S995">
        <f>SUMIF(O995:$O$2855,R995,Q995:$Q$2855)</f>
        <v>0</v>
      </c>
    </row>
    <row r="996" spans="11:19" x14ac:dyDescent="0.25">
      <c r="K996" s="4" t="s">
        <v>421</v>
      </c>
      <c r="L996" t="s">
        <v>422</v>
      </c>
      <c r="M996" t="s">
        <v>3430</v>
      </c>
      <c r="N996" t="s">
        <v>67</v>
      </c>
      <c r="O996" t="s">
        <v>249</v>
      </c>
      <c r="P996" t="str">
        <f t="shared" si="235"/>
        <v>[1]</v>
      </c>
      <c r="Q996">
        <f t="shared" si="236"/>
        <v>48</v>
      </c>
      <c r="R996" t="str">
        <f t="shared" si="237"/>
        <v/>
      </c>
      <c r="S996">
        <f>SUMIF(O996:$O$2855,R996,Q996:$Q$2855)</f>
        <v>0</v>
      </c>
    </row>
    <row r="997" spans="11:19" x14ac:dyDescent="0.25">
      <c r="K997" s="4" t="s">
        <v>421</v>
      </c>
      <c r="L997" t="s">
        <v>422</v>
      </c>
      <c r="M997" t="s">
        <v>3431</v>
      </c>
      <c r="N997" t="s">
        <v>435</v>
      </c>
      <c r="O997" t="s">
        <v>249</v>
      </c>
      <c r="P997" t="str">
        <f t="shared" si="235"/>
        <v>[1]</v>
      </c>
      <c r="Q997">
        <f t="shared" si="236"/>
        <v>60</v>
      </c>
      <c r="R997" t="str">
        <f t="shared" si="237"/>
        <v/>
      </c>
      <c r="S997">
        <f>SUMIF(O997:$O$2855,R997,Q997:$Q$2855)</f>
        <v>0</v>
      </c>
    </row>
    <row r="998" spans="11:19" x14ac:dyDescent="0.25">
      <c r="K998" s="4" t="s">
        <v>421</v>
      </c>
      <c r="L998" t="s">
        <v>422</v>
      </c>
      <c r="M998" t="s">
        <v>3432</v>
      </c>
      <c r="N998" t="s">
        <v>237</v>
      </c>
      <c r="O998" t="s">
        <v>249</v>
      </c>
      <c r="P998" t="str">
        <f t="shared" si="235"/>
        <v>[1]</v>
      </c>
      <c r="Q998">
        <f t="shared" si="236"/>
        <v>52</v>
      </c>
      <c r="R998" t="str">
        <f t="shared" si="237"/>
        <v/>
      </c>
      <c r="S998">
        <f>SUMIF(O998:$O$2855,R998,Q998:$Q$2855)</f>
        <v>0</v>
      </c>
    </row>
    <row r="999" spans="11:19" x14ac:dyDescent="0.25">
      <c r="K999" s="4" t="s">
        <v>421</v>
      </c>
      <c r="L999" t="s">
        <v>422</v>
      </c>
      <c r="M999" t="s">
        <v>2749</v>
      </c>
      <c r="N999" t="s">
        <v>13</v>
      </c>
      <c r="O999" t="s">
        <v>239</v>
      </c>
      <c r="P999" t="str">
        <f t="shared" si="235"/>
        <v>[1]</v>
      </c>
      <c r="Q999">
        <f t="shared" si="236"/>
        <v>12</v>
      </c>
      <c r="R999" t="str">
        <f t="shared" si="237"/>
        <v>Event.o</v>
      </c>
      <c r="S999">
        <f>SUMIF(O999:$O$2855,R999,Q999:$Q$2855)</f>
        <v>28</v>
      </c>
    </row>
    <row r="1000" spans="11:19" x14ac:dyDescent="0.25">
      <c r="K1000" s="4" t="s">
        <v>421</v>
      </c>
      <c r="L1000" t="s">
        <v>422</v>
      </c>
      <c r="M1000" t="s">
        <v>2750</v>
      </c>
      <c r="N1000" t="s">
        <v>202</v>
      </c>
      <c r="O1000" t="s">
        <v>239</v>
      </c>
      <c r="P1000" t="str">
        <f t="shared" si="235"/>
        <v>[1]</v>
      </c>
      <c r="Q1000">
        <f t="shared" si="236"/>
        <v>16</v>
      </c>
      <c r="R1000" t="str">
        <f t="shared" si="237"/>
        <v/>
      </c>
      <c r="S1000">
        <f>SUMIF(O1000:$O$2855,R1000,Q1000:$Q$2855)</f>
        <v>0</v>
      </c>
    </row>
    <row r="1001" spans="11:19" x14ac:dyDescent="0.25">
      <c r="K1001" s="4" t="s">
        <v>421</v>
      </c>
      <c r="L1001" t="s">
        <v>422</v>
      </c>
      <c r="M1001" t="s">
        <v>3433</v>
      </c>
      <c r="N1001" t="s">
        <v>202</v>
      </c>
      <c r="O1001" t="s">
        <v>136</v>
      </c>
      <c r="P1001" t="str">
        <f t="shared" si="235"/>
        <v>[1]</v>
      </c>
      <c r="Q1001">
        <f t="shared" si="236"/>
        <v>16</v>
      </c>
      <c r="R1001" t="str">
        <f t="shared" si="237"/>
        <v>EVL_event_log.o</v>
      </c>
      <c r="S1001">
        <f>SUMIF(O1001:$O$2855,R1001,Q1001:$Q$2855)</f>
        <v>1948</v>
      </c>
    </row>
    <row r="1002" spans="11:19" x14ac:dyDescent="0.25">
      <c r="K1002" s="4" t="s">
        <v>421</v>
      </c>
      <c r="L1002" t="s">
        <v>422</v>
      </c>
      <c r="M1002" t="s">
        <v>3434</v>
      </c>
      <c r="N1002" t="s">
        <v>165</v>
      </c>
      <c r="O1002" t="s">
        <v>136</v>
      </c>
      <c r="P1002" t="str">
        <f t="shared" si="235"/>
        <v>[1]</v>
      </c>
      <c r="Q1002">
        <f t="shared" si="236"/>
        <v>20</v>
      </c>
      <c r="R1002" t="str">
        <f t="shared" si="237"/>
        <v/>
      </c>
      <c r="S1002">
        <f>SUMIF(O1002:$O$2855,R1002,Q1002:$Q$2855)</f>
        <v>0</v>
      </c>
    </row>
    <row r="1003" spans="11:19" x14ac:dyDescent="0.25">
      <c r="K1003" s="4" t="s">
        <v>421</v>
      </c>
      <c r="L1003" t="s">
        <v>422</v>
      </c>
      <c r="M1003" t="s">
        <v>3435</v>
      </c>
      <c r="N1003" t="s">
        <v>437</v>
      </c>
      <c r="O1003" t="s">
        <v>136</v>
      </c>
      <c r="P1003" t="str">
        <f t="shared" si="235"/>
        <v>[1]</v>
      </c>
      <c r="Q1003">
        <f t="shared" si="236"/>
        <v>24</v>
      </c>
      <c r="R1003" t="str">
        <f t="shared" si="237"/>
        <v/>
      </c>
      <c r="S1003">
        <f>SUMIF(O1003:$O$2855,R1003,Q1003:$Q$2855)</f>
        <v>0</v>
      </c>
    </row>
    <row r="1004" spans="11:19" x14ac:dyDescent="0.25">
      <c r="K1004" s="4" t="s">
        <v>421</v>
      </c>
      <c r="L1004" t="s">
        <v>422</v>
      </c>
      <c r="M1004" t="s">
        <v>3436</v>
      </c>
      <c r="N1004" t="s">
        <v>165</v>
      </c>
      <c r="O1004" t="s">
        <v>136</v>
      </c>
      <c r="P1004" t="str">
        <f t="shared" si="235"/>
        <v>[1]</v>
      </c>
      <c r="Q1004">
        <f t="shared" si="236"/>
        <v>20</v>
      </c>
      <c r="R1004" t="str">
        <f t="shared" si="237"/>
        <v/>
      </c>
      <c r="S1004">
        <f>SUMIF(O1004:$O$2855,R1004,Q1004:$Q$2855)</f>
        <v>0</v>
      </c>
    </row>
    <row r="1005" spans="11:19" x14ac:dyDescent="0.25">
      <c r="K1005" s="4" t="s">
        <v>421</v>
      </c>
      <c r="L1005" t="s">
        <v>422</v>
      </c>
      <c r="M1005" t="s">
        <v>3437</v>
      </c>
      <c r="N1005" t="s">
        <v>6</v>
      </c>
      <c r="O1005" t="s">
        <v>136</v>
      </c>
      <c r="P1005" t="str">
        <f t="shared" si="235"/>
        <v>[1]</v>
      </c>
      <c r="Q1005">
        <f t="shared" si="236"/>
        <v>28</v>
      </c>
      <c r="R1005" t="str">
        <f t="shared" si="237"/>
        <v/>
      </c>
      <c r="S1005">
        <f>SUMIF(O1005:$O$2855,R1005,Q1005:$Q$2855)</f>
        <v>0</v>
      </c>
    </row>
    <row r="1006" spans="11:19" x14ac:dyDescent="0.25">
      <c r="K1006" s="4" t="s">
        <v>421</v>
      </c>
      <c r="L1006" t="s">
        <v>422</v>
      </c>
      <c r="M1006" t="s">
        <v>3438</v>
      </c>
      <c r="N1006" t="s">
        <v>165</v>
      </c>
      <c r="O1006" t="s">
        <v>136</v>
      </c>
      <c r="P1006" t="str">
        <f t="shared" si="235"/>
        <v>[1]</v>
      </c>
      <c r="Q1006">
        <f t="shared" si="236"/>
        <v>20</v>
      </c>
      <c r="R1006" t="str">
        <f t="shared" si="237"/>
        <v/>
      </c>
      <c r="S1006">
        <f>SUMIF(O1006:$O$2855,R1006,Q1006:$Q$2855)</f>
        <v>0</v>
      </c>
    </row>
    <row r="1007" spans="11:19" x14ac:dyDescent="0.25">
      <c r="K1007" s="4" t="s">
        <v>421</v>
      </c>
      <c r="L1007" t="s">
        <v>422</v>
      </c>
      <c r="M1007" t="s">
        <v>3439</v>
      </c>
      <c r="N1007" t="s">
        <v>6</v>
      </c>
      <c r="O1007" t="s">
        <v>136</v>
      </c>
      <c r="P1007" t="str">
        <f t="shared" si="235"/>
        <v>[1]</v>
      </c>
      <c r="Q1007">
        <f t="shared" si="236"/>
        <v>28</v>
      </c>
      <c r="R1007" t="str">
        <f t="shared" si="237"/>
        <v/>
      </c>
      <c r="S1007">
        <f>SUMIF(O1007:$O$2855,R1007,Q1007:$Q$2855)</f>
        <v>0</v>
      </c>
    </row>
    <row r="1008" spans="11:19" x14ac:dyDescent="0.25">
      <c r="K1008" s="4" t="s">
        <v>421</v>
      </c>
      <c r="L1008" t="s">
        <v>422</v>
      </c>
      <c r="M1008" t="s">
        <v>3440</v>
      </c>
      <c r="N1008" t="s">
        <v>150</v>
      </c>
      <c r="O1008" t="s">
        <v>136</v>
      </c>
      <c r="P1008" t="str">
        <f t="shared" si="235"/>
        <v>[1]</v>
      </c>
      <c r="Q1008">
        <f t="shared" si="236"/>
        <v>120</v>
      </c>
      <c r="R1008" t="str">
        <f t="shared" si="237"/>
        <v/>
      </c>
      <c r="S1008">
        <f>SUMIF(O1008:$O$2855,R1008,Q1008:$Q$2855)</f>
        <v>0</v>
      </c>
    </row>
    <row r="1009" spans="11:19" x14ac:dyDescent="0.25">
      <c r="K1009" s="4" t="s">
        <v>421</v>
      </c>
      <c r="L1009" t="s">
        <v>422</v>
      </c>
      <c r="M1009" t="s">
        <v>3441</v>
      </c>
      <c r="N1009" t="s">
        <v>190</v>
      </c>
      <c r="O1009" t="s">
        <v>136</v>
      </c>
      <c r="P1009" t="str">
        <f t="shared" si="235"/>
        <v>[1]</v>
      </c>
      <c r="Q1009">
        <f t="shared" si="236"/>
        <v>56</v>
      </c>
      <c r="R1009" t="str">
        <f t="shared" si="237"/>
        <v/>
      </c>
      <c r="S1009">
        <f>SUMIF(O1009:$O$2855,R1009,Q1009:$Q$2855)</f>
        <v>0</v>
      </c>
    </row>
    <row r="1010" spans="11:19" x14ac:dyDescent="0.25">
      <c r="K1010" s="4" t="s">
        <v>421</v>
      </c>
      <c r="L1010" t="s">
        <v>422</v>
      </c>
      <c r="M1010" t="s">
        <v>3442</v>
      </c>
      <c r="N1010" t="s">
        <v>202</v>
      </c>
      <c r="O1010" t="s">
        <v>136</v>
      </c>
      <c r="P1010" t="str">
        <f t="shared" si="235"/>
        <v>[1]</v>
      </c>
      <c r="Q1010">
        <f t="shared" si="236"/>
        <v>16</v>
      </c>
      <c r="R1010" t="str">
        <f t="shared" si="237"/>
        <v/>
      </c>
      <c r="S1010">
        <f>SUMIF(O1010:$O$2855,R1010,Q1010:$Q$2855)</f>
        <v>0</v>
      </c>
    </row>
    <row r="1011" spans="11:19" x14ac:dyDescent="0.25">
      <c r="K1011" s="4" t="s">
        <v>421</v>
      </c>
      <c r="L1011" t="s">
        <v>422</v>
      </c>
      <c r="M1011" t="s">
        <v>3443</v>
      </c>
      <c r="N1011" t="s">
        <v>126</v>
      </c>
      <c r="O1011" t="s">
        <v>136</v>
      </c>
      <c r="P1011" t="str">
        <f t="shared" si="235"/>
        <v>[1]</v>
      </c>
      <c r="Q1011">
        <f t="shared" si="236"/>
        <v>8</v>
      </c>
      <c r="R1011" t="str">
        <f t="shared" si="237"/>
        <v/>
      </c>
      <c r="S1011">
        <f>SUMIF(O1011:$O$2855,R1011,Q1011:$Q$2855)</f>
        <v>0</v>
      </c>
    </row>
    <row r="1012" spans="11:19" x14ac:dyDescent="0.25">
      <c r="K1012" s="4" t="s">
        <v>421</v>
      </c>
      <c r="L1012" t="s">
        <v>422</v>
      </c>
      <c r="M1012" t="s">
        <v>3444</v>
      </c>
      <c r="N1012" t="s">
        <v>237</v>
      </c>
      <c r="O1012" t="s">
        <v>136</v>
      </c>
      <c r="P1012" t="str">
        <f t="shared" si="235"/>
        <v>[1]</v>
      </c>
      <c r="Q1012">
        <f t="shared" si="236"/>
        <v>52</v>
      </c>
      <c r="R1012" t="str">
        <f t="shared" si="237"/>
        <v/>
      </c>
      <c r="S1012">
        <f>SUMIF(O1012:$O$2855,R1012,Q1012:$Q$2855)</f>
        <v>0</v>
      </c>
    </row>
    <row r="1013" spans="11:19" x14ac:dyDescent="0.25">
      <c r="K1013" s="4" t="s">
        <v>421</v>
      </c>
      <c r="L1013" t="s">
        <v>422</v>
      </c>
      <c r="M1013" t="s">
        <v>3445</v>
      </c>
      <c r="N1013" t="s">
        <v>437</v>
      </c>
      <c r="O1013" t="s">
        <v>136</v>
      </c>
      <c r="P1013" t="str">
        <f t="shared" si="235"/>
        <v>[1]</v>
      </c>
      <c r="Q1013">
        <f t="shared" si="236"/>
        <v>24</v>
      </c>
      <c r="R1013" t="str">
        <f t="shared" si="237"/>
        <v/>
      </c>
      <c r="S1013">
        <f>SUMIF(O1013:$O$2855,R1013,Q1013:$Q$2855)</f>
        <v>0</v>
      </c>
    </row>
    <row r="1014" spans="11:19" x14ac:dyDescent="0.25">
      <c r="K1014" s="4" t="s">
        <v>421</v>
      </c>
      <c r="L1014" t="s">
        <v>422</v>
      </c>
      <c r="M1014" t="s">
        <v>3446</v>
      </c>
      <c r="N1014" t="s">
        <v>44</v>
      </c>
      <c r="O1014" t="s">
        <v>136</v>
      </c>
      <c r="P1014" t="str">
        <f t="shared" si="235"/>
        <v>[1]</v>
      </c>
      <c r="Q1014">
        <f t="shared" si="236"/>
        <v>44</v>
      </c>
      <c r="R1014" t="str">
        <f t="shared" si="237"/>
        <v/>
      </c>
      <c r="S1014">
        <f>SUMIF(O1014:$O$2855,R1014,Q1014:$Q$2855)</f>
        <v>0</v>
      </c>
    </row>
    <row r="1015" spans="11:19" x14ac:dyDescent="0.25">
      <c r="K1015" s="4" t="s">
        <v>421</v>
      </c>
      <c r="L1015" t="s">
        <v>422</v>
      </c>
      <c r="M1015" t="s">
        <v>3447</v>
      </c>
      <c r="N1015" t="s">
        <v>76</v>
      </c>
      <c r="O1015" t="s">
        <v>136</v>
      </c>
      <c r="P1015" t="str">
        <f t="shared" si="235"/>
        <v>[1]</v>
      </c>
      <c r="Q1015">
        <f t="shared" si="236"/>
        <v>36</v>
      </c>
      <c r="R1015" t="str">
        <f t="shared" si="237"/>
        <v/>
      </c>
      <c r="S1015">
        <f>SUMIF(O1015:$O$2855,R1015,Q1015:$Q$2855)</f>
        <v>0</v>
      </c>
    </row>
    <row r="1016" spans="11:19" x14ac:dyDescent="0.25">
      <c r="K1016" s="4" t="s">
        <v>421</v>
      </c>
      <c r="L1016" t="s">
        <v>422</v>
      </c>
      <c r="M1016" t="s">
        <v>3448</v>
      </c>
      <c r="N1016" t="s">
        <v>6</v>
      </c>
      <c r="O1016" t="s">
        <v>136</v>
      </c>
      <c r="P1016" t="str">
        <f t="shared" si="235"/>
        <v>[1]</v>
      </c>
      <c r="Q1016">
        <f t="shared" si="236"/>
        <v>28</v>
      </c>
      <c r="R1016" t="str">
        <f t="shared" si="237"/>
        <v/>
      </c>
      <c r="S1016">
        <f>SUMIF(O1016:$O$2855,R1016,Q1016:$Q$2855)</f>
        <v>0</v>
      </c>
    </row>
    <row r="1017" spans="11:19" x14ac:dyDescent="0.25">
      <c r="K1017" s="4" t="s">
        <v>421</v>
      </c>
      <c r="L1017" t="s">
        <v>422</v>
      </c>
      <c r="M1017" t="s">
        <v>3449</v>
      </c>
      <c r="N1017" t="s">
        <v>190</v>
      </c>
      <c r="O1017" t="s">
        <v>136</v>
      </c>
      <c r="P1017" t="str">
        <f t="shared" si="235"/>
        <v>[1]</v>
      </c>
      <c r="Q1017">
        <f t="shared" si="236"/>
        <v>56</v>
      </c>
      <c r="R1017" t="str">
        <f t="shared" si="237"/>
        <v/>
      </c>
      <c r="S1017">
        <f>SUMIF(O1017:$O$2855,R1017,Q1017:$Q$2855)</f>
        <v>0</v>
      </c>
    </row>
    <row r="1018" spans="11:19" x14ac:dyDescent="0.25">
      <c r="K1018" s="4" t="s">
        <v>421</v>
      </c>
      <c r="L1018" t="s">
        <v>422</v>
      </c>
      <c r="M1018" t="s">
        <v>3450</v>
      </c>
      <c r="N1018" t="s">
        <v>190</v>
      </c>
      <c r="O1018" t="s">
        <v>136</v>
      </c>
      <c r="P1018" t="str">
        <f t="shared" si="235"/>
        <v>[1]</v>
      </c>
      <c r="Q1018">
        <f t="shared" si="236"/>
        <v>56</v>
      </c>
      <c r="R1018" t="str">
        <f t="shared" si="237"/>
        <v/>
      </c>
      <c r="S1018">
        <f>SUMIF(O1018:$O$2855,R1018,Q1018:$Q$2855)</f>
        <v>0</v>
      </c>
    </row>
    <row r="1019" spans="11:19" x14ac:dyDescent="0.25">
      <c r="K1019" s="4" t="s">
        <v>421</v>
      </c>
      <c r="L1019" t="s">
        <v>422</v>
      </c>
      <c r="M1019" t="s">
        <v>3451</v>
      </c>
      <c r="N1019" t="s">
        <v>44</v>
      </c>
      <c r="O1019" t="s">
        <v>136</v>
      </c>
      <c r="P1019" t="str">
        <f t="shared" si="235"/>
        <v>[1]</v>
      </c>
      <c r="Q1019">
        <f t="shared" si="236"/>
        <v>44</v>
      </c>
      <c r="R1019" t="str">
        <f t="shared" si="237"/>
        <v/>
      </c>
      <c r="S1019">
        <f>SUMIF(O1019:$O$2855,R1019,Q1019:$Q$2855)</f>
        <v>0</v>
      </c>
    </row>
    <row r="1020" spans="11:19" x14ac:dyDescent="0.25">
      <c r="K1020" s="4" t="s">
        <v>421</v>
      </c>
      <c r="L1020" t="s">
        <v>422</v>
      </c>
      <c r="M1020" t="s">
        <v>3452</v>
      </c>
      <c r="N1020" t="s">
        <v>67</v>
      </c>
      <c r="O1020" t="s">
        <v>136</v>
      </c>
      <c r="P1020" t="str">
        <f t="shared" si="235"/>
        <v>[1]</v>
      </c>
      <c r="Q1020">
        <f t="shared" si="236"/>
        <v>48</v>
      </c>
      <c r="R1020" t="str">
        <f t="shared" si="237"/>
        <v/>
      </c>
      <c r="S1020">
        <f>SUMIF(O1020:$O$2855,R1020,Q1020:$Q$2855)</f>
        <v>0</v>
      </c>
    </row>
    <row r="1021" spans="11:19" x14ac:dyDescent="0.25">
      <c r="K1021" s="4" t="s">
        <v>421</v>
      </c>
      <c r="L1021" t="s">
        <v>422</v>
      </c>
      <c r="M1021" t="s">
        <v>3453</v>
      </c>
      <c r="N1021" t="s">
        <v>67</v>
      </c>
      <c r="O1021" t="s">
        <v>136</v>
      </c>
      <c r="P1021" t="str">
        <f t="shared" si="235"/>
        <v>[1]</v>
      </c>
      <c r="Q1021">
        <f t="shared" si="236"/>
        <v>48</v>
      </c>
      <c r="R1021" t="str">
        <f t="shared" si="237"/>
        <v/>
      </c>
      <c r="S1021">
        <f>SUMIF(O1021:$O$2855,R1021,Q1021:$Q$2855)</f>
        <v>0</v>
      </c>
    </row>
    <row r="1022" spans="11:19" x14ac:dyDescent="0.25">
      <c r="K1022" s="4" t="s">
        <v>421</v>
      </c>
      <c r="L1022" t="s">
        <v>422</v>
      </c>
      <c r="M1022" t="s">
        <v>3454</v>
      </c>
      <c r="N1022" t="s">
        <v>76</v>
      </c>
      <c r="O1022" t="s">
        <v>136</v>
      </c>
      <c r="P1022" t="str">
        <f t="shared" si="235"/>
        <v>[1]</v>
      </c>
      <c r="Q1022">
        <f t="shared" si="236"/>
        <v>36</v>
      </c>
      <c r="R1022" t="str">
        <f t="shared" si="237"/>
        <v/>
      </c>
      <c r="S1022">
        <f>SUMIF(O1022:$O$2855,R1022,Q1022:$Q$2855)</f>
        <v>0</v>
      </c>
    </row>
    <row r="1023" spans="11:19" x14ac:dyDescent="0.25">
      <c r="K1023" s="4" t="s">
        <v>421</v>
      </c>
      <c r="L1023" t="s">
        <v>422</v>
      </c>
      <c r="M1023" t="s">
        <v>3455</v>
      </c>
      <c r="N1023" t="s">
        <v>275</v>
      </c>
      <c r="O1023" t="s">
        <v>136</v>
      </c>
      <c r="P1023" t="str">
        <f t="shared" si="235"/>
        <v>[1]</v>
      </c>
      <c r="Q1023">
        <f t="shared" si="236"/>
        <v>80</v>
      </c>
      <c r="R1023" t="str">
        <f t="shared" si="237"/>
        <v/>
      </c>
      <c r="S1023">
        <f>SUMIF(O1023:$O$2855,R1023,Q1023:$Q$2855)</f>
        <v>0</v>
      </c>
    </row>
    <row r="1024" spans="11:19" x14ac:dyDescent="0.25">
      <c r="K1024" s="4" t="s">
        <v>421</v>
      </c>
      <c r="L1024" t="s">
        <v>422</v>
      </c>
      <c r="M1024" t="s">
        <v>3456</v>
      </c>
      <c r="N1024" t="s">
        <v>103</v>
      </c>
      <c r="O1024" t="s">
        <v>136</v>
      </c>
      <c r="P1024" t="str">
        <f t="shared" si="235"/>
        <v>[1]</v>
      </c>
      <c r="Q1024">
        <f t="shared" si="236"/>
        <v>64</v>
      </c>
      <c r="R1024" t="str">
        <f t="shared" si="237"/>
        <v/>
      </c>
      <c r="S1024">
        <f>SUMIF(O1024:$O$2855,R1024,Q1024:$Q$2855)</f>
        <v>0</v>
      </c>
    </row>
    <row r="1025" spans="11:19" x14ac:dyDescent="0.25">
      <c r="K1025" s="4" t="s">
        <v>421</v>
      </c>
      <c r="L1025" t="s">
        <v>422</v>
      </c>
      <c r="M1025" t="s">
        <v>3457</v>
      </c>
      <c r="N1025" t="s">
        <v>6</v>
      </c>
      <c r="O1025" t="s">
        <v>136</v>
      </c>
      <c r="P1025" t="str">
        <f t="shared" si="235"/>
        <v>[1]</v>
      </c>
      <c r="Q1025">
        <f t="shared" si="236"/>
        <v>28</v>
      </c>
      <c r="R1025" t="str">
        <f t="shared" si="237"/>
        <v/>
      </c>
      <c r="S1025">
        <f>SUMIF(O1025:$O$2855,R1025,Q1025:$Q$2855)</f>
        <v>0</v>
      </c>
    </row>
    <row r="1026" spans="11:19" x14ac:dyDescent="0.25">
      <c r="K1026" s="4" t="s">
        <v>421</v>
      </c>
      <c r="L1026" t="s">
        <v>422</v>
      </c>
      <c r="M1026" t="s">
        <v>3458</v>
      </c>
      <c r="N1026" t="s">
        <v>143</v>
      </c>
      <c r="O1026" t="s">
        <v>136</v>
      </c>
      <c r="P1026" t="str">
        <f t="shared" ref="P1026:P1089" si="238">VLOOKUP($K$30,$E$1:$F$26,2,FALSE)</f>
        <v>[1]</v>
      </c>
      <c r="Q1026">
        <f t="shared" si="236"/>
        <v>84</v>
      </c>
      <c r="R1026" t="str">
        <f t="shared" si="237"/>
        <v/>
      </c>
      <c r="S1026">
        <f>SUMIF(O1026:$O$2855,R1026,Q1026:$Q$2855)</f>
        <v>0</v>
      </c>
    </row>
    <row r="1027" spans="11:19" x14ac:dyDescent="0.25">
      <c r="K1027" s="4" t="s">
        <v>421</v>
      </c>
      <c r="L1027" t="s">
        <v>422</v>
      </c>
      <c r="M1027" t="s">
        <v>3459</v>
      </c>
      <c r="N1027" t="s">
        <v>67</v>
      </c>
      <c r="O1027" t="s">
        <v>136</v>
      </c>
      <c r="P1027" t="str">
        <f t="shared" si="238"/>
        <v>[1]</v>
      </c>
      <c r="Q1027">
        <f t="shared" ref="Q1027:Q1090" si="239">HEX2DEC(MID(N1027,3,LEN(N1027)-2))</f>
        <v>48</v>
      </c>
      <c r="R1027" t="str">
        <f t="shared" si="237"/>
        <v/>
      </c>
      <c r="S1027">
        <f>SUMIF(O1027:$O$2855,R1027,Q1027:$Q$2855)</f>
        <v>0</v>
      </c>
    </row>
    <row r="1028" spans="11:19" x14ac:dyDescent="0.25">
      <c r="K1028" s="4" t="s">
        <v>421</v>
      </c>
      <c r="L1028" t="s">
        <v>422</v>
      </c>
      <c r="M1028" t="s">
        <v>3460</v>
      </c>
      <c r="N1028" t="s">
        <v>76</v>
      </c>
      <c r="O1028" t="s">
        <v>136</v>
      </c>
      <c r="P1028" t="str">
        <f t="shared" si="238"/>
        <v>[1]</v>
      </c>
      <c r="Q1028">
        <f t="shared" si="239"/>
        <v>36</v>
      </c>
      <c r="R1028" t="str">
        <f t="shared" si="237"/>
        <v/>
      </c>
      <c r="S1028">
        <f>SUMIF(O1028:$O$2855,R1028,Q1028:$Q$2855)</f>
        <v>0</v>
      </c>
    </row>
    <row r="1029" spans="11:19" x14ac:dyDescent="0.25">
      <c r="K1029" s="4" t="s">
        <v>421</v>
      </c>
      <c r="L1029" t="s">
        <v>422</v>
      </c>
      <c r="M1029" t="s">
        <v>1897</v>
      </c>
      <c r="N1029" t="s">
        <v>119</v>
      </c>
      <c r="O1029" t="s">
        <v>136</v>
      </c>
      <c r="P1029" t="str">
        <f t="shared" si="238"/>
        <v>[1]</v>
      </c>
      <c r="Q1029">
        <f t="shared" si="239"/>
        <v>32</v>
      </c>
      <c r="R1029" t="str">
        <f t="shared" si="237"/>
        <v/>
      </c>
      <c r="S1029">
        <f>SUMIF(O1029:$O$2855,R1029,Q1029:$Q$2855)</f>
        <v>0</v>
      </c>
    </row>
    <row r="1030" spans="11:19" x14ac:dyDescent="0.25">
      <c r="K1030" s="4" t="s">
        <v>421</v>
      </c>
      <c r="L1030" t="s">
        <v>422</v>
      </c>
      <c r="M1030" t="s">
        <v>1898</v>
      </c>
      <c r="N1030" t="s">
        <v>119</v>
      </c>
      <c r="O1030" t="s">
        <v>136</v>
      </c>
      <c r="P1030" t="str">
        <f t="shared" si="238"/>
        <v>[1]</v>
      </c>
      <c r="Q1030">
        <f t="shared" si="239"/>
        <v>32</v>
      </c>
      <c r="R1030" t="str">
        <f t="shared" si="237"/>
        <v/>
      </c>
      <c r="S1030">
        <f>SUMIF(O1030:$O$2855,R1030,Q1030:$Q$2855)</f>
        <v>0</v>
      </c>
    </row>
    <row r="1031" spans="11:19" x14ac:dyDescent="0.25">
      <c r="K1031" s="4" t="s">
        <v>421</v>
      </c>
      <c r="L1031" t="s">
        <v>422</v>
      </c>
      <c r="M1031" t="s">
        <v>3461</v>
      </c>
      <c r="N1031" t="s">
        <v>437</v>
      </c>
      <c r="O1031" t="s">
        <v>136</v>
      </c>
      <c r="P1031" t="str">
        <f t="shared" si="238"/>
        <v>[1]</v>
      </c>
      <c r="Q1031">
        <f t="shared" si="239"/>
        <v>24</v>
      </c>
      <c r="R1031" t="str">
        <f t="shared" si="237"/>
        <v/>
      </c>
      <c r="S1031">
        <f>SUMIF(O1031:$O$2855,R1031,Q1031:$Q$2855)</f>
        <v>0</v>
      </c>
    </row>
    <row r="1032" spans="11:19" x14ac:dyDescent="0.25">
      <c r="K1032" s="4" t="s">
        <v>421</v>
      </c>
      <c r="L1032" t="s">
        <v>422</v>
      </c>
      <c r="M1032" t="s">
        <v>3462</v>
      </c>
      <c r="N1032" t="s">
        <v>124</v>
      </c>
      <c r="O1032" t="s">
        <v>136</v>
      </c>
      <c r="P1032" t="str">
        <f t="shared" si="238"/>
        <v>[1]</v>
      </c>
      <c r="Q1032">
        <f t="shared" si="239"/>
        <v>68</v>
      </c>
      <c r="R1032" t="str">
        <f t="shared" si="237"/>
        <v/>
      </c>
      <c r="S1032">
        <f>SUMIF(O1032:$O$2855,R1032,Q1032:$Q$2855)</f>
        <v>0</v>
      </c>
    </row>
    <row r="1033" spans="11:19" x14ac:dyDescent="0.25">
      <c r="K1033" s="4" t="s">
        <v>421</v>
      </c>
      <c r="L1033" t="s">
        <v>422</v>
      </c>
      <c r="M1033" t="s">
        <v>3463</v>
      </c>
      <c r="N1033" t="s">
        <v>437</v>
      </c>
      <c r="O1033" t="s">
        <v>136</v>
      </c>
      <c r="P1033" t="str">
        <f t="shared" si="238"/>
        <v>[1]</v>
      </c>
      <c r="Q1033">
        <f t="shared" si="239"/>
        <v>24</v>
      </c>
      <c r="R1033" t="str">
        <f t="shared" si="237"/>
        <v/>
      </c>
      <c r="S1033">
        <f>SUMIF(O1033:$O$2855,R1033,Q1033:$Q$2855)</f>
        <v>0</v>
      </c>
    </row>
    <row r="1034" spans="11:19" x14ac:dyDescent="0.25">
      <c r="K1034" s="4" t="s">
        <v>421</v>
      </c>
      <c r="L1034" t="s">
        <v>422</v>
      </c>
      <c r="M1034" t="s">
        <v>3464</v>
      </c>
      <c r="N1034" t="s">
        <v>437</v>
      </c>
      <c r="O1034" t="s">
        <v>136</v>
      </c>
      <c r="P1034" t="str">
        <f t="shared" si="238"/>
        <v>[1]</v>
      </c>
      <c r="Q1034">
        <f t="shared" si="239"/>
        <v>24</v>
      </c>
      <c r="R1034" t="str">
        <f t="shared" si="237"/>
        <v/>
      </c>
      <c r="S1034">
        <f>SUMIF(O1034:$O$2855,R1034,Q1034:$Q$2855)</f>
        <v>0</v>
      </c>
    </row>
    <row r="1035" spans="11:19" x14ac:dyDescent="0.25">
      <c r="K1035" s="4" t="s">
        <v>421</v>
      </c>
      <c r="L1035" t="s">
        <v>422</v>
      </c>
      <c r="M1035" t="s">
        <v>3465</v>
      </c>
      <c r="N1035" t="s">
        <v>165</v>
      </c>
      <c r="O1035" t="s">
        <v>136</v>
      </c>
      <c r="P1035" t="str">
        <f t="shared" si="238"/>
        <v>[1]</v>
      </c>
      <c r="Q1035">
        <f t="shared" si="239"/>
        <v>20</v>
      </c>
      <c r="R1035" t="str">
        <f t="shared" si="237"/>
        <v/>
      </c>
      <c r="S1035">
        <f>SUMIF(O1035:$O$2855,R1035,Q1035:$Q$2855)</f>
        <v>0</v>
      </c>
    </row>
    <row r="1036" spans="11:19" x14ac:dyDescent="0.25">
      <c r="K1036" s="4" t="s">
        <v>421</v>
      </c>
      <c r="L1036" t="s">
        <v>422</v>
      </c>
      <c r="M1036" t="s">
        <v>3466</v>
      </c>
      <c r="N1036" t="s">
        <v>165</v>
      </c>
      <c r="O1036" t="s">
        <v>136</v>
      </c>
      <c r="P1036" t="str">
        <f t="shared" si="238"/>
        <v>[1]</v>
      </c>
      <c r="Q1036">
        <f t="shared" si="239"/>
        <v>20</v>
      </c>
      <c r="R1036" t="str">
        <f t="shared" si="237"/>
        <v/>
      </c>
      <c r="S1036">
        <f>SUMIF(O1036:$O$2855,R1036,Q1036:$Q$2855)</f>
        <v>0</v>
      </c>
    </row>
    <row r="1037" spans="11:19" x14ac:dyDescent="0.25">
      <c r="K1037" s="4" t="s">
        <v>421</v>
      </c>
      <c r="L1037" t="s">
        <v>422</v>
      </c>
      <c r="M1037" t="s">
        <v>3467</v>
      </c>
      <c r="N1037" t="s">
        <v>437</v>
      </c>
      <c r="O1037" t="s">
        <v>136</v>
      </c>
      <c r="P1037" t="str">
        <f t="shared" si="238"/>
        <v>[1]</v>
      </c>
      <c r="Q1037">
        <f t="shared" si="239"/>
        <v>24</v>
      </c>
      <c r="R1037" t="str">
        <f t="shared" si="237"/>
        <v/>
      </c>
      <c r="S1037">
        <f>SUMIF(O1037:$O$2855,R1037,Q1037:$Q$2855)</f>
        <v>0</v>
      </c>
    </row>
    <row r="1038" spans="11:19" x14ac:dyDescent="0.25">
      <c r="K1038" s="4" t="s">
        <v>421</v>
      </c>
      <c r="L1038" t="s">
        <v>422</v>
      </c>
      <c r="M1038" t="s">
        <v>3468</v>
      </c>
      <c r="N1038" t="s">
        <v>165</v>
      </c>
      <c r="O1038" t="s">
        <v>136</v>
      </c>
      <c r="P1038" t="str">
        <f t="shared" si="238"/>
        <v>[1]</v>
      </c>
      <c r="Q1038">
        <f t="shared" si="239"/>
        <v>20</v>
      </c>
      <c r="R1038" t="str">
        <f t="shared" si="237"/>
        <v/>
      </c>
      <c r="S1038">
        <f>SUMIF(O1038:$O$2855,R1038,Q1038:$Q$2855)</f>
        <v>0</v>
      </c>
    </row>
    <row r="1039" spans="11:19" x14ac:dyDescent="0.25">
      <c r="K1039" s="4" t="s">
        <v>421</v>
      </c>
      <c r="L1039" t="s">
        <v>422</v>
      </c>
      <c r="M1039" t="s">
        <v>3469</v>
      </c>
      <c r="N1039" t="s">
        <v>437</v>
      </c>
      <c r="O1039" t="s">
        <v>136</v>
      </c>
      <c r="P1039" t="str">
        <f t="shared" si="238"/>
        <v>[1]</v>
      </c>
      <c r="Q1039">
        <f t="shared" si="239"/>
        <v>24</v>
      </c>
      <c r="R1039" t="str">
        <f t="shared" si="237"/>
        <v/>
      </c>
      <c r="S1039">
        <f>SUMIF(O1039:$O$2855,R1039,Q1039:$Q$2855)</f>
        <v>0</v>
      </c>
    </row>
    <row r="1040" spans="11:19" x14ac:dyDescent="0.25">
      <c r="K1040" s="4" t="s">
        <v>421</v>
      </c>
      <c r="L1040" t="s">
        <v>422</v>
      </c>
      <c r="M1040" t="s">
        <v>3470</v>
      </c>
      <c r="N1040" t="s">
        <v>437</v>
      </c>
      <c r="O1040" t="s">
        <v>136</v>
      </c>
      <c r="P1040" t="str">
        <f t="shared" si="238"/>
        <v>[1]</v>
      </c>
      <c r="Q1040">
        <f t="shared" si="239"/>
        <v>24</v>
      </c>
      <c r="R1040" t="str">
        <f t="shared" si="237"/>
        <v/>
      </c>
      <c r="S1040">
        <f>SUMIF(O1040:$O$2855,R1040,Q1040:$Q$2855)</f>
        <v>0</v>
      </c>
    </row>
    <row r="1041" spans="11:19" x14ac:dyDescent="0.25">
      <c r="K1041" s="4" t="s">
        <v>421</v>
      </c>
      <c r="L1041" t="s">
        <v>422</v>
      </c>
      <c r="M1041" t="s">
        <v>3471</v>
      </c>
      <c r="N1041" t="s">
        <v>437</v>
      </c>
      <c r="O1041" t="s">
        <v>136</v>
      </c>
      <c r="P1041" t="str">
        <f t="shared" si="238"/>
        <v>[1]</v>
      </c>
      <c r="Q1041">
        <f t="shared" si="239"/>
        <v>24</v>
      </c>
      <c r="R1041" t="str">
        <f t="shared" si="237"/>
        <v/>
      </c>
      <c r="S1041">
        <f>SUMIF(O1041:$O$2855,R1041,Q1041:$Q$2855)</f>
        <v>0</v>
      </c>
    </row>
    <row r="1042" spans="11:19" x14ac:dyDescent="0.25">
      <c r="K1042" s="4" t="s">
        <v>421</v>
      </c>
      <c r="L1042" t="s">
        <v>422</v>
      </c>
      <c r="M1042" t="s">
        <v>3472</v>
      </c>
      <c r="N1042" t="s">
        <v>437</v>
      </c>
      <c r="O1042" t="s">
        <v>136</v>
      </c>
      <c r="P1042" t="str">
        <f t="shared" si="238"/>
        <v>[1]</v>
      </c>
      <c r="Q1042">
        <f t="shared" si="239"/>
        <v>24</v>
      </c>
      <c r="R1042" t="str">
        <f t="shared" si="237"/>
        <v/>
      </c>
      <c r="S1042">
        <f>SUMIF(O1042:$O$2855,R1042,Q1042:$Q$2855)</f>
        <v>0</v>
      </c>
    </row>
    <row r="1043" spans="11:19" x14ac:dyDescent="0.25">
      <c r="K1043" s="4" t="s">
        <v>421</v>
      </c>
      <c r="L1043" t="s">
        <v>422</v>
      </c>
      <c r="M1043" t="s">
        <v>3473</v>
      </c>
      <c r="N1043" t="s">
        <v>437</v>
      </c>
      <c r="O1043" t="s">
        <v>136</v>
      </c>
      <c r="P1043" t="str">
        <f t="shared" si="238"/>
        <v>[1]</v>
      </c>
      <c r="Q1043">
        <f t="shared" si="239"/>
        <v>24</v>
      </c>
      <c r="R1043" t="str">
        <f t="shared" si="237"/>
        <v/>
      </c>
      <c r="S1043">
        <f>SUMIF(O1043:$O$2855,R1043,Q1043:$Q$2855)</f>
        <v>0</v>
      </c>
    </row>
    <row r="1044" spans="11:19" x14ac:dyDescent="0.25">
      <c r="K1044" s="4" t="s">
        <v>421</v>
      </c>
      <c r="L1044" t="s">
        <v>422</v>
      </c>
      <c r="M1044" t="s">
        <v>3474</v>
      </c>
      <c r="N1044" t="s">
        <v>437</v>
      </c>
      <c r="O1044" t="s">
        <v>136</v>
      </c>
      <c r="P1044" t="str">
        <f t="shared" si="238"/>
        <v>[1]</v>
      </c>
      <c r="Q1044">
        <f t="shared" si="239"/>
        <v>24</v>
      </c>
      <c r="R1044" t="str">
        <f t="shared" si="237"/>
        <v/>
      </c>
      <c r="S1044">
        <f>SUMIF(O1044:$O$2855,R1044,Q1044:$Q$2855)</f>
        <v>0</v>
      </c>
    </row>
    <row r="1045" spans="11:19" x14ac:dyDescent="0.25">
      <c r="K1045" s="4" t="s">
        <v>421</v>
      </c>
      <c r="L1045" t="s">
        <v>422</v>
      </c>
      <c r="M1045" t="s">
        <v>3475</v>
      </c>
      <c r="N1045" t="s">
        <v>437</v>
      </c>
      <c r="O1045" t="s">
        <v>136</v>
      </c>
      <c r="P1045" t="str">
        <f t="shared" si="238"/>
        <v>[1]</v>
      </c>
      <c r="Q1045">
        <f t="shared" si="239"/>
        <v>24</v>
      </c>
      <c r="R1045" t="str">
        <f t="shared" si="237"/>
        <v/>
      </c>
      <c r="S1045">
        <f>SUMIF(O1045:$O$2855,R1045,Q1045:$Q$2855)</f>
        <v>0</v>
      </c>
    </row>
    <row r="1046" spans="11:19" x14ac:dyDescent="0.25">
      <c r="K1046" s="4" t="s">
        <v>421</v>
      </c>
      <c r="L1046" t="s">
        <v>422</v>
      </c>
      <c r="M1046" t="s">
        <v>3476</v>
      </c>
      <c r="N1046" t="s">
        <v>437</v>
      </c>
      <c r="O1046" t="s">
        <v>136</v>
      </c>
      <c r="P1046" t="str">
        <f t="shared" si="238"/>
        <v>[1]</v>
      </c>
      <c r="Q1046">
        <f t="shared" si="239"/>
        <v>24</v>
      </c>
      <c r="R1046" t="str">
        <f t="shared" si="237"/>
        <v/>
      </c>
      <c r="S1046">
        <f>SUMIF(O1046:$O$2855,R1046,Q1046:$Q$2855)</f>
        <v>0</v>
      </c>
    </row>
    <row r="1047" spans="11:19" x14ac:dyDescent="0.25">
      <c r="K1047" s="4" t="s">
        <v>421</v>
      </c>
      <c r="L1047" t="s">
        <v>422</v>
      </c>
      <c r="M1047" t="s">
        <v>3477</v>
      </c>
      <c r="N1047" t="s">
        <v>190</v>
      </c>
      <c r="O1047" t="s">
        <v>136</v>
      </c>
      <c r="P1047" t="str">
        <f t="shared" si="238"/>
        <v>[1]</v>
      </c>
      <c r="Q1047">
        <f t="shared" si="239"/>
        <v>56</v>
      </c>
      <c r="R1047" t="str">
        <f t="shared" si="237"/>
        <v/>
      </c>
      <c r="S1047">
        <f>SUMIF(O1047:$O$2855,R1047,Q1047:$Q$2855)</f>
        <v>0</v>
      </c>
    </row>
    <row r="1048" spans="11:19" x14ac:dyDescent="0.25">
      <c r="K1048" s="4" t="s">
        <v>421</v>
      </c>
      <c r="L1048" t="s">
        <v>422</v>
      </c>
      <c r="M1048" t="s">
        <v>3478</v>
      </c>
      <c r="N1048" t="s">
        <v>437</v>
      </c>
      <c r="O1048" t="s">
        <v>136</v>
      </c>
      <c r="P1048" t="str">
        <f t="shared" si="238"/>
        <v>[1]</v>
      </c>
      <c r="Q1048">
        <f t="shared" si="239"/>
        <v>24</v>
      </c>
      <c r="R1048" t="str">
        <f t="shared" si="237"/>
        <v/>
      </c>
      <c r="S1048">
        <f>SUMIF(O1048:$O$2855,R1048,Q1048:$Q$2855)</f>
        <v>0</v>
      </c>
    </row>
    <row r="1049" spans="11:19" x14ac:dyDescent="0.25">
      <c r="K1049" s="4" t="s">
        <v>421</v>
      </c>
      <c r="L1049" t="s">
        <v>422</v>
      </c>
      <c r="M1049" t="s">
        <v>3479</v>
      </c>
      <c r="N1049" t="s">
        <v>437</v>
      </c>
      <c r="O1049" t="s">
        <v>136</v>
      </c>
      <c r="P1049" t="str">
        <f t="shared" si="238"/>
        <v>[1]</v>
      </c>
      <c r="Q1049">
        <f t="shared" si="239"/>
        <v>24</v>
      </c>
      <c r="R1049" t="str">
        <f t="shared" si="237"/>
        <v/>
      </c>
      <c r="S1049">
        <f>SUMIF(O1049:$O$2855,R1049,Q1049:$Q$2855)</f>
        <v>0</v>
      </c>
    </row>
    <row r="1050" spans="11:19" x14ac:dyDescent="0.25">
      <c r="K1050" s="4" t="s">
        <v>421</v>
      </c>
      <c r="L1050" t="s">
        <v>422</v>
      </c>
      <c r="M1050" t="s">
        <v>1899</v>
      </c>
      <c r="N1050" t="s">
        <v>437</v>
      </c>
      <c r="O1050" t="s">
        <v>136</v>
      </c>
      <c r="P1050" t="str">
        <f t="shared" si="238"/>
        <v>[1]</v>
      </c>
      <c r="Q1050">
        <f t="shared" si="239"/>
        <v>24</v>
      </c>
      <c r="R1050" t="str">
        <f t="shared" si="237"/>
        <v/>
      </c>
      <c r="S1050">
        <f>SUMIF(O1050:$O$2855,R1050,Q1050:$Q$2855)</f>
        <v>0</v>
      </c>
    </row>
    <row r="1051" spans="11:19" x14ac:dyDescent="0.25">
      <c r="K1051" s="4" t="s">
        <v>421</v>
      </c>
      <c r="L1051" t="s">
        <v>422</v>
      </c>
      <c r="M1051" t="s">
        <v>3480</v>
      </c>
      <c r="N1051" t="s">
        <v>126</v>
      </c>
      <c r="O1051" t="s">
        <v>136</v>
      </c>
      <c r="P1051" t="str">
        <f t="shared" si="238"/>
        <v>[1]</v>
      </c>
      <c r="Q1051">
        <f t="shared" si="239"/>
        <v>8</v>
      </c>
      <c r="R1051" t="str">
        <f t="shared" si="237"/>
        <v/>
      </c>
      <c r="S1051">
        <f>SUMIF(O1051:$O$2855,R1051,Q1051:$Q$2855)</f>
        <v>0</v>
      </c>
    </row>
    <row r="1052" spans="11:19" x14ac:dyDescent="0.25">
      <c r="K1052" s="4" t="s">
        <v>421</v>
      </c>
      <c r="L1052" t="s">
        <v>422</v>
      </c>
      <c r="M1052" t="s">
        <v>3481</v>
      </c>
      <c r="N1052" t="s">
        <v>13</v>
      </c>
      <c r="O1052" t="s">
        <v>136</v>
      </c>
      <c r="P1052" t="str">
        <f t="shared" si="238"/>
        <v>[1]</v>
      </c>
      <c r="Q1052">
        <f t="shared" si="239"/>
        <v>12</v>
      </c>
      <c r="R1052" t="str">
        <f t="shared" si="237"/>
        <v/>
      </c>
      <c r="S1052">
        <f>SUMIF(O1052:$O$2855,R1052,Q1052:$Q$2855)</f>
        <v>0</v>
      </c>
    </row>
    <row r="1053" spans="11:19" x14ac:dyDescent="0.25">
      <c r="K1053" s="4" t="s">
        <v>421</v>
      </c>
      <c r="L1053" t="s">
        <v>422</v>
      </c>
      <c r="M1053" t="s">
        <v>3482</v>
      </c>
      <c r="N1053" t="s">
        <v>437</v>
      </c>
      <c r="O1053" t="s">
        <v>136</v>
      </c>
      <c r="P1053" t="str">
        <f t="shared" si="238"/>
        <v>[1]</v>
      </c>
      <c r="Q1053">
        <f t="shared" si="239"/>
        <v>24</v>
      </c>
      <c r="R1053" t="str">
        <f t="shared" si="237"/>
        <v/>
      </c>
      <c r="S1053">
        <f>SUMIF(O1053:$O$2855,R1053,Q1053:$Q$2855)</f>
        <v>0</v>
      </c>
    </row>
    <row r="1054" spans="11:19" x14ac:dyDescent="0.25">
      <c r="K1054" s="4" t="s">
        <v>421</v>
      </c>
      <c r="L1054" t="s">
        <v>422</v>
      </c>
      <c r="M1054" t="s">
        <v>3483</v>
      </c>
      <c r="N1054" t="s">
        <v>437</v>
      </c>
      <c r="O1054" t="s">
        <v>136</v>
      </c>
      <c r="P1054" t="str">
        <f t="shared" si="238"/>
        <v>[1]</v>
      </c>
      <c r="Q1054">
        <f t="shared" si="239"/>
        <v>24</v>
      </c>
      <c r="R1054" t="str">
        <f t="shared" si="237"/>
        <v/>
      </c>
      <c r="S1054">
        <f>SUMIF(O1054:$O$2855,R1054,Q1054:$Q$2855)</f>
        <v>0</v>
      </c>
    </row>
    <row r="1055" spans="11:19" x14ac:dyDescent="0.25">
      <c r="K1055" s="4" t="s">
        <v>421</v>
      </c>
      <c r="L1055" t="s">
        <v>422</v>
      </c>
      <c r="M1055" t="s">
        <v>3484</v>
      </c>
      <c r="N1055" t="s">
        <v>437</v>
      </c>
      <c r="O1055" t="s">
        <v>136</v>
      </c>
      <c r="P1055" t="str">
        <f t="shared" si="238"/>
        <v>[1]</v>
      </c>
      <c r="Q1055">
        <f t="shared" si="239"/>
        <v>24</v>
      </c>
      <c r="R1055" t="str">
        <f t="shared" si="237"/>
        <v/>
      </c>
      <c r="S1055">
        <f>SUMIF(O1055:$O$2855,R1055,Q1055:$Q$2855)</f>
        <v>0</v>
      </c>
    </row>
    <row r="1056" spans="11:19" x14ac:dyDescent="0.25">
      <c r="K1056" s="4" t="s">
        <v>421</v>
      </c>
      <c r="L1056" t="s">
        <v>422</v>
      </c>
      <c r="M1056" t="s">
        <v>3485</v>
      </c>
      <c r="N1056" t="s">
        <v>13</v>
      </c>
      <c r="O1056" t="s">
        <v>136</v>
      </c>
      <c r="P1056" t="str">
        <f t="shared" si="238"/>
        <v>[1]</v>
      </c>
      <c r="Q1056">
        <f t="shared" si="239"/>
        <v>12</v>
      </c>
      <c r="R1056" t="str">
        <f t="shared" ref="R1056:R1119" si="240">IF(O1056&lt;&gt;O1055,O1056,"")</f>
        <v/>
      </c>
      <c r="S1056">
        <f>SUMIF(O1056:$O$2855,R1056,Q1056:$Q$2855)</f>
        <v>0</v>
      </c>
    </row>
    <row r="1057" spans="11:19" x14ac:dyDescent="0.25">
      <c r="K1057" s="4" t="s">
        <v>421</v>
      </c>
      <c r="L1057" t="s">
        <v>422</v>
      </c>
      <c r="M1057" t="s">
        <v>3486</v>
      </c>
      <c r="N1057" t="s">
        <v>13</v>
      </c>
      <c r="O1057" t="s">
        <v>136</v>
      </c>
      <c r="P1057" t="str">
        <f t="shared" si="238"/>
        <v>[1]</v>
      </c>
      <c r="Q1057">
        <f t="shared" si="239"/>
        <v>12</v>
      </c>
      <c r="R1057" t="str">
        <f t="shared" si="240"/>
        <v/>
      </c>
      <c r="S1057">
        <f>SUMIF(O1057:$O$2855,R1057,Q1057:$Q$2855)</f>
        <v>0</v>
      </c>
    </row>
    <row r="1058" spans="11:19" x14ac:dyDescent="0.25">
      <c r="K1058" s="4" t="s">
        <v>421</v>
      </c>
      <c r="L1058" t="s">
        <v>422</v>
      </c>
      <c r="M1058" t="s">
        <v>3487</v>
      </c>
      <c r="N1058" t="s">
        <v>13</v>
      </c>
      <c r="O1058" t="s">
        <v>136</v>
      </c>
      <c r="P1058" t="str">
        <f t="shared" si="238"/>
        <v>[1]</v>
      </c>
      <c r="Q1058">
        <f t="shared" si="239"/>
        <v>12</v>
      </c>
      <c r="R1058" t="str">
        <f t="shared" si="240"/>
        <v/>
      </c>
      <c r="S1058">
        <f>SUMIF(O1058:$O$2855,R1058,Q1058:$Q$2855)</f>
        <v>0</v>
      </c>
    </row>
    <row r="1059" spans="11:19" x14ac:dyDescent="0.25">
      <c r="K1059" s="4" t="s">
        <v>421</v>
      </c>
      <c r="L1059" t="s">
        <v>422</v>
      </c>
      <c r="M1059" t="s">
        <v>3488</v>
      </c>
      <c r="N1059" t="s">
        <v>437</v>
      </c>
      <c r="O1059" t="s">
        <v>136</v>
      </c>
      <c r="P1059" t="str">
        <f t="shared" si="238"/>
        <v>[1]</v>
      </c>
      <c r="Q1059">
        <f t="shared" si="239"/>
        <v>24</v>
      </c>
      <c r="R1059" t="str">
        <f t="shared" si="240"/>
        <v/>
      </c>
      <c r="S1059">
        <f>SUMIF(O1059:$O$2855,R1059,Q1059:$Q$2855)</f>
        <v>0</v>
      </c>
    </row>
    <row r="1060" spans="11:19" x14ac:dyDescent="0.25">
      <c r="K1060" s="4" t="s">
        <v>421</v>
      </c>
      <c r="L1060" t="s">
        <v>422</v>
      </c>
      <c r="M1060" t="s">
        <v>3489</v>
      </c>
      <c r="N1060" t="s">
        <v>165</v>
      </c>
      <c r="O1060" t="s">
        <v>136</v>
      </c>
      <c r="P1060" t="str">
        <f t="shared" si="238"/>
        <v>[1]</v>
      </c>
      <c r="Q1060">
        <f t="shared" si="239"/>
        <v>20</v>
      </c>
      <c r="R1060" t="str">
        <f t="shared" si="240"/>
        <v/>
      </c>
      <c r="S1060">
        <f>SUMIF(O1060:$O$2855,R1060,Q1060:$Q$2855)</f>
        <v>0</v>
      </c>
    </row>
    <row r="1061" spans="11:19" x14ac:dyDescent="0.25">
      <c r="K1061" s="4" t="s">
        <v>421</v>
      </c>
      <c r="L1061" t="s">
        <v>422</v>
      </c>
      <c r="M1061" t="s">
        <v>3490</v>
      </c>
      <c r="N1061" t="s">
        <v>202</v>
      </c>
      <c r="O1061" t="s">
        <v>118</v>
      </c>
      <c r="P1061" t="str">
        <f t="shared" si="238"/>
        <v>[1]</v>
      </c>
      <c r="Q1061">
        <f t="shared" si="239"/>
        <v>16</v>
      </c>
      <c r="R1061" t="str">
        <f t="shared" si="240"/>
        <v>file_io.o</v>
      </c>
      <c r="S1061">
        <f>SUMIF(O1061:$O$2855,R1061,Q1061:$Q$2855)</f>
        <v>1708</v>
      </c>
    </row>
    <row r="1062" spans="11:19" x14ac:dyDescent="0.25">
      <c r="K1062" s="4" t="s">
        <v>421</v>
      </c>
      <c r="L1062" t="s">
        <v>422</v>
      </c>
      <c r="M1062" t="s">
        <v>1900</v>
      </c>
      <c r="N1062" t="s">
        <v>126</v>
      </c>
      <c r="O1062" t="s">
        <v>118</v>
      </c>
      <c r="P1062" t="str">
        <f t="shared" si="238"/>
        <v>[1]</v>
      </c>
      <c r="Q1062">
        <f t="shared" si="239"/>
        <v>8</v>
      </c>
      <c r="R1062" t="str">
        <f t="shared" si="240"/>
        <v/>
      </c>
      <c r="S1062">
        <f>SUMIF(O1062:$O$2855,R1062,Q1062:$Q$2855)</f>
        <v>0</v>
      </c>
    </row>
    <row r="1063" spans="11:19" x14ac:dyDescent="0.25">
      <c r="K1063" s="4" t="s">
        <v>421</v>
      </c>
      <c r="L1063" t="s">
        <v>422</v>
      </c>
      <c r="M1063" t="s">
        <v>3491</v>
      </c>
      <c r="N1063" t="s">
        <v>13</v>
      </c>
      <c r="O1063" t="s">
        <v>118</v>
      </c>
      <c r="P1063" t="str">
        <f t="shared" si="238"/>
        <v>[1]</v>
      </c>
      <c r="Q1063">
        <f t="shared" si="239"/>
        <v>12</v>
      </c>
      <c r="R1063" t="str">
        <f t="shared" si="240"/>
        <v/>
      </c>
      <c r="S1063">
        <f>SUMIF(O1063:$O$2855,R1063,Q1063:$Q$2855)</f>
        <v>0</v>
      </c>
    </row>
    <row r="1064" spans="11:19" x14ac:dyDescent="0.25">
      <c r="K1064" s="4" t="s">
        <v>421</v>
      </c>
      <c r="L1064" t="s">
        <v>422</v>
      </c>
      <c r="M1064" t="s">
        <v>3492</v>
      </c>
      <c r="N1064" t="s">
        <v>13</v>
      </c>
      <c r="O1064" t="s">
        <v>118</v>
      </c>
      <c r="P1064" t="str">
        <f t="shared" si="238"/>
        <v>[1]</v>
      </c>
      <c r="Q1064">
        <f t="shared" si="239"/>
        <v>12</v>
      </c>
      <c r="R1064" t="str">
        <f t="shared" si="240"/>
        <v/>
      </c>
      <c r="S1064">
        <f>SUMIF(O1064:$O$2855,R1064,Q1064:$Q$2855)</f>
        <v>0</v>
      </c>
    </row>
    <row r="1065" spans="11:19" x14ac:dyDescent="0.25">
      <c r="K1065" s="4" t="s">
        <v>421</v>
      </c>
      <c r="L1065" t="s">
        <v>422</v>
      </c>
      <c r="M1065" t="s">
        <v>3493</v>
      </c>
      <c r="N1065" t="s">
        <v>437</v>
      </c>
      <c r="O1065" t="s">
        <v>118</v>
      </c>
      <c r="P1065" t="str">
        <f t="shared" si="238"/>
        <v>[1]</v>
      </c>
      <c r="Q1065">
        <f t="shared" si="239"/>
        <v>24</v>
      </c>
      <c r="R1065" t="str">
        <f t="shared" si="240"/>
        <v/>
      </c>
      <c r="S1065">
        <f>SUMIF(O1065:$O$2855,R1065,Q1065:$Q$2855)</f>
        <v>0</v>
      </c>
    </row>
    <row r="1066" spans="11:19" x14ac:dyDescent="0.25">
      <c r="K1066" s="4" t="s">
        <v>421</v>
      </c>
      <c r="L1066" t="s">
        <v>422</v>
      </c>
      <c r="M1066" t="s">
        <v>1901</v>
      </c>
      <c r="N1066" t="s">
        <v>13</v>
      </c>
      <c r="O1066" t="s">
        <v>118</v>
      </c>
      <c r="P1066" t="str">
        <f t="shared" si="238"/>
        <v>[1]</v>
      </c>
      <c r="Q1066">
        <f t="shared" si="239"/>
        <v>12</v>
      </c>
      <c r="R1066" t="str">
        <f t="shared" si="240"/>
        <v/>
      </c>
      <c r="S1066">
        <f>SUMIF(O1066:$O$2855,R1066,Q1066:$Q$2855)</f>
        <v>0</v>
      </c>
    </row>
    <row r="1067" spans="11:19" x14ac:dyDescent="0.25">
      <c r="K1067" s="4" t="s">
        <v>421</v>
      </c>
      <c r="L1067" t="s">
        <v>422</v>
      </c>
      <c r="M1067" t="s">
        <v>1902</v>
      </c>
      <c r="N1067" t="s">
        <v>13</v>
      </c>
      <c r="O1067" t="s">
        <v>118</v>
      </c>
      <c r="P1067" t="str">
        <f t="shared" si="238"/>
        <v>[1]</v>
      </c>
      <c r="Q1067">
        <f t="shared" si="239"/>
        <v>12</v>
      </c>
      <c r="R1067" t="str">
        <f t="shared" si="240"/>
        <v/>
      </c>
      <c r="S1067">
        <f>SUMIF(O1067:$O$2855,R1067,Q1067:$Q$2855)</f>
        <v>0</v>
      </c>
    </row>
    <row r="1068" spans="11:19" x14ac:dyDescent="0.25">
      <c r="K1068" s="4" t="s">
        <v>421</v>
      </c>
      <c r="L1068" t="s">
        <v>422</v>
      </c>
      <c r="M1068" t="s">
        <v>3494</v>
      </c>
      <c r="N1068" t="s">
        <v>126</v>
      </c>
      <c r="O1068" t="s">
        <v>118</v>
      </c>
      <c r="P1068" t="str">
        <f t="shared" si="238"/>
        <v>[1]</v>
      </c>
      <c r="Q1068">
        <f t="shared" si="239"/>
        <v>8</v>
      </c>
      <c r="R1068" t="str">
        <f t="shared" si="240"/>
        <v/>
      </c>
      <c r="S1068">
        <f>SUMIF(O1068:$O$2855,R1068,Q1068:$Q$2855)</f>
        <v>0</v>
      </c>
    </row>
    <row r="1069" spans="11:19" x14ac:dyDescent="0.25">
      <c r="K1069" s="4" t="s">
        <v>421</v>
      </c>
      <c r="L1069" t="s">
        <v>422</v>
      </c>
      <c r="M1069" t="s">
        <v>3495</v>
      </c>
      <c r="N1069" t="s">
        <v>13</v>
      </c>
      <c r="O1069" t="s">
        <v>118</v>
      </c>
      <c r="P1069" t="str">
        <f t="shared" si="238"/>
        <v>[1]</v>
      </c>
      <c r="Q1069">
        <f t="shared" si="239"/>
        <v>12</v>
      </c>
      <c r="R1069" t="str">
        <f t="shared" si="240"/>
        <v/>
      </c>
      <c r="S1069">
        <f>SUMIF(O1069:$O$2855,R1069,Q1069:$Q$2855)</f>
        <v>0</v>
      </c>
    </row>
    <row r="1070" spans="11:19" x14ac:dyDescent="0.25">
      <c r="K1070" s="4" t="s">
        <v>421</v>
      </c>
      <c r="L1070" t="s">
        <v>422</v>
      </c>
      <c r="M1070" t="s">
        <v>1903</v>
      </c>
      <c r="N1070" t="s">
        <v>202</v>
      </c>
      <c r="O1070" t="s">
        <v>118</v>
      </c>
      <c r="P1070" t="str">
        <f t="shared" si="238"/>
        <v>[1]</v>
      </c>
      <c r="Q1070">
        <f t="shared" si="239"/>
        <v>16</v>
      </c>
      <c r="R1070" t="str">
        <f t="shared" si="240"/>
        <v/>
      </c>
      <c r="S1070">
        <f>SUMIF(O1070:$O$2855,R1070,Q1070:$Q$2855)</f>
        <v>0</v>
      </c>
    </row>
    <row r="1071" spans="11:19" x14ac:dyDescent="0.25">
      <c r="K1071" s="4" t="s">
        <v>421</v>
      </c>
      <c r="L1071" t="s">
        <v>422</v>
      </c>
      <c r="M1071" t="s">
        <v>1904</v>
      </c>
      <c r="N1071" t="s">
        <v>202</v>
      </c>
      <c r="O1071" t="s">
        <v>118</v>
      </c>
      <c r="P1071" t="str">
        <f t="shared" si="238"/>
        <v>[1]</v>
      </c>
      <c r="Q1071">
        <f t="shared" si="239"/>
        <v>16</v>
      </c>
      <c r="R1071" t="str">
        <f t="shared" si="240"/>
        <v/>
      </c>
      <c r="S1071">
        <f>SUMIF(O1071:$O$2855,R1071,Q1071:$Q$2855)</f>
        <v>0</v>
      </c>
    </row>
    <row r="1072" spans="11:19" x14ac:dyDescent="0.25">
      <c r="K1072" s="4" t="s">
        <v>421</v>
      </c>
      <c r="L1072" t="s">
        <v>422</v>
      </c>
      <c r="M1072" t="s">
        <v>1905</v>
      </c>
      <c r="N1072" t="s">
        <v>202</v>
      </c>
      <c r="O1072" t="s">
        <v>118</v>
      </c>
      <c r="P1072" t="str">
        <f t="shared" si="238"/>
        <v>[1]</v>
      </c>
      <c r="Q1072">
        <f t="shared" si="239"/>
        <v>16</v>
      </c>
      <c r="R1072" t="str">
        <f t="shared" si="240"/>
        <v/>
      </c>
      <c r="S1072">
        <f>SUMIF(O1072:$O$2855,R1072,Q1072:$Q$2855)</f>
        <v>0</v>
      </c>
    </row>
    <row r="1073" spans="11:19" x14ac:dyDescent="0.25">
      <c r="K1073" s="4" t="s">
        <v>421</v>
      </c>
      <c r="L1073" t="s">
        <v>422</v>
      </c>
      <c r="M1073" t="s">
        <v>1906</v>
      </c>
      <c r="N1073" t="s">
        <v>202</v>
      </c>
      <c r="O1073" t="s">
        <v>118</v>
      </c>
      <c r="P1073" t="str">
        <f t="shared" si="238"/>
        <v>[1]</v>
      </c>
      <c r="Q1073">
        <f t="shared" si="239"/>
        <v>16</v>
      </c>
      <c r="R1073" t="str">
        <f t="shared" si="240"/>
        <v/>
      </c>
      <c r="S1073">
        <f>SUMIF(O1073:$O$2855,R1073,Q1073:$Q$2855)</f>
        <v>0</v>
      </c>
    </row>
    <row r="1074" spans="11:19" x14ac:dyDescent="0.25">
      <c r="K1074" s="4" t="s">
        <v>421</v>
      </c>
      <c r="L1074" t="s">
        <v>422</v>
      </c>
      <c r="M1074" t="s">
        <v>1907</v>
      </c>
      <c r="N1074" t="s">
        <v>202</v>
      </c>
      <c r="O1074" t="s">
        <v>118</v>
      </c>
      <c r="P1074" t="str">
        <f t="shared" si="238"/>
        <v>[1]</v>
      </c>
      <c r="Q1074">
        <f t="shared" si="239"/>
        <v>16</v>
      </c>
      <c r="R1074" t="str">
        <f t="shared" si="240"/>
        <v/>
      </c>
      <c r="S1074">
        <f>SUMIF(O1074:$O$2855,R1074,Q1074:$Q$2855)</f>
        <v>0</v>
      </c>
    </row>
    <row r="1075" spans="11:19" x14ac:dyDescent="0.25">
      <c r="K1075" s="4" t="s">
        <v>421</v>
      </c>
      <c r="L1075" t="s">
        <v>422</v>
      </c>
      <c r="M1075" t="s">
        <v>1908</v>
      </c>
      <c r="N1075" t="s">
        <v>202</v>
      </c>
      <c r="O1075" t="s">
        <v>118</v>
      </c>
      <c r="P1075" t="str">
        <f t="shared" si="238"/>
        <v>[1]</v>
      </c>
      <c r="Q1075">
        <f t="shared" si="239"/>
        <v>16</v>
      </c>
      <c r="R1075" t="str">
        <f t="shared" si="240"/>
        <v/>
      </c>
      <c r="S1075">
        <f>SUMIF(O1075:$O$2855,R1075,Q1075:$Q$2855)</f>
        <v>0</v>
      </c>
    </row>
    <row r="1076" spans="11:19" x14ac:dyDescent="0.25">
      <c r="K1076" s="4" t="s">
        <v>421</v>
      </c>
      <c r="L1076" t="s">
        <v>422</v>
      </c>
      <c r="M1076" t="s">
        <v>1763</v>
      </c>
      <c r="N1076" t="s">
        <v>202</v>
      </c>
      <c r="O1076" t="s">
        <v>118</v>
      </c>
      <c r="P1076" t="str">
        <f t="shared" si="238"/>
        <v>[1]</v>
      </c>
      <c r="Q1076">
        <f t="shared" si="239"/>
        <v>16</v>
      </c>
      <c r="R1076" t="str">
        <f t="shared" si="240"/>
        <v/>
      </c>
      <c r="S1076">
        <f>SUMIF(O1076:$O$2855,R1076,Q1076:$Q$2855)</f>
        <v>0</v>
      </c>
    </row>
    <row r="1077" spans="11:19" x14ac:dyDescent="0.25">
      <c r="K1077" s="4" t="s">
        <v>421</v>
      </c>
      <c r="L1077" t="s">
        <v>422</v>
      </c>
      <c r="M1077" t="s">
        <v>3496</v>
      </c>
      <c r="N1077" t="s">
        <v>202</v>
      </c>
      <c r="O1077" t="s">
        <v>118</v>
      </c>
      <c r="P1077" t="str">
        <f t="shared" si="238"/>
        <v>[1]</v>
      </c>
      <c r="Q1077">
        <f t="shared" si="239"/>
        <v>16</v>
      </c>
      <c r="R1077" t="str">
        <f t="shared" si="240"/>
        <v/>
      </c>
      <c r="S1077">
        <f>SUMIF(O1077:$O$2855,R1077,Q1077:$Q$2855)</f>
        <v>0</v>
      </c>
    </row>
    <row r="1078" spans="11:19" x14ac:dyDescent="0.25">
      <c r="K1078" s="4" t="s">
        <v>421</v>
      </c>
      <c r="L1078" t="s">
        <v>422</v>
      </c>
      <c r="M1078" t="s">
        <v>3497</v>
      </c>
      <c r="N1078" t="s">
        <v>13</v>
      </c>
      <c r="O1078" t="s">
        <v>118</v>
      </c>
      <c r="P1078" t="str">
        <f t="shared" si="238"/>
        <v>[1]</v>
      </c>
      <c r="Q1078">
        <f t="shared" si="239"/>
        <v>12</v>
      </c>
      <c r="R1078" t="str">
        <f t="shared" si="240"/>
        <v/>
      </c>
      <c r="S1078">
        <f>SUMIF(O1078:$O$2855,R1078,Q1078:$Q$2855)</f>
        <v>0</v>
      </c>
    </row>
    <row r="1079" spans="11:19" x14ac:dyDescent="0.25">
      <c r="K1079" s="4" t="s">
        <v>421</v>
      </c>
      <c r="L1079" t="s">
        <v>422</v>
      </c>
      <c r="M1079" t="s">
        <v>1909</v>
      </c>
      <c r="N1079" t="s">
        <v>202</v>
      </c>
      <c r="O1079" t="s">
        <v>118</v>
      </c>
      <c r="P1079" t="str">
        <f t="shared" si="238"/>
        <v>[1]</v>
      </c>
      <c r="Q1079">
        <f t="shared" si="239"/>
        <v>16</v>
      </c>
      <c r="R1079" t="str">
        <f t="shared" si="240"/>
        <v/>
      </c>
      <c r="S1079">
        <f>SUMIF(O1079:$O$2855,R1079,Q1079:$Q$2855)</f>
        <v>0</v>
      </c>
    </row>
    <row r="1080" spans="11:19" x14ac:dyDescent="0.25">
      <c r="K1080" s="4" t="s">
        <v>421</v>
      </c>
      <c r="L1080" t="s">
        <v>422</v>
      </c>
      <c r="M1080" t="s">
        <v>3498</v>
      </c>
      <c r="N1080" t="s">
        <v>202</v>
      </c>
      <c r="O1080" t="s">
        <v>118</v>
      </c>
      <c r="P1080" t="str">
        <f t="shared" si="238"/>
        <v>[1]</v>
      </c>
      <c r="Q1080">
        <f t="shared" si="239"/>
        <v>16</v>
      </c>
      <c r="R1080" t="str">
        <f t="shared" si="240"/>
        <v/>
      </c>
      <c r="S1080">
        <f>SUMIF(O1080:$O$2855,R1080,Q1080:$Q$2855)</f>
        <v>0</v>
      </c>
    </row>
    <row r="1081" spans="11:19" x14ac:dyDescent="0.25">
      <c r="K1081" s="4" t="s">
        <v>421</v>
      </c>
      <c r="L1081" t="s">
        <v>422</v>
      </c>
      <c r="M1081" t="s">
        <v>3499</v>
      </c>
      <c r="N1081" t="s">
        <v>126</v>
      </c>
      <c r="O1081" t="s">
        <v>118</v>
      </c>
      <c r="P1081" t="str">
        <f t="shared" si="238"/>
        <v>[1]</v>
      </c>
      <c r="Q1081">
        <f t="shared" si="239"/>
        <v>8</v>
      </c>
      <c r="R1081" t="str">
        <f t="shared" si="240"/>
        <v/>
      </c>
      <c r="S1081">
        <f>SUMIF(O1081:$O$2855,R1081,Q1081:$Q$2855)</f>
        <v>0</v>
      </c>
    </row>
    <row r="1082" spans="11:19" x14ac:dyDescent="0.25">
      <c r="K1082" s="4" t="s">
        <v>421</v>
      </c>
      <c r="L1082" t="s">
        <v>422</v>
      </c>
      <c r="M1082" t="s">
        <v>3500</v>
      </c>
      <c r="N1082" t="s">
        <v>202</v>
      </c>
      <c r="O1082" t="s">
        <v>118</v>
      </c>
      <c r="P1082" t="str">
        <f t="shared" si="238"/>
        <v>[1]</v>
      </c>
      <c r="Q1082">
        <f t="shared" si="239"/>
        <v>16</v>
      </c>
      <c r="R1082" t="str">
        <f t="shared" si="240"/>
        <v/>
      </c>
      <c r="S1082">
        <f>SUMIF(O1082:$O$2855,R1082,Q1082:$Q$2855)</f>
        <v>0</v>
      </c>
    </row>
    <row r="1083" spans="11:19" x14ac:dyDescent="0.25">
      <c r="K1083" s="4" t="s">
        <v>421</v>
      </c>
      <c r="L1083" t="s">
        <v>422</v>
      </c>
      <c r="M1083" t="s">
        <v>3501</v>
      </c>
      <c r="N1083" t="s">
        <v>13</v>
      </c>
      <c r="O1083" t="s">
        <v>118</v>
      </c>
      <c r="P1083" t="str">
        <f t="shared" si="238"/>
        <v>[1]</v>
      </c>
      <c r="Q1083">
        <f t="shared" si="239"/>
        <v>12</v>
      </c>
      <c r="R1083" t="str">
        <f t="shared" si="240"/>
        <v/>
      </c>
      <c r="S1083">
        <f>SUMIF(O1083:$O$2855,R1083,Q1083:$Q$2855)</f>
        <v>0</v>
      </c>
    </row>
    <row r="1084" spans="11:19" x14ac:dyDescent="0.25">
      <c r="K1084" s="4" t="s">
        <v>421</v>
      </c>
      <c r="L1084" t="s">
        <v>422</v>
      </c>
      <c r="M1084" t="s">
        <v>3502</v>
      </c>
      <c r="N1084" t="s">
        <v>13</v>
      </c>
      <c r="O1084" t="s">
        <v>118</v>
      </c>
      <c r="P1084" t="str">
        <f t="shared" si="238"/>
        <v>[1]</v>
      </c>
      <c r="Q1084">
        <f t="shared" si="239"/>
        <v>12</v>
      </c>
      <c r="R1084" t="str">
        <f t="shared" si="240"/>
        <v/>
      </c>
      <c r="S1084">
        <f>SUMIF(O1084:$O$2855,R1084,Q1084:$Q$2855)</f>
        <v>0</v>
      </c>
    </row>
    <row r="1085" spans="11:19" x14ac:dyDescent="0.25">
      <c r="K1085" s="4" t="s">
        <v>421</v>
      </c>
      <c r="L1085" t="s">
        <v>422</v>
      </c>
      <c r="M1085" t="s">
        <v>3503</v>
      </c>
      <c r="N1085" t="s">
        <v>202</v>
      </c>
      <c r="O1085" t="s">
        <v>118</v>
      </c>
      <c r="P1085" t="str">
        <f t="shared" si="238"/>
        <v>[1]</v>
      </c>
      <c r="Q1085">
        <f t="shared" si="239"/>
        <v>16</v>
      </c>
      <c r="R1085" t="str">
        <f t="shared" si="240"/>
        <v/>
      </c>
      <c r="S1085">
        <f>SUMIF(O1085:$O$2855,R1085,Q1085:$Q$2855)</f>
        <v>0</v>
      </c>
    </row>
    <row r="1086" spans="11:19" x14ac:dyDescent="0.25">
      <c r="K1086" s="4" t="s">
        <v>421</v>
      </c>
      <c r="L1086" t="s">
        <v>422</v>
      </c>
      <c r="M1086" t="s">
        <v>3504</v>
      </c>
      <c r="N1086" t="s">
        <v>13</v>
      </c>
      <c r="O1086" t="s">
        <v>118</v>
      </c>
      <c r="P1086" t="str">
        <f t="shared" si="238"/>
        <v>[1]</v>
      </c>
      <c r="Q1086">
        <f t="shared" si="239"/>
        <v>12</v>
      </c>
      <c r="R1086" t="str">
        <f t="shared" si="240"/>
        <v/>
      </c>
      <c r="S1086">
        <f>SUMIF(O1086:$O$2855,R1086,Q1086:$Q$2855)</f>
        <v>0</v>
      </c>
    </row>
    <row r="1087" spans="11:19" x14ac:dyDescent="0.25">
      <c r="K1087" s="4" t="s">
        <v>421</v>
      </c>
      <c r="L1087" t="s">
        <v>422</v>
      </c>
      <c r="M1087" t="s">
        <v>1910</v>
      </c>
      <c r="N1087" t="s">
        <v>202</v>
      </c>
      <c r="O1087" t="s">
        <v>118</v>
      </c>
      <c r="P1087" t="str">
        <f t="shared" si="238"/>
        <v>[1]</v>
      </c>
      <c r="Q1087">
        <f t="shared" si="239"/>
        <v>16</v>
      </c>
      <c r="R1087" t="str">
        <f t="shared" si="240"/>
        <v/>
      </c>
      <c r="S1087">
        <f>SUMIF(O1087:$O$2855,R1087,Q1087:$Q$2855)</f>
        <v>0</v>
      </c>
    </row>
    <row r="1088" spans="11:19" x14ac:dyDescent="0.25">
      <c r="K1088" s="4" t="s">
        <v>421</v>
      </c>
      <c r="L1088" t="s">
        <v>422</v>
      </c>
      <c r="M1088" t="s">
        <v>1911</v>
      </c>
      <c r="N1088" t="s">
        <v>202</v>
      </c>
      <c r="O1088" t="s">
        <v>118</v>
      </c>
      <c r="P1088" t="str">
        <f t="shared" si="238"/>
        <v>[1]</v>
      </c>
      <c r="Q1088">
        <f t="shared" si="239"/>
        <v>16</v>
      </c>
      <c r="R1088" t="str">
        <f t="shared" si="240"/>
        <v/>
      </c>
      <c r="S1088">
        <f>SUMIF(O1088:$O$2855,R1088,Q1088:$Q$2855)</f>
        <v>0</v>
      </c>
    </row>
    <row r="1089" spans="11:19" x14ac:dyDescent="0.25">
      <c r="K1089" s="4" t="s">
        <v>421</v>
      </c>
      <c r="L1089" t="s">
        <v>422</v>
      </c>
      <c r="M1089" t="s">
        <v>3505</v>
      </c>
      <c r="N1089" t="s">
        <v>202</v>
      </c>
      <c r="O1089" t="s">
        <v>118</v>
      </c>
      <c r="P1089" t="str">
        <f t="shared" si="238"/>
        <v>[1]</v>
      </c>
      <c r="Q1089">
        <f t="shared" si="239"/>
        <v>16</v>
      </c>
      <c r="R1089" t="str">
        <f t="shared" si="240"/>
        <v/>
      </c>
      <c r="S1089">
        <f>SUMIF(O1089:$O$2855,R1089,Q1089:$Q$2855)</f>
        <v>0</v>
      </c>
    </row>
    <row r="1090" spans="11:19" x14ac:dyDescent="0.25">
      <c r="K1090" s="4" t="s">
        <v>421</v>
      </c>
      <c r="L1090" t="s">
        <v>422</v>
      </c>
      <c r="M1090" t="s">
        <v>3506</v>
      </c>
      <c r="N1090" t="s">
        <v>13</v>
      </c>
      <c r="O1090" t="s">
        <v>118</v>
      </c>
      <c r="P1090" t="str">
        <f t="shared" ref="P1090:P1153" si="241">VLOOKUP($K$30,$E$1:$F$26,2,FALSE)</f>
        <v>[1]</v>
      </c>
      <c r="Q1090">
        <f t="shared" si="239"/>
        <v>12</v>
      </c>
      <c r="R1090" t="str">
        <f t="shared" si="240"/>
        <v/>
      </c>
      <c r="S1090">
        <f>SUMIF(O1090:$O$2855,R1090,Q1090:$Q$2855)</f>
        <v>0</v>
      </c>
    </row>
    <row r="1091" spans="11:19" x14ac:dyDescent="0.25">
      <c r="K1091" s="4" t="s">
        <v>421</v>
      </c>
      <c r="L1091" t="s">
        <v>422</v>
      </c>
      <c r="M1091" t="s">
        <v>3507</v>
      </c>
      <c r="N1091" t="s">
        <v>13</v>
      </c>
      <c r="O1091" t="s">
        <v>118</v>
      </c>
      <c r="P1091" t="str">
        <f t="shared" si="241"/>
        <v>[1]</v>
      </c>
      <c r="Q1091">
        <f t="shared" ref="Q1091:Q1154" si="242">HEX2DEC(MID(N1091,3,LEN(N1091)-2))</f>
        <v>12</v>
      </c>
      <c r="R1091" t="str">
        <f t="shared" si="240"/>
        <v/>
      </c>
      <c r="S1091">
        <f>SUMIF(O1091:$O$2855,R1091,Q1091:$Q$2855)</f>
        <v>0</v>
      </c>
    </row>
    <row r="1092" spans="11:19" x14ac:dyDescent="0.25">
      <c r="K1092" s="4" t="s">
        <v>421</v>
      </c>
      <c r="L1092" t="s">
        <v>422</v>
      </c>
      <c r="M1092" t="s">
        <v>3508</v>
      </c>
      <c r="N1092" t="s">
        <v>202</v>
      </c>
      <c r="O1092" t="s">
        <v>118</v>
      </c>
      <c r="P1092" t="str">
        <f t="shared" si="241"/>
        <v>[1]</v>
      </c>
      <c r="Q1092">
        <f t="shared" si="242"/>
        <v>16</v>
      </c>
      <c r="R1092" t="str">
        <f t="shared" si="240"/>
        <v/>
      </c>
      <c r="S1092">
        <f>SUMIF(O1092:$O$2855,R1092,Q1092:$Q$2855)</f>
        <v>0</v>
      </c>
    </row>
    <row r="1093" spans="11:19" x14ac:dyDescent="0.25">
      <c r="K1093" s="4" t="s">
        <v>421</v>
      </c>
      <c r="L1093" t="s">
        <v>422</v>
      </c>
      <c r="M1093" t="s">
        <v>3509</v>
      </c>
      <c r="N1093" t="s">
        <v>165</v>
      </c>
      <c r="O1093" t="s">
        <v>118</v>
      </c>
      <c r="P1093" t="str">
        <f t="shared" si="241"/>
        <v>[1]</v>
      </c>
      <c r="Q1093">
        <f t="shared" si="242"/>
        <v>20</v>
      </c>
      <c r="R1093" t="str">
        <f t="shared" si="240"/>
        <v/>
      </c>
      <c r="S1093">
        <f>SUMIF(O1093:$O$2855,R1093,Q1093:$Q$2855)</f>
        <v>0</v>
      </c>
    </row>
    <row r="1094" spans="11:19" x14ac:dyDescent="0.25">
      <c r="K1094" s="4" t="s">
        <v>421</v>
      </c>
      <c r="L1094" t="s">
        <v>422</v>
      </c>
      <c r="M1094" t="s">
        <v>3510</v>
      </c>
      <c r="N1094" t="s">
        <v>202</v>
      </c>
      <c r="O1094" t="s">
        <v>118</v>
      </c>
      <c r="P1094" t="str">
        <f t="shared" si="241"/>
        <v>[1]</v>
      </c>
      <c r="Q1094">
        <f t="shared" si="242"/>
        <v>16</v>
      </c>
      <c r="R1094" t="str">
        <f t="shared" si="240"/>
        <v/>
      </c>
      <c r="S1094">
        <f>SUMIF(O1094:$O$2855,R1094,Q1094:$Q$2855)</f>
        <v>0</v>
      </c>
    </row>
    <row r="1095" spans="11:19" x14ac:dyDescent="0.25">
      <c r="K1095" s="4" t="s">
        <v>421</v>
      </c>
      <c r="L1095" t="s">
        <v>422</v>
      </c>
      <c r="M1095" t="s">
        <v>3511</v>
      </c>
      <c r="N1095" t="s">
        <v>13</v>
      </c>
      <c r="O1095" t="s">
        <v>118</v>
      </c>
      <c r="P1095" t="str">
        <f t="shared" si="241"/>
        <v>[1]</v>
      </c>
      <c r="Q1095">
        <f t="shared" si="242"/>
        <v>12</v>
      </c>
      <c r="R1095" t="str">
        <f t="shared" si="240"/>
        <v/>
      </c>
      <c r="S1095">
        <f>SUMIF(O1095:$O$2855,R1095,Q1095:$Q$2855)</f>
        <v>0</v>
      </c>
    </row>
    <row r="1096" spans="11:19" x14ac:dyDescent="0.25">
      <c r="K1096" s="4" t="s">
        <v>421</v>
      </c>
      <c r="L1096" t="s">
        <v>422</v>
      </c>
      <c r="M1096" t="s">
        <v>3512</v>
      </c>
      <c r="N1096" t="s">
        <v>202</v>
      </c>
      <c r="O1096" t="s">
        <v>118</v>
      </c>
      <c r="P1096" t="str">
        <f t="shared" si="241"/>
        <v>[1]</v>
      </c>
      <c r="Q1096">
        <f t="shared" si="242"/>
        <v>16</v>
      </c>
      <c r="R1096" t="str">
        <f t="shared" si="240"/>
        <v/>
      </c>
      <c r="S1096">
        <f>SUMIF(O1096:$O$2855,R1096,Q1096:$Q$2855)</f>
        <v>0</v>
      </c>
    </row>
    <row r="1097" spans="11:19" x14ac:dyDescent="0.25">
      <c r="K1097" s="4" t="s">
        <v>421</v>
      </c>
      <c r="L1097" t="s">
        <v>422</v>
      </c>
      <c r="M1097" t="s">
        <v>3513</v>
      </c>
      <c r="N1097" t="s">
        <v>13</v>
      </c>
      <c r="O1097" t="s">
        <v>118</v>
      </c>
      <c r="P1097" t="str">
        <f t="shared" si="241"/>
        <v>[1]</v>
      </c>
      <c r="Q1097">
        <f t="shared" si="242"/>
        <v>12</v>
      </c>
      <c r="R1097" t="str">
        <f t="shared" si="240"/>
        <v/>
      </c>
      <c r="S1097">
        <f>SUMIF(O1097:$O$2855,R1097,Q1097:$Q$2855)</f>
        <v>0</v>
      </c>
    </row>
    <row r="1098" spans="11:19" x14ac:dyDescent="0.25">
      <c r="K1098" s="4" t="s">
        <v>421</v>
      </c>
      <c r="L1098" t="s">
        <v>422</v>
      </c>
      <c r="M1098" t="s">
        <v>1912</v>
      </c>
      <c r="N1098" t="s">
        <v>202</v>
      </c>
      <c r="O1098" t="s">
        <v>118</v>
      </c>
      <c r="P1098" t="str">
        <f t="shared" si="241"/>
        <v>[1]</v>
      </c>
      <c r="Q1098">
        <f t="shared" si="242"/>
        <v>16</v>
      </c>
      <c r="R1098" t="str">
        <f t="shared" si="240"/>
        <v/>
      </c>
      <c r="S1098">
        <f>SUMIF(O1098:$O$2855,R1098,Q1098:$Q$2855)</f>
        <v>0</v>
      </c>
    </row>
    <row r="1099" spans="11:19" x14ac:dyDescent="0.25">
      <c r="K1099" s="4" t="s">
        <v>421</v>
      </c>
      <c r="L1099" t="s">
        <v>422</v>
      </c>
      <c r="M1099" t="s">
        <v>1913</v>
      </c>
      <c r="N1099" t="s">
        <v>202</v>
      </c>
      <c r="O1099" t="s">
        <v>118</v>
      </c>
      <c r="P1099" t="str">
        <f t="shared" si="241"/>
        <v>[1]</v>
      </c>
      <c r="Q1099">
        <f t="shared" si="242"/>
        <v>16</v>
      </c>
      <c r="R1099" t="str">
        <f t="shared" si="240"/>
        <v/>
      </c>
      <c r="S1099">
        <f>SUMIF(O1099:$O$2855,R1099,Q1099:$Q$2855)</f>
        <v>0</v>
      </c>
    </row>
    <row r="1100" spans="11:19" x14ac:dyDescent="0.25">
      <c r="K1100" s="4" t="s">
        <v>421</v>
      </c>
      <c r="L1100" t="s">
        <v>422</v>
      </c>
      <c r="M1100" t="s">
        <v>1914</v>
      </c>
      <c r="N1100" t="s">
        <v>202</v>
      </c>
      <c r="O1100" t="s">
        <v>118</v>
      </c>
      <c r="P1100" t="str">
        <f t="shared" si="241"/>
        <v>[1]</v>
      </c>
      <c r="Q1100">
        <f t="shared" si="242"/>
        <v>16</v>
      </c>
      <c r="R1100" t="str">
        <f t="shared" si="240"/>
        <v/>
      </c>
      <c r="S1100">
        <f>SUMIF(O1100:$O$2855,R1100,Q1100:$Q$2855)</f>
        <v>0</v>
      </c>
    </row>
    <row r="1101" spans="11:19" x14ac:dyDescent="0.25">
      <c r="K1101" s="4" t="s">
        <v>421</v>
      </c>
      <c r="L1101" t="s">
        <v>422</v>
      </c>
      <c r="M1101" t="s">
        <v>1915</v>
      </c>
      <c r="N1101" t="s">
        <v>202</v>
      </c>
      <c r="O1101" t="s">
        <v>118</v>
      </c>
      <c r="P1101" t="str">
        <f t="shared" si="241"/>
        <v>[1]</v>
      </c>
      <c r="Q1101">
        <f t="shared" si="242"/>
        <v>16</v>
      </c>
      <c r="R1101" t="str">
        <f t="shared" si="240"/>
        <v/>
      </c>
      <c r="S1101">
        <f>SUMIF(O1101:$O$2855,R1101,Q1101:$Q$2855)</f>
        <v>0</v>
      </c>
    </row>
    <row r="1102" spans="11:19" x14ac:dyDescent="0.25">
      <c r="K1102" s="4" t="s">
        <v>421</v>
      </c>
      <c r="L1102" t="s">
        <v>422</v>
      </c>
      <c r="M1102" t="s">
        <v>3514</v>
      </c>
      <c r="N1102" t="s">
        <v>202</v>
      </c>
      <c r="O1102" t="s">
        <v>118</v>
      </c>
      <c r="P1102" t="str">
        <f t="shared" si="241"/>
        <v>[1]</v>
      </c>
      <c r="Q1102">
        <f t="shared" si="242"/>
        <v>16</v>
      </c>
      <c r="R1102" t="str">
        <f t="shared" si="240"/>
        <v/>
      </c>
      <c r="S1102">
        <f>SUMIF(O1102:$O$2855,R1102,Q1102:$Q$2855)</f>
        <v>0</v>
      </c>
    </row>
    <row r="1103" spans="11:19" x14ac:dyDescent="0.25">
      <c r="K1103" s="4" t="s">
        <v>421</v>
      </c>
      <c r="L1103" t="s">
        <v>422</v>
      </c>
      <c r="M1103" t="s">
        <v>3515</v>
      </c>
      <c r="N1103" t="s">
        <v>13</v>
      </c>
      <c r="O1103" t="s">
        <v>118</v>
      </c>
      <c r="P1103" t="str">
        <f t="shared" si="241"/>
        <v>[1]</v>
      </c>
      <c r="Q1103">
        <f t="shared" si="242"/>
        <v>12</v>
      </c>
      <c r="R1103" t="str">
        <f t="shared" si="240"/>
        <v/>
      </c>
      <c r="S1103">
        <f>SUMIF(O1103:$O$2855,R1103,Q1103:$Q$2855)</f>
        <v>0</v>
      </c>
    </row>
    <row r="1104" spans="11:19" x14ac:dyDescent="0.25">
      <c r="K1104" s="4" t="s">
        <v>421</v>
      </c>
      <c r="L1104" t="s">
        <v>422</v>
      </c>
      <c r="M1104" t="s">
        <v>3516</v>
      </c>
      <c r="N1104" t="s">
        <v>202</v>
      </c>
      <c r="O1104" t="s">
        <v>118</v>
      </c>
      <c r="P1104" t="str">
        <f t="shared" si="241"/>
        <v>[1]</v>
      </c>
      <c r="Q1104">
        <f t="shared" si="242"/>
        <v>16</v>
      </c>
      <c r="R1104" t="str">
        <f t="shared" si="240"/>
        <v/>
      </c>
      <c r="S1104">
        <f>SUMIF(O1104:$O$2855,R1104,Q1104:$Q$2855)</f>
        <v>0</v>
      </c>
    </row>
    <row r="1105" spans="11:19" x14ac:dyDescent="0.25">
      <c r="K1105" s="4" t="s">
        <v>421</v>
      </c>
      <c r="L1105" t="s">
        <v>422</v>
      </c>
      <c r="M1105" t="s">
        <v>3517</v>
      </c>
      <c r="N1105" t="s">
        <v>13</v>
      </c>
      <c r="O1105" t="s">
        <v>118</v>
      </c>
      <c r="P1105" t="str">
        <f t="shared" si="241"/>
        <v>[1]</v>
      </c>
      <c r="Q1105">
        <f t="shared" si="242"/>
        <v>12</v>
      </c>
      <c r="R1105" t="str">
        <f t="shared" si="240"/>
        <v/>
      </c>
      <c r="S1105">
        <f>SUMIF(O1105:$O$2855,R1105,Q1105:$Q$2855)</f>
        <v>0</v>
      </c>
    </row>
    <row r="1106" spans="11:19" x14ac:dyDescent="0.25">
      <c r="K1106" s="4" t="s">
        <v>421</v>
      </c>
      <c r="L1106" t="s">
        <v>422</v>
      </c>
      <c r="M1106" t="s">
        <v>1916</v>
      </c>
      <c r="N1106" t="s">
        <v>202</v>
      </c>
      <c r="O1106" t="s">
        <v>118</v>
      </c>
      <c r="P1106" t="str">
        <f t="shared" si="241"/>
        <v>[1]</v>
      </c>
      <c r="Q1106">
        <f t="shared" si="242"/>
        <v>16</v>
      </c>
      <c r="R1106" t="str">
        <f t="shared" si="240"/>
        <v/>
      </c>
      <c r="S1106">
        <f>SUMIF(O1106:$O$2855,R1106,Q1106:$Q$2855)</f>
        <v>0</v>
      </c>
    </row>
    <row r="1107" spans="11:19" x14ac:dyDescent="0.25">
      <c r="K1107" s="4" t="s">
        <v>421</v>
      </c>
      <c r="L1107" t="s">
        <v>422</v>
      </c>
      <c r="M1107" t="s">
        <v>3518</v>
      </c>
      <c r="N1107" t="s">
        <v>202</v>
      </c>
      <c r="O1107" t="s">
        <v>118</v>
      </c>
      <c r="P1107" t="str">
        <f t="shared" si="241"/>
        <v>[1]</v>
      </c>
      <c r="Q1107">
        <f t="shared" si="242"/>
        <v>16</v>
      </c>
      <c r="R1107" t="str">
        <f t="shared" si="240"/>
        <v/>
      </c>
      <c r="S1107">
        <f>SUMIF(O1107:$O$2855,R1107,Q1107:$Q$2855)</f>
        <v>0</v>
      </c>
    </row>
    <row r="1108" spans="11:19" x14ac:dyDescent="0.25">
      <c r="K1108" s="4" t="s">
        <v>421</v>
      </c>
      <c r="L1108" t="s">
        <v>422</v>
      </c>
      <c r="M1108" t="s">
        <v>3519</v>
      </c>
      <c r="N1108" t="s">
        <v>13</v>
      </c>
      <c r="O1108" t="s">
        <v>118</v>
      </c>
      <c r="P1108" t="str">
        <f t="shared" si="241"/>
        <v>[1]</v>
      </c>
      <c r="Q1108">
        <f t="shared" si="242"/>
        <v>12</v>
      </c>
      <c r="R1108" t="str">
        <f t="shared" si="240"/>
        <v/>
      </c>
      <c r="S1108">
        <f>SUMIF(O1108:$O$2855,R1108,Q1108:$Q$2855)</f>
        <v>0</v>
      </c>
    </row>
    <row r="1109" spans="11:19" x14ac:dyDescent="0.25">
      <c r="K1109" s="4" t="s">
        <v>421</v>
      </c>
      <c r="L1109" t="s">
        <v>422</v>
      </c>
      <c r="M1109" t="s">
        <v>1917</v>
      </c>
      <c r="N1109" t="s">
        <v>202</v>
      </c>
      <c r="O1109" t="s">
        <v>118</v>
      </c>
      <c r="P1109" t="str">
        <f t="shared" si="241"/>
        <v>[1]</v>
      </c>
      <c r="Q1109">
        <f t="shared" si="242"/>
        <v>16</v>
      </c>
      <c r="R1109" t="str">
        <f t="shared" si="240"/>
        <v/>
      </c>
      <c r="S1109">
        <f>SUMIF(O1109:$O$2855,R1109,Q1109:$Q$2855)</f>
        <v>0</v>
      </c>
    </row>
    <row r="1110" spans="11:19" x14ac:dyDescent="0.25">
      <c r="K1110" s="4" t="s">
        <v>421</v>
      </c>
      <c r="L1110" t="s">
        <v>422</v>
      </c>
      <c r="M1110" t="s">
        <v>3520</v>
      </c>
      <c r="N1110" t="s">
        <v>202</v>
      </c>
      <c r="O1110" t="s">
        <v>118</v>
      </c>
      <c r="P1110" t="str">
        <f t="shared" si="241"/>
        <v>[1]</v>
      </c>
      <c r="Q1110">
        <f t="shared" si="242"/>
        <v>16</v>
      </c>
      <c r="R1110" t="str">
        <f t="shared" si="240"/>
        <v/>
      </c>
      <c r="S1110">
        <f>SUMIF(O1110:$O$2855,R1110,Q1110:$Q$2855)</f>
        <v>0</v>
      </c>
    </row>
    <row r="1111" spans="11:19" x14ac:dyDescent="0.25">
      <c r="K1111" s="4" t="s">
        <v>421</v>
      </c>
      <c r="L1111" t="s">
        <v>422</v>
      </c>
      <c r="M1111" t="s">
        <v>3521</v>
      </c>
      <c r="N1111" t="s">
        <v>165</v>
      </c>
      <c r="O1111" t="s">
        <v>118</v>
      </c>
      <c r="P1111" t="str">
        <f t="shared" si="241"/>
        <v>[1]</v>
      </c>
      <c r="Q1111">
        <f t="shared" si="242"/>
        <v>20</v>
      </c>
      <c r="R1111" t="str">
        <f t="shared" si="240"/>
        <v/>
      </c>
      <c r="S1111">
        <f>SUMIF(O1111:$O$2855,R1111,Q1111:$Q$2855)</f>
        <v>0</v>
      </c>
    </row>
    <row r="1112" spans="11:19" x14ac:dyDescent="0.25">
      <c r="K1112" s="4" t="s">
        <v>421</v>
      </c>
      <c r="L1112" t="s">
        <v>422</v>
      </c>
      <c r="M1112" t="s">
        <v>3522</v>
      </c>
      <c r="N1112" t="s">
        <v>202</v>
      </c>
      <c r="O1112" t="s">
        <v>118</v>
      </c>
      <c r="P1112" t="str">
        <f t="shared" si="241"/>
        <v>[1]</v>
      </c>
      <c r="Q1112">
        <f t="shared" si="242"/>
        <v>16</v>
      </c>
      <c r="R1112" t="str">
        <f t="shared" si="240"/>
        <v/>
      </c>
      <c r="S1112">
        <f>SUMIF(O1112:$O$2855,R1112,Q1112:$Q$2855)</f>
        <v>0</v>
      </c>
    </row>
    <row r="1113" spans="11:19" x14ac:dyDescent="0.25">
      <c r="K1113" s="4" t="s">
        <v>421</v>
      </c>
      <c r="L1113" t="s">
        <v>422</v>
      </c>
      <c r="M1113" t="s">
        <v>3523</v>
      </c>
      <c r="N1113" s="1" t="s">
        <v>437</v>
      </c>
      <c r="O1113" t="s">
        <v>118</v>
      </c>
      <c r="P1113" t="str">
        <f t="shared" si="241"/>
        <v>[1]</v>
      </c>
      <c r="Q1113">
        <f t="shared" si="242"/>
        <v>24</v>
      </c>
      <c r="R1113" t="str">
        <f t="shared" si="240"/>
        <v/>
      </c>
      <c r="S1113">
        <f>SUMIF(O1113:$O$2855,R1113,Q1113:$Q$2855)</f>
        <v>0</v>
      </c>
    </row>
    <row r="1114" spans="11:19" x14ac:dyDescent="0.25">
      <c r="K1114" s="4" t="s">
        <v>421</v>
      </c>
      <c r="L1114" t="s">
        <v>422</v>
      </c>
      <c r="M1114" t="s">
        <v>1764</v>
      </c>
      <c r="N1114" t="s">
        <v>202</v>
      </c>
      <c r="O1114" t="s">
        <v>118</v>
      </c>
      <c r="P1114" t="str">
        <f t="shared" si="241"/>
        <v>[1]</v>
      </c>
      <c r="Q1114">
        <f t="shared" si="242"/>
        <v>16</v>
      </c>
      <c r="R1114" t="str">
        <f t="shared" si="240"/>
        <v/>
      </c>
      <c r="S1114">
        <f>SUMIF(O1114:$O$2855,R1114,Q1114:$Q$2855)</f>
        <v>0</v>
      </c>
    </row>
    <row r="1115" spans="11:19" x14ac:dyDescent="0.25">
      <c r="K1115" s="4" t="s">
        <v>421</v>
      </c>
      <c r="L1115" t="s">
        <v>422</v>
      </c>
      <c r="M1115" t="s">
        <v>3524</v>
      </c>
      <c r="N1115" t="s">
        <v>202</v>
      </c>
      <c r="O1115" t="s">
        <v>118</v>
      </c>
      <c r="P1115" t="str">
        <f t="shared" si="241"/>
        <v>[1]</v>
      </c>
      <c r="Q1115">
        <f t="shared" si="242"/>
        <v>16</v>
      </c>
      <c r="R1115" t="str">
        <f t="shared" si="240"/>
        <v/>
      </c>
      <c r="S1115">
        <f>SUMIF(O1115:$O$2855,R1115,Q1115:$Q$2855)</f>
        <v>0</v>
      </c>
    </row>
    <row r="1116" spans="11:19" x14ac:dyDescent="0.25">
      <c r="K1116" s="4" t="s">
        <v>421</v>
      </c>
      <c r="L1116" t="s">
        <v>422</v>
      </c>
      <c r="M1116" t="s">
        <v>3525</v>
      </c>
      <c r="N1116" t="s">
        <v>165</v>
      </c>
      <c r="O1116" t="s">
        <v>118</v>
      </c>
      <c r="P1116" t="str">
        <f t="shared" si="241"/>
        <v>[1]</v>
      </c>
      <c r="Q1116">
        <f t="shared" si="242"/>
        <v>20</v>
      </c>
      <c r="R1116" t="str">
        <f t="shared" si="240"/>
        <v/>
      </c>
      <c r="S1116">
        <f>SUMIF(O1116:$O$2855,R1116,Q1116:$Q$2855)</f>
        <v>0</v>
      </c>
    </row>
    <row r="1117" spans="11:19" x14ac:dyDescent="0.25">
      <c r="K1117" s="4" t="s">
        <v>421</v>
      </c>
      <c r="L1117" t="s">
        <v>422</v>
      </c>
      <c r="M1117" t="s">
        <v>1918</v>
      </c>
      <c r="N1117" t="s">
        <v>202</v>
      </c>
      <c r="O1117" t="s">
        <v>118</v>
      </c>
      <c r="P1117" t="str">
        <f t="shared" si="241"/>
        <v>[1]</v>
      </c>
      <c r="Q1117">
        <f t="shared" si="242"/>
        <v>16</v>
      </c>
      <c r="R1117" t="str">
        <f t="shared" si="240"/>
        <v/>
      </c>
      <c r="S1117">
        <f>SUMIF(O1117:$O$2855,R1117,Q1117:$Q$2855)</f>
        <v>0</v>
      </c>
    </row>
    <row r="1118" spans="11:19" x14ac:dyDescent="0.25">
      <c r="K1118" s="4" t="s">
        <v>421</v>
      </c>
      <c r="L1118" t="s">
        <v>422</v>
      </c>
      <c r="M1118" t="s">
        <v>3526</v>
      </c>
      <c r="N1118" t="s">
        <v>202</v>
      </c>
      <c r="O1118" t="s">
        <v>118</v>
      </c>
      <c r="P1118" t="str">
        <f t="shared" si="241"/>
        <v>[1]</v>
      </c>
      <c r="Q1118">
        <f t="shared" si="242"/>
        <v>16</v>
      </c>
      <c r="R1118" t="str">
        <f t="shared" si="240"/>
        <v/>
      </c>
      <c r="S1118">
        <f>SUMIF(O1118:$O$2855,R1118,Q1118:$Q$2855)</f>
        <v>0</v>
      </c>
    </row>
    <row r="1119" spans="11:19" x14ac:dyDescent="0.25">
      <c r="K1119" s="4" t="s">
        <v>421</v>
      </c>
      <c r="L1119" t="s">
        <v>422</v>
      </c>
      <c r="M1119" t="s">
        <v>3527</v>
      </c>
      <c r="N1119" t="s">
        <v>13</v>
      </c>
      <c r="O1119" t="s">
        <v>118</v>
      </c>
      <c r="P1119" t="str">
        <f t="shared" si="241"/>
        <v>[1]</v>
      </c>
      <c r="Q1119">
        <f t="shared" si="242"/>
        <v>12</v>
      </c>
      <c r="R1119" t="str">
        <f t="shared" si="240"/>
        <v/>
      </c>
      <c r="S1119">
        <f>SUMIF(O1119:$O$2855,R1119,Q1119:$Q$2855)</f>
        <v>0</v>
      </c>
    </row>
    <row r="1120" spans="11:19" x14ac:dyDescent="0.25">
      <c r="K1120" s="4" t="s">
        <v>421</v>
      </c>
      <c r="L1120" t="s">
        <v>422</v>
      </c>
      <c r="M1120" t="s">
        <v>3528</v>
      </c>
      <c r="N1120" t="s">
        <v>211</v>
      </c>
      <c r="O1120" t="s">
        <v>118</v>
      </c>
      <c r="P1120" t="str">
        <f t="shared" si="241"/>
        <v>[1]</v>
      </c>
      <c r="Q1120">
        <f t="shared" si="242"/>
        <v>92</v>
      </c>
      <c r="R1120" t="str">
        <f t="shared" ref="R1120:R1183" si="243">IF(O1120&lt;&gt;O1119,O1120,"")</f>
        <v/>
      </c>
      <c r="S1120">
        <f>SUMIF(O1120:$O$2855,R1120,Q1120:$Q$2855)</f>
        <v>0</v>
      </c>
    </row>
    <row r="1121" spans="11:19" x14ac:dyDescent="0.25">
      <c r="K1121" s="4" t="s">
        <v>421</v>
      </c>
      <c r="L1121" t="s">
        <v>422</v>
      </c>
      <c r="M1121" t="s">
        <v>3529</v>
      </c>
      <c r="N1121" t="s">
        <v>435</v>
      </c>
      <c r="O1121" t="s">
        <v>118</v>
      </c>
      <c r="P1121" t="str">
        <f t="shared" si="241"/>
        <v>[1]</v>
      </c>
      <c r="Q1121">
        <f t="shared" si="242"/>
        <v>60</v>
      </c>
      <c r="R1121" t="str">
        <f t="shared" si="243"/>
        <v/>
      </c>
      <c r="S1121">
        <f>SUMIF(O1121:$O$2855,R1121,Q1121:$Q$2855)</f>
        <v>0</v>
      </c>
    </row>
    <row r="1122" spans="11:19" x14ac:dyDescent="0.25">
      <c r="K1122" s="4" t="s">
        <v>421</v>
      </c>
      <c r="L1122" t="s">
        <v>422</v>
      </c>
      <c r="M1122" t="s">
        <v>3530</v>
      </c>
      <c r="N1122" t="s">
        <v>124</v>
      </c>
      <c r="O1122" t="s">
        <v>118</v>
      </c>
      <c r="P1122" t="str">
        <f t="shared" si="241"/>
        <v>[1]</v>
      </c>
      <c r="Q1122">
        <f t="shared" si="242"/>
        <v>68</v>
      </c>
      <c r="R1122" t="str">
        <f t="shared" si="243"/>
        <v/>
      </c>
      <c r="S1122">
        <f>SUMIF(O1122:$O$2855,R1122,Q1122:$Q$2855)</f>
        <v>0</v>
      </c>
    </row>
    <row r="1123" spans="11:19" x14ac:dyDescent="0.25">
      <c r="K1123" s="4" t="s">
        <v>421</v>
      </c>
      <c r="L1123" t="s">
        <v>422</v>
      </c>
      <c r="M1123" t="s">
        <v>3531</v>
      </c>
      <c r="N1123" t="s">
        <v>67</v>
      </c>
      <c r="O1123" t="s">
        <v>118</v>
      </c>
      <c r="P1123" t="str">
        <f t="shared" si="241"/>
        <v>[1]</v>
      </c>
      <c r="Q1123">
        <f t="shared" si="242"/>
        <v>48</v>
      </c>
      <c r="R1123" t="str">
        <f t="shared" si="243"/>
        <v/>
      </c>
      <c r="S1123">
        <f>SUMIF(O1123:$O$2855,R1123,Q1123:$Q$2855)</f>
        <v>0</v>
      </c>
    </row>
    <row r="1124" spans="11:19" x14ac:dyDescent="0.25">
      <c r="K1124" s="4" t="s">
        <v>421</v>
      </c>
      <c r="L1124" t="s">
        <v>422</v>
      </c>
      <c r="M1124" t="s">
        <v>3532</v>
      </c>
      <c r="N1124" t="s">
        <v>190</v>
      </c>
      <c r="O1124" t="s">
        <v>118</v>
      </c>
      <c r="P1124" t="str">
        <f t="shared" si="241"/>
        <v>[1]</v>
      </c>
      <c r="Q1124">
        <f t="shared" si="242"/>
        <v>56</v>
      </c>
      <c r="R1124" t="str">
        <f t="shared" si="243"/>
        <v/>
      </c>
      <c r="S1124">
        <f>SUMIF(O1124:$O$2855,R1124,Q1124:$Q$2855)</f>
        <v>0</v>
      </c>
    </row>
    <row r="1125" spans="11:19" x14ac:dyDescent="0.25">
      <c r="K1125" s="4" t="s">
        <v>421</v>
      </c>
      <c r="L1125" t="s">
        <v>422</v>
      </c>
      <c r="M1125" t="s">
        <v>3533</v>
      </c>
      <c r="N1125" t="s">
        <v>202</v>
      </c>
      <c r="O1125" t="s">
        <v>118</v>
      </c>
      <c r="P1125" t="str">
        <f t="shared" si="241"/>
        <v>[1]</v>
      </c>
      <c r="Q1125">
        <f t="shared" si="242"/>
        <v>16</v>
      </c>
      <c r="R1125" t="str">
        <f t="shared" si="243"/>
        <v/>
      </c>
      <c r="S1125">
        <f>SUMIF(O1125:$O$2855,R1125,Q1125:$Q$2855)</f>
        <v>0</v>
      </c>
    </row>
    <row r="1126" spans="11:19" x14ac:dyDescent="0.25">
      <c r="K1126" s="4" t="s">
        <v>421</v>
      </c>
      <c r="L1126" t="s">
        <v>422</v>
      </c>
      <c r="M1126" t="s">
        <v>3534</v>
      </c>
      <c r="N1126" t="s">
        <v>165</v>
      </c>
      <c r="O1126" t="s">
        <v>118</v>
      </c>
      <c r="P1126" t="str">
        <f t="shared" si="241"/>
        <v>[1]</v>
      </c>
      <c r="Q1126">
        <f t="shared" si="242"/>
        <v>20</v>
      </c>
      <c r="R1126" t="str">
        <f t="shared" si="243"/>
        <v/>
      </c>
      <c r="S1126">
        <f>SUMIF(O1126:$O$2855,R1126,Q1126:$Q$2855)</f>
        <v>0</v>
      </c>
    </row>
    <row r="1127" spans="11:19" x14ac:dyDescent="0.25">
      <c r="K1127" s="4" t="s">
        <v>421</v>
      </c>
      <c r="L1127" t="s">
        <v>422</v>
      </c>
      <c r="M1127" t="s">
        <v>3535</v>
      </c>
      <c r="N1127" t="s">
        <v>126</v>
      </c>
      <c r="O1127" t="s">
        <v>118</v>
      </c>
      <c r="P1127" t="str">
        <f t="shared" si="241"/>
        <v>[1]</v>
      </c>
      <c r="Q1127">
        <f t="shared" si="242"/>
        <v>8</v>
      </c>
      <c r="R1127" t="str">
        <f t="shared" si="243"/>
        <v/>
      </c>
      <c r="S1127">
        <f>SUMIF(O1127:$O$2855,R1127,Q1127:$Q$2855)</f>
        <v>0</v>
      </c>
    </row>
    <row r="1128" spans="11:19" x14ac:dyDescent="0.25">
      <c r="K1128" s="4" t="s">
        <v>421</v>
      </c>
      <c r="L1128" t="s">
        <v>422</v>
      </c>
      <c r="M1128" t="s">
        <v>3536</v>
      </c>
      <c r="N1128" t="s">
        <v>13</v>
      </c>
      <c r="O1128" t="s">
        <v>118</v>
      </c>
      <c r="P1128" t="str">
        <f t="shared" si="241"/>
        <v>[1]</v>
      </c>
      <c r="Q1128">
        <f t="shared" si="242"/>
        <v>12</v>
      </c>
      <c r="R1128" t="str">
        <f t="shared" si="243"/>
        <v/>
      </c>
      <c r="S1128">
        <f>SUMIF(O1128:$O$2855,R1128,Q1128:$Q$2855)</f>
        <v>0</v>
      </c>
    </row>
    <row r="1129" spans="11:19" x14ac:dyDescent="0.25">
      <c r="K1129" s="4" t="s">
        <v>421</v>
      </c>
      <c r="L1129" t="s">
        <v>422</v>
      </c>
      <c r="M1129" t="s">
        <v>3537</v>
      </c>
      <c r="N1129" t="s">
        <v>6</v>
      </c>
      <c r="O1129" t="s">
        <v>118</v>
      </c>
      <c r="P1129" t="str">
        <f t="shared" si="241"/>
        <v>[1]</v>
      </c>
      <c r="Q1129">
        <f t="shared" si="242"/>
        <v>28</v>
      </c>
      <c r="R1129" t="str">
        <f t="shared" si="243"/>
        <v/>
      </c>
      <c r="S1129">
        <f>SUMIF(O1129:$O$2855,R1129,Q1129:$Q$2855)</f>
        <v>0</v>
      </c>
    </row>
    <row r="1130" spans="11:19" x14ac:dyDescent="0.25">
      <c r="K1130" s="4" t="s">
        <v>421</v>
      </c>
      <c r="L1130" t="s">
        <v>422</v>
      </c>
      <c r="M1130" t="s">
        <v>3538</v>
      </c>
      <c r="N1130" t="s">
        <v>165</v>
      </c>
      <c r="O1130" t="s">
        <v>118</v>
      </c>
      <c r="P1130" t="str">
        <f t="shared" si="241"/>
        <v>[1]</v>
      </c>
      <c r="Q1130">
        <f t="shared" si="242"/>
        <v>20</v>
      </c>
      <c r="R1130" t="str">
        <f t="shared" si="243"/>
        <v/>
      </c>
      <c r="S1130">
        <f>SUMIF(O1130:$O$2855,R1130,Q1130:$Q$2855)</f>
        <v>0</v>
      </c>
    </row>
    <row r="1131" spans="11:19" x14ac:dyDescent="0.25">
      <c r="K1131" s="4" t="s">
        <v>421</v>
      </c>
      <c r="L1131" t="s">
        <v>422</v>
      </c>
      <c r="M1131" t="s">
        <v>3539</v>
      </c>
      <c r="N1131" t="s">
        <v>165</v>
      </c>
      <c r="O1131" t="s">
        <v>118</v>
      </c>
      <c r="P1131" t="str">
        <f t="shared" si="241"/>
        <v>[1]</v>
      </c>
      <c r="Q1131">
        <f t="shared" si="242"/>
        <v>20</v>
      </c>
      <c r="R1131" t="str">
        <f t="shared" si="243"/>
        <v/>
      </c>
      <c r="S1131">
        <f>SUMIF(O1131:$O$2855,R1131,Q1131:$Q$2855)</f>
        <v>0</v>
      </c>
    </row>
    <row r="1132" spans="11:19" x14ac:dyDescent="0.25">
      <c r="K1132" s="4" t="s">
        <v>421</v>
      </c>
      <c r="L1132" t="s">
        <v>422</v>
      </c>
      <c r="M1132" t="s">
        <v>3540</v>
      </c>
      <c r="N1132" t="s">
        <v>67</v>
      </c>
      <c r="O1132" t="s">
        <v>118</v>
      </c>
      <c r="P1132" t="str">
        <f t="shared" si="241"/>
        <v>[1]</v>
      </c>
      <c r="Q1132">
        <f t="shared" si="242"/>
        <v>48</v>
      </c>
      <c r="R1132" t="str">
        <f t="shared" si="243"/>
        <v/>
      </c>
      <c r="S1132">
        <f>SUMIF(O1132:$O$2855,R1132,Q1132:$Q$2855)</f>
        <v>0</v>
      </c>
    </row>
    <row r="1133" spans="11:19" x14ac:dyDescent="0.25">
      <c r="K1133" s="4" t="s">
        <v>421</v>
      </c>
      <c r="L1133" t="s">
        <v>422</v>
      </c>
      <c r="M1133" t="s">
        <v>3541</v>
      </c>
      <c r="N1133" t="s">
        <v>437</v>
      </c>
      <c r="O1133" t="s">
        <v>118</v>
      </c>
      <c r="P1133" t="str">
        <f t="shared" si="241"/>
        <v>[1]</v>
      </c>
      <c r="Q1133">
        <f t="shared" si="242"/>
        <v>24</v>
      </c>
      <c r="R1133" t="str">
        <f t="shared" si="243"/>
        <v/>
      </c>
      <c r="S1133">
        <f>SUMIF(O1133:$O$2855,R1133,Q1133:$Q$2855)</f>
        <v>0</v>
      </c>
    </row>
    <row r="1134" spans="11:19" x14ac:dyDescent="0.25">
      <c r="K1134" s="4" t="s">
        <v>421</v>
      </c>
      <c r="L1134" t="s">
        <v>422</v>
      </c>
      <c r="M1134" t="s">
        <v>3542</v>
      </c>
      <c r="N1134" t="s">
        <v>202</v>
      </c>
      <c r="O1134" t="s">
        <v>118</v>
      </c>
      <c r="P1134" t="str">
        <f t="shared" si="241"/>
        <v>[1]</v>
      </c>
      <c r="Q1134">
        <f t="shared" si="242"/>
        <v>16</v>
      </c>
      <c r="R1134" t="str">
        <f t="shared" si="243"/>
        <v/>
      </c>
      <c r="S1134">
        <f>SUMIF(O1134:$O$2855,R1134,Q1134:$Q$2855)</f>
        <v>0</v>
      </c>
    </row>
    <row r="1135" spans="11:19" x14ac:dyDescent="0.25">
      <c r="K1135" s="4" t="s">
        <v>421</v>
      </c>
      <c r="L1135" t="s">
        <v>422</v>
      </c>
      <c r="M1135" t="s">
        <v>3543</v>
      </c>
      <c r="N1135" t="s">
        <v>108</v>
      </c>
      <c r="O1135" t="s">
        <v>118</v>
      </c>
      <c r="P1135" t="str">
        <f t="shared" si="241"/>
        <v>[1]</v>
      </c>
      <c r="Q1135">
        <f t="shared" si="242"/>
        <v>232</v>
      </c>
      <c r="R1135" t="str">
        <f t="shared" si="243"/>
        <v/>
      </c>
      <c r="S1135">
        <f>SUMIF(O1135:$O$2855,R1135,Q1135:$Q$2855)</f>
        <v>0</v>
      </c>
    </row>
    <row r="1136" spans="11:19" x14ac:dyDescent="0.25">
      <c r="K1136" s="4" t="s">
        <v>421</v>
      </c>
      <c r="L1136" t="s">
        <v>422</v>
      </c>
      <c r="M1136" t="s">
        <v>3544</v>
      </c>
      <c r="N1136" t="s">
        <v>435</v>
      </c>
      <c r="O1136" t="s">
        <v>118</v>
      </c>
      <c r="P1136" t="str">
        <f t="shared" si="241"/>
        <v>[1]</v>
      </c>
      <c r="Q1136">
        <f t="shared" si="242"/>
        <v>60</v>
      </c>
      <c r="R1136" t="str">
        <f t="shared" si="243"/>
        <v/>
      </c>
      <c r="S1136">
        <f>SUMIF(O1136:$O$2855,R1136,Q1136:$Q$2855)</f>
        <v>0</v>
      </c>
    </row>
    <row r="1137" spans="11:19" x14ac:dyDescent="0.25">
      <c r="K1137" s="4" t="s">
        <v>421</v>
      </c>
      <c r="L1137" t="s">
        <v>422</v>
      </c>
      <c r="M1137" t="s">
        <v>2745</v>
      </c>
      <c r="N1137" t="s">
        <v>1076</v>
      </c>
      <c r="O1137" t="s">
        <v>1120</v>
      </c>
      <c r="P1137" t="str">
        <f t="shared" si="241"/>
        <v>[1]</v>
      </c>
      <c r="Q1137">
        <f t="shared" si="242"/>
        <v>256</v>
      </c>
      <c r="R1137" t="str">
        <f t="shared" si="243"/>
        <v>FreqDomMlseP4GfskStruct2.o</v>
      </c>
      <c r="S1137">
        <f>SUMIF(O1137:$O$2855,R1137,Q1137:$Q$2855)</f>
        <v>256</v>
      </c>
    </row>
    <row r="1138" spans="11:19" x14ac:dyDescent="0.25">
      <c r="K1138" s="4" t="s">
        <v>421</v>
      </c>
      <c r="L1138" t="s">
        <v>422</v>
      </c>
      <c r="M1138" t="s">
        <v>4063</v>
      </c>
      <c r="N1138" t="s">
        <v>76</v>
      </c>
      <c r="O1138" t="s">
        <v>1669</v>
      </c>
      <c r="P1138" t="str">
        <f t="shared" si="241"/>
        <v>[1]</v>
      </c>
      <c r="Q1138">
        <f t="shared" si="242"/>
        <v>36</v>
      </c>
      <c r="R1138" t="str">
        <f t="shared" si="243"/>
        <v>FTM1.o</v>
      </c>
      <c r="S1138">
        <f>SUMIF(O1138:$O$2855,R1138,Q1138:$Q$2855)</f>
        <v>60</v>
      </c>
    </row>
    <row r="1139" spans="11:19" x14ac:dyDescent="0.25">
      <c r="K1139" s="4" t="s">
        <v>421</v>
      </c>
      <c r="L1139" t="s">
        <v>422</v>
      </c>
      <c r="M1139" t="s">
        <v>4064</v>
      </c>
      <c r="N1139" t="s">
        <v>437</v>
      </c>
      <c r="O1139" t="s">
        <v>1669</v>
      </c>
      <c r="P1139" t="str">
        <f t="shared" si="241"/>
        <v>[1]</v>
      </c>
      <c r="Q1139">
        <f t="shared" si="242"/>
        <v>24</v>
      </c>
      <c r="R1139" t="str">
        <f t="shared" si="243"/>
        <v/>
      </c>
      <c r="S1139">
        <f>SUMIF(O1139:$O$2855,R1139,Q1139:$Q$2855)</f>
        <v>0</v>
      </c>
    </row>
    <row r="1140" spans="11:19" x14ac:dyDescent="0.25">
      <c r="K1140" s="4" t="s">
        <v>421</v>
      </c>
      <c r="L1140" t="s">
        <v>422</v>
      </c>
      <c r="M1140" t="s">
        <v>4093</v>
      </c>
      <c r="N1140" t="s">
        <v>119</v>
      </c>
      <c r="O1140" t="s">
        <v>1134</v>
      </c>
      <c r="P1140" t="str">
        <f t="shared" si="241"/>
        <v>[1]</v>
      </c>
      <c r="Q1140">
        <f t="shared" si="242"/>
        <v>32</v>
      </c>
      <c r="R1140" t="str">
        <f t="shared" si="243"/>
        <v>hdlc_frame.o</v>
      </c>
      <c r="S1140">
        <f>SUMIF(O1140:$O$2855,R1140,Q1140:$Q$2855)</f>
        <v>168</v>
      </c>
    </row>
    <row r="1141" spans="11:19" x14ac:dyDescent="0.25">
      <c r="K1141" s="4" t="s">
        <v>421</v>
      </c>
      <c r="L1141" t="s">
        <v>422</v>
      </c>
      <c r="M1141" t="s">
        <v>4094</v>
      </c>
      <c r="N1141" t="s">
        <v>67</v>
      </c>
      <c r="O1141" t="s">
        <v>1134</v>
      </c>
      <c r="P1141" t="str">
        <f t="shared" si="241"/>
        <v>[1]</v>
      </c>
      <c r="Q1141">
        <f t="shared" si="242"/>
        <v>48</v>
      </c>
      <c r="R1141" t="str">
        <f t="shared" si="243"/>
        <v/>
      </c>
      <c r="S1141">
        <f>SUMIF(O1141:$O$2855,R1141,Q1141:$Q$2855)</f>
        <v>0</v>
      </c>
    </row>
    <row r="1142" spans="11:19" x14ac:dyDescent="0.25">
      <c r="K1142" s="4" t="s">
        <v>421</v>
      </c>
      <c r="L1142" t="s">
        <v>422</v>
      </c>
      <c r="M1142" t="s">
        <v>4095</v>
      </c>
      <c r="N1142" t="s">
        <v>437</v>
      </c>
      <c r="O1142" t="s">
        <v>1134</v>
      </c>
      <c r="P1142" t="str">
        <f t="shared" si="241"/>
        <v>[1]</v>
      </c>
      <c r="Q1142">
        <f t="shared" si="242"/>
        <v>24</v>
      </c>
      <c r="R1142" t="str">
        <f t="shared" si="243"/>
        <v/>
      </c>
      <c r="S1142">
        <f>SUMIF(O1142:$O$2855,R1142,Q1142:$Q$2855)</f>
        <v>0</v>
      </c>
    </row>
    <row r="1143" spans="11:19" x14ac:dyDescent="0.25">
      <c r="K1143" s="4" t="s">
        <v>421</v>
      </c>
      <c r="L1143" t="s">
        <v>422</v>
      </c>
      <c r="M1143" t="s">
        <v>4096</v>
      </c>
      <c r="N1143" t="s">
        <v>202</v>
      </c>
      <c r="O1143" t="s">
        <v>1134</v>
      </c>
      <c r="P1143" t="str">
        <f t="shared" si="241"/>
        <v>[1]</v>
      </c>
      <c r="Q1143">
        <f t="shared" si="242"/>
        <v>16</v>
      </c>
      <c r="R1143" t="str">
        <f t="shared" si="243"/>
        <v/>
      </c>
      <c r="S1143">
        <f>SUMIF(O1143:$O$2855,R1143,Q1143:$Q$2855)</f>
        <v>0</v>
      </c>
    </row>
    <row r="1144" spans="11:19" x14ac:dyDescent="0.25">
      <c r="K1144" s="4" t="s">
        <v>421</v>
      </c>
      <c r="L1144" t="s">
        <v>422</v>
      </c>
      <c r="M1144" t="s">
        <v>4097</v>
      </c>
      <c r="N1144" t="s">
        <v>67</v>
      </c>
      <c r="O1144" t="s">
        <v>1134</v>
      </c>
      <c r="P1144" t="str">
        <f t="shared" si="241"/>
        <v>[1]</v>
      </c>
      <c r="Q1144">
        <f t="shared" si="242"/>
        <v>48</v>
      </c>
      <c r="R1144" t="str">
        <f t="shared" si="243"/>
        <v/>
      </c>
      <c r="S1144">
        <f>SUMIF(O1144:$O$2855,R1144,Q1144:$Q$2855)</f>
        <v>0</v>
      </c>
    </row>
    <row r="1145" spans="11:19" x14ac:dyDescent="0.25">
      <c r="K1145" s="4" t="s">
        <v>421</v>
      </c>
      <c r="L1145" t="s">
        <v>422</v>
      </c>
      <c r="M1145" t="s">
        <v>3545</v>
      </c>
      <c r="N1145" t="s">
        <v>126</v>
      </c>
      <c r="O1145" t="s">
        <v>87</v>
      </c>
      <c r="P1145" t="str">
        <f t="shared" si="241"/>
        <v>[1]</v>
      </c>
      <c r="Q1145">
        <f t="shared" si="242"/>
        <v>8</v>
      </c>
      <c r="R1145" t="str">
        <f t="shared" si="243"/>
        <v>HEEP_util.o</v>
      </c>
      <c r="S1145">
        <f>SUMIF(O1145:$O$2855,R1145,Q1145:$Q$2855)</f>
        <v>2284</v>
      </c>
    </row>
    <row r="1146" spans="11:19" x14ac:dyDescent="0.25">
      <c r="K1146" s="4" t="s">
        <v>421</v>
      </c>
      <c r="L1146" t="s">
        <v>422</v>
      </c>
      <c r="M1146" t="s">
        <v>3546</v>
      </c>
      <c r="N1146" t="s">
        <v>13</v>
      </c>
      <c r="O1146" t="s">
        <v>87</v>
      </c>
      <c r="P1146" t="str">
        <f t="shared" si="241"/>
        <v>[1]</v>
      </c>
      <c r="Q1146">
        <f t="shared" si="242"/>
        <v>12</v>
      </c>
      <c r="R1146" t="str">
        <f t="shared" si="243"/>
        <v/>
      </c>
      <c r="S1146">
        <f>SUMIF(O1146:$O$2855,R1146,Q1146:$Q$2855)</f>
        <v>0</v>
      </c>
    </row>
    <row r="1147" spans="11:19" x14ac:dyDescent="0.25">
      <c r="K1147" s="4" t="s">
        <v>421</v>
      </c>
      <c r="L1147" t="s">
        <v>422</v>
      </c>
      <c r="M1147" t="s">
        <v>3547</v>
      </c>
      <c r="N1147" t="s">
        <v>202</v>
      </c>
      <c r="O1147" t="s">
        <v>87</v>
      </c>
      <c r="P1147" t="str">
        <f t="shared" si="241"/>
        <v>[1]</v>
      </c>
      <c r="Q1147">
        <f t="shared" si="242"/>
        <v>16</v>
      </c>
      <c r="R1147" t="str">
        <f t="shared" si="243"/>
        <v/>
      </c>
      <c r="S1147">
        <f>SUMIF(O1147:$O$2855,R1147,Q1147:$Q$2855)</f>
        <v>0</v>
      </c>
    </row>
    <row r="1148" spans="11:19" x14ac:dyDescent="0.25">
      <c r="K1148" s="4" t="s">
        <v>421</v>
      </c>
      <c r="L1148" t="s">
        <v>422</v>
      </c>
      <c r="M1148" t="s">
        <v>1765</v>
      </c>
      <c r="N1148" t="s">
        <v>126</v>
      </c>
      <c r="O1148" t="s">
        <v>87</v>
      </c>
      <c r="P1148" t="str">
        <f t="shared" si="241"/>
        <v>[1]</v>
      </c>
      <c r="Q1148">
        <f t="shared" si="242"/>
        <v>8</v>
      </c>
      <c r="R1148" t="str">
        <f t="shared" si="243"/>
        <v/>
      </c>
      <c r="S1148">
        <f>SUMIF(O1148:$O$2855,R1148,Q1148:$Q$2855)</f>
        <v>0</v>
      </c>
    </row>
    <row r="1149" spans="11:19" x14ac:dyDescent="0.25">
      <c r="K1149" s="4" t="s">
        <v>421</v>
      </c>
      <c r="L1149" t="s">
        <v>422</v>
      </c>
      <c r="M1149" t="s">
        <v>1766</v>
      </c>
      <c r="N1149" t="s">
        <v>78</v>
      </c>
      <c r="O1149" t="s">
        <v>87</v>
      </c>
      <c r="P1149" t="str">
        <f t="shared" si="241"/>
        <v>[1]</v>
      </c>
      <c r="Q1149">
        <f t="shared" si="242"/>
        <v>4</v>
      </c>
      <c r="R1149" t="str">
        <f t="shared" si="243"/>
        <v/>
      </c>
      <c r="S1149">
        <f>SUMIF(O1149:$O$2855,R1149,Q1149:$Q$2855)</f>
        <v>0</v>
      </c>
    </row>
    <row r="1150" spans="11:19" x14ac:dyDescent="0.25">
      <c r="K1150" s="4" t="s">
        <v>421</v>
      </c>
      <c r="L1150" t="s">
        <v>422</v>
      </c>
      <c r="M1150" t="s">
        <v>3548</v>
      </c>
      <c r="N1150" t="s">
        <v>126</v>
      </c>
      <c r="O1150" t="s">
        <v>87</v>
      </c>
      <c r="P1150" t="str">
        <f t="shared" si="241"/>
        <v>[1]</v>
      </c>
      <c r="Q1150">
        <f t="shared" si="242"/>
        <v>8</v>
      </c>
      <c r="R1150" t="str">
        <f t="shared" si="243"/>
        <v/>
      </c>
      <c r="S1150">
        <f>SUMIF(O1150:$O$2855,R1150,Q1150:$Q$2855)</f>
        <v>0</v>
      </c>
    </row>
    <row r="1151" spans="11:19" x14ac:dyDescent="0.25">
      <c r="K1151" s="4" t="s">
        <v>421</v>
      </c>
      <c r="L1151" t="s">
        <v>422</v>
      </c>
      <c r="M1151" t="s">
        <v>3549</v>
      </c>
      <c r="N1151" t="s">
        <v>78</v>
      </c>
      <c r="O1151" t="s">
        <v>87</v>
      </c>
      <c r="P1151" t="str">
        <f t="shared" si="241"/>
        <v>[1]</v>
      </c>
      <c r="Q1151">
        <f t="shared" si="242"/>
        <v>4</v>
      </c>
      <c r="R1151" t="str">
        <f t="shared" si="243"/>
        <v/>
      </c>
      <c r="S1151">
        <f>SUMIF(O1151:$O$2855,R1151,Q1151:$Q$2855)</f>
        <v>0</v>
      </c>
    </row>
    <row r="1152" spans="11:19" x14ac:dyDescent="0.25">
      <c r="K1152" s="4" t="s">
        <v>421</v>
      </c>
      <c r="L1152" t="s">
        <v>422</v>
      </c>
      <c r="M1152" t="s">
        <v>1919</v>
      </c>
      <c r="N1152" t="s">
        <v>126</v>
      </c>
      <c r="O1152" t="s">
        <v>87</v>
      </c>
      <c r="P1152" t="str">
        <f t="shared" si="241"/>
        <v>[1]</v>
      </c>
      <c r="Q1152">
        <f t="shared" si="242"/>
        <v>8</v>
      </c>
      <c r="R1152" t="str">
        <f t="shared" si="243"/>
        <v/>
      </c>
      <c r="S1152">
        <f>SUMIF(O1152:$O$2855,R1152,Q1152:$Q$2855)</f>
        <v>0</v>
      </c>
    </row>
    <row r="1153" spans="11:19" x14ac:dyDescent="0.25">
      <c r="K1153" s="4" t="s">
        <v>421</v>
      </c>
      <c r="L1153" t="s">
        <v>422</v>
      </c>
      <c r="M1153" t="s">
        <v>1920</v>
      </c>
      <c r="N1153" t="s">
        <v>126</v>
      </c>
      <c r="O1153" t="s">
        <v>87</v>
      </c>
      <c r="P1153" t="str">
        <f t="shared" si="241"/>
        <v>[1]</v>
      </c>
      <c r="Q1153">
        <f t="shared" si="242"/>
        <v>8</v>
      </c>
      <c r="R1153" t="str">
        <f t="shared" si="243"/>
        <v/>
      </c>
      <c r="S1153">
        <f>SUMIF(O1153:$O$2855,R1153,Q1153:$Q$2855)</f>
        <v>0</v>
      </c>
    </row>
    <row r="1154" spans="11:19" x14ac:dyDescent="0.25">
      <c r="K1154" s="4" t="s">
        <v>421</v>
      </c>
      <c r="L1154" t="s">
        <v>422</v>
      </c>
      <c r="M1154" t="s">
        <v>3550</v>
      </c>
      <c r="N1154" t="s">
        <v>126</v>
      </c>
      <c r="O1154" t="s">
        <v>87</v>
      </c>
      <c r="P1154" t="str">
        <f t="shared" ref="P1154:P1217" si="244">VLOOKUP($K$30,$E$1:$F$26,2,FALSE)</f>
        <v>[1]</v>
      </c>
      <c r="Q1154">
        <f t="shared" si="242"/>
        <v>8</v>
      </c>
      <c r="R1154" t="str">
        <f t="shared" si="243"/>
        <v/>
      </c>
      <c r="S1154">
        <f>SUMIF(O1154:$O$2855,R1154,Q1154:$Q$2855)</f>
        <v>0</v>
      </c>
    </row>
    <row r="1155" spans="11:19" x14ac:dyDescent="0.25">
      <c r="K1155" s="4" t="s">
        <v>421</v>
      </c>
      <c r="L1155" t="s">
        <v>422</v>
      </c>
      <c r="M1155" t="s">
        <v>3551</v>
      </c>
      <c r="N1155" t="s">
        <v>126</v>
      </c>
      <c r="O1155" t="s">
        <v>87</v>
      </c>
      <c r="P1155" t="str">
        <f t="shared" si="244"/>
        <v>[1]</v>
      </c>
      <c r="Q1155">
        <f t="shared" ref="Q1155:Q1218" si="245">HEX2DEC(MID(N1155,3,LEN(N1155)-2))</f>
        <v>8</v>
      </c>
      <c r="R1155" t="str">
        <f t="shared" si="243"/>
        <v/>
      </c>
      <c r="S1155">
        <f>SUMIF(O1155:$O$2855,R1155,Q1155:$Q$2855)</f>
        <v>0</v>
      </c>
    </row>
    <row r="1156" spans="11:19" x14ac:dyDescent="0.25">
      <c r="K1156" s="4" t="s">
        <v>421</v>
      </c>
      <c r="L1156" t="s">
        <v>422</v>
      </c>
      <c r="M1156" t="s">
        <v>3552</v>
      </c>
      <c r="N1156" t="s">
        <v>126</v>
      </c>
      <c r="O1156" t="s">
        <v>87</v>
      </c>
      <c r="P1156" t="str">
        <f t="shared" si="244"/>
        <v>[1]</v>
      </c>
      <c r="Q1156">
        <f t="shared" si="245"/>
        <v>8</v>
      </c>
      <c r="R1156" t="str">
        <f t="shared" si="243"/>
        <v/>
      </c>
      <c r="S1156">
        <f>SUMIF(O1156:$O$2855,R1156,Q1156:$Q$2855)</f>
        <v>0</v>
      </c>
    </row>
    <row r="1157" spans="11:19" x14ac:dyDescent="0.25">
      <c r="K1157" s="4" t="s">
        <v>421</v>
      </c>
      <c r="L1157" t="s">
        <v>422</v>
      </c>
      <c r="M1157" t="s">
        <v>3553</v>
      </c>
      <c r="N1157" t="s">
        <v>78</v>
      </c>
      <c r="O1157" t="s">
        <v>87</v>
      </c>
      <c r="P1157" t="str">
        <f t="shared" si="244"/>
        <v>[1]</v>
      </c>
      <c r="Q1157">
        <f t="shared" si="245"/>
        <v>4</v>
      </c>
      <c r="R1157" t="str">
        <f t="shared" si="243"/>
        <v/>
      </c>
      <c r="S1157">
        <f>SUMIF(O1157:$O$2855,R1157,Q1157:$Q$2855)</f>
        <v>0</v>
      </c>
    </row>
    <row r="1158" spans="11:19" x14ac:dyDescent="0.25">
      <c r="K1158" s="4" t="s">
        <v>421</v>
      </c>
      <c r="L1158" t="s">
        <v>422</v>
      </c>
      <c r="M1158" t="s">
        <v>1767</v>
      </c>
      <c r="N1158" t="s">
        <v>126</v>
      </c>
      <c r="O1158" t="s">
        <v>87</v>
      </c>
      <c r="P1158" t="str">
        <f t="shared" si="244"/>
        <v>[1]</v>
      </c>
      <c r="Q1158">
        <f t="shared" si="245"/>
        <v>8</v>
      </c>
      <c r="R1158" t="str">
        <f t="shared" si="243"/>
        <v/>
      </c>
      <c r="S1158">
        <f>SUMIF(O1158:$O$2855,R1158,Q1158:$Q$2855)</f>
        <v>0</v>
      </c>
    </row>
    <row r="1159" spans="11:19" x14ac:dyDescent="0.25">
      <c r="K1159" s="4" t="s">
        <v>421</v>
      </c>
      <c r="L1159" t="s">
        <v>422</v>
      </c>
      <c r="M1159" t="s">
        <v>3554</v>
      </c>
      <c r="N1159" t="s">
        <v>126</v>
      </c>
      <c r="O1159" t="s">
        <v>87</v>
      </c>
      <c r="P1159" t="str">
        <f t="shared" si="244"/>
        <v>[1]</v>
      </c>
      <c r="Q1159">
        <f t="shared" si="245"/>
        <v>8</v>
      </c>
      <c r="R1159" t="str">
        <f t="shared" si="243"/>
        <v/>
      </c>
      <c r="S1159">
        <f>SUMIF(O1159:$O$2855,R1159,Q1159:$Q$2855)</f>
        <v>0</v>
      </c>
    </row>
    <row r="1160" spans="11:19" x14ac:dyDescent="0.25">
      <c r="K1160" s="4" t="s">
        <v>421</v>
      </c>
      <c r="L1160" t="s">
        <v>422</v>
      </c>
      <c r="M1160" t="s">
        <v>3555</v>
      </c>
      <c r="N1160" t="s">
        <v>126</v>
      </c>
      <c r="O1160" t="s">
        <v>87</v>
      </c>
      <c r="P1160" t="str">
        <f t="shared" si="244"/>
        <v>[1]</v>
      </c>
      <c r="Q1160">
        <f t="shared" si="245"/>
        <v>8</v>
      </c>
      <c r="R1160" t="str">
        <f t="shared" si="243"/>
        <v/>
      </c>
      <c r="S1160">
        <f>SUMIF(O1160:$O$2855,R1160,Q1160:$Q$2855)</f>
        <v>0</v>
      </c>
    </row>
    <row r="1161" spans="11:19" x14ac:dyDescent="0.25">
      <c r="K1161" s="4" t="s">
        <v>421</v>
      </c>
      <c r="L1161" t="s">
        <v>422</v>
      </c>
      <c r="M1161" t="s">
        <v>3556</v>
      </c>
      <c r="N1161" t="s">
        <v>126</v>
      </c>
      <c r="O1161" t="s">
        <v>87</v>
      </c>
      <c r="P1161" t="str">
        <f t="shared" si="244"/>
        <v>[1]</v>
      </c>
      <c r="Q1161">
        <f t="shared" si="245"/>
        <v>8</v>
      </c>
      <c r="R1161" t="str">
        <f t="shared" si="243"/>
        <v/>
      </c>
      <c r="S1161">
        <f>SUMIF(O1161:$O$2855,R1161,Q1161:$Q$2855)</f>
        <v>0</v>
      </c>
    </row>
    <row r="1162" spans="11:19" x14ac:dyDescent="0.25">
      <c r="K1162" s="4" t="s">
        <v>421</v>
      </c>
      <c r="L1162" t="s">
        <v>422</v>
      </c>
      <c r="M1162" t="s">
        <v>3557</v>
      </c>
      <c r="N1162" t="s">
        <v>78</v>
      </c>
      <c r="O1162" t="s">
        <v>87</v>
      </c>
      <c r="P1162" t="str">
        <f t="shared" si="244"/>
        <v>[1]</v>
      </c>
      <c r="Q1162">
        <f t="shared" si="245"/>
        <v>4</v>
      </c>
      <c r="R1162" t="str">
        <f t="shared" si="243"/>
        <v/>
      </c>
      <c r="S1162">
        <f>SUMIF(O1162:$O$2855,R1162,Q1162:$Q$2855)</f>
        <v>0</v>
      </c>
    </row>
    <row r="1163" spans="11:19" x14ac:dyDescent="0.25">
      <c r="K1163" s="4" t="s">
        <v>421</v>
      </c>
      <c r="L1163" t="s">
        <v>422</v>
      </c>
      <c r="M1163" t="s">
        <v>1768</v>
      </c>
      <c r="N1163" t="s">
        <v>126</v>
      </c>
      <c r="O1163" t="s">
        <v>87</v>
      </c>
      <c r="P1163" t="str">
        <f t="shared" si="244"/>
        <v>[1]</v>
      </c>
      <c r="Q1163">
        <f t="shared" si="245"/>
        <v>8</v>
      </c>
      <c r="R1163" t="str">
        <f t="shared" si="243"/>
        <v/>
      </c>
      <c r="S1163">
        <f>SUMIF(O1163:$O$2855,R1163,Q1163:$Q$2855)</f>
        <v>0</v>
      </c>
    </row>
    <row r="1164" spans="11:19" x14ac:dyDescent="0.25">
      <c r="K1164" s="4" t="s">
        <v>421</v>
      </c>
      <c r="L1164" t="s">
        <v>422</v>
      </c>
      <c r="M1164" t="s">
        <v>1769</v>
      </c>
      <c r="N1164" t="s">
        <v>126</v>
      </c>
      <c r="O1164" t="s">
        <v>87</v>
      </c>
      <c r="P1164" t="str">
        <f t="shared" si="244"/>
        <v>[1]</v>
      </c>
      <c r="Q1164">
        <f t="shared" si="245"/>
        <v>8</v>
      </c>
      <c r="R1164" t="str">
        <f t="shared" si="243"/>
        <v/>
      </c>
      <c r="S1164">
        <f>SUMIF(O1164:$O$2855,R1164,Q1164:$Q$2855)</f>
        <v>0</v>
      </c>
    </row>
    <row r="1165" spans="11:19" x14ac:dyDescent="0.25">
      <c r="K1165" s="4" t="s">
        <v>421</v>
      </c>
      <c r="L1165" t="s">
        <v>422</v>
      </c>
      <c r="M1165" t="s">
        <v>1770</v>
      </c>
      <c r="N1165" t="s">
        <v>126</v>
      </c>
      <c r="O1165" t="s">
        <v>87</v>
      </c>
      <c r="P1165" t="str">
        <f t="shared" si="244"/>
        <v>[1]</v>
      </c>
      <c r="Q1165">
        <f t="shared" si="245"/>
        <v>8</v>
      </c>
      <c r="R1165" t="str">
        <f t="shared" si="243"/>
        <v/>
      </c>
      <c r="S1165">
        <f>SUMIF(O1165:$O$2855,R1165,Q1165:$Q$2855)</f>
        <v>0</v>
      </c>
    </row>
    <row r="1166" spans="11:19" x14ac:dyDescent="0.25">
      <c r="K1166" s="4" t="s">
        <v>421</v>
      </c>
      <c r="L1166" t="s">
        <v>422</v>
      </c>
      <c r="M1166" t="s">
        <v>1771</v>
      </c>
      <c r="N1166" t="s">
        <v>126</v>
      </c>
      <c r="O1166" t="s">
        <v>87</v>
      </c>
      <c r="P1166" t="str">
        <f t="shared" si="244"/>
        <v>[1]</v>
      </c>
      <c r="Q1166">
        <f t="shared" si="245"/>
        <v>8</v>
      </c>
      <c r="R1166" t="str">
        <f t="shared" si="243"/>
        <v/>
      </c>
      <c r="S1166">
        <f>SUMIF(O1166:$O$2855,R1166,Q1166:$Q$2855)</f>
        <v>0</v>
      </c>
    </row>
    <row r="1167" spans="11:19" x14ac:dyDescent="0.25">
      <c r="K1167" s="4" t="s">
        <v>421</v>
      </c>
      <c r="L1167" t="s">
        <v>422</v>
      </c>
      <c r="M1167" t="s">
        <v>1772</v>
      </c>
      <c r="N1167" t="s">
        <v>126</v>
      </c>
      <c r="O1167" t="s">
        <v>87</v>
      </c>
      <c r="P1167" t="str">
        <f t="shared" si="244"/>
        <v>[1]</v>
      </c>
      <c r="Q1167">
        <f t="shared" si="245"/>
        <v>8</v>
      </c>
      <c r="R1167" t="str">
        <f t="shared" si="243"/>
        <v/>
      </c>
      <c r="S1167">
        <f>SUMIF(O1167:$O$2855,R1167,Q1167:$Q$2855)</f>
        <v>0</v>
      </c>
    </row>
    <row r="1168" spans="11:19" x14ac:dyDescent="0.25">
      <c r="K1168" s="4" t="s">
        <v>421</v>
      </c>
      <c r="L1168" t="s">
        <v>422</v>
      </c>
      <c r="M1168" t="s">
        <v>3558</v>
      </c>
      <c r="N1168" t="s">
        <v>126</v>
      </c>
      <c r="O1168" t="s">
        <v>87</v>
      </c>
      <c r="P1168" t="str">
        <f t="shared" si="244"/>
        <v>[1]</v>
      </c>
      <c r="Q1168">
        <f t="shared" si="245"/>
        <v>8</v>
      </c>
      <c r="R1168" t="str">
        <f t="shared" si="243"/>
        <v/>
      </c>
      <c r="S1168">
        <f>SUMIF(O1168:$O$2855,R1168,Q1168:$Q$2855)</f>
        <v>0</v>
      </c>
    </row>
    <row r="1169" spans="11:19" x14ac:dyDescent="0.25">
      <c r="K1169" s="4" t="s">
        <v>421</v>
      </c>
      <c r="L1169" t="s">
        <v>422</v>
      </c>
      <c r="M1169" t="s">
        <v>3559</v>
      </c>
      <c r="N1169" t="s">
        <v>126</v>
      </c>
      <c r="O1169" t="s">
        <v>87</v>
      </c>
      <c r="P1169" t="str">
        <f t="shared" si="244"/>
        <v>[1]</v>
      </c>
      <c r="Q1169">
        <f t="shared" si="245"/>
        <v>8</v>
      </c>
      <c r="R1169" t="str">
        <f t="shared" si="243"/>
        <v/>
      </c>
      <c r="S1169">
        <f>SUMIF(O1169:$O$2855,R1169,Q1169:$Q$2855)</f>
        <v>0</v>
      </c>
    </row>
    <row r="1170" spans="11:19" x14ac:dyDescent="0.25">
      <c r="K1170" s="4" t="s">
        <v>421</v>
      </c>
      <c r="L1170" t="s">
        <v>422</v>
      </c>
      <c r="M1170" t="s">
        <v>3560</v>
      </c>
      <c r="N1170" t="s">
        <v>78</v>
      </c>
      <c r="O1170" t="s">
        <v>87</v>
      </c>
      <c r="P1170" t="str">
        <f t="shared" si="244"/>
        <v>[1]</v>
      </c>
      <c r="Q1170">
        <f t="shared" si="245"/>
        <v>4</v>
      </c>
      <c r="R1170" t="str">
        <f t="shared" si="243"/>
        <v/>
      </c>
      <c r="S1170">
        <f>SUMIF(O1170:$O$2855,R1170,Q1170:$Q$2855)</f>
        <v>0</v>
      </c>
    </row>
    <row r="1171" spans="11:19" x14ac:dyDescent="0.25">
      <c r="K1171" s="4" t="s">
        <v>421</v>
      </c>
      <c r="L1171" t="s">
        <v>422</v>
      </c>
      <c r="M1171" t="s">
        <v>1921</v>
      </c>
      <c r="N1171" t="s">
        <v>78</v>
      </c>
      <c r="O1171" t="s">
        <v>87</v>
      </c>
      <c r="P1171" t="str">
        <f t="shared" si="244"/>
        <v>[1]</v>
      </c>
      <c r="Q1171">
        <f t="shared" si="245"/>
        <v>4</v>
      </c>
      <c r="R1171" t="str">
        <f t="shared" si="243"/>
        <v/>
      </c>
      <c r="S1171">
        <f>SUMIF(O1171:$O$2855,R1171,Q1171:$Q$2855)</f>
        <v>0</v>
      </c>
    </row>
    <row r="1172" spans="11:19" x14ac:dyDescent="0.25">
      <c r="K1172" s="4" t="s">
        <v>421</v>
      </c>
      <c r="L1172" t="s">
        <v>422</v>
      </c>
      <c r="M1172" t="s">
        <v>3561</v>
      </c>
      <c r="N1172" t="s">
        <v>78</v>
      </c>
      <c r="O1172" t="s">
        <v>87</v>
      </c>
      <c r="P1172" t="str">
        <f t="shared" si="244"/>
        <v>[1]</v>
      </c>
      <c r="Q1172">
        <f t="shared" si="245"/>
        <v>4</v>
      </c>
      <c r="R1172" t="str">
        <f t="shared" si="243"/>
        <v/>
      </c>
      <c r="S1172">
        <f>SUMIF(O1172:$O$2855,R1172,Q1172:$Q$2855)</f>
        <v>0</v>
      </c>
    </row>
    <row r="1173" spans="11:19" x14ac:dyDescent="0.25">
      <c r="K1173" s="4" t="s">
        <v>421</v>
      </c>
      <c r="L1173" t="s">
        <v>422</v>
      </c>
      <c r="M1173" t="s">
        <v>1773</v>
      </c>
      <c r="N1173" t="s">
        <v>126</v>
      </c>
      <c r="O1173" t="s">
        <v>87</v>
      </c>
      <c r="P1173" t="str">
        <f t="shared" si="244"/>
        <v>[1]</v>
      </c>
      <c r="Q1173">
        <f t="shared" si="245"/>
        <v>8</v>
      </c>
      <c r="R1173" t="str">
        <f t="shared" si="243"/>
        <v/>
      </c>
      <c r="S1173">
        <f>SUMIF(O1173:$O$2855,R1173,Q1173:$Q$2855)</f>
        <v>0</v>
      </c>
    </row>
    <row r="1174" spans="11:19" x14ac:dyDescent="0.25">
      <c r="K1174" s="4" t="s">
        <v>421</v>
      </c>
      <c r="L1174" t="s">
        <v>422</v>
      </c>
      <c r="M1174" t="s">
        <v>1922</v>
      </c>
      <c r="N1174" t="s">
        <v>126</v>
      </c>
      <c r="O1174" t="s">
        <v>87</v>
      </c>
      <c r="P1174" t="str">
        <f t="shared" si="244"/>
        <v>[1]</v>
      </c>
      <c r="Q1174">
        <f t="shared" si="245"/>
        <v>8</v>
      </c>
      <c r="R1174" t="str">
        <f t="shared" si="243"/>
        <v/>
      </c>
      <c r="S1174">
        <f>SUMIF(O1174:$O$2855,R1174,Q1174:$Q$2855)</f>
        <v>0</v>
      </c>
    </row>
    <row r="1175" spans="11:19" x14ac:dyDescent="0.25">
      <c r="K1175" s="4" t="s">
        <v>421</v>
      </c>
      <c r="L1175" t="s">
        <v>422</v>
      </c>
      <c r="M1175" t="s">
        <v>1923</v>
      </c>
      <c r="N1175" t="s">
        <v>126</v>
      </c>
      <c r="O1175" t="s">
        <v>87</v>
      </c>
      <c r="P1175" t="str">
        <f t="shared" si="244"/>
        <v>[1]</v>
      </c>
      <c r="Q1175">
        <f t="shared" si="245"/>
        <v>8</v>
      </c>
      <c r="R1175" t="str">
        <f t="shared" si="243"/>
        <v/>
      </c>
      <c r="S1175">
        <f>SUMIF(O1175:$O$2855,R1175,Q1175:$Q$2855)</f>
        <v>0</v>
      </c>
    </row>
    <row r="1176" spans="11:19" x14ac:dyDescent="0.25">
      <c r="K1176" s="4" t="s">
        <v>421</v>
      </c>
      <c r="L1176" t="s">
        <v>422</v>
      </c>
      <c r="M1176" t="s">
        <v>1924</v>
      </c>
      <c r="N1176" t="s">
        <v>126</v>
      </c>
      <c r="O1176" t="s">
        <v>87</v>
      </c>
      <c r="P1176" t="str">
        <f t="shared" si="244"/>
        <v>[1]</v>
      </c>
      <c r="Q1176">
        <f t="shared" si="245"/>
        <v>8</v>
      </c>
      <c r="R1176" t="str">
        <f t="shared" si="243"/>
        <v/>
      </c>
      <c r="S1176">
        <f>SUMIF(O1176:$O$2855,R1176,Q1176:$Q$2855)</f>
        <v>0</v>
      </c>
    </row>
    <row r="1177" spans="11:19" x14ac:dyDescent="0.25">
      <c r="K1177" s="4" t="s">
        <v>421</v>
      </c>
      <c r="L1177" t="s">
        <v>422</v>
      </c>
      <c r="M1177" t="s">
        <v>1925</v>
      </c>
      <c r="N1177" t="s">
        <v>126</v>
      </c>
      <c r="O1177" t="s">
        <v>87</v>
      </c>
      <c r="P1177" t="str">
        <f t="shared" si="244"/>
        <v>[1]</v>
      </c>
      <c r="Q1177">
        <f t="shared" si="245"/>
        <v>8</v>
      </c>
      <c r="R1177" t="str">
        <f t="shared" si="243"/>
        <v/>
      </c>
      <c r="S1177">
        <f>SUMIF(O1177:$O$2855,R1177,Q1177:$Q$2855)</f>
        <v>0</v>
      </c>
    </row>
    <row r="1178" spans="11:19" x14ac:dyDescent="0.25">
      <c r="K1178" s="4" t="s">
        <v>421</v>
      </c>
      <c r="L1178" t="s">
        <v>422</v>
      </c>
      <c r="M1178" t="s">
        <v>1926</v>
      </c>
      <c r="N1178" t="s">
        <v>126</v>
      </c>
      <c r="O1178" t="s">
        <v>87</v>
      </c>
      <c r="P1178" t="str">
        <f t="shared" si="244"/>
        <v>[1]</v>
      </c>
      <c r="Q1178">
        <f t="shared" si="245"/>
        <v>8</v>
      </c>
      <c r="R1178" t="str">
        <f t="shared" si="243"/>
        <v/>
      </c>
      <c r="S1178">
        <f>SUMIF(O1178:$O$2855,R1178,Q1178:$Q$2855)</f>
        <v>0</v>
      </c>
    </row>
    <row r="1179" spans="11:19" x14ac:dyDescent="0.25">
      <c r="K1179" s="4" t="s">
        <v>421</v>
      </c>
      <c r="L1179" t="s">
        <v>422</v>
      </c>
      <c r="M1179" t="s">
        <v>1774</v>
      </c>
      <c r="N1179" t="s">
        <v>126</v>
      </c>
      <c r="O1179" t="s">
        <v>87</v>
      </c>
      <c r="P1179" t="str">
        <f t="shared" si="244"/>
        <v>[1]</v>
      </c>
      <c r="Q1179">
        <f t="shared" si="245"/>
        <v>8</v>
      </c>
      <c r="R1179" t="str">
        <f t="shared" si="243"/>
        <v/>
      </c>
      <c r="S1179">
        <f>SUMIF(O1179:$O$2855,R1179,Q1179:$Q$2855)</f>
        <v>0</v>
      </c>
    </row>
    <row r="1180" spans="11:19" x14ac:dyDescent="0.25">
      <c r="K1180" s="4" t="s">
        <v>421</v>
      </c>
      <c r="L1180" t="s">
        <v>422</v>
      </c>
      <c r="M1180" t="s">
        <v>1775</v>
      </c>
      <c r="N1180" t="s">
        <v>126</v>
      </c>
      <c r="O1180" t="s">
        <v>87</v>
      </c>
      <c r="P1180" t="str">
        <f t="shared" si="244"/>
        <v>[1]</v>
      </c>
      <c r="Q1180">
        <f t="shared" si="245"/>
        <v>8</v>
      </c>
      <c r="R1180" t="str">
        <f t="shared" si="243"/>
        <v/>
      </c>
      <c r="S1180">
        <f>SUMIF(O1180:$O$2855,R1180,Q1180:$Q$2855)</f>
        <v>0</v>
      </c>
    </row>
    <row r="1181" spans="11:19" x14ac:dyDescent="0.25">
      <c r="K1181" s="4" t="s">
        <v>421</v>
      </c>
      <c r="L1181" t="s">
        <v>422</v>
      </c>
      <c r="M1181" t="s">
        <v>1927</v>
      </c>
      <c r="N1181" t="s">
        <v>126</v>
      </c>
      <c r="O1181" t="s">
        <v>87</v>
      </c>
      <c r="P1181" t="str">
        <f t="shared" si="244"/>
        <v>[1]</v>
      </c>
      <c r="Q1181">
        <f t="shared" si="245"/>
        <v>8</v>
      </c>
      <c r="R1181" t="str">
        <f t="shared" si="243"/>
        <v/>
      </c>
      <c r="S1181">
        <f>SUMIF(O1181:$O$2855,R1181,Q1181:$Q$2855)</f>
        <v>0</v>
      </c>
    </row>
    <row r="1182" spans="11:19" x14ac:dyDescent="0.25">
      <c r="K1182" s="4" t="s">
        <v>421</v>
      </c>
      <c r="L1182" t="s">
        <v>422</v>
      </c>
      <c r="M1182" t="s">
        <v>1928</v>
      </c>
      <c r="N1182" t="s">
        <v>126</v>
      </c>
      <c r="O1182" t="s">
        <v>87</v>
      </c>
      <c r="P1182" t="str">
        <f t="shared" si="244"/>
        <v>[1]</v>
      </c>
      <c r="Q1182">
        <f t="shared" si="245"/>
        <v>8</v>
      </c>
      <c r="R1182" t="str">
        <f t="shared" si="243"/>
        <v/>
      </c>
      <c r="S1182">
        <f>SUMIF(O1182:$O$2855,R1182,Q1182:$Q$2855)</f>
        <v>0</v>
      </c>
    </row>
    <row r="1183" spans="11:19" x14ac:dyDescent="0.25">
      <c r="K1183" s="4" t="s">
        <v>421</v>
      </c>
      <c r="L1183" t="s">
        <v>422</v>
      </c>
      <c r="M1183" t="s">
        <v>1776</v>
      </c>
      <c r="N1183" t="s">
        <v>78</v>
      </c>
      <c r="O1183" t="s">
        <v>87</v>
      </c>
      <c r="P1183" t="str">
        <f t="shared" si="244"/>
        <v>[1]</v>
      </c>
      <c r="Q1183">
        <f t="shared" si="245"/>
        <v>4</v>
      </c>
      <c r="R1183" t="str">
        <f t="shared" si="243"/>
        <v/>
      </c>
      <c r="S1183">
        <f>SUMIF(O1183:$O$2855,R1183,Q1183:$Q$2855)</f>
        <v>0</v>
      </c>
    </row>
    <row r="1184" spans="11:19" x14ac:dyDescent="0.25">
      <c r="K1184" s="4" t="s">
        <v>421</v>
      </c>
      <c r="L1184" t="s">
        <v>422</v>
      </c>
      <c r="M1184" t="s">
        <v>3562</v>
      </c>
      <c r="N1184" t="s">
        <v>78</v>
      </c>
      <c r="O1184" t="s">
        <v>87</v>
      </c>
      <c r="P1184" t="str">
        <f t="shared" si="244"/>
        <v>[1]</v>
      </c>
      <c r="Q1184">
        <f t="shared" si="245"/>
        <v>4</v>
      </c>
      <c r="R1184" t="str">
        <f t="shared" ref="R1184:R1247" si="246">IF(O1184&lt;&gt;O1183,O1184,"")</f>
        <v/>
      </c>
      <c r="S1184">
        <f>SUMIF(O1184:$O$2855,R1184,Q1184:$Q$2855)</f>
        <v>0</v>
      </c>
    </row>
    <row r="1185" spans="11:19" x14ac:dyDescent="0.25">
      <c r="K1185" s="4" t="s">
        <v>421</v>
      </c>
      <c r="L1185" t="s">
        <v>422</v>
      </c>
      <c r="M1185" t="s">
        <v>1929</v>
      </c>
      <c r="N1185" t="s">
        <v>126</v>
      </c>
      <c r="O1185" t="s">
        <v>87</v>
      </c>
      <c r="P1185" t="str">
        <f t="shared" si="244"/>
        <v>[1]</v>
      </c>
      <c r="Q1185">
        <f t="shared" si="245"/>
        <v>8</v>
      </c>
      <c r="R1185" t="str">
        <f t="shared" si="246"/>
        <v/>
      </c>
      <c r="S1185">
        <f>SUMIF(O1185:$O$2855,R1185,Q1185:$Q$2855)</f>
        <v>0</v>
      </c>
    </row>
    <row r="1186" spans="11:19" x14ac:dyDescent="0.25">
      <c r="K1186" s="4" t="s">
        <v>421</v>
      </c>
      <c r="L1186" t="s">
        <v>422</v>
      </c>
      <c r="M1186" t="s">
        <v>3563</v>
      </c>
      <c r="N1186" t="s">
        <v>126</v>
      </c>
      <c r="O1186" t="s">
        <v>87</v>
      </c>
      <c r="P1186" t="str">
        <f t="shared" si="244"/>
        <v>[1]</v>
      </c>
      <c r="Q1186">
        <f t="shared" si="245"/>
        <v>8</v>
      </c>
      <c r="R1186" t="str">
        <f t="shared" si="246"/>
        <v/>
      </c>
      <c r="S1186">
        <f>SUMIF(O1186:$O$2855,R1186,Q1186:$Q$2855)</f>
        <v>0</v>
      </c>
    </row>
    <row r="1187" spans="11:19" x14ac:dyDescent="0.25">
      <c r="K1187" s="4" t="s">
        <v>421</v>
      </c>
      <c r="L1187" t="s">
        <v>422</v>
      </c>
      <c r="M1187" t="s">
        <v>3564</v>
      </c>
      <c r="N1187" t="s">
        <v>126</v>
      </c>
      <c r="O1187" t="s">
        <v>87</v>
      </c>
      <c r="P1187" t="str">
        <f t="shared" si="244"/>
        <v>[1]</v>
      </c>
      <c r="Q1187">
        <f t="shared" si="245"/>
        <v>8</v>
      </c>
      <c r="R1187" t="str">
        <f t="shared" si="246"/>
        <v/>
      </c>
      <c r="S1187">
        <f>SUMIF(O1187:$O$2855,R1187,Q1187:$Q$2855)</f>
        <v>0</v>
      </c>
    </row>
    <row r="1188" spans="11:19" x14ac:dyDescent="0.25">
      <c r="K1188" s="4" t="s">
        <v>421</v>
      </c>
      <c r="L1188" t="s">
        <v>422</v>
      </c>
      <c r="M1188" t="s">
        <v>3565</v>
      </c>
      <c r="N1188" t="s">
        <v>126</v>
      </c>
      <c r="O1188" t="s">
        <v>87</v>
      </c>
      <c r="P1188" t="str">
        <f t="shared" si="244"/>
        <v>[1]</v>
      </c>
      <c r="Q1188">
        <f t="shared" si="245"/>
        <v>8</v>
      </c>
      <c r="R1188" t="str">
        <f t="shared" si="246"/>
        <v/>
      </c>
      <c r="S1188">
        <f>SUMIF(O1188:$O$2855,R1188,Q1188:$Q$2855)</f>
        <v>0</v>
      </c>
    </row>
    <row r="1189" spans="11:19" x14ac:dyDescent="0.25">
      <c r="K1189" s="4" t="s">
        <v>421</v>
      </c>
      <c r="L1189" t="s">
        <v>422</v>
      </c>
      <c r="M1189" t="s">
        <v>1777</v>
      </c>
      <c r="N1189" t="s">
        <v>13</v>
      </c>
      <c r="O1189" t="s">
        <v>87</v>
      </c>
      <c r="P1189" t="str">
        <f t="shared" si="244"/>
        <v>[1]</v>
      </c>
      <c r="Q1189">
        <f t="shared" si="245"/>
        <v>12</v>
      </c>
      <c r="R1189" t="str">
        <f t="shared" si="246"/>
        <v/>
      </c>
      <c r="S1189">
        <f>SUMIF(O1189:$O$2855,R1189,Q1189:$Q$2855)</f>
        <v>0</v>
      </c>
    </row>
    <row r="1190" spans="11:19" x14ac:dyDescent="0.25">
      <c r="K1190" s="4" t="s">
        <v>421</v>
      </c>
      <c r="L1190" t="s">
        <v>422</v>
      </c>
      <c r="M1190" t="s">
        <v>1930</v>
      </c>
      <c r="N1190" t="s">
        <v>126</v>
      </c>
      <c r="O1190" t="s">
        <v>87</v>
      </c>
      <c r="P1190" t="str">
        <f t="shared" si="244"/>
        <v>[1]</v>
      </c>
      <c r="Q1190">
        <f t="shared" si="245"/>
        <v>8</v>
      </c>
      <c r="R1190" t="str">
        <f t="shared" si="246"/>
        <v/>
      </c>
      <c r="S1190">
        <f>SUMIF(O1190:$O$2855,R1190,Q1190:$Q$2855)</f>
        <v>0</v>
      </c>
    </row>
    <row r="1191" spans="11:19" x14ac:dyDescent="0.25">
      <c r="K1191" s="4" t="s">
        <v>421</v>
      </c>
      <c r="L1191" t="s">
        <v>422</v>
      </c>
      <c r="M1191" t="s">
        <v>3566</v>
      </c>
      <c r="N1191" t="s">
        <v>13</v>
      </c>
      <c r="O1191" t="s">
        <v>87</v>
      </c>
      <c r="P1191" t="str">
        <f t="shared" si="244"/>
        <v>[1]</v>
      </c>
      <c r="Q1191">
        <f t="shared" si="245"/>
        <v>12</v>
      </c>
      <c r="R1191" t="str">
        <f t="shared" si="246"/>
        <v/>
      </c>
      <c r="S1191">
        <f>SUMIF(O1191:$O$2855,R1191,Q1191:$Q$2855)</f>
        <v>0</v>
      </c>
    </row>
    <row r="1192" spans="11:19" x14ac:dyDescent="0.25">
      <c r="K1192" s="4" t="s">
        <v>421</v>
      </c>
      <c r="L1192" t="s">
        <v>422</v>
      </c>
      <c r="M1192" t="s">
        <v>3567</v>
      </c>
      <c r="N1192" t="s">
        <v>13</v>
      </c>
      <c r="O1192" t="s">
        <v>87</v>
      </c>
      <c r="P1192" t="str">
        <f t="shared" si="244"/>
        <v>[1]</v>
      </c>
      <c r="Q1192">
        <f t="shared" si="245"/>
        <v>12</v>
      </c>
      <c r="R1192" t="str">
        <f t="shared" si="246"/>
        <v/>
      </c>
      <c r="S1192">
        <f>SUMIF(O1192:$O$2855,R1192,Q1192:$Q$2855)</f>
        <v>0</v>
      </c>
    </row>
    <row r="1193" spans="11:19" x14ac:dyDescent="0.25">
      <c r="K1193" s="4" t="s">
        <v>421</v>
      </c>
      <c r="L1193" t="s">
        <v>422</v>
      </c>
      <c r="M1193" t="s">
        <v>3568</v>
      </c>
      <c r="N1193" t="s">
        <v>13</v>
      </c>
      <c r="O1193" t="s">
        <v>87</v>
      </c>
      <c r="P1193" t="str">
        <f t="shared" si="244"/>
        <v>[1]</v>
      </c>
      <c r="Q1193">
        <f t="shared" si="245"/>
        <v>12</v>
      </c>
      <c r="R1193" t="str">
        <f t="shared" si="246"/>
        <v/>
      </c>
      <c r="S1193">
        <f>SUMIF(O1193:$O$2855,R1193,Q1193:$Q$2855)</f>
        <v>0</v>
      </c>
    </row>
    <row r="1194" spans="11:19" x14ac:dyDescent="0.25">
      <c r="K1194" s="4" t="s">
        <v>421</v>
      </c>
      <c r="L1194" t="s">
        <v>422</v>
      </c>
      <c r="M1194" t="s">
        <v>3569</v>
      </c>
      <c r="N1194" t="s">
        <v>13</v>
      </c>
      <c r="O1194" t="s">
        <v>87</v>
      </c>
      <c r="P1194" t="str">
        <f t="shared" si="244"/>
        <v>[1]</v>
      </c>
      <c r="Q1194">
        <f t="shared" si="245"/>
        <v>12</v>
      </c>
      <c r="R1194" t="str">
        <f t="shared" si="246"/>
        <v/>
      </c>
      <c r="S1194">
        <f>SUMIF(O1194:$O$2855,R1194,Q1194:$Q$2855)</f>
        <v>0</v>
      </c>
    </row>
    <row r="1195" spans="11:19" x14ac:dyDescent="0.25">
      <c r="K1195" s="4" t="s">
        <v>421</v>
      </c>
      <c r="L1195" t="s">
        <v>422</v>
      </c>
      <c r="M1195" t="s">
        <v>3570</v>
      </c>
      <c r="N1195" t="s">
        <v>78</v>
      </c>
      <c r="O1195" t="s">
        <v>87</v>
      </c>
      <c r="P1195" t="str">
        <f t="shared" si="244"/>
        <v>[1]</v>
      </c>
      <c r="Q1195">
        <f t="shared" si="245"/>
        <v>4</v>
      </c>
      <c r="R1195" t="str">
        <f t="shared" si="246"/>
        <v/>
      </c>
      <c r="S1195">
        <f>SUMIF(O1195:$O$2855,R1195,Q1195:$Q$2855)</f>
        <v>0</v>
      </c>
    </row>
    <row r="1196" spans="11:19" x14ac:dyDescent="0.25">
      <c r="K1196" s="4" t="s">
        <v>421</v>
      </c>
      <c r="L1196" t="s">
        <v>422</v>
      </c>
      <c r="M1196" t="s">
        <v>1931</v>
      </c>
      <c r="N1196" t="s">
        <v>13</v>
      </c>
      <c r="O1196" t="s">
        <v>87</v>
      </c>
      <c r="P1196" t="str">
        <f t="shared" si="244"/>
        <v>[1]</v>
      </c>
      <c r="Q1196">
        <f t="shared" si="245"/>
        <v>12</v>
      </c>
      <c r="R1196" t="str">
        <f t="shared" si="246"/>
        <v/>
      </c>
      <c r="S1196">
        <f>SUMIF(O1196:$O$2855,R1196,Q1196:$Q$2855)</f>
        <v>0</v>
      </c>
    </row>
    <row r="1197" spans="11:19" x14ac:dyDescent="0.25">
      <c r="K1197" s="4" t="s">
        <v>421</v>
      </c>
      <c r="L1197" t="s">
        <v>422</v>
      </c>
      <c r="M1197" t="s">
        <v>3571</v>
      </c>
      <c r="N1197" t="s">
        <v>126</v>
      </c>
      <c r="O1197" t="s">
        <v>87</v>
      </c>
      <c r="P1197" t="str">
        <f t="shared" si="244"/>
        <v>[1]</v>
      </c>
      <c r="Q1197">
        <f t="shared" si="245"/>
        <v>8</v>
      </c>
      <c r="R1197" t="str">
        <f t="shared" si="246"/>
        <v/>
      </c>
      <c r="S1197">
        <f>SUMIF(O1197:$O$2855,R1197,Q1197:$Q$2855)</f>
        <v>0</v>
      </c>
    </row>
    <row r="1198" spans="11:19" x14ac:dyDescent="0.25">
      <c r="K1198" s="4" t="s">
        <v>421</v>
      </c>
      <c r="L1198" t="s">
        <v>422</v>
      </c>
      <c r="M1198" t="s">
        <v>3572</v>
      </c>
      <c r="N1198" t="s">
        <v>13</v>
      </c>
      <c r="O1198" t="s">
        <v>87</v>
      </c>
      <c r="P1198" t="str">
        <f t="shared" si="244"/>
        <v>[1]</v>
      </c>
      <c r="Q1198">
        <f t="shared" si="245"/>
        <v>12</v>
      </c>
      <c r="R1198" t="str">
        <f t="shared" si="246"/>
        <v/>
      </c>
      <c r="S1198">
        <f>SUMIF(O1198:$O$2855,R1198,Q1198:$Q$2855)</f>
        <v>0</v>
      </c>
    </row>
    <row r="1199" spans="11:19" x14ac:dyDescent="0.25">
      <c r="K1199" s="4" t="s">
        <v>421</v>
      </c>
      <c r="L1199" t="s">
        <v>422</v>
      </c>
      <c r="M1199" t="s">
        <v>3573</v>
      </c>
      <c r="N1199" t="s">
        <v>190</v>
      </c>
      <c r="O1199" t="s">
        <v>87</v>
      </c>
      <c r="P1199" t="str">
        <f t="shared" si="244"/>
        <v>[1]</v>
      </c>
      <c r="Q1199">
        <f t="shared" si="245"/>
        <v>56</v>
      </c>
      <c r="R1199" t="str">
        <f t="shared" si="246"/>
        <v/>
      </c>
      <c r="S1199">
        <f>SUMIF(O1199:$O$2855,R1199,Q1199:$Q$2855)</f>
        <v>0</v>
      </c>
    </row>
    <row r="1200" spans="11:19" x14ac:dyDescent="0.25">
      <c r="K1200" s="4" t="s">
        <v>421</v>
      </c>
      <c r="L1200" t="s">
        <v>422</v>
      </c>
      <c r="M1200" t="s">
        <v>3574</v>
      </c>
      <c r="N1200" t="s">
        <v>237</v>
      </c>
      <c r="O1200" t="s">
        <v>87</v>
      </c>
      <c r="P1200" t="str">
        <f t="shared" si="244"/>
        <v>[1]</v>
      </c>
      <c r="Q1200">
        <f t="shared" si="245"/>
        <v>52</v>
      </c>
      <c r="R1200" t="str">
        <f t="shared" si="246"/>
        <v/>
      </c>
      <c r="S1200">
        <f>SUMIF(O1200:$O$2855,R1200,Q1200:$Q$2855)</f>
        <v>0</v>
      </c>
    </row>
    <row r="1201" spans="11:19" x14ac:dyDescent="0.25">
      <c r="K1201" s="4" t="s">
        <v>421</v>
      </c>
      <c r="L1201" t="s">
        <v>422</v>
      </c>
      <c r="M1201" t="s">
        <v>3575</v>
      </c>
      <c r="N1201" t="s">
        <v>78</v>
      </c>
      <c r="O1201" t="s">
        <v>87</v>
      </c>
      <c r="P1201" t="str">
        <f t="shared" si="244"/>
        <v>[1]</v>
      </c>
      <c r="Q1201">
        <f t="shared" si="245"/>
        <v>4</v>
      </c>
      <c r="R1201" t="str">
        <f t="shared" si="246"/>
        <v/>
      </c>
      <c r="S1201">
        <f>SUMIF(O1201:$O$2855,R1201,Q1201:$Q$2855)</f>
        <v>0</v>
      </c>
    </row>
    <row r="1202" spans="11:19" x14ac:dyDescent="0.25">
      <c r="K1202" s="4" t="s">
        <v>421</v>
      </c>
      <c r="L1202" t="s">
        <v>422</v>
      </c>
      <c r="M1202" t="s">
        <v>3576</v>
      </c>
      <c r="N1202" t="s">
        <v>165</v>
      </c>
      <c r="O1202" t="s">
        <v>87</v>
      </c>
      <c r="P1202" t="str">
        <f t="shared" si="244"/>
        <v>[1]</v>
      </c>
      <c r="Q1202">
        <f t="shared" si="245"/>
        <v>20</v>
      </c>
      <c r="R1202" t="str">
        <f t="shared" si="246"/>
        <v/>
      </c>
      <c r="S1202">
        <f>SUMIF(O1202:$O$2855,R1202,Q1202:$Q$2855)</f>
        <v>0</v>
      </c>
    </row>
    <row r="1203" spans="11:19" x14ac:dyDescent="0.25">
      <c r="K1203" s="4" t="s">
        <v>421</v>
      </c>
      <c r="L1203" t="s">
        <v>422</v>
      </c>
      <c r="M1203" t="s">
        <v>3577</v>
      </c>
      <c r="N1203" t="s">
        <v>275</v>
      </c>
      <c r="O1203" t="s">
        <v>87</v>
      </c>
      <c r="P1203" t="str">
        <f t="shared" si="244"/>
        <v>[1]</v>
      </c>
      <c r="Q1203">
        <f t="shared" si="245"/>
        <v>80</v>
      </c>
      <c r="R1203" t="str">
        <f t="shared" si="246"/>
        <v/>
      </c>
      <c r="S1203">
        <f>SUMIF(O1203:$O$2855,R1203,Q1203:$Q$2855)</f>
        <v>0</v>
      </c>
    </row>
    <row r="1204" spans="11:19" x14ac:dyDescent="0.25">
      <c r="K1204" s="4" t="s">
        <v>421</v>
      </c>
      <c r="L1204" t="s">
        <v>422</v>
      </c>
      <c r="M1204" t="s">
        <v>3578</v>
      </c>
      <c r="N1204" t="s">
        <v>65</v>
      </c>
      <c r="O1204" t="s">
        <v>87</v>
      </c>
      <c r="P1204" t="str">
        <f t="shared" si="244"/>
        <v>[1]</v>
      </c>
      <c r="Q1204">
        <f t="shared" si="245"/>
        <v>40</v>
      </c>
      <c r="R1204" t="str">
        <f t="shared" si="246"/>
        <v/>
      </c>
      <c r="S1204">
        <f>SUMIF(O1204:$O$2855,R1204,Q1204:$Q$2855)</f>
        <v>0</v>
      </c>
    </row>
    <row r="1205" spans="11:19" x14ac:dyDescent="0.25">
      <c r="K1205" s="4" t="s">
        <v>421</v>
      </c>
      <c r="L1205" t="s">
        <v>422</v>
      </c>
      <c r="M1205" t="s">
        <v>1932</v>
      </c>
      <c r="N1205" t="s">
        <v>202</v>
      </c>
      <c r="O1205" t="s">
        <v>87</v>
      </c>
      <c r="P1205" t="str">
        <f t="shared" si="244"/>
        <v>[1]</v>
      </c>
      <c r="Q1205">
        <f t="shared" si="245"/>
        <v>16</v>
      </c>
      <c r="R1205" t="str">
        <f t="shared" si="246"/>
        <v/>
      </c>
      <c r="S1205">
        <f>SUMIF(O1205:$O$2855,R1205,Q1205:$Q$2855)</f>
        <v>0</v>
      </c>
    </row>
    <row r="1206" spans="11:19" x14ac:dyDescent="0.25">
      <c r="K1206" s="4" t="s">
        <v>421</v>
      </c>
      <c r="L1206" t="s">
        <v>422</v>
      </c>
      <c r="M1206" t="s">
        <v>3579</v>
      </c>
      <c r="N1206" t="s">
        <v>202</v>
      </c>
      <c r="O1206" t="s">
        <v>87</v>
      </c>
      <c r="P1206" t="str">
        <f t="shared" si="244"/>
        <v>[1]</v>
      </c>
      <c r="Q1206">
        <f t="shared" si="245"/>
        <v>16</v>
      </c>
      <c r="R1206" t="str">
        <f t="shared" si="246"/>
        <v/>
      </c>
      <c r="S1206">
        <f>SUMIF(O1206:$O$2855,R1206,Q1206:$Q$2855)</f>
        <v>0</v>
      </c>
    </row>
    <row r="1207" spans="11:19" x14ac:dyDescent="0.25">
      <c r="K1207" s="4" t="s">
        <v>421</v>
      </c>
      <c r="L1207" t="s">
        <v>422</v>
      </c>
      <c r="M1207" t="s">
        <v>3580</v>
      </c>
      <c r="N1207" t="s">
        <v>230</v>
      </c>
      <c r="O1207" t="s">
        <v>87</v>
      </c>
      <c r="P1207" t="str">
        <f t="shared" si="244"/>
        <v>[1]</v>
      </c>
      <c r="Q1207">
        <f t="shared" si="245"/>
        <v>168</v>
      </c>
      <c r="R1207" t="str">
        <f t="shared" si="246"/>
        <v/>
      </c>
      <c r="S1207">
        <f>SUMIF(O1207:$O$2855,R1207,Q1207:$Q$2855)</f>
        <v>0</v>
      </c>
    </row>
    <row r="1208" spans="11:19" x14ac:dyDescent="0.25">
      <c r="K1208" s="4" t="s">
        <v>421</v>
      </c>
      <c r="L1208" t="s">
        <v>422</v>
      </c>
      <c r="M1208" t="s">
        <v>3581</v>
      </c>
      <c r="N1208" t="s">
        <v>3582</v>
      </c>
      <c r="O1208" t="s">
        <v>87</v>
      </c>
      <c r="P1208" t="str">
        <f t="shared" si="244"/>
        <v>[1]</v>
      </c>
      <c r="Q1208">
        <f t="shared" si="245"/>
        <v>1400</v>
      </c>
      <c r="R1208" t="str">
        <f t="shared" si="246"/>
        <v/>
      </c>
      <c r="S1208">
        <f>SUMIF(O1208:$O$2855,R1208,Q1208:$Q$2855)</f>
        <v>0</v>
      </c>
    </row>
    <row r="1209" spans="11:19" x14ac:dyDescent="0.25">
      <c r="K1209" s="4" t="s">
        <v>421</v>
      </c>
      <c r="L1209" t="s">
        <v>422</v>
      </c>
      <c r="M1209" t="s">
        <v>4098</v>
      </c>
      <c r="N1209" t="s">
        <v>67</v>
      </c>
      <c r="O1209" t="s">
        <v>1135</v>
      </c>
      <c r="P1209" t="str">
        <f t="shared" si="244"/>
        <v>[1]</v>
      </c>
      <c r="Q1209">
        <f t="shared" si="245"/>
        <v>48</v>
      </c>
      <c r="R1209" t="str">
        <f t="shared" si="246"/>
        <v>host_reset.o</v>
      </c>
      <c r="S1209">
        <f>SUMIF(O1209:$O$2855,R1209,Q1209:$Q$2855)</f>
        <v>96</v>
      </c>
    </row>
    <row r="1210" spans="11:19" x14ac:dyDescent="0.25">
      <c r="K1210" s="4" t="s">
        <v>421</v>
      </c>
      <c r="L1210" t="s">
        <v>422</v>
      </c>
      <c r="M1210" t="s">
        <v>4099</v>
      </c>
      <c r="N1210" t="s">
        <v>67</v>
      </c>
      <c r="O1210" t="s">
        <v>1135</v>
      </c>
      <c r="P1210" t="str">
        <f t="shared" si="244"/>
        <v>[1]</v>
      </c>
      <c r="Q1210">
        <f t="shared" si="245"/>
        <v>48</v>
      </c>
      <c r="R1210" t="str">
        <f t="shared" si="246"/>
        <v/>
      </c>
      <c r="S1210">
        <f>SUMIF(O1210:$O$2855,R1210,Q1210:$Q$2855)</f>
        <v>0</v>
      </c>
    </row>
    <row r="1211" spans="11:19" x14ac:dyDescent="0.25">
      <c r="K1211" s="4" t="s">
        <v>421</v>
      </c>
      <c r="L1211" t="s">
        <v>422</v>
      </c>
      <c r="M1211" t="s">
        <v>2223</v>
      </c>
      <c r="N1211" t="s">
        <v>202</v>
      </c>
      <c r="O1211" t="s">
        <v>406</v>
      </c>
      <c r="P1211" t="str">
        <f t="shared" si="244"/>
        <v>[1]</v>
      </c>
      <c r="Q1211">
        <f t="shared" si="245"/>
        <v>16</v>
      </c>
      <c r="R1211" t="str">
        <f t="shared" si="246"/>
        <v>IF_intFlash.o</v>
      </c>
      <c r="S1211">
        <f>SUMIF(O1211:$O$2855,R1211,Q1211:$Q$2855)</f>
        <v>68</v>
      </c>
    </row>
    <row r="1212" spans="11:19" x14ac:dyDescent="0.25">
      <c r="K1212" s="4" t="s">
        <v>421</v>
      </c>
      <c r="L1212" t="s">
        <v>422</v>
      </c>
      <c r="M1212" t="s">
        <v>1821</v>
      </c>
      <c r="N1212" t="s">
        <v>44</v>
      </c>
      <c r="O1212" t="s">
        <v>406</v>
      </c>
      <c r="P1212" t="str">
        <f t="shared" si="244"/>
        <v>[1]</v>
      </c>
      <c r="Q1212">
        <f t="shared" si="245"/>
        <v>44</v>
      </c>
      <c r="R1212" t="str">
        <f t="shared" si="246"/>
        <v/>
      </c>
      <c r="S1212">
        <f>SUMIF(O1212:$O$2855,R1212,Q1212:$Q$2855)</f>
        <v>0</v>
      </c>
    </row>
    <row r="1213" spans="11:19" x14ac:dyDescent="0.25">
      <c r="K1213" s="4" t="s">
        <v>421</v>
      </c>
      <c r="L1213" t="s">
        <v>422</v>
      </c>
      <c r="M1213" t="s">
        <v>2224</v>
      </c>
      <c r="N1213" t="s">
        <v>126</v>
      </c>
      <c r="O1213" t="s">
        <v>406</v>
      </c>
      <c r="P1213" t="str">
        <f t="shared" si="244"/>
        <v>[1]</v>
      </c>
      <c r="Q1213">
        <f t="shared" si="245"/>
        <v>8</v>
      </c>
      <c r="R1213" t="str">
        <f t="shared" si="246"/>
        <v/>
      </c>
      <c r="S1213">
        <f>SUMIF(O1213:$O$2855,R1213,Q1213:$Q$2855)</f>
        <v>0</v>
      </c>
    </row>
    <row r="1214" spans="11:19" x14ac:dyDescent="0.25">
      <c r="K1214" s="4" t="s">
        <v>421</v>
      </c>
      <c r="L1214" t="s">
        <v>422</v>
      </c>
      <c r="M1214" t="s">
        <v>2747</v>
      </c>
      <c r="N1214" t="s">
        <v>202</v>
      </c>
      <c r="O1214" t="s">
        <v>1086</v>
      </c>
      <c r="P1214" t="str">
        <f t="shared" si="244"/>
        <v>[1]</v>
      </c>
      <c r="Q1214">
        <f t="shared" si="245"/>
        <v>16</v>
      </c>
      <c r="R1214" t="str">
        <f t="shared" si="246"/>
        <v>indication.o</v>
      </c>
      <c r="S1214">
        <f>SUMIF(O1214:$O$2855,R1214,Q1214:$Q$2855)</f>
        <v>68</v>
      </c>
    </row>
    <row r="1215" spans="11:19" x14ac:dyDescent="0.25">
      <c r="K1215" s="4" t="s">
        <v>421</v>
      </c>
      <c r="L1215" t="s">
        <v>422</v>
      </c>
      <c r="M1215" t="s">
        <v>2748</v>
      </c>
      <c r="N1215" t="s">
        <v>237</v>
      </c>
      <c r="O1215" t="s">
        <v>1086</v>
      </c>
      <c r="P1215" t="str">
        <f t="shared" si="244"/>
        <v>[1]</v>
      </c>
      <c r="Q1215">
        <f t="shared" si="245"/>
        <v>52</v>
      </c>
      <c r="R1215" t="str">
        <f t="shared" si="246"/>
        <v/>
      </c>
      <c r="S1215">
        <f>SUMIF(O1215:$O$2855,R1215,Q1215:$Q$2855)</f>
        <v>0</v>
      </c>
    </row>
    <row r="1216" spans="11:19" x14ac:dyDescent="0.25">
      <c r="K1216" s="4" t="s">
        <v>421</v>
      </c>
      <c r="L1216" t="s">
        <v>422</v>
      </c>
      <c r="M1216" t="s">
        <v>1752</v>
      </c>
      <c r="N1216" t="s">
        <v>13</v>
      </c>
      <c r="O1216" t="s">
        <v>134</v>
      </c>
      <c r="P1216" t="str">
        <f t="shared" si="244"/>
        <v>[1]</v>
      </c>
      <c r="Q1216">
        <f t="shared" si="245"/>
        <v>12</v>
      </c>
      <c r="R1216" t="str">
        <f t="shared" si="246"/>
        <v>LED.o</v>
      </c>
      <c r="S1216">
        <f>SUMIF(O1216:$O$2855,R1216,Q1216:$Q$2855)</f>
        <v>12</v>
      </c>
    </row>
    <row r="1217" spans="11:19" x14ac:dyDescent="0.25">
      <c r="K1217" s="4" t="s">
        <v>421</v>
      </c>
      <c r="L1217" t="s">
        <v>422</v>
      </c>
      <c r="M1217" t="s">
        <v>1827</v>
      </c>
      <c r="N1217" t="s">
        <v>13</v>
      </c>
      <c r="O1217" t="s">
        <v>91</v>
      </c>
      <c r="P1217" t="str">
        <f t="shared" si="244"/>
        <v>[1]</v>
      </c>
      <c r="Q1217">
        <f t="shared" si="245"/>
        <v>12</v>
      </c>
      <c r="R1217" t="str">
        <f t="shared" si="246"/>
        <v>MAC.o</v>
      </c>
      <c r="S1217">
        <f>SUMIF(O1217:$O$2855,R1217,Q1217:$Q$2855)</f>
        <v>4504</v>
      </c>
    </row>
    <row r="1218" spans="11:19" x14ac:dyDescent="0.25">
      <c r="K1218" s="4" t="s">
        <v>421</v>
      </c>
      <c r="L1218" t="s">
        <v>422</v>
      </c>
      <c r="M1218" t="s">
        <v>2506</v>
      </c>
      <c r="N1218" t="s">
        <v>13</v>
      </c>
      <c r="O1218" t="s">
        <v>91</v>
      </c>
      <c r="P1218" t="str">
        <f t="shared" ref="P1218:P1281" si="247">VLOOKUP($K$30,$E$1:$F$26,2,FALSE)</f>
        <v>[1]</v>
      </c>
      <c r="Q1218">
        <f t="shared" si="245"/>
        <v>12</v>
      </c>
      <c r="R1218" t="str">
        <f t="shared" si="246"/>
        <v/>
      </c>
      <c r="S1218">
        <f>SUMIF(O1218:$O$2855,R1218,Q1218:$Q$2855)</f>
        <v>0</v>
      </c>
    </row>
    <row r="1219" spans="11:19" x14ac:dyDescent="0.25">
      <c r="K1219" s="4" t="s">
        <v>421</v>
      </c>
      <c r="L1219" t="s">
        <v>422</v>
      </c>
      <c r="M1219" t="s">
        <v>2507</v>
      </c>
      <c r="N1219" t="s">
        <v>126</v>
      </c>
      <c r="O1219" t="s">
        <v>91</v>
      </c>
      <c r="P1219" t="str">
        <f t="shared" si="247"/>
        <v>[1]</v>
      </c>
      <c r="Q1219">
        <f t="shared" ref="Q1219:Q1282" si="248">HEX2DEC(MID(N1219,3,LEN(N1219)-2))</f>
        <v>8</v>
      </c>
      <c r="R1219" t="str">
        <f t="shared" si="246"/>
        <v/>
      </c>
      <c r="S1219">
        <f>SUMIF(O1219:$O$2855,R1219,Q1219:$Q$2855)</f>
        <v>0</v>
      </c>
    </row>
    <row r="1220" spans="11:19" x14ac:dyDescent="0.25">
      <c r="K1220" s="4" t="s">
        <v>421</v>
      </c>
      <c r="L1220" t="s">
        <v>422</v>
      </c>
      <c r="M1220" t="s">
        <v>2508</v>
      </c>
      <c r="N1220" t="s">
        <v>126</v>
      </c>
      <c r="O1220" t="s">
        <v>91</v>
      </c>
      <c r="P1220" t="str">
        <f t="shared" si="247"/>
        <v>[1]</v>
      </c>
      <c r="Q1220">
        <f t="shared" si="248"/>
        <v>8</v>
      </c>
      <c r="R1220" t="str">
        <f t="shared" si="246"/>
        <v/>
      </c>
      <c r="S1220">
        <f>SUMIF(O1220:$O$2855,R1220,Q1220:$Q$2855)</f>
        <v>0</v>
      </c>
    </row>
    <row r="1221" spans="11:19" x14ac:dyDescent="0.25">
      <c r="K1221" s="4" t="s">
        <v>421</v>
      </c>
      <c r="L1221" t="s">
        <v>422</v>
      </c>
      <c r="M1221" t="s">
        <v>2509</v>
      </c>
      <c r="N1221" t="s">
        <v>437</v>
      </c>
      <c r="O1221" t="s">
        <v>91</v>
      </c>
      <c r="P1221" t="str">
        <f t="shared" si="247"/>
        <v>[1]</v>
      </c>
      <c r="Q1221">
        <f t="shared" si="248"/>
        <v>24</v>
      </c>
      <c r="R1221" t="str">
        <f t="shared" si="246"/>
        <v/>
      </c>
      <c r="S1221">
        <f>SUMIF(O1221:$O$2855,R1221,Q1221:$Q$2855)</f>
        <v>0</v>
      </c>
    </row>
    <row r="1222" spans="11:19" x14ac:dyDescent="0.25">
      <c r="K1222" s="4" t="s">
        <v>421</v>
      </c>
      <c r="L1222" t="s">
        <v>422</v>
      </c>
      <c r="M1222" t="s">
        <v>2510</v>
      </c>
      <c r="N1222" t="s">
        <v>63</v>
      </c>
      <c r="O1222" t="s">
        <v>91</v>
      </c>
      <c r="P1222" t="str">
        <f t="shared" si="247"/>
        <v>[1]</v>
      </c>
      <c r="Q1222">
        <f t="shared" si="248"/>
        <v>88</v>
      </c>
      <c r="R1222" t="str">
        <f t="shared" si="246"/>
        <v/>
      </c>
      <c r="S1222">
        <f>SUMIF(O1222:$O$2855,R1222,Q1222:$Q$2855)</f>
        <v>0</v>
      </c>
    </row>
    <row r="1223" spans="11:19" x14ac:dyDescent="0.25">
      <c r="K1223" s="4" t="s">
        <v>421</v>
      </c>
      <c r="L1223" t="s">
        <v>422</v>
      </c>
      <c r="M1223" t="s">
        <v>2511</v>
      </c>
      <c r="N1223" t="s">
        <v>67</v>
      </c>
      <c r="O1223" t="s">
        <v>91</v>
      </c>
      <c r="P1223" t="str">
        <f t="shared" si="247"/>
        <v>[1]</v>
      </c>
      <c r="Q1223">
        <f t="shared" si="248"/>
        <v>48</v>
      </c>
      <c r="R1223" t="str">
        <f t="shared" si="246"/>
        <v/>
      </c>
      <c r="S1223">
        <f>SUMIF(O1223:$O$2855,R1223,Q1223:$Q$2855)</f>
        <v>0</v>
      </c>
    </row>
    <row r="1224" spans="11:19" x14ac:dyDescent="0.25">
      <c r="K1224" s="4" t="s">
        <v>421</v>
      </c>
      <c r="L1224" t="s">
        <v>422</v>
      </c>
      <c r="M1224" t="s">
        <v>2512</v>
      </c>
      <c r="N1224" t="s">
        <v>437</v>
      </c>
      <c r="O1224" t="s">
        <v>91</v>
      </c>
      <c r="P1224" t="str">
        <f t="shared" si="247"/>
        <v>[1]</v>
      </c>
      <c r="Q1224">
        <f t="shared" si="248"/>
        <v>24</v>
      </c>
      <c r="R1224" t="str">
        <f t="shared" si="246"/>
        <v/>
      </c>
      <c r="S1224">
        <f>SUMIF(O1224:$O$2855,R1224,Q1224:$Q$2855)</f>
        <v>0</v>
      </c>
    </row>
    <row r="1225" spans="11:19" x14ac:dyDescent="0.25">
      <c r="K1225" s="4" t="s">
        <v>421</v>
      </c>
      <c r="L1225" t="s">
        <v>422</v>
      </c>
      <c r="M1225" t="s">
        <v>2513</v>
      </c>
      <c r="N1225" t="s">
        <v>165</v>
      </c>
      <c r="O1225" t="s">
        <v>91</v>
      </c>
      <c r="P1225" t="str">
        <f t="shared" si="247"/>
        <v>[1]</v>
      </c>
      <c r="Q1225">
        <f t="shared" si="248"/>
        <v>20</v>
      </c>
      <c r="R1225" t="str">
        <f t="shared" si="246"/>
        <v/>
      </c>
      <c r="S1225">
        <f>SUMIF(O1225:$O$2855,R1225,Q1225:$Q$2855)</f>
        <v>0</v>
      </c>
    </row>
    <row r="1226" spans="11:19" x14ac:dyDescent="0.25">
      <c r="K1226" s="4" t="s">
        <v>421</v>
      </c>
      <c r="L1226" t="s">
        <v>422</v>
      </c>
      <c r="M1226" t="s">
        <v>2514</v>
      </c>
      <c r="N1226" t="s">
        <v>13</v>
      </c>
      <c r="O1226" t="s">
        <v>91</v>
      </c>
      <c r="P1226" t="str">
        <f t="shared" si="247"/>
        <v>[1]</v>
      </c>
      <c r="Q1226">
        <f t="shared" si="248"/>
        <v>12</v>
      </c>
      <c r="R1226" t="str">
        <f t="shared" si="246"/>
        <v/>
      </c>
      <c r="S1226">
        <f>SUMIF(O1226:$O$2855,R1226,Q1226:$Q$2855)</f>
        <v>0</v>
      </c>
    </row>
    <row r="1227" spans="11:19" x14ac:dyDescent="0.25">
      <c r="K1227" s="4" t="s">
        <v>421</v>
      </c>
      <c r="L1227" t="s">
        <v>422</v>
      </c>
      <c r="M1227" t="s">
        <v>2515</v>
      </c>
      <c r="N1227" t="s">
        <v>437</v>
      </c>
      <c r="O1227" t="s">
        <v>91</v>
      </c>
      <c r="P1227" t="str">
        <f t="shared" si="247"/>
        <v>[1]</v>
      </c>
      <c r="Q1227">
        <f t="shared" si="248"/>
        <v>24</v>
      </c>
      <c r="R1227" t="str">
        <f t="shared" si="246"/>
        <v/>
      </c>
      <c r="S1227">
        <f>SUMIF(O1227:$O$2855,R1227,Q1227:$Q$2855)</f>
        <v>0</v>
      </c>
    </row>
    <row r="1228" spans="11:19" x14ac:dyDescent="0.25">
      <c r="K1228" s="4" t="s">
        <v>421</v>
      </c>
      <c r="L1228" t="s">
        <v>422</v>
      </c>
      <c r="M1228" t="s">
        <v>2516</v>
      </c>
      <c r="N1228" t="s">
        <v>76</v>
      </c>
      <c r="O1228" t="s">
        <v>91</v>
      </c>
      <c r="P1228" t="str">
        <f t="shared" si="247"/>
        <v>[1]</v>
      </c>
      <c r="Q1228">
        <f t="shared" si="248"/>
        <v>36</v>
      </c>
      <c r="R1228" t="str">
        <f t="shared" si="246"/>
        <v/>
      </c>
      <c r="S1228">
        <f>SUMIF(O1228:$O$2855,R1228,Q1228:$Q$2855)</f>
        <v>0</v>
      </c>
    </row>
    <row r="1229" spans="11:19" x14ac:dyDescent="0.25">
      <c r="K1229" s="4" t="s">
        <v>421</v>
      </c>
      <c r="L1229" t="s">
        <v>422</v>
      </c>
      <c r="M1229" t="s">
        <v>2517</v>
      </c>
      <c r="N1229" t="s">
        <v>435</v>
      </c>
      <c r="O1229" t="s">
        <v>91</v>
      </c>
      <c r="P1229" t="str">
        <f t="shared" si="247"/>
        <v>[1]</v>
      </c>
      <c r="Q1229">
        <f t="shared" si="248"/>
        <v>60</v>
      </c>
      <c r="R1229" t="str">
        <f t="shared" si="246"/>
        <v/>
      </c>
      <c r="S1229">
        <f>SUMIF(O1229:$O$2855,R1229,Q1229:$Q$2855)</f>
        <v>0</v>
      </c>
    </row>
    <row r="1230" spans="11:19" x14ac:dyDescent="0.25">
      <c r="K1230" s="4" t="s">
        <v>421</v>
      </c>
      <c r="L1230" t="s">
        <v>422</v>
      </c>
      <c r="M1230" t="s">
        <v>2518</v>
      </c>
      <c r="N1230" t="s">
        <v>13</v>
      </c>
      <c r="O1230" t="s">
        <v>91</v>
      </c>
      <c r="P1230" t="str">
        <f t="shared" si="247"/>
        <v>[1]</v>
      </c>
      <c r="Q1230">
        <f t="shared" si="248"/>
        <v>12</v>
      </c>
      <c r="R1230" t="str">
        <f t="shared" si="246"/>
        <v/>
      </c>
      <c r="S1230">
        <f>SUMIF(O1230:$O$2855,R1230,Q1230:$Q$2855)</f>
        <v>0</v>
      </c>
    </row>
    <row r="1231" spans="11:19" x14ac:dyDescent="0.25">
      <c r="K1231" s="4" t="s">
        <v>421</v>
      </c>
      <c r="L1231" t="s">
        <v>422</v>
      </c>
      <c r="M1231" t="s">
        <v>2519</v>
      </c>
      <c r="N1231" t="s">
        <v>13</v>
      </c>
      <c r="O1231" t="s">
        <v>91</v>
      </c>
      <c r="P1231" t="str">
        <f t="shared" si="247"/>
        <v>[1]</v>
      </c>
      <c r="Q1231">
        <f t="shared" si="248"/>
        <v>12</v>
      </c>
      <c r="R1231" t="str">
        <f t="shared" si="246"/>
        <v/>
      </c>
      <c r="S1231">
        <f>SUMIF(O1231:$O$2855,R1231,Q1231:$Q$2855)</f>
        <v>0</v>
      </c>
    </row>
    <row r="1232" spans="11:19" x14ac:dyDescent="0.25">
      <c r="K1232" s="4" t="s">
        <v>421</v>
      </c>
      <c r="L1232" t="s">
        <v>422</v>
      </c>
      <c r="M1232" t="s">
        <v>2520</v>
      </c>
      <c r="N1232" t="s">
        <v>202</v>
      </c>
      <c r="O1232" t="s">
        <v>91</v>
      </c>
      <c r="P1232" t="str">
        <f t="shared" si="247"/>
        <v>[1]</v>
      </c>
      <c r="Q1232">
        <f t="shared" si="248"/>
        <v>16</v>
      </c>
      <c r="R1232" t="str">
        <f t="shared" si="246"/>
        <v/>
      </c>
      <c r="S1232">
        <f>SUMIF(O1232:$O$2855,R1232,Q1232:$Q$2855)</f>
        <v>0</v>
      </c>
    </row>
    <row r="1233" spans="11:19" x14ac:dyDescent="0.25">
      <c r="K1233" s="4" t="s">
        <v>421</v>
      </c>
      <c r="L1233" t="s">
        <v>422</v>
      </c>
      <c r="M1233" t="s">
        <v>2521</v>
      </c>
      <c r="N1233" t="s">
        <v>202</v>
      </c>
      <c r="O1233" t="s">
        <v>91</v>
      </c>
      <c r="P1233" t="str">
        <f t="shared" si="247"/>
        <v>[1]</v>
      </c>
      <c r="Q1233">
        <f t="shared" si="248"/>
        <v>16</v>
      </c>
      <c r="R1233" t="str">
        <f t="shared" si="246"/>
        <v/>
      </c>
      <c r="S1233">
        <f>SUMIF(O1233:$O$2855,R1233,Q1233:$Q$2855)</f>
        <v>0</v>
      </c>
    </row>
    <row r="1234" spans="11:19" x14ac:dyDescent="0.25">
      <c r="K1234" s="4" t="s">
        <v>421</v>
      </c>
      <c r="L1234" t="s">
        <v>422</v>
      </c>
      <c r="M1234" t="s">
        <v>2522</v>
      </c>
      <c r="N1234" t="s">
        <v>165</v>
      </c>
      <c r="O1234" t="s">
        <v>91</v>
      </c>
      <c r="P1234" t="str">
        <f t="shared" si="247"/>
        <v>[1]</v>
      </c>
      <c r="Q1234">
        <f t="shared" si="248"/>
        <v>20</v>
      </c>
      <c r="R1234" t="str">
        <f t="shared" si="246"/>
        <v/>
      </c>
      <c r="S1234">
        <f>SUMIF(O1234:$O$2855,R1234,Q1234:$Q$2855)</f>
        <v>0</v>
      </c>
    </row>
    <row r="1235" spans="11:19" x14ac:dyDescent="0.25">
      <c r="K1235" s="4" t="s">
        <v>421</v>
      </c>
      <c r="L1235" t="s">
        <v>422</v>
      </c>
      <c r="M1235" t="s">
        <v>2523</v>
      </c>
      <c r="N1235" t="s">
        <v>165</v>
      </c>
      <c r="O1235" t="s">
        <v>91</v>
      </c>
      <c r="P1235" t="str">
        <f t="shared" si="247"/>
        <v>[1]</v>
      </c>
      <c r="Q1235">
        <f t="shared" si="248"/>
        <v>20</v>
      </c>
      <c r="R1235" t="str">
        <f t="shared" si="246"/>
        <v/>
      </c>
      <c r="S1235">
        <f>SUMIF(O1235:$O$2855,R1235,Q1235:$Q$2855)</f>
        <v>0</v>
      </c>
    </row>
    <row r="1236" spans="11:19" x14ac:dyDescent="0.25">
      <c r="K1236" s="4" t="s">
        <v>421</v>
      </c>
      <c r="L1236" t="s">
        <v>422</v>
      </c>
      <c r="M1236" t="s">
        <v>2524</v>
      </c>
      <c r="N1236" t="s">
        <v>202</v>
      </c>
      <c r="O1236" t="s">
        <v>91</v>
      </c>
      <c r="P1236" t="str">
        <f t="shared" si="247"/>
        <v>[1]</v>
      </c>
      <c r="Q1236">
        <f t="shared" si="248"/>
        <v>16</v>
      </c>
      <c r="R1236" t="str">
        <f t="shared" si="246"/>
        <v/>
      </c>
      <c r="S1236">
        <f>SUMIF(O1236:$O$2855,R1236,Q1236:$Q$2855)</f>
        <v>0</v>
      </c>
    </row>
    <row r="1237" spans="11:19" x14ac:dyDescent="0.25">
      <c r="K1237" s="4" t="s">
        <v>421</v>
      </c>
      <c r="L1237" t="s">
        <v>422</v>
      </c>
      <c r="M1237" t="s">
        <v>2525</v>
      </c>
      <c r="N1237" t="s">
        <v>165</v>
      </c>
      <c r="O1237" t="s">
        <v>91</v>
      </c>
      <c r="P1237" t="str">
        <f t="shared" si="247"/>
        <v>[1]</v>
      </c>
      <c r="Q1237">
        <f t="shared" si="248"/>
        <v>20</v>
      </c>
      <c r="R1237" t="str">
        <f t="shared" si="246"/>
        <v/>
      </c>
      <c r="S1237">
        <f>SUMIF(O1237:$O$2855,R1237,Q1237:$Q$2855)</f>
        <v>0</v>
      </c>
    </row>
    <row r="1238" spans="11:19" x14ac:dyDescent="0.25">
      <c r="K1238" s="4" t="s">
        <v>421</v>
      </c>
      <c r="L1238" t="s">
        <v>422</v>
      </c>
      <c r="M1238" t="s">
        <v>2526</v>
      </c>
      <c r="N1238" t="s">
        <v>437</v>
      </c>
      <c r="O1238" t="s">
        <v>91</v>
      </c>
      <c r="P1238" t="str">
        <f t="shared" si="247"/>
        <v>[1]</v>
      </c>
      <c r="Q1238">
        <f t="shared" si="248"/>
        <v>24</v>
      </c>
      <c r="R1238" t="str">
        <f t="shared" si="246"/>
        <v/>
      </c>
      <c r="S1238">
        <f>SUMIF(O1238:$O$2855,R1238,Q1238:$Q$2855)</f>
        <v>0</v>
      </c>
    </row>
    <row r="1239" spans="11:19" x14ac:dyDescent="0.25">
      <c r="K1239" s="4" t="s">
        <v>421</v>
      </c>
      <c r="L1239" t="s">
        <v>422</v>
      </c>
      <c r="M1239" t="s">
        <v>2527</v>
      </c>
      <c r="N1239" t="s">
        <v>13</v>
      </c>
      <c r="O1239" t="s">
        <v>91</v>
      </c>
      <c r="P1239" t="str">
        <f t="shared" si="247"/>
        <v>[1]</v>
      </c>
      <c r="Q1239">
        <f t="shared" si="248"/>
        <v>12</v>
      </c>
      <c r="R1239" t="str">
        <f t="shared" si="246"/>
        <v/>
      </c>
      <c r="S1239">
        <f>SUMIF(O1239:$O$2855,R1239,Q1239:$Q$2855)</f>
        <v>0</v>
      </c>
    </row>
    <row r="1240" spans="11:19" x14ac:dyDescent="0.25">
      <c r="K1240" s="4" t="s">
        <v>421</v>
      </c>
      <c r="L1240" t="s">
        <v>422</v>
      </c>
      <c r="M1240" t="s">
        <v>2528</v>
      </c>
      <c r="N1240" t="s">
        <v>119</v>
      </c>
      <c r="O1240" t="s">
        <v>91</v>
      </c>
      <c r="P1240" t="str">
        <f t="shared" si="247"/>
        <v>[1]</v>
      </c>
      <c r="Q1240">
        <f t="shared" si="248"/>
        <v>32</v>
      </c>
      <c r="R1240" t="str">
        <f t="shared" si="246"/>
        <v/>
      </c>
      <c r="S1240">
        <f>SUMIF(O1240:$O$2855,R1240,Q1240:$Q$2855)</f>
        <v>0</v>
      </c>
    </row>
    <row r="1241" spans="11:19" x14ac:dyDescent="0.25">
      <c r="K1241" s="4" t="s">
        <v>421</v>
      </c>
      <c r="L1241" t="s">
        <v>422</v>
      </c>
      <c r="M1241" t="s">
        <v>2529</v>
      </c>
      <c r="N1241" t="s">
        <v>165</v>
      </c>
      <c r="O1241" t="s">
        <v>91</v>
      </c>
      <c r="P1241" t="str">
        <f t="shared" si="247"/>
        <v>[1]</v>
      </c>
      <c r="Q1241">
        <f t="shared" si="248"/>
        <v>20</v>
      </c>
      <c r="R1241" t="str">
        <f t="shared" si="246"/>
        <v/>
      </c>
      <c r="S1241">
        <f>SUMIF(O1241:$O$2855,R1241,Q1241:$Q$2855)</f>
        <v>0</v>
      </c>
    </row>
    <row r="1242" spans="11:19" x14ac:dyDescent="0.25">
      <c r="K1242" s="4" t="s">
        <v>421</v>
      </c>
      <c r="L1242" t="s">
        <v>422</v>
      </c>
      <c r="M1242" t="s">
        <v>2530</v>
      </c>
      <c r="N1242" t="s">
        <v>437</v>
      </c>
      <c r="O1242" t="s">
        <v>91</v>
      </c>
      <c r="P1242" t="str">
        <f t="shared" si="247"/>
        <v>[1]</v>
      </c>
      <c r="Q1242">
        <f t="shared" si="248"/>
        <v>24</v>
      </c>
      <c r="R1242" t="str">
        <f t="shared" si="246"/>
        <v/>
      </c>
      <c r="S1242">
        <f>SUMIF(O1242:$O$2855,R1242,Q1242:$Q$2855)</f>
        <v>0</v>
      </c>
    </row>
    <row r="1243" spans="11:19" x14ac:dyDescent="0.25">
      <c r="K1243" s="4" t="s">
        <v>421</v>
      </c>
      <c r="L1243" t="s">
        <v>422</v>
      </c>
      <c r="M1243" t="s">
        <v>2531</v>
      </c>
      <c r="N1243" t="s">
        <v>6</v>
      </c>
      <c r="O1243" t="s">
        <v>91</v>
      </c>
      <c r="P1243" t="str">
        <f t="shared" si="247"/>
        <v>[1]</v>
      </c>
      <c r="Q1243">
        <f t="shared" si="248"/>
        <v>28</v>
      </c>
      <c r="R1243" t="str">
        <f t="shared" si="246"/>
        <v/>
      </c>
      <c r="S1243">
        <f>SUMIF(O1243:$O$2855,R1243,Q1243:$Q$2855)</f>
        <v>0</v>
      </c>
    </row>
    <row r="1244" spans="11:19" x14ac:dyDescent="0.25">
      <c r="K1244" s="4" t="s">
        <v>421</v>
      </c>
      <c r="L1244" t="s">
        <v>422</v>
      </c>
      <c r="M1244" t="s">
        <v>2532</v>
      </c>
      <c r="N1244" t="s">
        <v>202</v>
      </c>
      <c r="O1244" t="s">
        <v>91</v>
      </c>
      <c r="P1244" t="str">
        <f t="shared" si="247"/>
        <v>[1]</v>
      </c>
      <c r="Q1244">
        <f t="shared" si="248"/>
        <v>16</v>
      </c>
      <c r="R1244" t="str">
        <f t="shared" si="246"/>
        <v/>
      </c>
      <c r="S1244">
        <f>SUMIF(O1244:$O$2855,R1244,Q1244:$Q$2855)</f>
        <v>0</v>
      </c>
    </row>
    <row r="1245" spans="11:19" x14ac:dyDescent="0.25">
      <c r="K1245" s="4" t="s">
        <v>421</v>
      </c>
      <c r="L1245" t="s">
        <v>422</v>
      </c>
      <c r="M1245" t="s">
        <v>2533</v>
      </c>
      <c r="N1245" t="s">
        <v>76</v>
      </c>
      <c r="O1245" t="s">
        <v>91</v>
      </c>
      <c r="P1245" t="str">
        <f t="shared" si="247"/>
        <v>[1]</v>
      </c>
      <c r="Q1245">
        <f t="shared" si="248"/>
        <v>36</v>
      </c>
      <c r="R1245" t="str">
        <f t="shared" si="246"/>
        <v/>
      </c>
      <c r="S1245">
        <f>SUMIF(O1245:$O$2855,R1245,Q1245:$Q$2855)</f>
        <v>0</v>
      </c>
    </row>
    <row r="1246" spans="11:19" x14ac:dyDescent="0.25">
      <c r="K1246" s="4" t="s">
        <v>421</v>
      </c>
      <c r="L1246" t="s">
        <v>422</v>
      </c>
      <c r="M1246" t="s">
        <v>2534</v>
      </c>
      <c r="N1246" t="s">
        <v>202</v>
      </c>
      <c r="O1246" t="s">
        <v>91</v>
      </c>
      <c r="P1246" t="str">
        <f t="shared" si="247"/>
        <v>[1]</v>
      </c>
      <c r="Q1246">
        <f t="shared" si="248"/>
        <v>16</v>
      </c>
      <c r="R1246" t="str">
        <f t="shared" si="246"/>
        <v/>
      </c>
      <c r="S1246">
        <f>SUMIF(O1246:$O$2855,R1246,Q1246:$Q$2855)</f>
        <v>0</v>
      </c>
    </row>
    <row r="1247" spans="11:19" x14ac:dyDescent="0.25">
      <c r="K1247" s="4" t="s">
        <v>421</v>
      </c>
      <c r="L1247" t="s">
        <v>422</v>
      </c>
      <c r="M1247" t="s">
        <v>2535</v>
      </c>
      <c r="N1247" t="s">
        <v>202</v>
      </c>
      <c r="O1247" t="s">
        <v>91</v>
      </c>
      <c r="P1247" t="str">
        <f t="shared" si="247"/>
        <v>[1]</v>
      </c>
      <c r="Q1247">
        <f t="shared" si="248"/>
        <v>16</v>
      </c>
      <c r="R1247" t="str">
        <f t="shared" si="246"/>
        <v/>
      </c>
      <c r="S1247">
        <f>SUMIF(O1247:$O$2855,R1247,Q1247:$Q$2855)</f>
        <v>0</v>
      </c>
    </row>
    <row r="1248" spans="11:19" x14ac:dyDescent="0.25">
      <c r="K1248" s="4" t="s">
        <v>421</v>
      </c>
      <c r="L1248" t="s">
        <v>422</v>
      </c>
      <c r="M1248" t="s">
        <v>2536</v>
      </c>
      <c r="N1248" t="s">
        <v>202</v>
      </c>
      <c r="O1248" t="s">
        <v>91</v>
      </c>
      <c r="P1248" t="str">
        <f t="shared" si="247"/>
        <v>[1]</v>
      </c>
      <c r="Q1248">
        <f t="shared" si="248"/>
        <v>16</v>
      </c>
      <c r="R1248" t="str">
        <f t="shared" ref="R1248:R1311" si="249">IF(O1248&lt;&gt;O1247,O1248,"")</f>
        <v/>
      </c>
      <c r="S1248">
        <f>SUMIF(O1248:$O$2855,R1248,Q1248:$Q$2855)</f>
        <v>0</v>
      </c>
    </row>
    <row r="1249" spans="11:19" x14ac:dyDescent="0.25">
      <c r="K1249" s="4" t="s">
        <v>421</v>
      </c>
      <c r="L1249" t="s">
        <v>422</v>
      </c>
      <c r="M1249" t="s">
        <v>2537</v>
      </c>
      <c r="N1249" t="s">
        <v>202</v>
      </c>
      <c r="O1249" t="s">
        <v>91</v>
      </c>
      <c r="P1249" t="str">
        <f t="shared" si="247"/>
        <v>[1]</v>
      </c>
      <c r="Q1249">
        <f t="shared" si="248"/>
        <v>16</v>
      </c>
      <c r="R1249" t="str">
        <f t="shared" si="249"/>
        <v/>
      </c>
      <c r="S1249">
        <f>SUMIF(O1249:$O$2855,R1249,Q1249:$Q$2855)</f>
        <v>0</v>
      </c>
    </row>
    <row r="1250" spans="11:19" x14ac:dyDescent="0.25">
      <c r="K1250" s="4" t="s">
        <v>421</v>
      </c>
      <c r="L1250" t="s">
        <v>422</v>
      </c>
      <c r="M1250" t="s">
        <v>2538</v>
      </c>
      <c r="N1250" t="s">
        <v>126</v>
      </c>
      <c r="O1250" t="s">
        <v>91</v>
      </c>
      <c r="P1250" t="str">
        <f t="shared" si="247"/>
        <v>[1]</v>
      </c>
      <c r="Q1250">
        <f t="shared" si="248"/>
        <v>8</v>
      </c>
      <c r="R1250" t="str">
        <f t="shared" si="249"/>
        <v/>
      </c>
      <c r="S1250">
        <f>SUMIF(O1250:$O$2855,R1250,Q1250:$Q$2855)</f>
        <v>0</v>
      </c>
    </row>
    <row r="1251" spans="11:19" x14ac:dyDescent="0.25">
      <c r="K1251" s="4" t="s">
        <v>421</v>
      </c>
      <c r="L1251" t="s">
        <v>422</v>
      </c>
      <c r="M1251" t="s">
        <v>2539</v>
      </c>
      <c r="N1251" t="s">
        <v>13</v>
      </c>
      <c r="O1251" t="s">
        <v>91</v>
      </c>
      <c r="P1251" t="str">
        <f t="shared" si="247"/>
        <v>[1]</v>
      </c>
      <c r="Q1251">
        <f t="shared" si="248"/>
        <v>12</v>
      </c>
      <c r="R1251" t="str">
        <f t="shared" si="249"/>
        <v/>
      </c>
      <c r="S1251">
        <f>SUMIF(O1251:$O$2855,R1251,Q1251:$Q$2855)</f>
        <v>0</v>
      </c>
    </row>
    <row r="1252" spans="11:19" x14ac:dyDescent="0.25">
      <c r="K1252" s="4" t="s">
        <v>421</v>
      </c>
      <c r="L1252" t="s">
        <v>422</v>
      </c>
      <c r="M1252" t="s">
        <v>2540</v>
      </c>
      <c r="N1252" t="s">
        <v>143</v>
      </c>
      <c r="O1252" t="s">
        <v>91</v>
      </c>
      <c r="P1252" t="str">
        <f t="shared" si="247"/>
        <v>[1]</v>
      </c>
      <c r="Q1252">
        <f t="shared" si="248"/>
        <v>84</v>
      </c>
      <c r="R1252" t="str">
        <f t="shared" si="249"/>
        <v/>
      </c>
      <c r="S1252">
        <f>SUMIF(O1252:$O$2855,R1252,Q1252:$Q$2855)</f>
        <v>0</v>
      </c>
    </row>
    <row r="1253" spans="11:19" x14ac:dyDescent="0.25">
      <c r="K1253" s="4" t="s">
        <v>421</v>
      </c>
      <c r="L1253" t="s">
        <v>422</v>
      </c>
      <c r="M1253" t="s">
        <v>2541</v>
      </c>
      <c r="N1253" t="s">
        <v>119</v>
      </c>
      <c r="O1253" t="s">
        <v>91</v>
      </c>
      <c r="P1253" t="str">
        <f t="shared" si="247"/>
        <v>[1]</v>
      </c>
      <c r="Q1253">
        <f t="shared" si="248"/>
        <v>32</v>
      </c>
      <c r="R1253" t="str">
        <f t="shared" si="249"/>
        <v/>
      </c>
      <c r="S1253">
        <f>SUMIF(O1253:$O$2855,R1253,Q1253:$Q$2855)</f>
        <v>0</v>
      </c>
    </row>
    <row r="1254" spans="11:19" x14ac:dyDescent="0.25">
      <c r="K1254" s="4" t="s">
        <v>421</v>
      </c>
      <c r="L1254" t="s">
        <v>422</v>
      </c>
      <c r="M1254" t="s">
        <v>2542</v>
      </c>
      <c r="N1254" t="s">
        <v>6</v>
      </c>
      <c r="O1254" t="s">
        <v>91</v>
      </c>
      <c r="P1254" t="str">
        <f t="shared" si="247"/>
        <v>[1]</v>
      </c>
      <c r="Q1254">
        <f t="shared" si="248"/>
        <v>28</v>
      </c>
      <c r="R1254" t="str">
        <f t="shared" si="249"/>
        <v/>
      </c>
      <c r="S1254">
        <f>SUMIF(O1254:$O$2855,R1254,Q1254:$Q$2855)</f>
        <v>0</v>
      </c>
    </row>
    <row r="1255" spans="11:19" x14ac:dyDescent="0.25">
      <c r="K1255" s="4" t="s">
        <v>421</v>
      </c>
      <c r="L1255" t="s">
        <v>422</v>
      </c>
      <c r="M1255" t="s">
        <v>2543</v>
      </c>
      <c r="N1255" t="s">
        <v>437</v>
      </c>
      <c r="O1255" t="s">
        <v>91</v>
      </c>
      <c r="P1255" t="str">
        <f t="shared" si="247"/>
        <v>[1]</v>
      </c>
      <c r="Q1255">
        <f t="shared" si="248"/>
        <v>24</v>
      </c>
      <c r="R1255" t="str">
        <f t="shared" si="249"/>
        <v/>
      </c>
      <c r="S1255">
        <f>SUMIF(O1255:$O$2855,R1255,Q1255:$Q$2855)</f>
        <v>0</v>
      </c>
    </row>
    <row r="1256" spans="11:19" x14ac:dyDescent="0.25">
      <c r="K1256" s="4" t="s">
        <v>421</v>
      </c>
      <c r="L1256" t="s">
        <v>422</v>
      </c>
      <c r="M1256" t="s">
        <v>2544</v>
      </c>
      <c r="N1256" t="s">
        <v>202</v>
      </c>
      <c r="O1256" t="s">
        <v>91</v>
      </c>
      <c r="P1256" t="str">
        <f t="shared" si="247"/>
        <v>[1]</v>
      </c>
      <c r="Q1256">
        <f t="shared" si="248"/>
        <v>16</v>
      </c>
      <c r="R1256" t="str">
        <f t="shared" si="249"/>
        <v/>
      </c>
      <c r="S1256">
        <f>SUMIF(O1256:$O$2855,R1256,Q1256:$Q$2855)</f>
        <v>0</v>
      </c>
    </row>
    <row r="1257" spans="11:19" x14ac:dyDescent="0.25">
      <c r="K1257" s="4" t="s">
        <v>421</v>
      </c>
      <c r="L1257" t="s">
        <v>422</v>
      </c>
      <c r="M1257" t="s">
        <v>2545</v>
      </c>
      <c r="N1257" t="s">
        <v>119</v>
      </c>
      <c r="O1257" t="s">
        <v>91</v>
      </c>
      <c r="P1257" t="str">
        <f t="shared" si="247"/>
        <v>[1]</v>
      </c>
      <c r="Q1257">
        <f t="shared" si="248"/>
        <v>32</v>
      </c>
      <c r="R1257" t="str">
        <f t="shared" si="249"/>
        <v/>
      </c>
      <c r="S1257">
        <f>SUMIF(O1257:$O$2855,R1257,Q1257:$Q$2855)</f>
        <v>0</v>
      </c>
    </row>
    <row r="1258" spans="11:19" x14ac:dyDescent="0.25">
      <c r="K1258" s="4" t="s">
        <v>421</v>
      </c>
      <c r="L1258" t="s">
        <v>422</v>
      </c>
      <c r="M1258" t="s">
        <v>2546</v>
      </c>
      <c r="N1258" t="s">
        <v>202</v>
      </c>
      <c r="O1258" t="s">
        <v>91</v>
      </c>
      <c r="P1258" t="str">
        <f t="shared" si="247"/>
        <v>[1]</v>
      </c>
      <c r="Q1258">
        <f t="shared" si="248"/>
        <v>16</v>
      </c>
      <c r="R1258" t="str">
        <f t="shared" si="249"/>
        <v/>
      </c>
      <c r="S1258">
        <f>SUMIF(O1258:$O$2855,R1258,Q1258:$Q$2855)</f>
        <v>0</v>
      </c>
    </row>
    <row r="1259" spans="11:19" x14ac:dyDescent="0.25">
      <c r="K1259" s="4" t="s">
        <v>421</v>
      </c>
      <c r="L1259" t="s">
        <v>422</v>
      </c>
      <c r="M1259" t="s">
        <v>2547</v>
      </c>
      <c r="N1259" t="s">
        <v>13</v>
      </c>
      <c r="O1259" t="s">
        <v>91</v>
      </c>
      <c r="P1259" t="str">
        <f t="shared" si="247"/>
        <v>[1]</v>
      </c>
      <c r="Q1259">
        <f t="shared" si="248"/>
        <v>12</v>
      </c>
      <c r="R1259" t="str">
        <f t="shared" si="249"/>
        <v/>
      </c>
      <c r="S1259">
        <f>SUMIF(O1259:$O$2855,R1259,Q1259:$Q$2855)</f>
        <v>0</v>
      </c>
    </row>
    <row r="1260" spans="11:19" x14ac:dyDescent="0.25">
      <c r="K1260" s="4" t="s">
        <v>421</v>
      </c>
      <c r="L1260" t="s">
        <v>422</v>
      </c>
      <c r="M1260" t="s">
        <v>2548</v>
      </c>
      <c r="N1260" t="s">
        <v>6</v>
      </c>
      <c r="O1260" t="s">
        <v>91</v>
      </c>
      <c r="P1260" t="str">
        <f t="shared" si="247"/>
        <v>[1]</v>
      </c>
      <c r="Q1260">
        <f t="shared" si="248"/>
        <v>28</v>
      </c>
      <c r="R1260" t="str">
        <f t="shared" si="249"/>
        <v/>
      </c>
      <c r="S1260">
        <f>SUMIF(O1260:$O$2855,R1260,Q1260:$Q$2855)</f>
        <v>0</v>
      </c>
    </row>
    <row r="1261" spans="11:19" x14ac:dyDescent="0.25">
      <c r="K1261" s="4" t="s">
        <v>421</v>
      </c>
      <c r="L1261" t="s">
        <v>422</v>
      </c>
      <c r="M1261" t="s">
        <v>2549</v>
      </c>
      <c r="N1261" t="s">
        <v>13</v>
      </c>
      <c r="O1261" t="s">
        <v>91</v>
      </c>
      <c r="P1261" t="str">
        <f t="shared" si="247"/>
        <v>[1]</v>
      </c>
      <c r="Q1261">
        <f t="shared" si="248"/>
        <v>12</v>
      </c>
      <c r="R1261" t="str">
        <f t="shared" si="249"/>
        <v/>
      </c>
      <c r="S1261">
        <f>SUMIF(O1261:$O$2855,R1261,Q1261:$Q$2855)</f>
        <v>0</v>
      </c>
    </row>
    <row r="1262" spans="11:19" x14ac:dyDescent="0.25">
      <c r="K1262" s="4" t="s">
        <v>421</v>
      </c>
      <c r="L1262" t="s">
        <v>422</v>
      </c>
      <c r="M1262" t="s">
        <v>2550</v>
      </c>
      <c r="N1262" t="s">
        <v>165</v>
      </c>
      <c r="O1262" t="s">
        <v>91</v>
      </c>
      <c r="P1262" t="str">
        <f t="shared" si="247"/>
        <v>[1]</v>
      </c>
      <c r="Q1262">
        <f t="shared" si="248"/>
        <v>20</v>
      </c>
      <c r="R1262" t="str">
        <f t="shared" si="249"/>
        <v/>
      </c>
      <c r="S1262">
        <f>SUMIF(O1262:$O$2855,R1262,Q1262:$Q$2855)</f>
        <v>0</v>
      </c>
    </row>
    <row r="1263" spans="11:19" x14ac:dyDescent="0.25">
      <c r="K1263" s="4" t="s">
        <v>421</v>
      </c>
      <c r="L1263" t="s">
        <v>422</v>
      </c>
      <c r="M1263" t="s">
        <v>2551</v>
      </c>
      <c r="N1263" t="s">
        <v>202</v>
      </c>
      <c r="O1263" t="s">
        <v>91</v>
      </c>
      <c r="P1263" t="str">
        <f t="shared" si="247"/>
        <v>[1]</v>
      </c>
      <c r="Q1263">
        <f t="shared" si="248"/>
        <v>16</v>
      </c>
      <c r="R1263" t="str">
        <f t="shared" si="249"/>
        <v/>
      </c>
      <c r="S1263">
        <f>SUMIF(O1263:$O$2855,R1263,Q1263:$Q$2855)</f>
        <v>0</v>
      </c>
    </row>
    <row r="1264" spans="11:19" x14ac:dyDescent="0.25">
      <c r="K1264" s="4" t="s">
        <v>421</v>
      </c>
      <c r="L1264" t="s">
        <v>422</v>
      </c>
      <c r="M1264" t="s">
        <v>2552</v>
      </c>
      <c r="N1264" t="s">
        <v>126</v>
      </c>
      <c r="O1264" t="s">
        <v>91</v>
      </c>
      <c r="P1264" t="str">
        <f t="shared" si="247"/>
        <v>[1]</v>
      </c>
      <c r="Q1264">
        <f t="shared" si="248"/>
        <v>8</v>
      </c>
      <c r="R1264" t="str">
        <f t="shared" si="249"/>
        <v/>
      </c>
      <c r="S1264">
        <f>SUMIF(O1264:$O$2855,R1264,Q1264:$Q$2855)</f>
        <v>0</v>
      </c>
    </row>
    <row r="1265" spans="11:19" x14ac:dyDescent="0.25">
      <c r="K1265" s="4" t="s">
        <v>421</v>
      </c>
      <c r="L1265" t="s">
        <v>422</v>
      </c>
      <c r="M1265" t="s">
        <v>2553</v>
      </c>
      <c r="N1265" t="s">
        <v>6</v>
      </c>
      <c r="O1265" t="s">
        <v>91</v>
      </c>
      <c r="P1265" t="str">
        <f t="shared" si="247"/>
        <v>[1]</v>
      </c>
      <c r="Q1265">
        <f t="shared" si="248"/>
        <v>28</v>
      </c>
      <c r="R1265" t="str">
        <f t="shared" si="249"/>
        <v/>
      </c>
      <c r="S1265">
        <f>SUMIF(O1265:$O$2855,R1265,Q1265:$Q$2855)</f>
        <v>0</v>
      </c>
    </row>
    <row r="1266" spans="11:19" x14ac:dyDescent="0.25">
      <c r="K1266" s="4" t="s">
        <v>421</v>
      </c>
      <c r="L1266" t="s">
        <v>422</v>
      </c>
      <c r="M1266" t="s">
        <v>2554</v>
      </c>
      <c r="N1266" t="s">
        <v>76</v>
      </c>
      <c r="O1266" t="s">
        <v>91</v>
      </c>
      <c r="P1266" t="str">
        <f t="shared" si="247"/>
        <v>[1]</v>
      </c>
      <c r="Q1266">
        <f t="shared" si="248"/>
        <v>36</v>
      </c>
      <c r="R1266" t="str">
        <f t="shared" si="249"/>
        <v/>
      </c>
      <c r="S1266">
        <f>SUMIF(O1266:$O$2855,R1266,Q1266:$Q$2855)</f>
        <v>0</v>
      </c>
    </row>
    <row r="1267" spans="11:19" x14ac:dyDescent="0.25">
      <c r="K1267" s="4" t="s">
        <v>421</v>
      </c>
      <c r="L1267" t="s">
        <v>422</v>
      </c>
      <c r="M1267" t="s">
        <v>2555</v>
      </c>
      <c r="N1267" t="s">
        <v>76</v>
      </c>
      <c r="O1267" t="s">
        <v>91</v>
      </c>
      <c r="P1267" t="str">
        <f t="shared" si="247"/>
        <v>[1]</v>
      </c>
      <c r="Q1267">
        <f t="shared" si="248"/>
        <v>36</v>
      </c>
      <c r="R1267" t="str">
        <f t="shared" si="249"/>
        <v/>
      </c>
      <c r="S1267">
        <f>SUMIF(O1267:$O$2855,R1267,Q1267:$Q$2855)</f>
        <v>0</v>
      </c>
    </row>
    <row r="1268" spans="11:19" x14ac:dyDescent="0.25">
      <c r="K1268" s="4" t="s">
        <v>421</v>
      </c>
      <c r="L1268" t="s">
        <v>422</v>
      </c>
      <c r="M1268" t="s">
        <v>2556</v>
      </c>
      <c r="N1268" t="s">
        <v>165</v>
      </c>
      <c r="O1268" t="s">
        <v>91</v>
      </c>
      <c r="P1268" t="str">
        <f t="shared" si="247"/>
        <v>[1]</v>
      </c>
      <c r="Q1268">
        <f t="shared" si="248"/>
        <v>20</v>
      </c>
      <c r="R1268" t="str">
        <f t="shared" si="249"/>
        <v/>
      </c>
      <c r="S1268">
        <f>SUMIF(O1268:$O$2855,R1268,Q1268:$Q$2855)</f>
        <v>0</v>
      </c>
    </row>
    <row r="1269" spans="11:19" x14ac:dyDescent="0.25">
      <c r="K1269" s="4" t="s">
        <v>421</v>
      </c>
      <c r="L1269" t="s">
        <v>422</v>
      </c>
      <c r="M1269" t="s">
        <v>2557</v>
      </c>
      <c r="N1269" t="s">
        <v>119</v>
      </c>
      <c r="O1269" t="s">
        <v>91</v>
      </c>
      <c r="P1269" t="str">
        <f t="shared" si="247"/>
        <v>[1]</v>
      </c>
      <c r="Q1269">
        <f t="shared" si="248"/>
        <v>32</v>
      </c>
      <c r="R1269" t="str">
        <f t="shared" si="249"/>
        <v/>
      </c>
      <c r="S1269">
        <f>SUMIF(O1269:$O$2855,R1269,Q1269:$Q$2855)</f>
        <v>0</v>
      </c>
    </row>
    <row r="1270" spans="11:19" x14ac:dyDescent="0.25">
      <c r="K1270" s="4" t="s">
        <v>421</v>
      </c>
      <c r="L1270" t="s">
        <v>422</v>
      </c>
      <c r="M1270" t="s">
        <v>2558</v>
      </c>
      <c r="N1270" t="s">
        <v>165</v>
      </c>
      <c r="O1270" t="s">
        <v>91</v>
      </c>
      <c r="P1270" t="str">
        <f t="shared" si="247"/>
        <v>[1]</v>
      </c>
      <c r="Q1270">
        <f t="shared" si="248"/>
        <v>20</v>
      </c>
      <c r="R1270" t="str">
        <f t="shared" si="249"/>
        <v/>
      </c>
      <c r="S1270">
        <f>SUMIF(O1270:$O$2855,R1270,Q1270:$Q$2855)</f>
        <v>0</v>
      </c>
    </row>
    <row r="1271" spans="11:19" x14ac:dyDescent="0.25">
      <c r="K1271" s="4" t="s">
        <v>421</v>
      </c>
      <c r="L1271" t="s">
        <v>422</v>
      </c>
      <c r="M1271" t="s">
        <v>2559</v>
      </c>
      <c r="N1271" t="s">
        <v>165</v>
      </c>
      <c r="O1271" t="s">
        <v>91</v>
      </c>
      <c r="P1271" t="str">
        <f t="shared" si="247"/>
        <v>[1]</v>
      </c>
      <c r="Q1271">
        <f t="shared" si="248"/>
        <v>20</v>
      </c>
      <c r="R1271" t="str">
        <f t="shared" si="249"/>
        <v/>
      </c>
      <c r="S1271">
        <f>SUMIF(O1271:$O$2855,R1271,Q1271:$Q$2855)</f>
        <v>0</v>
      </c>
    </row>
    <row r="1272" spans="11:19" x14ac:dyDescent="0.25">
      <c r="K1272" s="4" t="s">
        <v>421</v>
      </c>
      <c r="L1272" t="s">
        <v>422</v>
      </c>
      <c r="M1272" t="s">
        <v>2560</v>
      </c>
      <c r="N1272" t="s">
        <v>6</v>
      </c>
      <c r="O1272" t="s">
        <v>91</v>
      </c>
      <c r="P1272" t="str">
        <f t="shared" si="247"/>
        <v>[1]</v>
      </c>
      <c r="Q1272">
        <f t="shared" si="248"/>
        <v>28</v>
      </c>
      <c r="R1272" t="str">
        <f t="shared" si="249"/>
        <v/>
      </c>
      <c r="S1272">
        <f>SUMIF(O1272:$O$2855,R1272,Q1272:$Q$2855)</f>
        <v>0</v>
      </c>
    </row>
    <row r="1273" spans="11:19" x14ac:dyDescent="0.25">
      <c r="K1273" s="4" t="s">
        <v>421</v>
      </c>
      <c r="L1273" t="s">
        <v>422</v>
      </c>
      <c r="M1273" t="s">
        <v>2561</v>
      </c>
      <c r="N1273" t="s">
        <v>76</v>
      </c>
      <c r="O1273" t="s">
        <v>91</v>
      </c>
      <c r="P1273" t="str">
        <f t="shared" si="247"/>
        <v>[1]</v>
      </c>
      <c r="Q1273">
        <f t="shared" si="248"/>
        <v>36</v>
      </c>
      <c r="R1273" t="str">
        <f t="shared" si="249"/>
        <v/>
      </c>
      <c r="S1273">
        <f>SUMIF(O1273:$O$2855,R1273,Q1273:$Q$2855)</f>
        <v>0</v>
      </c>
    </row>
    <row r="1274" spans="11:19" x14ac:dyDescent="0.25">
      <c r="K1274" s="4" t="s">
        <v>421</v>
      </c>
      <c r="L1274" t="s">
        <v>422</v>
      </c>
      <c r="M1274" t="s">
        <v>2562</v>
      </c>
      <c r="N1274" t="s">
        <v>65</v>
      </c>
      <c r="O1274" t="s">
        <v>91</v>
      </c>
      <c r="P1274" t="str">
        <f t="shared" si="247"/>
        <v>[1]</v>
      </c>
      <c r="Q1274">
        <f t="shared" si="248"/>
        <v>40</v>
      </c>
      <c r="R1274" t="str">
        <f t="shared" si="249"/>
        <v/>
      </c>
      <c r="S1274">
        <f>SUMIF(O1274:$O$2855,R1274,Q1274:$Q$2855)</f>
        <v>0</v>
      </c>
    </row>
    <row r="1275" spans="11:19" x14ac:dyDescent="0.25">
      <c r="K1275" s="4" t="s">
        <v>421</v>
      </c>
      <c r="L1275" t="s">
        <v>422</v>
      </c>
      <c r="M1275" t="s">
        <v>2563</v>
      </c>
      <c r="N1275" t="s">
        <v>119</v>
      </c>
      <c r="O1275" t="s">
        <v>91</v>
      </c>
      <c r="P1275" t="str">
        <f t="shared" si="247"/>
        <v>[1]</v>
      </c>
      <c r="Q1275">
        <f t="shared" si="248"/>
        <v>32</v>
      </c>
      <c r="R1275" t="str">
        <f t="shared" si="249"/>
        <v/>
      </c>
      <c r="S1275">
        <f>SUMIF(O1275:$O$2855,R1275,Q1275:$Q$2855)</f>
        <v>0</v>
      </c>
    </row>
    <row r="1276" spans="11:19" x14ac:dyDescent="0.25">
      <c r="K1276" s="4" t="s">
        <v>421</v>
      </c>
      <c r="L1276" t="s">
        <v>422</v>
      </c>
      <c r="M1276" t="s">
        <v>2564</v>
      </c>
      <c r="N1276" t="s">
        <v>89</v>
      </c>
      <c r="O1276" t="s">
        <v>91</v>
      </c>
      <c r="P1276" t="str">
        <f t="shared" si="247"/>
        <v>[1]</v>
      </c>
      <c r="Q1276">
        <f t="shared" si="248"/>
        <v>76</v>
      </c>
      <c r="R1276" t="str">
        <f t="shared" si="249"/>
        <v/>
      </c>
      <c r="S1276">
        <f>SUMIF(O1276:$O$2855,R1276,Q1276:$Q$2855)</f>
        <v>0</v>
      </c>
    </row>
    <row r="1277" spans="11:19" x14ac:dyDescent="0.25">
      <c r="K1277" s="4" t="s">
        <v>421</v>
      </c>
      <c r="L1277" t="s">
        <v>422</v>
      </c>
      <c r="M1277" t="s">
        <v>2565</v>
      </c>
      <c r="N1277" t="s">
        <v>437</v>
      </c>
      <c r="O1277" t="s">
        <v>91</v>
      </c>
      <c r="P1277" t="str">
        <f t="shared" si="247"/>
        <v>[1]</v>
      </c>
      <c r="Q1277">
        <f t="shared" si="248"/>
        <v>24</v>
      </c>
      <c r="R1277" t="str">
        <f t="shared" si="249"/>
        <v/>
      </c>
      <c r="S1277">
        <f>SUMIF(O1277:$O$2855,R1277,Q1277:$Q$2855)</f>
        <v>0</v>
      </c>
    </row>
    <row r="1278" spans="11:19" x14ac:dyDescent="0.25">
      <c r="K1278" s="4" t="s">
        <v>421</v>
      </c>
      <c r="L1278" t="s">
        <v>422</v>
      </c>
      <c r="M1278" t="s">
        <v>2566</v>
      </c>
      <c r="N1278" t="s">
        <v>165</v>
      </c>
      <c r="O1278" t="s">
        <v>91</v>
      </c>
      <c r="P1278" t="str">
        <f t="shared" si="247"/>
        <v>[1]</v>
      </c>
      <c r="Q1278">
        <f t="shared" si="248"/>
        <v>20</v>
      </c>
      <c r="R1278" t="str">
        <f t="shared" si="249"/>
        <v/>
      </c>
      <c r="S1278">
        <f>SUMIF(O1278:$O$2855,R1278,Q1278:$Q$2855)</f>
        <v>0</v>
      </c>
    </row>
    <row r="1279" spans="11:19" x14ac:dyDescent="0.25">
      <c r="K1279" s="4" t="s">
        <v>421</v>
      </c>
      <c r="L1279" t="s">
        <v>422</v>
      </c>
      <c r="M1279" t="s">
        <v>2567</v>
      </c>
      <c r="N1279" t="s">
        <v>165</v>
      </c>
      <c r="O1279" t="s">
        <v>91</v>
      </c>
      <c r="P1279" t="str">
        <f t="shared" si="247"/>
        <v>[1]</v>
      </c>
      <c r="Q1279">
        <f t="shared" si="248"/>
        <v>20</v>
      </c>
      <c r="R1279" t="str">
        <f t="shared" si="249"/>
        <v/>
      </c>
      <c r="S1279">
        <f>SUMIF(O1279:$O$2855,R1279,Q1279:$Q$2855)</f>
        <v>0</v>
      </c>
    </row>
    <row r="1280" spans="11:19" x14ac:dyDescent="0.25">
      <c r="K1280" s="4" t="s">
        <v>421</v>
      </c>
      <c r="L1280" t="s">
        <v>422</v>
      </c>
      <c r="M1280" t="s">
        <v>2568</v>
      </c>
      <c r="N1280" t="s">
        <v>202</v>
      </c>
      <c r="O1280" t="s">
        <v>91</v>
      </c>
      <c r="P1280" t="str">
        <f t="shared" si="247"/>
        <v>[1]</v>
      </c>
      <c r="Q1280">
        <f t="shared" si="248"/>
        <v>16</v>
      </c>
      <c r="R1280" t="str">
        <f t="shared" si="249"/>
        <v/>
      </c>
      <c r="S1280">
        <f>SUMIF(O1280:$O$2855,R1280,Q1280:$Q$2855)</f>
        <v>0</v>
      </c>
    </row>
    <row r="1281" spans="11:19" x14ac:dyDescent="0.25">
      <c r="K1281" s="4" t="s">
        <v>421</v>
      </c>
      <c r="L1281" t="s">
        <v>422</v>
      </c>
      <c r="M1281" t="s">
        <v>2569</v>
      </c>
      <c r="N1281" t="s">
        <v>190</v>
      </c>
      <c r="O1281" t="s">
        <v>91</v>
      </c>
      <c r="P1281" t="str">
        <f t="shared" si="247"/>
        <v>[1]</v>
      </c>
      <c r="Q1281">
        <f t="shared" si="248"/>
        <v>56</v>
      </c>
      <c r="R1281" t="str">
        <f t="shared" si="249"/>
        <v/>
      </c>
      <c r="S1281">
        <f>SUMIF(O1281:$O$2855,R1281,Q1281:$Q$2855)</f>
        <v>0</v>
      </c>
    </row>
    <row r="1282" spans="11:19" x14ac:dyDescent="0.25">
      <c r="K1282" s="4" t="s">
        <v>421</v>
      </c>
      <c r="L1282" t="s">
        <v>422</v>
      </c>
      <c r="M1282" t="s">
        <v>2570</v>
      </c>
      <c r="N1282" t="s">
        <v>202</v>
      </c>
      <c r="O1282" t="s">
        <v>91</v>
      </c>
      <c r="P1282" t="str">
        <f t="shared" ref="P1282:P1345" si="250">VLOOKUP($K$30,$E$1:$F$26,2,FALSE)</f>
        <v>[1]</v>
      </c>
      <c r="Q1282">
        <f t="shared" si="248"/>
        <v>16</v>
      </c>
      <c r="R1282" t="str">
        <f t="shared" si="249"/>
        <v/>
      </c>
      <c r="S1282">
        <f>SUMIF(O1282:$O$2855,R1282,Q1282:$Q$2855)</f>
        <v>0</v>
      </c>
    </row>
    <row r="1283" spans="11:19" x14ac:dyDescent="0.25">
      <c r="K1283" s="4" t="s">
        <v>421</v>
      </c>
      <c r="L1283" t="s">
        <v>422</v>
      </c>
      <c r="M1283" t="s">
        <v>2571</v>
      </c>
      <c r="N1283" t="s">
        <v>437</v>
      </c>
      <c r="O1283" t="s">
        <v>91</v>
      </c>
      <c r="P1283" t="str">
        <f t="shared" si="250"/>
        <v>[1]</v>
      </c>
      <c r="Q1283">
        <f t="shared" ref="Q1283:Q1346" si="251">HEX2DEC(MID(N1283,3,LEN(N1283)-2))</f>
        <v>24</v>
      </c>
      <c r="R1283" t="str">
        <f t="shared" si="249"/>
        <v/>
      </c>
      <c r="S1283">
        <f>SUMIF(O1283:$O$2855,R1283,Q1283:$Q$2855)</f>
        <v>0</v>
      </c>
    </row>
    <row r="1284" spans="11:19" x14ac:dyDescent="0.25">
      <c r="K1284" s="4" t="s">
        <v>421</v>
      </c>
      <c r="L1284" t="s">
        <v>422</v>
      </c>
      <c r="M1284" t="s">
        <v>2572</v>
      </c>
      <c r="N1284" t="s">
        <v>437</v>
      </c>
      <c r="O1284" t="s">
        <v>91</v>
      </c>
      <c r="P1284" t="str">
        <f t="shared" si="250"/>
        <v>[1]</v>
      </c>
      <c r="Q1284">
        <f t="shared" si="251"/>
        <v>24</v>
      </c>
      <c r="R1284" t="str">
        <f t="shared" si="249"/>
        <v/>
      </c>
      <c r="S1284">
        <f>SUMIF(O1284:$O$2855,R1284,Q1284:$Q$2855)</f>
        <v>0</v>
      </c>
    </row>
    <row r="1285" spans="11:19" x14ac:dyDescent="0.25">
      <c r="K1285" s="4" t="s">
        <v>421</v>
      </c>
      <c r="L1285" t="s">
        <v>422</v>
      </c>
      <c r="M1285" t="s">
        <v>2573</v>
      </c>
      <c r="N1285" t="s">
        <v>139</v>
      </c>
      <c r="O1285" t="s">
        <v>91</v>
      </c>
      <c r="P1285" t="str">
        <f t="shared" si="250"/>
        <v>[1]</v>
      </c>
      <c r="Q1285">
        <f t="shared" si="251"/>
        <v>96</v>
      </c>
      <c r="R1285" t="str">
        <f t="shared" si="249"/>
        <v/>
      </c>
      <c r="S1285">
        <f>SUMIF(O1285:$O$2855,R1285,Q1285:$Q$2855)</f>
        <v>0</v>
      </c>
    </row>
    <row r="1286" spans="11:19" x14ac:dyDescent="0.25">
      <c r="K1286" s="4" t="s">
        <v>421</v>
      </c>
      <c r="L1286" t="s">
        <v>422</v>
      </c>
      <c r="M1286" t="s">
        <v>2574</v>
      </c>
      <c r="N1286" t="s">
        <v>165</v>
      </c>
      <c r="O1286" t="s">
        <v>91</v>
      </c>
      <c r="P1286" t="str">
        <f t="shared" si="250"/>
        <v>[1]</v>
      </c>
      <c r="Q1286">
        <f t="shared" si="251"/>
        <v>20</v>
      </c>
      <c r="R1286" t="str">
        <f t="shared" si="249"/>
        <v/>
      </c>
      <c r="S1286">
        <f>SUMIF(O1286:$O$2855,R1286,Q1286:$Q$2855)</f>
        <v>0</v>
      </c>
    </row>
    <row r="1287" spans="11:19" x14ac:dyDescent="0.25">
      <c r="K1287" s="4" t="s">
        <v>421</v>
      </c>
      <c r="L1287" t="s">
        <v>422</v>
      </c>
      <c r="M1287" t="s">
        <v>2575</v>
      </c>
      <c r="N1287" t="s">
        <v>165</v>
      </c>
      <c r="O1287" t="s">
        <v>91</v>
      </c>
      <c r="P1287" t="str">
        <f t="shared" si="250"/>
        <v>[1]</v>
      </c>
      <c r="Q1287">
        <f t="shared" si="251"/>
        <v>20</v>
      </c>
      <c r="R1287" t="str">
        <f t="shared" si="249"/>
        <v/>
      </c>
      <c r="S1287">
        <f>SUMIF(O1287:$O$2855,R1287,Q1287:$Q$2855)</f>
        <v>0</v>
      </c>
    </row>
    <row r="1288" spans="11:19" x14ac:dyDescent="0.25">
      <c r="K1288" s="4" t="s">
        <v>421</v>
      </c>
      <c r="L1288" t="s">
        <v>422</v>
      </c>
      <c r="M1288" t="s">
        <v>2576</v>
      </c>
      <c r="N1288" t="s">
        <v>165</v>
      </c>
      <c r="O1288" t="s">
        <v>91</v>
      </c>
      <c r="P1288" t="str">
        <f t="shared" si="250"/>
        <v>[1]</v>
      </c>
      <c r="Q1288">
        <f t="shared" si="251"/>
        <v>20</v>
      </c>
      <c r="R1288" t="str">
        <f t="shared" si="249"/>
        <v/>
      </c>
      <c r="S1288">
        <f>SUMIF(O1288:$O$2855,R1288,Q1288:$Q$2855)</f>
        <v>0</v>
      </c>
    </row>
    <row r="1289" spans="11:19" x14ac:dyDescent="0.25">
      <c r="K1289" s="4" t="s">
        <v>421</v>
      </c>
      <c r="L1289" t="s">
        <v>422</v>
      </c>
      <c r="M1289" t="s">
        <v>2577</v>
      </c>
      <c r="N1289" t="s">
        <v>202</v>
      </c>
      <c r="O1289" t="s">
        <v>91</v>
      </c>
      <c r="P1289" t="str">
        <f t="shared" si="250"/>
        <v>[1]</v>
      </c>
      <c r="Q1289">
        <f t="shared" si="251"/>
        <v>16</v>
      </c>
      <c r="R1289" t="str">
        <f t="shared" si="249"/>
        <v/>
      </c>
      <c r="S1289">
        <f>SUMIF(O1289:$O$2855,R1289,Q1289:$Q$2855)</f>
        <v>0</v>
      </c>
    </row>
    <row r="1290" spans="11:19" x14ac:dyDescent="0.25">
      <c r="K1290" s="4" t="s">
        <v>421</v>
      </c>
      <c r="L1290" t="s">
        <v>422</v>
      </c>
      <c r="M1290" t="s">
        <v>2578</v>
      </c>
      <c r="N1290" t="s">
        <v>165</v>
      </c>
      <c r="O1290" t="s">
        <v>91</v>
      </c>
      <c r="P1290" t="str">
        <f t="shared" si="250"/>
        <v>[1]</v>
      </c>
      <c r="Q1290">
        <f t="shared" si="251"/>
        <v>20</v>
      </c>
      <c r="R1290" t="str">
        <f t="shared" si="249"/>
        <v/>
      </c>
      <c r="S1290">
        <f>SUMIF(O1290:$O$2855,R1290,Q1290:$Q$2855)</f>
        <v>0</v>
      </c>
    </row>
    <row r="1291" spans="11:19" x14ac:dyDescent="0.25">
      <c r="K1291" s="4" t="s">
        <v>421</v>
      </c>
      <c r="L1291" t="s">
        <v>422</v>
      </c>
      <c r="M1291" t="s">
        <v>2579</v>
      </c>
      <c r="N1291" t="s">
        <v>165</v>
      </c>
      <c r="O1291" t="s">
        <v>91</v>
      </c>
      <c r="P1291" t="str">
        <f t="shared" si="250"/>
        <v>[1]</v>
      </c>
      <c r="Q1291">
        <f t="shared" si="251"/>
        <v>20</v>
      </c>
      <c r="R1291" t="str">
        <f t="shared" si="249"/>
        <v/>
      </c>
      <c r="S1291">
        <f>SUMIF(O1291:$O$2855,R1291,Q1291:$Q$2855)</f>
        <v>0</v>
      </c>
    </row>
    <row r="1292" spans="11:19" x14ac:dyDescent="0.25">
      <c r="K1292" s="4" t="s">
        <v>421</v>
      </c>
      <c r="L1292" t="s">
        <v>422</v>
      </c>
      <c r="M1292" t="s">
        <v>2580</v>
      </c>
      <c r="N1292" t="s">
        <v>202</v>
      </c>
      <c r="O1292" t="s">
        <v>91</v>
      </c>
      <c r="P1292" t="str">
        <f t="shared" si="250"/>
        <v>[1]</v>
      </c>
      <c r="Q1292">
        <f t="shared" si="251"/>
        <v>16</v>
      </c>
      <c r="R1292" t="str">
        <f t="shared" si="249"/>
        <v/>
      </c>
      <c r="S1292">
        <f>SUMIF(O1292:$O$2855,R1292,Q1292:$Q$2855)</f>
        <v>0</v>
      </c>
    </row>
    <row r="1293" spans="11:19" x14ac:dyDescent="0.25">
      <c r="K1293" s="4" t="s">
        <v>421</v>
      </c>
      <c r="L1293" t="s">
        <v>422</v>
      </c>
      <c r="M1293" t="s">
        <v>2581</v>
      </c>
      <c r="N1293" t="s">
        <v>165</v>
      </c>
      <c r="O1293" t="s">
        <v>91</v>
      </c>
      <c r="P1293" t="str">
        <f t="shared" si="250"/>
        <v>[1]</v>
      </c>
      <c r="Q1293">
        <f t="shared" si="251"/>
        <v>20</v>
      </c>
      <c r="R1293" t="str">
        <f t="shared" si="249"/>
        <v/>
      </c>
      <c r="S1293">
        <f>SUMIF(O1293:$O$2855,R1293,Q1293:$Q$2855)</f>
        <v>0</v>
      </c>
    </row>
    <row r="1294" spans="11:19" x14ac:dyDescent="0.25">
      <c r="K1294" s="4" t="s">
        <v>421</v>
      </c>
      <c r="L1294" t="s">
        <v>422</v>
      </c>
      <c r="M1294" t="s">
        <v>2582</v>
      </c>
      <c r="N1294" t="s">
        <v>6</v>
      </c>
      <c r="O1294" t="s">
        <v>91</v>
      </c>
      <c r="P1294" t="str">
        <f t="shared" si="250"/>
        <v>[1]</v>
      </c>
      <c r="Q1294">
        <f t="shared" si="251"/>
        <v>28</v>
      </c>
      <c r="R1294" t="str">
        <f t="shared" si="249"/>
        <v/>
      </c>
      <c r="S1294">
        <f>SUMIF(O1294:$O$2855,R1294,Q1294:$Q$2855)</f>
        <v>0</v>
      </c>
    </row>
    <row r="1295" spans="11:19" x14ac:dyDescent="0.25">
      <c r="K1295" s="4" t="s">
        <v>421</v>
      </c>
      <c r="L1295" t="s">
        <v>422</v>
      </c>
      <c r="M1295" t="s">
        <v>2583</v>
      </c>
      <c r="N1295" t="s">
        <v>202</v>
      </c>
      <c r="O1295" t="s">
        <v>91</v>
      </c>
      <c r="P1295" t="str">
        <f t="shared" si="250"/>
        <v>[1]</v>
      </c>
      <c r="Q1295">
        <f t="shared" si="251"/>
        <v>16</v>
      </c>
      <c r="R1295" t="str">
        <f t="shared" si="249"/>
        <v/>
      </c>
      <c r="S1295">
        <f>SUMIF(O1295:$O$2855,R1295,Q1295:$Q$2855)</f>
        <v>0</v>
      </c>
    </row>
    <row r="1296" spans="11:19" x14ac:dyDescent="0.25">
      <c r="K1296" s="4" t="s">
        <v>421</v>
      </c>
      <c r="L1296" t="s">
        <v>422</v>
      </c>
      <c r="M1296" t="s">
        <v>2584</v>
      </c>
      <c r="N1296" t="s">
        <v>165</v>
      </c>
      <c r="O1296" t="s">
        <v>91</v>
      </c>
      <c r="P1296" t="str">
        <f t="shared" si="250"/>
        <v>[1]</v>
      </c>
      <c r="Q1296">
        <f t="shared" si="251"/>
        <v>20</v>
      </c>
      <c r="R1296" t="str">
        <f t="shared" si="249"/>
        <v/>
      </c>
      <c r="S1296">
        <f>SUMIF(O1296:$O$2855,R1296,Q1296:$Q$2855)</f>
        <v>0</v>
      </c>
    </row>
    <row r="1297" spans="11:19" x14ac:dyDescent="0.25">
      <c r="K1297" s="4" t="s">
        <v>421</v>
      </c>
      <c r="L1297" t="s">
        <v>422</v>
      </c>
      <c r="M1297" t="s">
        <v>2585</v>
      </c>
      <c r="N1297" t="s">
        <v>165</v>
      </c>
      <c r="O1297" t="s">
        <v>91</v>
      </c>
      <c r="P1297" t="str">
        <f t="shared" si="250"/>
        <v>[1]</v>
      </c>
      <c r="Q1297">
        <f t="shared" si="251"/>
        <v>20</v>
      </c>
      <c r="R1297" t="str">
        <f t="shared" si="249"/>
        <v/>
      </c>
      <c r="S1297">
        <f>SUMIF(O1297:$O$2855,R1297,Q1297:$Q$2855)</f>
        <v>0</v>
      </c>
    </row>
    <row r="1298" spans="11:19" x14ac:dyDescent="0.25">
      <c r="K1298" s="4" t="s">
        <v>421</v>
      </c>
      <c r="L1298" t="s">
        <v>422</v>
      </c>
      <c r="M1298" t="s">
        <v>2586</v>
      </c>
      <c r="N1298" t="s">
        <v>6</v>
      </c>
      <c r="O1298" t="s">
        <v>91</v>
      </c>
      <c r="P1298" t="str">
        <f t="shared" si="250"/>
        <v>[1]</v>
      </c>
      <c r="Q1298">
        <f t="shared" si="251"/>
        <v>28</v>
      </c>
      <c r="R1298" t="str">
        <f t="shared" si="249"/>
        <v/>
      </c>
      <c r="S1298">
        <f>SUMIF(O1298:$O$2855,R1298,Q1298:$Q$2855)</f>
        <v>0</v>
      </c>
    </row>
    <row r="1299" spans="11:19" x14ac:dyDescent="0.25">
      <c r="K1299" s="4" t="s">
        <v>421</v>
      </c>
      <c r="L1299" t="s">
        <v>422</v>
      </c>
      <c r="M1299" t="s">
        <v>2587</v>
      </c>
      <c r="N1299" t="s">
        <v>6</v>
      </c>
      <c r="O1299" t="s">
        <v>91</v>
      </c>
      <c r="P1299" t="str">
        <f t="shared" si="250"/>
        <v>[1]</v>
      </c>
      <c r="Q1299">
        <f t="shared" si="251"/>
        <v>28</v>
      </c>
      <c r="R1299" t="str">
        <f t="shared" si="249"/>
        <v/>
      </c>
      <c r="S1299">
        <f>SUMIF(O1299:$O$2855,R1299,Q1299:$Q$2855)</f>
        <v>0</v>
      </c>
    </row>
    <row r="1300" spans="11:19" x14ac:dyDescent="0.25">
      <c r="K1300" s="4" t="s">
        <v>421</v>
      </c>
      <c r="L1300" t="s">
        <v>422</v>
      </c>
      <c r="M1300" t="s">
        <v>2588</v>
      </c>
      <c r="N1300" t="s">
        <v>119</v>
      </c>
      <c r="O1300" t="s">
        <v>91</v>
      </c>
      <c r="P1300" t="str">
        <f t="shared" si="250"/>
        <v>[1]</v>
      </c>
      <c r="Q1300">
        <f t="shared" si="251"/>
        <v>32</v>
      </c>
      <c r="R1300" t="str">
        <f t="shared" si="249"/>
        <v/>
      </c>
      <c r="S1300">
        <f>SUMIF(O1300:$O$2855,R1300,Q1300:$Q$2855)</f>
        <v>0</v>
      </c>
    </row>
    <row r="1301" spans="11:19" x14ac:dyDescent="0.25">
      <c r="K1301" s="4" t="s">
        <v>421</v>
      </c>
      <c r="L1301" t="s">
        <v>422</v>
      </c>
      <c r="M1301" t="s">
        <v>2589</v>
      </c>
      <c r="N1301" t="s">
        <v>119</v>
      </c>
      <c r="O1301" t="s">
        <v>91</v>
      </c>
      <c r="P1301" t="str">
        <f t="shared" si="250"/>
        <v>[1]</v>
      </c>
      <c r="Q1301">
        <f t="shared" si="251"/>
        <v>32</v>
      </c>
      <c r="R1301" t="str">
        <f t="shared" si="249"/>
        <v/>
      </c>
      <c r="S1301">
        <f>SUMIF(O1301:$O$2855,R1301,Q1301:$Q$2855)</f>
        <v>0</v>
      </c>
    </row>
    <row r="1302" spans="11:19" x14ac:dyDescent="0.25">
      <c r="K1302" s="4" t="s">
        <v>421</v>
      </c>
      <c r="L1302" t="s">
        <v>422</v>
      </c>
      <c r="M1302" t="s">
        <v>2590</v>
      </c>
      <c r="N1302" t="s">
        <v>119</v>
      </c>
      <c r="O1302" t="s">
        <v>91</v>
      </c>
      <c r="P1302" t="str">
        <f t="shared" si="250"/>
        <v>[1]</v>
      </c>
      <c r="Q1302">
        <f t="shared" si="251"/>
        <v>32</v>
      </c>
      <c r="R1302" t="str">
        <f t="shared" si="249"/>
        <v/>
      </c>
      <c r="S1302">
        <f>SUMIF(O1302:$O$2855,R1302,Q1302:$Q$2855)</f>
        <v>0</v>
      </c>
    </row>
    <row r="1303" spans="11:19" x14ac:dyDescent="0.25">
      <c r="K1303" s="4" t="s">
        <v>421</v>
      </c>
      <c r="L1303" t="s">
        <v>422</v>
      </c>
      <c r="M1303" t="s">
        <v>2591</v>
      </c>
      <c r="N1303" t="s">
        <v>119</v>
      </c>
      <c r="O1303" t="s">
        <v>91</v>
      </c>
      <c r="P1303" t="str">
        <f t="shared" si="250"/>
        <v>[1]</v>
      </c>
      <c r="Q1303">
        <f t="shared" si="251"/>
        <v>32</v>
      </c>
      <c r="R1303" t="str">
        <f t="shared" si="249"/>
        <v/>
      </c>
      <c r="S1303">
        <f>SUMIF(O1303:$O$2855,R1303,Q1303:$Q$2855)</f>
        <v>0</v>
      </c>
    </row>
    <row r="1304" spans="11:19" x14ac:dyDescent="0.25">
      <c r="K1304" s="4" t="s">
        <v>421</v>
      </c>
      <c r="L1304" t="s">
        <v>422</v>
      </c>
      <c r="M1304" t="s">
        <v>2592</v>
      </c>
      <c r="N1304" t="s">
        <v>165</v>
      </c>
      <c r="O1304" t="s">
        <v>91</v>
      </c>
      <c r="P1304" t="str">
        <f t="shared" si="250"/>
        <v>[1]</v>
      </c>
      <c r="Q1304">
        <f t="shared" si="251"/>
        <v>20</v>
      </c>
      <c r="R1304" t="str">
        <f t="shared" si="249"/>
        <v/>
      </c>
      <c r="S1304">
        <f>SUMIF(O1304:$O$2855,R1304,Q1304:$Q$2855)</f>
        <v>0</v>
      </c>
    </row>
    <row r="1305" spans="11:19" x14ac:dyDescent="0.25">
      <c r="K1305" s="4" t="s">
        <v>421</v>
      </c>
      <c r="L1305" t="s">
        <v>422</v>
      </c>
      <c r="M1305" t="s">
        <v>2593</v>
      </c>
      <c r="N1305" t="s">
        <v>165</v>
      </c>
      <c r="O1305" t="s">
        <v>91</v>
      </c>
      <c r="P1305" t="str">
        <f t="shared" si="250"/>
        <v>[1]</v>
      </c>
      <c r="Q1305">
        <f t="shared" si="251"/>
        <v>20</v>
      </c>
      <c r="R1305" t="str">
        <f t="shared" si="249"/>
        <v/>
      </c>
      <c r="S1305">
        <f>SUMIF(O1305:$O$2855,R1305,Q1305:$Q$2855)</f>
        <v>0</v>
      </c>
    </row>
    <row r="1306" spans="11:19" x14ac:dyDescent="0.25">
      <c r="K1306" s="4" t="s">
        <v>421</v>
      </c>
      <c r="L1306" t="s">
        <v>422</v>
      </c>
      <c r="M1306" t="s">
        <v>2594</v>
      </c>
      <c r="N1306" t="s">
        <v>165</v>
      </c>
      <c r="O1306" t="s">
        <v>91</v>
      </c>
      <c r="P1306" t="str">
        <f t="shared" si="250"/>
        <v>[1]</v>
      </c>
      <c r="Q1306">
        <f t="shared" si="251"/>
        <v>20</v>
      </c>
      <c r="R1306" t="str">
        <f t="shared" si="249"/>
        <v/>
      </c>
      <c r="S1306">
        <f>SUMIF(O1306:$O$2855,R1306,Q1306:$Q$2855)</f>
        <v>0</v>
      </c>
    </row>
    <row r="1307" spans="11:19" x14ac:dyDescent="0.25">
      <c r="K1307" s="4" t="s">
        <v>421</v>
      </c>
      <c r="L1307" t="s">
        <v>422</v>
      </c>
      <c r="M1307" t="s">
        <v>2595</v>
      </c>
      <c r="N1307" t="s">
        <v>202</v>
      </c>
      <c r="O1307" t="s">
        <v>91</v>
      </c>
      <c r="P1307" t="str">
        <f t="shared" si="250"/>
        <v>[1]</v>
      </c>
      <c r="Q1307">
        <f t="shared" si="251"/>
        <v>16</v>
      </c>
      <c r="R1307" t="str">
        <f t="shared" si="249"/>
        <v/>
      </c>
      <c r="S1307">
        <f>SUMIF(O1307:$O$2855,R1307,Q1307:$Q$2855)</f>
        <v>0</v>
      </c>
    </row>
    <row r="1308" spans="11:19" x14ac:dyDescent="0.25">
      <c r="K1308" s="4" t="s">
        <v>421</v>
      </c>
      <c r="L1308" t="s">
        <v>422</v>
      </c>
      <c r="M1308" t="s">
        <v>2596</v>
      </c>
      <c r="N1308" t="s">
        <v>6</v>
      </c>
      <c r="O1308" t="s">
        <v>91</v>
      </c>
      <c r="P1308" t="str">
        <f t="shared" si="250"/>
        <v>[1]</v>
      </c>
      <c r="Q1308">
        <f t="shared" si="251"/>
        <v>28</v>
      </c>
      <c r="R1308" t="str">
        <f t="shared" si="249"/>
        <v/>
      </c>
      <c r="S1308">
        <f>SUMIF(O1308:$O$2855,R1308,Q1308:$Q$2855)</f>
        <v>0</v>
      </c>
    </row>
    <row r="1309" spans="11:19" x14ac:dyDescent="0.25">
      <c r="K1309" s="4" t="s">
        <v>421</v>
      </c>
      <c r="L1309" t="s">
        <v>422</v>
      </c>
      <c r="M1309" t="s">
        <v>2597</v>
      </c>
      <c r="N1309" t="s">
        <v>165</v>
      </c>
      <c r="O1309" t="s">
        <v>91</v>
      </c>
      <c r="P1309" t="str">
        <f t="shared" si="250"/>
        <v>[1]</v>
      </c>
      <c r="Q1309">
        <f t="shared" si="251"/>
        <v>20</v>
      </c>
      <c r="R1309" t="str">
        <f t="shared" si="249"/>
        <v/>
      </c>
      <c r="S1309">
        <f>SUMIF(O1309:$O$2855,R1309,Q1309:$Q$2855)</f>
        <v>0</v>
      </c>
    </row>
    <row r="1310" spans="11:19" x14ac:dyDescent="0.25">
      <c r="K1310" s="4" t="s">
        <v>421</v>
      </c>
      <c r="L1310" t="s">
        <v>422</v>
      </c>
      <c r="M1310" t="s">
        <v>2598</v>
      </c>
      <c r="N1310" t="s">
        <v>165</v>
      </c>
      <c r="O1310" t="s">
        <v>91</v>
      </c>
      <c r="P1310" t="str">
        <f t="shared" si="250"/>
        <v>[1]</v>
      </c>
      <c r="Q1310">
        <f t="shared" si="251"/>
        <v>20</v>
      </c>
      <c r="R1310" t="str">
        <f t="shared" si="249"/>
        <v/>
      </c>
      <c r="S1310">
        <f>SUMIF(O1310:$O$2855,R1310,Q1310:$Q$2855)</f>
        <v>0</v>
      </c>
    </row>
    <row r="1311" spans="11:19" x14ac:dyDescent="0.25">
      <c r="K1311" s="4" t="s">
        <v>421</v>
      </c>
      <c r="L1311" t="s">
        <v>422</v>
      </c>
      <c r="M1311" t="s">
        <v>2599</v>
      </c>
      <c r="N1311" t="s">
        <v>119</v>
      </c>
      <c r="O1311" t="s">
        <v>91</v>
      </c>
      <c r="P1311" t="str">
        <f t="shared" si="250"/>
        <v>[1]</v>
      </c>
      <c r="Q1311">
        <f t="shared" si="251"/>
        <v>32</v>
      </c>
      <c r="R1311" t="str">
        <f t="shared" si="249"/>
        <v/>
      </c>
      <c r="S1311">
        <f>SUMIF(O1311:$O$2855,R1311,Q1311:$Q$2855)</f>
        <v>0</v>
      </c>
    </row>
    <row r="1312" spans="11:19" x14ac:dyDescent="0.25">
      <c r="K1312" s="4" t="s">
        <v>421</v>
      </c>
      <c r="L1312" t="s">
        <v>422</v>
      </c>
      <c r="M1312" t="s">
        <v>2600</v>
      </c>
      <c r="N1312" t="s">
        <v>6</v>
      </c>
      <c r="O1312" t="s">
        <v>91</v>
      </c>
      <c r="P1312" t="str">
        <f t="shared" si="250"/>
        <v>[1]</v>
      </c>
      <c r="Q1312">
        <f t="shared" si="251"/>
        <v>28</v>
      </c>
      <c r="R1312" t="str">
        <f t="shared" ref="R1312:R1375" si="252">IF(O1312&lt;&gt;O1311,O1312,"")</f>
        <v/>
      </c>
      <c r="S1312">
        <f>SUMIF(O1312:$O$2855,R1312,Q1312:$Q$2855)</f>
        <v>0</v>
      </c>
    </row>
    <row r="1313" spans="11:19" x14ac:dyDescent="0.25">
      <c r="K1313" s="4" t="s">
        <v>421</v>
      </c>
      <c r="L1313" t="s">
        <v>422</v>
      </c>
      <c r="M1313" t="s">
        <v>2601</v>
      </c>
      <c r="N1313" t="s">
        <v>6</v>
      </c>
      <c r="O1313" t="s">
        <v>91</v>
      </c>
      <c r="P1313" t="str">
        <f t="shared" si="250"/>
        <v>[1]</v>
      </c>
      <c r="Q1313">
        <f t="shared" si="251"/>
        <v>28</v>
      </c>
      <c r="R1313" t="str">
        <f t="shared" si="252"/>
        <v/>
      </c>
      <c r="S1313">
        <f>SUMIF(O1313:$O$2855,R1313,Q1313:$Q$2855)</f>
        <v>0</v>
      </c>
    </row>
    <row r="1314" spans="11:19" x14ac:dyDescent="0.25">
      <c r="K1314" s="4" t="s">
        <v>421</v>
      </c>
      <c r="L1314" t="s">
        <v>422</v>
      </c>
      <c r="M1314" t="s">
        <v>2602</v>
      </c>
      <c r="N1314" t="s">
        <v>437</v>
      </c>
      <c r="O1314" t="s">
        <v>91</v>
      </c>
      <c r="P1314" t="str">
        <f t="shared" si="250"/>
        <v>[1]</v>
      </c>
      <c r="Q1314">
        <f t="shared" si="251"/>
        <v>24</v>
      </c>
      <c r="R1314" t="str">
        <f t="shared" si="252"/>
        <v/>
      </c>
      <c r="S1314">
        <f>SUMIF(O1314:$O$2855,R1314,Q1314:$Q$2855)</f>
        <v>0</v>
      </c>
    </row>
    <row r="1315" spans="11:19" x14ac:dyDescent="0.25">
      <c r="K1315" s="4" t="s">
        <v>421</v>
      </c>
      <c r="L1315" t="s">
        <v>422</v>
      </c>
      <c r="M1315" t="s">
        <v>2603</v>
      </c>
      <c r="N1315" t="s">
        <v>165</v>
      </c>
      <c r="O1315" t="s">
        <v>91</v>
      </c>
      <c r="P1315" t="str">
        <f t="shared" si="250"/>
        <v>[1]</v>
      </c>
      <c r="Q1315">
        <f t="shared" si="251"/>
        <v>20</v>
      </c>
      <c r="R1315" t="str">
        <f t="shared" si="252"/>
        <v/>
      </c>
      <c r="S1315">
        <f>SUMIF(O1315:$O$2855,R1315,Q1315:$Q$2855)</f>
        <v>0</v>
      </c>
    </row>
    <row r="1316" spans="11:19" x14ac:dyDescent="0.25">
      <c r="K1316" s="4" t="s">
        <v>421</v>
      </c>
      <c r="L1316" t="s">
        <v>422</v>
      </c>
      <c r="M1316" t="s">
        <v>2604</v>
      </c>
      <c r="N1316" t="s">
        <v>165</v>
      </c>
      <c r="O1316" t="s">
        <v>91</v>
      </c>
      <c r="P1316" t="str">
        <f t="shared" si="250"/>
        <v>[1]</v>
      </c>
      <c r="Q1316">
        <f t="shared" si="251"/>
        <v>20</v>
      </c>
      <c r="R1316" t="str">
        <f t="shared" si="252"/>
        <v/>
      </c>
      <c r="S1316">
        <f>SUMIF(O1316:$O$2855,R1316,Q1316:$Q$2855)</f>
        <v>0</v>
      </c>
    </row>
    <row r="1317" spans="11:19" x14ac:dyDescent="0.25">
      <c r="K1317" s="4" t="s">
        <v>421</v>
      </c>
      <c r="L1317" t="s">
        <v>422</v>
      </c>
      <c r="M1317" t="s">
        <v>2605</v>
      </c>
      <c r="N1317" t="s">
        <v>119</v>
      </c>
      <c r="O1317" t="s">
        <v>91</v>
      </c>
      <c r="P1317" t="str">
        <f t="shared" si="250"/>
        <v>[1]</v>
      </c>
      <c r="Q1317">
        <f t="shared" si="251"/>
        <v>32</v>
      </c>
      <c r="R1317" t="str">
        <f t="shared" si="252"/>
        <v/>
      </c>
      <c r="S1317">
        <f>SUMIF(O1317:$O$2855,R1317,Q1317:$Q$2855)</f>
        <v>0</v>
      </c>
    </row>
    <row r="1318" spans="11:19" x14ac:dyDescent="0.25">
      <c r="K1318" s="4" t="s">
        <v>421</v>
      </c>
      <c r="L1318" t="s">
        <v>422</v>
      </c>
      <c r="M1318" t="s">
        <v>2606</v>
      </c>
      <c r="N1318" t="s">
        <v>6</v>
      </c>
      <c r="O1318" t="s">
        <v>91</v>
      </c>
      <c r="P1318" t="str">
        <f t="shared" si="250"/>
        <v>[1]</v>
      </c>
      <c r="Q1318">
        <f t="shared" si="251"/>
        <v>28</v>
      </c>
      <c r="R1318" t="str">
        <f t="shared" si="252"/>
        <v/>
      </c>
      <c r="S1318">
        <f>SUMIF(O1318:$O$2855,R1318,Q1318:$Q$2855)</f>
        <v>0</v>
      </c>
    </row>
    <row r="1319" spans="11:19" x14ac:dyDescent="0.25">
      <c r="K1319" s="4" t="s">
        <v>421</v>
      </c>
      <c r="L1319" t="s">
        <v>422</v>
      </c>
      <c r="M1319" t="s">
        <v>2607</v>
      </c>
      <c r="N1319" t="s">
        <v>6</v>
      </c>
      <c r="O1319" t="s">
        <v>91</v>
      </c>
      <c r="P1319" t="str">
        <f t="shared" si="250"/>
        <v>[1]</v>
      </c>
      <c r="Q1319">
        <f t="shared" si="251"/>
        <v>28</v>
      </c>
      <c r="R1319" t="str">
        <f t="shared" si="252"/>
        <v/>
      </c>
      <c r="S1319">
        <f>SUMIF(O1319:$O$2855,R1319,Q1319:$Q$2855)</f>
        <v>0</v>
      </c>
    </row>
    <row r="1320" spans="11:19" x14ac:dyDescent="0.25">
      <c r="K1320" s="4" t="s">
        <v>421</v>
      </c>
      <c r="L1320" t="s">
        <v>422</v>
      </c>
      <c r="M1320" t="s">
        <v>2608</v>
      </c>
      <c r="N1320" t="s">
        <v>437</v>
      </c>
      <c r="O1320" t="s">
        <v>91</v>
      </c>
      <c r="P1320" t="str">
        <f t="shared" si="250"/>
        <v>[1]</v>
      </c>
      <c r="Q1320">
        <f t="shared" si="251"/>
        <v>24</v>
      </c>
      <c r="R1320" t="str">
        <f t="shared" si="252"/>
        <v/>
      </c>
      <c r="S1320">
        <f>SUMIF(O1320:$O$2855,R1320,Q1320:$Q$2855)</f>
        <v>0</v>
      </c>
    </row>
    <row r="1321" spans="11:19" x14ac:dyDescent="0.25">
      <c r="K1321" s="4" t="s">
        <v>421</v>
      </c>
      <c r="L1321" t="s">
        <v>422</v>
      </c>
      <c r="M1321" t="s">
        <v>2609</v>
      </c>
      <c r="N1321" t="s">
        <v>202</v>
      </c>
      <c r="O1321" t="s">
        <v>91</v>
      </c>
      <c r="P1321" t="str">
        <f t="shared" si="250"/>
        <v>[1]</v>
      </c>
      <c r="Q1321">
        <f t="shared" si="251"/>
        <v>16</v>
      </c>
      <c r="R1321" t="str">
        <f t="shared" si="252"/>
        <v/>
      </c>
      <c r="S1321">
        <f>SUMIF(O1321:$O$2855,R1321,Q1321:$Q$2855)</f>
        <v>0</v>
      </c>
    </row>
    <row r="1322" spans="11:19" x14ac:dyDescent="0.25">
      <c r="K1322" s="4" t="s">
        <v>421</v>
      </c>
      <c r="L1322" t="s">
        <v>422</v>
      </c>
      <c r="M1322" t="s">
        <v>2610</v>
      </c>
      <c r="N1322" t="s">
        <v>437</v>
      </c>
      <c r="O1322" t="s">
        <v>91</v>
      </c>
      <c r="P1322" t="str">
        <f t="shared" si="250"/>
        <v>[1]</v>
      </c>
      <c r="Q1322">
        <f t="shared" si="251"/>
        <v>24</v>
      </c>
      <c r="R1322" t="str">
        <f t="shared" si="252"/>
        <v/>
      </c>
      <c r="S1322">
        <f>SUMIF(O1322:$O$2855,R1322,Q1322:$Q$2855)</f>
        <v>0</v>
      </c>
    </row>
    <row r="1323" spans="11:19" x14ac:dyDescent="0.25">
      <c r="K1323" s="4" t="s">
        <v>421</v>
      </c>
      <c r="L1323" t="s">
        <v>422</v>
      </c>
      <c r="M1323" t="s">
        <v>2611</v>
      </c>
      <c r="N1323" t="s">
        <v>67</v>
      </c>
      <c r="O1323" t="s">
        <v>91</v>
      </c>
      <c r="P1323" t="str">
        <f t="shared" si="250"/>
        <v>[1]</v>
      </c>
      <c r="Q1323">
        <f t="shared" si="251"/>
        <v>48</v>
      </c>
      <c r="R1323" t="str">
        <f t="shared" si="252"/>
        <v/>
      </c>
      <c r="S1323">
        <f>SUMIF(O1323:$O$2855,R1323,Q1323:$Q$2855)</f>
        <v>0</v>
      </c>
    </row>
    <row r="1324" spans="11:19" x14ac:dyDescent="0.25">
      <c r="K1324" s="4" t="s">
        <v>421</v>
      </c>
      <c r="L1324" t="s">
        <v>422</v>
      </c>
      <c r="M1324" t="s">
        <v>2612</v>
      </c>
      <c r="N1324" t="s">
        <v>67</v>
      </c>
      <c r="O1324" t="s">
        <v>91</v>
      </c>
      <c r="P1324" t="str">
        <f t="shared" si="250"/>
        <v>[1]</v>
      </c>
      <c r="Q1324">
        <f t="shared" si="251"/>
        <v>48</v>
      </c>
      <c r="R1324" t="str">
        <f t="shared" si="252"/>
        <v/>
      </c>
      <c r="S1324">
        <f>SUMIF(O1324:$O$2855,R1324,Q1324:$Q$2855)</f>
        <v>0</v>
      </c>
    </row>
    <row r="1325" spans="11:19" x14ac:dyDescent="0.25">
      <c r="K1325" s="4" t="s">
        <v>421</v>
      </c>
      <c r="L1325" t="s">
        <v>422</v>
      </c>
      <c r="M1325" t="s">
        <v>2613</v>
      </c>
      <c r="N1325" t="s">
        <v>67</v>
      </c>
      <c r="O1325" t="s">
        <v>91</v>
      </c>
      <c r="P1325" t="str">
        <f t="shared" si="250"/>
        <v>[1]</v>
      </c>
      <c r="Q1325">
        <f t="shared" si="251"/>
        <v>48</v>
      </c>
      <c r="R1325" t="str">
        <f t="shared" si="252"/>
        <v/>
      </c>
      <c r="S1325">
        <f>SUMIF(O1325:$O$2855,R1325,Q1325:$Q$2855)</f>
        <v>0</v>
      </c>
    </row>
    <row r="1326" spans="11:19" x14ac:dyDescent="0.25">
      <c r="K1326" s="4" t="s">
        <v>421</v>
      </c>
      <c r="L1326" t="s">
        <v>422</v>
      </c>
      <c r="M1326" t="s">
        <v>2614</v>
      </c>
      <c r="N1326" t="s">
        <v>165</v>
      </c>
      <c r="O1326" t="s">
        <v>91</v>
      </c>
      <c r="P1326" t="str">
        <f t="shared" si="250"/>
        <v>[1]</v>
      </c>
      <c r="Q1326">
        <f t="shared" si="251"/>
        <v>20</v>
      </c>
      <c r="R1326" t="str">
        <f t="shared" si="252"/>
        <v/>
      </c>
      <c r="S1326">
        <f>SUMIF(O1326:$O$2855,R1326,Q1326:$Q$2855)</f>
        <v>0</v>
      </c>
    </row>
    <row r="1327" spans="11:19" x14ac:dyDescent="0.25">
      <c r="K1327" s="4" t="s">
        <v>421</v>
      </c>
      <c r="L1327" t="s">
        <v>422</v>
      </c>
      <c r="M1327" t="s">
        <v>2615</v>
      </c>
      <c r="N1327" t="s">
        <v>202</v>
      </c>
      <c r="O1327" t="s">
        <v>91</v>
      </c>
      <c r="P1327" t="str">
        <f t="shared" si="250"/>
        <v>[1]</v>
      </c>
      <c r="Q1327">
        <f t="shared" si="251"/>
        <v>16</v>
      </c>
      <c r="R1327" t="str">
        <f t="shared" si="252"/>
        <v/>
      </c>
      <c r="S1327">
        <f>SUMIF(O1327:$O$2855,R1327,Q1327:$Q$2855)</f>
        <v>0</v>
      </c>
    </row>
    <row r="1328" spans="11:19" x14ac:dyDescent="0.25">
      <c r="K1328" s="4" t="s">
        <v>421</v>
      </c>
      <c r="L1328" t="s">
        <v>422</v>
      </c>
      <c r="M1328" t="s">
        <v>2616</v>
      </c>
      <c r="N1328" t="s">
        <v>202</v>
      </c>
      <c r="O1328" t="s">
        <v>91</v>
      </c>
      <c r="P1328" t="str">
        <f t="shared" si="250"/>
        <v>[1]</v>
      </c>
      <c r="Q1328">
        <f t="shared" si="251"/>
        <v>16</v>
      </c>
      <c r="R1328" t="str">
        <f t="shared" si="252"/>
        <v/>
      </c>
      <c r="S1328">
        <f>SUMIF(O1328:$O$2855,R1328,Q1328:$Q$2855)</f>
        <v>0</v>
      </c>
    </row>
    <row r="1329" spans="11:19" x14ac:dyDescent="0.25">
      <c r="K1329" s="4" t="s">
        <v>421</v>
      </c>
      <c r="L1329" t="s">
        <v>422</v>
      </c>
      <c r="M1329" t="s">
        <v>2617</v>
      </c>
      <c r="N1329" t="s">
        <v>250</v>
      </c>
      <c r="O1329" t="s">
        <v>91</v>
      </c>
      <c r="P1329" t="str">
        <f t="shared" si="250"/>
        <v>[1]</v>
      </c>
      <c r="Q1329">
        <f t="shared" si="251"/>
        <v>140</v>
      </c>
      <c r="R1329" t="str">
        <f t="shared" si="252"/>
        <v/>
      </c>
      <c r="S1329">
        <f>SUMIF(O1329:$O$2855,R1329,Q1329:$Q$2855)</f>
        <v>0</v>
      </c>
    </row>
    <row r="1330" spans="11:19" x14ac:dyDescent="0.25">
      <c r="K1330" s="4" t="s">
        <v>421</v>
      </c>
      <c r="L1330" t="s">
        <v>422</v>
      </c>
      <c r="M1330" t="s">
        <v>2618</v>
      </c>
      <c r="N1330" t="s">
        <v>126</v>
      </c>
      <c r="O1330" t="s">
        <v>91</v>
      </c>
      <c r="P1330" t="str">
        <f t="shared" si="250"/>
        <v>[1]</v>
      </c>
      <c r="Q1330">
        <f t="shared" si="251"/>
        <v>8</v>
      </c>
      <c r="R1330" t="str">
        <f t="shared" si="252"/>
        <v/>
      </c>
      <c r="S1330">
        <f>SUMIF(O1330:$O$2855,R1330,Q1330:$Q$2855)</f>
        <v>0</v>
      </c>
    </row>
    <row r="1331" spans="11:19" x14ac:dyDescent="0.25">
      <c r="K1331" s="4" t="s">
        <v>421</v>
      </c>
      <c r="L1331" t="s">
        <v>422</v>
      </c>
      <c r="M1331" t="s">
        <v>2619</v>
      </c>
      <c r="N1331" t="s">
        <v>126</v>
      </c>
      <c r="O1331" t="s">
        <v>91</v>
      </c>
      <c r="P1331" t="str">
        <f t="shared" si="250"/>
        <v>[1]</v>
      </c>
      <c r="Q1331">
        <f t="shared" si="251"/>
        <v>8</v>
      </c>
      <c r="R1331" t="str">
        <f t="shared" si="252"/>
        <v/>
      </c>
      <c r="S1331">
        <f>SUMIF(O1331:$O$2855,R1331,Q1331:$Q$2855)</f>
        <v>0</v>
      </c>
    </row>
    <row r="1332" spans="11:19" x14ac:dyDescent="0.25">
      <c r="K1332" s="4" t="s">
        <v>421</v>
      </c>
      <c r="L1332" t="s">
        <v>422</v>
      </c>
      <c r="M1332" t="s">
        <v>2620</v>
      </c>
      <c r="N1332" t="s">
        <v>6</v>
      </c>
      <c r="O1332" t="s">
        <v>91</v>
      </c>
      <c r="P1332" t="str">
        <f t="shared" si="250"/>
        <v>[1]</v>
      </c>
      <c r="Q1332">
        <f t="shared" si="251"/>
        <v>28</v>
      </c>
      <c r="R1332" t="str">
        <f t="shared" si="252"/>
        <v/>
      </c>
      <c r="S1332">
        <f>SUMIF(O1332:$O$2855,R1332,Q1332:$Q$2855)</f>
        <v>0</v>
      </c>
    </row>
    <row r="1333" spans="11:19" x14ac:dyDescent="0.25">
      <c r="K1333" s="4" t="s">
        <v>421</v>
      </c>
      <c r="L1333" t="s">
        <v>422</v>
      </c>
      <c r="M1333" t="s">
        <v>2621</v>
      </c>
      <c r="N1333" t="s">
        <v>202</v>
      </c>
      <c r="O1333" t="s">
        <v>91</v>
      </c>
      <c r="P1333" t="str">
        <f t="shared" si="250"/>
        <v>[1]</v>
      </c>
      <c r="Q1333">
        <f t="shared" si="251"/>
        <v>16</v>
      </c>
      <c r="R1333" t="str">
        <f t="shared" si="252"/>
        <v/>
      </c>
      <c r="S1333">
        <f>SUMIF(O1333:$O$2855,R1333,Q1333:$Q$2855)</f>
        <v>0</v>
      </c>
    </row>
    <row r="1334" spans="11:19" x14ac:dyDescent="0.25">
      <c r="K1334" s="4" t="s">
        <v>421</v>
      </c>
      <c r="L1334" t="s">
        <v>422</v>
      </c>
      <c r="M1334" t="s">
        <v>2622</v>
      </c>
      <c r="N1334" t="s">
        <v>165</v>
      </c>
      <c r="O1334" t="s">
        <v>91</v>
      </c>
      <c r="P1334" t="str">
        <f t="shared" si="250"/>
        <v>[1]</v>
      </c>
      <c r="Q1334">
        <f t="shared" si="251"/>
        <v>20</v>
      </c>
      <c r="R1334" t="str">
        <f t="shared" si="252"/>
        <v/>
      </c>
      <c r="S1334">
        <f>SUMIF(O1334:$O$2855,R1334,Q1334:$Q$2855)</f>
        <v>0</v>
      </c>
    </row>
    <row r="1335" spans="11:19" x14ac:dyDescent="0.25">
      <c r="K1335" s="4" t="s">
        <v>421</v>
      </c>
      <c r="L1335" t="s">
        <v>422</v>
      </c>
      <c r="M1335" t="s">
        <v>2623</v>
      </c>
      <c r="N1335" t="s">
        <v>202</v>
      </c>
      <c r="O1335" t="s">
        <v>91</v>
      </c>
      <c r="P1335" t="str">
        <f t="shared" si="250"/>
        <v>[1]</v>
      </c>
      <c r="Q1335">
        <f t="shared" si="251"/>
        <v>16</v>
      </c>
      <c r="R1335" t="str">
        <f t="shared" si="252"/>
        <v/>
      </c>
      <c r="S1335">
        <f>SUMIF(O1335:$O$2855,R1335,Q1335:$Q$2855)</f>
        <v>0</v>
      </c>
    </row>
    <row r="1336" spans="11:19" x14ac:dyDescent="0.25">
      <c r="K1336" s="4" t="s">
        <v>421</v>
      </c>
      <c r="L1336" t="s">
        <v>422</v>
      </c>
      <c r="M1336" t="s">
        <v>2624</v>
      </c>
      <c r="N1336" t="s">
        <v>13</v>
      </c>
      <c r="O1336" t="s">
        <v>91</v>
      </c>
      <c r="P1336" t="str">
        <f t="shared" si="250"/>
        <v>[1]</v>
      </c>
      <c r="Q1336">
        <f t="shared" si="251"/>
        <v>12</v>
      </c>
      <c r="R1336" t="str">
        <f t="shared" si="252"/>
        <v/>
      </c>
      <c r="S1336">
        <f>SUMIF(O1336:$O$2855,R1336,Q1336:$Q$2855)</f>
        <v>0</v>
      </c>
    </row>
    <row r="1337" spans="11:19" x14ac:dyDescent="0.25">
      <c r="K1337" s="4" t="s">
        <v>421</v>
      </c>
      <c r="L1337" t="s">
        <v>422</v>
      </c>
      <c r="M1337" t="s">
        <v>2625</v>
      </c>
      <c r="N1337" t="s">
        <v>437</v>
      </c>
      <c r="O1337" t="s">
        <v>91</v>
      </c>
      <c r="P1337" t="str">
        <f t="shared" si="250"/>
        <v>[1]</v>
      </c>
      <c r="Q1337">
        <f t="shared" si="251"/>
        <v>24</v>
      </c>
      <c r="R1337" t="str">
        <f t="shared" si="252"/>
        <v/>
      </c>
      <c r="S1337">
        <f>SUMIF(O1337:$O$2855,R1337,Q1337:$Q$2855)</f>
        <v>0</v>
      </c>
    </row>
    <row r="1338" spans="11:19" x14ac:dyDescent="0.25">
      <c r="K1338" s="4" t="s">
        <v>421</v>
      </c>
      <c r="L1338" t="s">
        <v>422</v>
      </c>
      <c r="M1338" t="s">
        <v>2626</v>
      </c>
      <c r="N1338" t="s">
        <v>126</v>
      </c>
      <c r="O1338" t="s">
        <v>91</v>
      </c>
      <c r="P1338" t="str">
        <f t="shared" si="250"/>
        <v>[1]</v>
      </c>
      <c r="Q1338">
        <f t="shared" si="251"/>
        <v>8</v>
      </c>
      <c r="R1338" t="str">
        <f t="shared" si="252"/>
        <v/>
      </c>
      <c r="S1338">
        <f>SUMIF(O1338:$O$2855,R1338,Q1338:$Q$2855)</f>
        <v>0</v>
      </c>
    </row>
    <row r="1339" spans="11:19" x14ac:dyDescent="0.25">
      <c r="K1339" s="4" t="s">
        <v>421</v>
      </c>
      <c r="L1339" t="s">
        <v>422</v>
      </c>
      <c r="M1339" t="s">
        <v>2627</v>
      </c>
      <c r="N1339" t="s">
        <v>253</v>
      </c>
      <c r="O1339" t="s">
        <v>91</v>
      </c>
      <c r="P1339" t="str">
        <f t="shared" si="250"/>
        <v>[1]</v>
      </c>
      <c r="Q1339">
        <f t="shared" si="251"/>
        <v>152</v>
      </c>
      <c r="R1339" t="str">
        <f t="shared" si="252"/>
        <v/>
      </c>
      <c r="S1339">
        <f>SUMIF(O1339:$O$2855,R1339,Q1339:$Q$2855)</f>
        <v>0</v>
      </c>
    </row>
    <row r="1340" spans="11:19" x14ac:dyDescent="0.25">
      <c r="K1340" s="4" t="s">
        <v>421</v>
      </c>
      <c r="L1340" t="s">
        <v>422</v>
      </c>
      <c r="M1340" t="s">
        <v>2628</v>
      </c>
      <c r="N1340" t="s">
        <v>65</v>
      </c>
      <c r="O1340" t="s">
        <v>91</v>
      </c>
      <c r="P1340" t="str">
        <f t="shared" si="250"/>
        <v>[1]</v>
      </c>
      <c r="Q1340">
        <f t="shared" si="251"/>
        <v>40</v>
      </c>
      <c r="R1340" t="str">
        <f t="shared" si="252"/>
        <v/>
      </c>
      <c r="S1340">
        <f>SUMIF(O1340:$O$2855,R1340,Q1340:$Q$2855)</f>
        <v>0</v>
      </c>
    </row>
    <row r="1341" spans="11:19" x14ac:dyDescent="0.25">
      <c r="K1341" s="4" t="s">
        <v>421</v>
      </c>
      <c r="L1341" t="s">
        <v>422</v>
      </c>
      <c r="M1341" t="s">
        <v>2629</v>
      </c>
      <c r="N1341" t="s">
        <v>1096</v>
      </c>
      <c r="O1341" t="s">
        <v>91</v>
      </c>
      <c r="P1341" t="str">
        <f t="shared" si="250"/>
        <v>[1]</v>
      </c>
      <c r="Q1341">
        <f t="shared" si="251"/>
        <v>1144</v>
      </c>
      <c r="R1341" t="str">
        <f t="shared" si="252"/>
        <v/>
      </c>
      <c r="S1341">
        <f>SUMIF(O1341:$O$2855,R1341,Q1341:$Q$2855)</f>
        <v>0</v>
      </c>
    </row>
    <row r="1342" spans="11:19" x14ac:dyDescent="0.25">
      <c r="K1342" s="4" t="s">
        <v>421</v>
      </c>
      <c r="L1342" t="s">
        <v>422</v>
      </c>
      <c r="M1342" t="s">
        <v>2630</v>
      </c>
      <c r="N1342" t="s">
        <v>78</v>
      </c>
      <c r="O1342" t="s">
        <v>91</v>
      </c>
      <c r="P1342" t="str">
        <f t="shared" si="250"/>
        <v>[1]</v>
      </c>
      <c r="Q1342">
        <f t="shared" si="251"/>
        <v>4</v>
      </c>
      <c r="R1342" t="str">
        <f t="shared" si="252"/>
        <v/>
      </c>
      <c r="S1342">
        <f>SUMIF(O1342:$O$2855,R1342,Q1342:$Q$2855)</f>
        <v>0</v>
      </c>
    </row>
    <row r="1343" spans="11:19" x14ac:dyDescent="0.25">
      <c r="K1343" s="4" t="s">
        <v>421</v>
      </c>
      <c r="L1343" t="s">
        <v>422</v>
      </c>
      <c r="M1343" t="s">
        <v>1750</v>
      </c>
      <c r="N1343" t="s">
        <v>126</v>
      </c>
      <c r="O1343" t="s">
        <v>91</v>
      </c>
      <c r="P1343" t="str">
        <f t="shared" si="250"/>
        <v>[1]</v>
      </c>
      <c r="Q1343">
        <f t="shared" si="251"/>
        <v>8</v>
      </c>
      <c r="R1343" t="str">
        <f t="shared" si="252"/>
        <v/>
      </c>
      <c r="S1343">
        <f>SUMIF(O1343:$O$2855,R1343,Q1343:$Q$2855)</f>
        <v>0</v>
      </c>
    </row>
    <row r="1344" spans="11:19" x14ac:dyDescent="0.25">
      <c r="K1344" s="4" t="s">
        <v>421</v>
      </c>
      <c r="L1344" t="s">
        <v>422</v>
      </c>
      <c r="M1344" t="s">
        <v>2631</v>
      </c>
      <c r="N1344" t="s">
        <v>6</v>
      </c>
      <c r="O1344" t="s">
        <v>160</v>
      </c>
      <c r="P1344" t="str">
        <f t="shared" si="250"/>
        <v>[1]</v>
      </c>
      <c r="Q1344">
        <f t="shared" si="251"/>
        <v>28</v>
      </c>
      <c r="R1344" t="str">
        <f t="shared" si="252"/>
        <v>MAC_FrameEncoder.o</v>
      </c>
      <c r="S1344">
        <f>SUMIF(O1344:$O$2855,R1344,Q1344:$Q$2855)</f>
        <v>220</v>
      </c>
    </row>
    <row r="1345" spans="11:19" x14ac:dyDescent="0.25">
      <c r="K1345" s="4" t="s">
        <v>421</v>
      </c>
      <c r="L1345" t="s">
        <v>422</v>
      </c>
      <c r="M1345" t="s">
        <v>2632</v>
      </c>
      <c r="N1345" t="s">
        <v>126</v>
      </c>
      <c r="O1345" t="s">
        <v>160</v>
      </c>
      <c r="P1345" t="str">
        <f t="shared" si="250"/>
        <v>[1]</v>
      </c>
      <c r="Q1345">
        <f t="shared" si="251"/>
        <v>8</v>
      </c>
      <c r="R1345" t="str">
        <f t="shared" si="252"/>
        <v/>
      </c>
      <c r="S1345">
        <f>SUMIF(O1345:$O$2855,R1345,Q1345:$Q$2855)</f>
        <v>0</v>
      </c>
    </row>
    <row r="1346" spans="11:19" x14ac:dyDescent="0.25">
      <c r="K1346" s="4" t="s">
        <v>421</v>
      </c>
      <c r="L1346" t="s">
        <v>422</v>
      </c>
      <c r="M1346" t="s">
        <v>2633</v>
      </c>
      <c r="N1346" t="s">
        <v>126</v>
      </c>
      <c r="O1346" t="s">
        <v>160</v>
      </c>
      <c r="P1346" t="str">
        <f t="shared" ref="P1346:P1409" si="253">VLOOKUP($K$30,$E$1:$F$26,2,FALSE)</f>
        <v>[1]</v>
      </c>
      <c r="Q1346">
        <f t="shared" si="251"/>
        <v>8</v>
      </c>
      <c r="R1346" t="str">
        <f t="shared" si="252"/>
        <v/>
      </c>
      <c r="S1346">
        <f>SUMIF(O1346:$O$2855,R1346,Q1346:$Q$2855)</f>
        <v>0</v>
      </c>
    </row>
    <row r="1347" spans="11:19" x14ac:dyDescent="0.25">
      <c r="K1347" s="4" t="s">
        <v>421</v>
      </c>
      <c r="L1347" t="s">
        <v>422</v>
      </c>
      <c r="M1347" t="s">
        <v>2634</v>
      </c>
      <c r="N1347" t="s">
        <v>13</v>
      </c>
      <c r="O1347" t="s">
        <v>160</v>
      </c>
      <c r="P1347" t="str">
        <f t="shared" si="253"/>
        <v>[1]</v>
      </c>
      <c r="Q1347">
        <f t="shared" ref="Q1347:Q1410" si="254">HEX2DEC(MID(N1347,3,LEN(N1347)-2))</f>
        <v>12</v>
      </c>
      <c r="R1347" t="str">
        <f t="shared" si="252"/>
        <v/>
      </c>
      <c r="S1347">
        <f>SUMIF(O1347:$O$2855,R1347,Q1347:$Q$2855)</f>
        <v>0</v>
      </c>
    </row>
    <row r="1348" spans="11:19" x14ac:dyDescent="0.25">
      <c r="K1348" s="4" t="s">
        <v>421</v>
      </c>
      <c r="L1348" t="s">
        <v>422</v>
      </c>
      <c r="M1348" t="s">
        <v>2635</v>
      </c>
      <c r="N1348" t="s">
        <v>126</v>
      </c>
      <c r="O1348" t="s">
        <v>160</v>
      </c>
      <c r="P1348" t="str">
        <f t="shared" si="253"/>
        <v>[1]</v>
      </c>
      <c r="Q1348">
        <f t="shared" si="254"/>
        <v>8</v>
      </c>
      <c r="R1348" t="str">
        <f t="shared" si="252"/>
        <v/>
      </c>
      <c r="S1348">
        <f>SUMIF(O1348:$O$2855,R1348,Q1348:$Q$2855)</f>
        <v>0</v>
      </c>
    </row>
    <row r="1349" spans="11:19" x14ac:dyDescent="0.25">
      <c r="K1349" s="4" t="s">
        <v>421</v>
      </c>
      <c r="L1349" t="s">
        <v>422</v>
      </c>
      <c r="M1349" t="s">
        <v>2636</v>
      </c>
      <c r="N1349" t="s">
        <v>13</v>
      </c>
      <c r="O1349" t="s">
        <v>160</v>
      </c>
      <c r="P1349" t="str">
        <f t="shared" si="253"/>
        <v>[1]</v>
      </c>
      <c r="Q1349">
        <f t="shared" si="254"/>
        <v>12</v>
      </c>
      <c r="R1349" t="str">
        <f t="shared" si="252"/>
        <v/>
      </c>
      <c r="S1349">
        <f>SUMIF(O1349:$O$2855,R1349,Q1349:$Q$2855)</f>
        <v>0</v>
      </c>
    </row>
    <row r="1350" spans="11:19" x14ac:dyDescent="0.25">
      <c r="K1350" s="4" t="s">
        <v>421</v>
      </c>
      <c r="L1350" t="s">
        <v>422</v>
      </c>
      <c r="M1350" t="s">
        <v>2637</v>
      </c>
      <c r="N1350" t="s">
        <v>202</v>
      </c>
      <c r="O1350" t="s">
        <v>160</v>
      </c>
      <c r="P1350" t="str">
        <f t="shared" si="253"/>
        <v>[1]</v>
      </c>
      <c r="Q1350">
        <f t="shared" si="254"/>
        <v>16</v>
      </c>
      <c r="R1350" t="str">
        <f t="shared" si="252"/>
        <v/>
      </c>
      <c r="S1350">
        <f>SUMIF(O1350:$O$2855,R1350,Q1350:$Q$2855)</f>
        <v>0</v>
      </c>
    </row>
    <row r="1351" spans="11:19" x14ac:dyDescent="0.25">
      <c r="K1351" s="4" t="s">
        <v>421</v>
      </c>
      <c r="L1351" t="s">
        <v>422</v>
      </c>
      <c r="M1351" t="s">
        <v>2638</v>
      </c>
      <c r="N1351" t="s">
        <v>76</v>
      </c>
      <c r="O1351" t="s">
        <v>160</v>
      </c>
      <c r="P1351" t="str">
        <f t="shared" si="253"/>
        <v>[1]</v>
      </c>
      <c r="Q1351">
        <f t="shared" si="254"/>
        <v>36</v>
      </c>
      <c r="R1351" t="str">
        <f t="shared" si="252"/>
        <v/>
      </c>
      <c r="S1351">
        <f>SUMIF(O1351:$O$2855,R1351,Q1351:$Q$2855)</f>
        <v>0</v>
      </c>
    </row>
    <row r="1352" spans="11:19" x14ac:dyDescent="0.25">
      <c r="K1352" s="4" t="s">
        <v>421</v>
      </c>
      <c r="L1352" t="s">
        <v>422</v>
      </c>
      <c r="M1352" t="s">
        <v>2639</v>
      </c>
      <c r="N1352" t="s">
        <v>202</v>
      </c>
      <c r="O1352" t="s">
        <v>160</v>
      </c>
      <c r="P1352" t="str">
        <f t="shared" si="253"/>
        <v>[1]</v>
      </c>
      <c r="Q1352">
        <f t="shared" si="254"/>
        <v>16</v>
      </c>
      <c r="R1352" t="str">
        <f t="shared" si="252"/>
        <v/>
      </c>
      <c r="S1352">
        <f>SUMIF(O1352:$O$2855,R1352,Q1352:$Q$2855)</f>
        <v>0</v>
      </c>
    </row>
    <row r="1353" spans="11:19" x14ac:dyDescent="0.25">
      <c r="K1353" s="4" t="s">
        <v>421</v>
      </c>
      <c r="L1353" t="s">
        <v>422</v>
      </c>
      <c r="M1353" t="s">
        <v>2640</v>
      </c>
      <c r="N1353" t="s">
        <v>6</v>
      </c>
      <c r="O1353" t="s">
        <v>160</v>
      </c>
      <c r="P1353" t="str">
        <f t="shared" si="253"/>
        <v>[1]</v>
      </c>
      <c r="Q1353">
        <f t="shared" si="254"/>
        <v>28</v>
      </c>
      <c r="R1353" t="str">
        <f t="shared" si="252"/>
        <v/>
      </c>
      <c r="S1353">
        <f>SUMIF(O1353:$O$2855,R1353,Q1353:$Q$2855)</f>
        <v>0</v>
      </c>
    </row>
    <row r="1354" spans="11:19" x14ac:dyDescent="0.25">
      <c r="K1354" s="4" t="s">
        <v>421</v>
      </c>
      <c r="L1354" t="s">
        <v>422</v>
      </c>
      <c r="M1354" t="s">
        <v>2641</v>
      </c>
      <c r="N1354" t="s">
        <v>6</v>
      </c>
      <c r="O1354" t="s">
        <v>160</v>
      </c>
      <c r="P1354" t="str">
        <f t="shared" si="253"/>
        <v>[1]</v>
      </c>
      <c r="Q1354">
        <f t="shared" si="254"/>
        <v>28</v>
      </c>
      <c r="R1354" t="str">
        <f t="shared" si="252"/>
        <v/>
      </c>
      <c r="S1354">
        <f>SUMIF(O1354:$O$2855,R1354,Q1354:$Q$2855)</f>
        <v>0</v>
      </c>
    </row>
    <row r="1355" spans="11:19" x14ac:dyDescent="0.25">
      <c r="K1355" s="4" t="s">
        <v>421</v>
      </c>
      <c r="L1355" t="s">
        <v>422</v>
      </c>
      <c r="M1355" t="s">
        <v>2642</v>
      </c>
      <c r="N1355" t="s">
        <v>165</v>
      </c>
      <c r="O1355" t="s">
        <v>160</v>
      </c>
      <c r="P1355" t="str">
        <f t="shared" si="253"/>
        <v>[1]</v>
      </c>
      <c r="Q1355">
        <f t="shared" si="254"/>
        <v>20</v>
      </c>
      <c r="R1355" t="str">
        <f t="shared" si="252"/>
        <v/>
      </c>
      <c r="S1355">
        <f>SUMIF(O1355:$O$2855,R1355,Q1355:$Q$2855)</f>
        <v>0</v>
      </c>
    </row>
    <row r="1356" spans="11:19" x14ac:dyDescent="0.25">
      <c r="K1356" s="4" t="s">
        <v>421</v>
      </c>
      <c r="L1356" t="s">
        <v>422</v>
      </c>
      <c r="M1356" t="s">
        <v>2643</v>
      </c>
      <c r="N1356" t="s">
        <v>437</v>
      </c>
      <c r="O1356" t="s">
        <v>157</v>
      </c>
      <c r="P1356" t="str">
        <f t="shared" si="253"/>
        <v>[1]</v>
      </c>
      <c r="Q1356">
        <f t="shared" si="254"/>
        <v>24</v>
      </c>
      <c r="R1356" t="str">
        <f t="shared" si="252"/>
        <v>MAC_FrameManagement.o</v>
      </c>
      <c r="S1356">
        <f>SUMIF(O1356:$O$2855,R1356,Q1356:$Q$2855)</f>
        <v>528</v>
      </c>
    </row>
    <row r="1357" spans="11:19" x14ac:dyDescent="0.25">
      <c r="K1357" s="4" t="s">
        <v>421</v>
      </c>
      <c r="L1357" t="s">
        <v>422</v>
      </c>
      <c r="M1357" t="s">
        <v>2644</v>
      </c>
      <c r="N1357" t="s">
        <v>76</v>
      </c>
      <c r="O1357" t="s">
        <v>157</v>
      </c>
      <c r="P1357" t="str">
        <f t="shared" si="253"/>
        <v>[1]</v>
      </c>
      <c r="Q1357">
        <f t="shared" si="254"/>
        <v>36</v>
      </c>
      <c r="R1357" t="str">
        <f t="shared" si="252"/>
        <v/>
      </c>
      <c r="S1357">
        <f>SUMIF(O1357:$O$2855,R1357,Q1357:$Q$2855)</f>
        <v>0</v>
      </c>
    </row>
    <row r="1358" spans="11:19" x14ac:dyDescent="0.25">
      <c r="K1358" s="4" t="s">
        <v>421</v>
      </c>
      <c r="L1358" t="s">
        <v>422</v>
      </c>
      <c r="M1358" t="s">
        <v>2645</v>
      </c>
      <c r="N1358" t="s">
        <v>76</v>
      </c>
      <c r="O1358" t="s">
        <v>157</v>
      </c>
      <c r="P1358" t="str">
        <f t="shared" si="253"/>
        <v>[1]</v>
      </c>
      <c r="Q1358">
        <f t="shared" si="254"/>
        <v>36</v>
      </c>
      <c r="R1358" t="str">
        <f t="shared" si="252"/>
        <v/>
      </c>
      <c r="S1358">
        <f>SUMIF(O1358:$O$2855,R1358,Q1358:$Q$2855)</f>
        <v>0</v>
      </c>
    </row>
    <row r="1359" spans="11:19" x14ac:dyDescent="0.25">
      <c r="K1359" s="4" t="s">
        <v>421</v>
      </c>
      <c r="L1359" t="s">
        <v>422</v>
      </c>
      <c r="M1359" t="s">
        <v>2646</v>
      </c>
      <c r="N1359" t="s">
        <v>202</v>
      </c>
      <c r="O1359" t="s">
        <v>157</v>
      </c>
      <c r="P1359" t="str">
        <f t="shared" si="253"/>
        <v>[1]</v>
      </c>
      <c r="Q1359">
        <f t="shared" si="254"/>
        <v>16</v>
      </c>
      <c r="R1359" t="str">
        <f t="shared" si="252"/>
        <v/>
      </c>
      <c r="S1359">
        <f>SUMIF(O1359:$O$2855,R1359,Q1359:$Q$2855)</f>
        <v>0</v>
      </c>
    </row>
    <row r="1360" spans="11:19" x14ac:dyDescent="0.25">
      <c r="K1360" s="4" t="s">
        <v>421</v>
      </c>
      <c r="L1360" t="s">
        <v>422</v>
      </c>
      <c r="M1360" t="s">
        <v>2647</v>
      </c>
      <c r="N1360" t="s">
        <v>275</v>
      </c>
      <c r="O1360" t="s">
        <v>157</v>
      </c>
      <c r="P1360" t="str">
        <f t="shared" si="253"/>
        <v>[1]</v>
      </c>
      <c r="Q1360">
        <f t="shared" si="254"/>
        <v>80</v>
      </c>
      <c r="R1360" t="str">
        <f t="shared" si="252"/>
        <v/>
      </c>
      <c r="S1360">
        <f>SUMIF(O1360:$O$2855,R1360,Q1360:$Q$2855)</f>
        <v>0</v>
      </c>
    </row>
    <row r="1361" spans="11:19" x14ac:dyDescent="0.25">
      <c r="K1361" s="4" t="s">
        <v>421</v>
      </c>
      <c r="L1361" t="s">
        <v>422</v>
      </c>
      <c r="M1361" t="s">
        <v>2648</v>
      </c>
      <c r="N1361" t="s">
        <v>65</v>
      </c>
      <c r="O1361" t="s">
        <v>157</v>
      </c>
      <c r="P1361" t="str">
        <f t="shared" si="253"/>
        <v>[1]</v>
      </c>
      <c r="Q1361">
        <f t="shared" si="254"/>
        <v>40</v>
      </c>
      <c r="R1361" t="str">
        <f t="shared" si="252"/>
        <v/>
      </c>
      <c r="S1361">
        <f>SUMIF(O1361:$O$2855,R1361,Q1361:$Q$2855)</f>
        <v>0</v>
      </c>
    </row>
    <row r="1362" spans="11:19" x14ac:dyDescent="0.25">
      <c r="K1362" s="4" t="s">
        <v>421</v>
      </c>
      <c r="L1362" t="s">
        <v>422</v>
      </c>
      <c r="M1362" t="s">
        <v>2649</v>
      </c>
      <c r="N1362" t="s">
        <v>67</v>
      </c>
      <c r="O1362" t="s">
        <v>157</v>
      </c>
      <c r="P1362" t="str">
        <f t="shared" si="253"/>
        <v>[1]</v>
      </c>
      <c r="Q1362">
        <f t="shared" si="254"/>
        <v>48</v>
      </c>
      <c r="R1362" t="str">
        <f t="shared" si="252"/>
        <v/>
      </c>
      <c r="S1362">
        <f>SUMIF(O1362:$O$2855,R1362,Q1362:$Q$2855)</f>
        <v>0</v>
      </c>
    </row>
    <row r="1363" spans="11:19" x14ac:dyDescent="0.25">
      <c r="K1363" s="4" t="s">
        <v>421</v>
      </c>
      <c r="L1363" t="s">
        <v>422</v>
      </c>
      <c r="M1363" t="s">
        <v>2650</v>
      </c>
      <c r="N1363" t="s">
        <v>237</v>
      </c>
      <c r="O1363" t="s">
        <v>157</v>
      </c>
      <c r="P1363" t="str">
        <f t="shared" si="253"/>
        <v>[1]</v>
      </c>
      <c r="Q1363">
        <f t="shared" si="254"/>
        <v>52</v>
      </c>
      <c r="R1363" t="str">
        <f t="shared" si="252"/>
        <v/>
      </c>
      <c r="S1363">
        <f>SUMIF(O1363:$O$2855,R1363,Q1363:$Q$2855)</f>
        <v>0</v>
      </c>
    </row>
    <row r="1364" spans="11:19" x14ac:dyDescent="0.25">
      <c r="K1364" s="4" t="s">
        <v>421</v>
      </c>
      <c r="L1364" t="s">
        <v>422</v>
      </c>
      <c r="M1364" t="s">
        <v>2651</v>
      </c>
      <c r="N1364" t="s">
        <v>119</v>
      </c>
      <c r="O1364" t="s">
        <v>157</v>
      </c>
      <c r="P1364" t="str">
        <f t="shared" si="253"/>
        <v>[1]</v>
      </c>
      <c r="Q1364">
        <f t="shared" si="254"/>
        <v>32</v>
      </c>
      <c r="R1364" t="str">
        <f t="shared" si="252"/>
        <v/>
      </c>
      <c r="S1364">
        <f>SUMIF(O1364:$O$2855,R1364,Q1364:$Q$2855)</f>
        <v>0</v>
      </c>
    </row>
    <row r="1365" spans="11:19" x14ac:dyDescent="0.25">
      <c r="K1365" s="4" t="s">
        <v>421</v>
      </c>
      <c r="L1365" t="s">
        <v>422</v>
      </c>
      <c r="M1365" t="s">
        <v>2652</v>
      </c>
      <c r="N1365" t="s">
        <v>67</v>
      </c>
      <c r="O1365" t="s">
        <v>157</v>
      </c>
      <c r="P1365" t="str">
        <f t="shared" si="253"/>
        <v>[1]</v>
      </c>
      <c r="Q1365">
        <f t="shared" si="254"/>
        <v>48</v>
      </c>
      <c r="R1365" t="str">
        <f t="shared" si="252"/>
        <v/>
      </c>
      <c r="S1365">
        <f>SUMIF(O1365:$O$2855,R1365,Q1365:$Q$2855)</f>
        <v>0</v>
      </c>
    </row>
    <row r="1366" spans="11:19" x14ac:dyDescent="0.25">
      <c r="K1366" s="4" t="s">
        <v>421</v>
      </c>
      <c r="L1366" t="s">
        <v>422</v>
      </c>
      <c r="M1366" t="s">
        <v>2653</v>
      </c>
      <c r="N1366" t="s">
        <v>67</v>
      </c>
      <c r="O1366" t="s">
        <v>157</v>
      </c>
      <c r="P1366" t="str">
        <f t="shared" si="253"/>
        <v>[1]</v>
      </c>
      <c r="Q1366">
        <f t="shared" si="254"/>
        <v>48</v>
      </c>
      <c r="R1366" t="str">
        <f t="shared" si="252"/>
        <v/>
      </c>
      <c r="S1366">
        <f>SUMIF(O1366:$O$2855,R1366,Q1366:$Q$2855)</f>
        <v>0</v>
      </c>
    </row>
    <row r="1367" spans="11:19" x14ac:dyDescent="0.25">
      <c r="K1367" s="4" t="s">
        <v>421</v>
      </c>
      <c r="L1367" t="s">
        <v>422</v>
      </c>
      <c r="M1367" t="s">
        <v>2654</v>
      </c>
      <c r="N1367" t="s">
        <v>119</v>
      </c>
      <c r="O1367" t="s">
        <v>157</v>
      </c>
      <c r="P1367" t="str">
        <f t="shared" si="253"/>
        <v>[1]</v>
      </c>
      <c r="Q1367">
        <f t="shared" si="254"/>
        <v>32</v>
      </c>
      <c r="R1367" t="str">
        <f t="shared" si="252"/>
        <v/>
      </c>
      <c r="S1367">
        <f>SUMIF(O1367:$O$2855,R1367,Q1367:$Q$2855)</f>
        <v>0</v>
      </c>
    </row>
    <row r="1368" spans="11:19" x14ac:dyDescent="0.25">
      <c r="K1368" s="4" t="s">
        <v>421</v>
      </c>
      <c r="L1368" t="s">
        <v>422</v>
      </c>
      <c r="M1368" t="s">
        <v>2655</v>
      </c>
      <c r="N1368" t="s">
        <v>76</v>
      </c>
      <c r="O1368" t="s">
        <v>157</v>
      </c>
      <c r="P1368" t="str">
        <f t="shared" si="253"/>
        <v>[1]</v>
      </c>
      <c r="Q1368">
        <f t="shared" si="254"/>
        <v>36</v>
      </c>
      <c r="R1368" t="str">
        <f t="shared" si="252"/>
        <v/>
      </c>
      <c r="S1368">
        <f>SUMIF(O1368:$O$2855,R1368,Q1368:$Q$2855)</f>
        <v>0</v>
      </c>
    </row>
    <row r="1369" spans="11:19" x14ac:dyDescent="0.25">
      <c r="K1369" s="4" t="s">
        <v>421</v>
      </c>
      <c r="L1369" t="s">
        <v>422</v>
      </c>
      <c r="M1369" t="s">
        <v>2656</v>
      </c>
      <c r="N1369" t="s">
        <v>165</v>
      </c>
      <c r="O1369" t="s">
        <v>158</v>
      </c>
      <c r="P1369" t="str">
        <f t="shared" si="253"/>
        <v>[1]</v>
      </c>
      <c r="Q1369">
        <f t="shared" si="254"/>
        <v>20</v>
      </c>
      <c r="R1369" t="str">
        <f t="shared" si="252"/>
        <v>MAC_PacketManagement.o</v>
      </c>
      <c r="S1369">
        <f>SUMIF(O1369:$O$2855,R1369,Q1369:$Q$2855)</f>
        <v>440</v>
      </c>
    </row>
    <row r="1370" spans="11:19" x14ac:dyDescent="0.25">
      <c r="K1370" s="4" t="s">
        <v>421</v>
      </c>
      <c r="L1370" t="s">
        <v>422</v>
      </c>
      <c r="M1370" t="s">
        <v>2657</v>
      </c>
      <c r="N1370" t="s">
        <v>13</v>
      </c>
      <c r="O1370" t="s">
        <v>158</v>
      </c>
      <c r="P1370" t="str">
        <f t="shared" si="253"/>
        <v>[1]</v>
      </c>
      <c r="Q1370">
        <f t="shared" si="254"/>
        <v>12</v>
      </c>
      <c r="R1370" t="str">
        <f t="shared" si="252"/>
        <v/>
      </c>
      <c r="S1370">
        <f>SUMIF(O1370:$O$2855,R1370,Q1370:$Q$2855)</f>
        <v>0</v>
      </c>
    </row>
    <row r="1371" spans="11:19" x14ac:dyDescent="0.25">
      <c r="K1371" s="4" t="s">
        <v>421</v>
      </c>
      <c r="L1371" t="s">
        <v>422</v>
      </c>
      <c r="M1371" t="s">
        <v>2658</v>
      </c>
      <c r="N1371" t="s">
        <v>202</v>
      </c>
      <c r="O1371" t="s">
        <v>158</v>
      </c>
      <c r="P1371" t="str">
        <f t="shared" si="253"/>
        <v>[1]</v>
      </c>
      <c r="Q1371">
        <f t="shared" si="254"/>
        <v>16</v>
      </c>
      <c r="R1371" t="str">
        <f t="shared" si="252"/>
        <v/>
      </c>
      <c r="S1371">
        <f>SUMIF(O1371:$O$2855,R1371,Q1371:$Q$2855)</f>
        <v>0</v>
      </c>
    </row>
    <row r="1372" spans="11:19" x14ac:dyDescent="0.25">
      <c r="K1372" s="4" t="s">
        <v>421</v>
      </c>
      <c r="L1372" t="s">
        <v>422</v>
      </c>
      <c r="M1372" t="s">
        <v>2659</v>
      </c>
      <c r="N1372" t="s">
        <v>76</v>
      </c>
      <c r="O1372" t="s">
        <v>158</v>
      </c>
      <c r="P1372" t="str">
        <f t="shared" si="253"/>
        <v>[1]</v>
      </c>
      <c r="Q1372">
        <f t="shared" si="254"/>
        <v>36</v>
      </c>
      <c r="R1372" t="str">
        <f t="shared" si="252"/>
        <v/>
      </c>
      <c r="S1372">
        <f>SUMIF(O1372:$O$2855,R1372,Q1372:$Q$2855)</f>
        <v>0</v>
      </c>
    </row>
    <row r="1373" spans="11:19" x14ac:dyDescent="0.25">
      <c r="K1373" s="4" t="s">
        <v>421</v>
      </c>
      <c r="L1373" t="s">
        <v>422</v>
      </c>
      <c r="M1373" t="s">
        <v>2660</v>
      </c>
      <c r="N1373" t="s">
        <v>124</v>
      </c>
      <c r="O1373" t="s">
        <v>158</v>
      </c>
      <c r="P1373" t="str">
        <f t="shared" si="253"/>
        <v>[1]</v>
      </c>
      <c r="Q1373">
        <f t="shared" si="254"/>
        <v>68</v>
      </c>
      <c r="R1373" t="str">
        <f t="shared" si="252"/>
        <v/>
      </c>
      <c r="S1373">
        <f>SUMIF(O1373:$O$2855,R1373,Q1373:$Q$2855)</f>
        <v>0</v>
      </c>
    </row>
    <row r="1374" spans="11:19" x14ac:dyDescent="0.25">
      <c r="K1374" s="4" t="s">
        <v>421</v>
      </c>
      <c r="L1374" t="s">
        <v>422</v>
      </c>
      <c r="M1374" t="s">
        <v>2661</v>
      </c>
      <c r="N1374" t="s">
        <v>437</v>
      </c>
      <c r="O1374" t="s">
        <v>158</v>
      </c>
      <c r="P1374" t="str">
        <f t="shared" si="253"/>
        <v>[1]</v>
      </c>
      <c r="Q1374">
        <f t="shared" si="254"/>
        <v>24</v>
      </c>
      <c r="R1374" t="str">
        <f t="shared" si="252"/>
        <v/>
      </c>
      <c r="S1374">
        <f>SUMIF(O1374:$O$2855,R1374,Q1374:$Q$2855)</f>
        <v>0</v>
      </c>
    </row>
    <row r="1375" spans="11:19" x14ac:dyDescent="0.25">
      <c r="K1375" s="4" t="s">
        <v>421</v>
      </c>
      <c r="L1375" t="s">
        <v>422</v>
      </c>
      <c r="M1375" t="s">
        <v>2662</v>
      </c>
      <c r="N1375" t="s">
        <v>237</v>
      </c>
      <c r="O1375" t="s">
        <v>158</v>
      </c>
      <c r="P1375" t="str">
        <f t="shared" si="253"/>
        <v>[1]</v>
      </c>
      <c r="Q1375">
        <f t="shared" si="254"/>
        <v>52</v>
      </c>
      <c r="R1375" t="str">
        <f t="shared" si="252"/>
        <v/>
      </c>
      <c r="S1375">
        <f>SUMIF(O1375:$O$2855,R1375,Q1375:$Q$2855)</f>
        <v>0</v>
      </c>
    </row>
    <row r="1376" spans="11:19" x14ac:dyDescent="0.25">
      <c r="K1376" s="4" t="s">
        <v>421</v>
      </c>
      <c r="L1376" t="s">
        <v>422</v>
      </c>
      <c r="M1376" t="s">
        <v>2663</v>
      </c>
      <c r="N1376" t="s">
        <v>119</v>
      </c>
      <c r="O1376" t="s">
        <v>158</v>
      </c>
      <c r="P1376" t="str">
        <f t="shared" si="253"/>
        <v>[1]</v>
      </c>
      <c r="Q1376">
        <f t="shared" si="254"/>
        <v>32</v>
      </c>
      <c r="R1376" t="str">
        <f t="shared" ref="R1376:R1439" si="255">IF(O1376&lt;&gt;O1375,O1376,"")</f>
        <v/>
      </c>
      <c r="S1376">
        <f>SUMIF(O1376:$O$2855,R1376,Q1376:$Q$2855)</f>
        <v>0</v>
      </c>
    </row>
    <row r="1377" spans="11:19" x14ac:dyDescent="0.25">
      <c r="K1377" s="4" t="s">
        <v>421</v>
      </c>
      <c r="L1377" t="s">
        <v>422</v>
      </c>
      <c r="M1377" t="s">
        <v>2664</v>
      </c>
      <c r="N1377" t="s">
        <v>65</v>
      </c>
      <c r="O1377" t="s">
        <v>158</v>
      </c>
      <c r="P1377" t="str">
        <f t="shared" si="253"/>
        <v>[1]</v>
      </c>
      <c r="Q1377">
        <f t="shared" si="254"/>
        <v>40</v>
      </c>
      <c r="R1377" t="str">
        <f t="shared" si="255"/>
        <v/>
      </c>
      <c r="S1377">
        <f>SUMIF(O1377:$O$2855,R1377,Q1377:$Q$2855)</f>
        <v>0</v>
      </c>
    </row>
    <row r="1378" spans="11:19" x14ac:dyDescent="0.25">
      <c r="K1378" s="4" t="s">
        <v>421</v>
      </c>
      <c r="L1378" t="s">
        <v>422</v>
      </c>
      <c r="M1378" t="s">
        <v>2665</v>
      </c>
      <c r="N1378" t="s">
        <v>76</v>
      </c>
      <c r="O1378" t="s">
        <v>158</v>
      </c>
      <c r="P1378" t="str">
        <f t="shared" si="253"/>
        <v>[1]</v>
      </c>
      <c r="Q1378">
        <f t="shared" si="254"/>
        <v>36</v>
      </c>
      <c r="R1378" t="str">
        <f t="shared" si="255"/>
        <v/>
      </c>
      <c r="S1378">
        <f>SUMIF(O1378:$O$2855,R1378,Q1378:$Q$2855)</f>
        <v>0</v>
      </c>
    </row>
    <row r="1379" spans="11:19" x14ac:dyDescent="0.25">
      <c r="K1379" s="4" t="s">
        <v>421</v>
      </c>
      <c r="L1379" t="s">
        <v>422</v>
      </c>
      <c r="M1379" t="s">
        <v>2666</v>
      </c>
      <c r="N1379" t="s">
        <v>435</v>
      </c>
      <c r="O1379" t="s">
        <v>158</v>
      </c>
      <c r="P1379" t="str">
        <f t="shared" si="253"/>
        <v>[1]</v>
      </c>
      <c r="Q1379">
        <f t="shared" si="254"/>
        <v>60</v>
      </c>
      <c r="R1379" t="str">
        <f t="shared" si="255"/>
        <v/>
      </c>
      <c r="S1379">
        <f>SUMIF(O1379:$O$2855,R1379,Q1379:$Q$2855)</f>
        <v>0</v>
      </c>
    </row>
    <row r="1380" spans="11:19" x14ac:dyDescent="0.25">
      <c r="K1380" s="4" t="s">
        <v>421</v>
      </c>
      <c r="L1380" t="s">
        <v>422</v>
      </c>
      <c r="M1380" t="s">
        <v>2667</v>
      </c>
      <c r="N1380" t="s">
        <v>44</v>
      </c>
      <c r="O1380" t="s">
        <v>158</v>
      </c>
      <c r="P1380" t="str">
        <f t="shared" si="253"/>
        <v>[1]</v>
      </c>
      <c r="Q1380">
        <f t="shared" si="254"/>
        <v>44</v>
      </c>
      <c r="R1380" t="str">
        <f t="shared" si="255"/>
        <v/>
      </c>
      <c r="S1380">
        <f>SUMIF(O1380:$O$2855,R1380,Q1380:$Q$2855)</f>
        <v>0</v>
      </c>
    </row>
    <row r="1381" spans="11:19" x14ac:dyDescent="0.25">
      <c r="K1381" s="4" t="s">
        <v>421</v>
      </c>
      <c r="L1381" t="s">
        <v>422</v>
      </c>
      <c r="M1381" t="s">
        <v>2751</v>
      </c>
      <c r="N1381" t="s">
        <v>143</v>
      </c>
      <c r="O1381" t="s">
        <v>115</v>
      </c>
      <c r="P1381" t="str">
        <f t="shared" si="253"/>
        <v>[1]</v>
      </c>
      <c r="Q1381">
        <f t="shared" si="254"/>
        <v>84</v>
      </c>
      <c r="R1381" t="str">
        <f t="shared" si="255"/>
        <v>MessageQ.o</v>
      </c>
      <c r="S1381">
        <f>SUMIF(O1381:$O$2855,R1381,Q1381:$Q$2855)</f>
        <v>560</v>
      </c>
    </row>
    <row r="1382" spans="11:19" x14ac:dyDescent="0.25">
      <c r="K1382" s="4" t="s">
        <v>421</v>
      </c>
      <c r="L1382" t="s">
        <v>422</v>
      </c>
      <c r="M1382" t="s">
        <v>2752</v>
      </c>
      <c r="N1382" t="s">
        <v>65</v>
      </c>
      <c r="O1382" t="s">
        <v>115</v>
      </c>
      <c r="P1382" t="str">
        <f t="shared" si="253"/>
        <v>[1]</v>
      </c>
      <c r="Q1382">
        <f t="shared" si="254"/>
        <v>40</v>
      </c>
      <c r="R1382" t="str">
        <f t="shared" si="255"/>
        <v/>
      </c>
      <c r="S1382">
        <f>SUMIF(O1382:$O$2855,R1382,Q1382:$Q$2855)</f>
        <v>0</v>
      </c>
    </row>
    <row r="1383" spans="11:19" x14ac:dyDescent="0.25">
      <c r="K1383" s="4" t="s">
        <v>421</v>
      </c>
      <c r="L1383" t="s">
        <v>422</v>
      </c>
      <c r="M1383" t="s">
        <v>2753</v>
      </c>
      <c r="N1383" t="s">
        <v>141</v>
      </c>
      <c r="O1383" t="s">
        <v>115</v>
      </c>
      <c r="P1383" t="str">
        <f t="shared" si="253"/>
        <v>[1]</v>
      </c>
      <c r="Q1383">
        <f t="shared" si="254"/>
        <v>104</v>
      </c>
      <c r="R1383" t="str">
        <f t="shared" si="255"/>
        <v/>
      </c>
      <c r="S1383">
        <f>SUMIF(O1383:$O$2855,R1383,Q1383:$Q$2855)</f>
        <v>0</v>
      </c>
    </row>
    <row r="1384" spans="11:19" x14ac:dyDescent="0.25">
      <c r="K1384" s="4" t="s">
        <v>421</v>
      </c>
      <c r="L1384" t="s">
        <v>422</v>
      </c>
      <c r="M1384" t="s">
        <v>2754</v>
      </c>
      <c r="N1384" t="s">
        <v>13</v>
      </c>
      <c r="O1384" t="s">
        <v>115</v>
      </c>
      <c r="P1384" t="str">
        <f t="shared" si="253"/>
        <v>[1]</v>
      </c>
      <c r="Q1384">
        <f t="shared" si="254"/>
        <v>12</v>
      </c>
      <c r="R1384" t="str">
        <f t="shared" si="255"/>
        <v/>
      </c>
      <c r="S1384">
        <f>SUMIF(O1384:$O$2855,R1384,Q1384:$Q$2855)</f>
        <v>0</v>
      </c>
    </row>
    <row r="1385" spans="11:19" x14ac:dyDescent="0.25">
      <c r="K1385" s="4" t="s">
        <v>421</v>
      </c>
      <c r="L1385" t="s">
        <v>422</v>
      </c>
      <c r="M1385" t="s">
        <v>2755</v>
      </c>
      <c r="N1385" t="s">
        <v>143</v>
      </c>
      <c r="O1385" t="s">
        <v>115</v>
      </c>
      <c r="P1385" t="str">
        <f t="shared" si="253"/>
        <v>[1]</v>
      </c>
      <c r="Q1385">
        <f t="shared" si="254"/>
        <v>84</v>
      </c>
      <c r="R1385" t="str">
        <f t="shared" si="255"/>
        <v/>
      </c>
      <c r="S1385">
        <f>SUMIF(O1385:$O$2855,R1385,Q1385:$Q$2855)</f>
        <v>0</v>
      </c>
    </row>
    <row r="1386" spans="11:19" x14ac:dyDescent="0.25">
      <c r="K1386" s="4" t="s">
        <v>421</v>
      </c>
      <c r="L1386" t="s">
        <v>422</v>
      </c>
      <c r="M1386" t="s">
        <v>2756</v>
      </c>
      <c r="N1386" t="s">
        <v>65</v>
      </c>
      <c r="O1386" t="s">
        <v>115</v>
      </c>
      <c r="P1386" t="str">
        <f t="shared" si="253"/>
        <v>[1]</v>
      </c>
      <c r="Q1386">
        <f t="shared" si="254"/>
        <v>40</v>
      </c>
      <c r="R1386" t="str">
        <f t="shared" si="255"/>
        <v/>
      </c>
      <c r="S1386">
        <f>SUMIF(O1386:$O$2855,R1386,Q1386:$Q$2855)</f>
        <v>0</v>
      </c>
    </row>
    <row r="1387" spans="11:19" x14ac:dyDescent="0.25">
      <c r="K1387" s="4" t="s">
        <v>421</v>
      </c>
      <c r="L1387" t="s">
        <v>422</v>
      </c>
      <c r="M1387" t="s">
        <v>2757</v>
      </c>
      <c r="N1387" t="s">
        <v>211</v>
      </c>
      <c r="O1387" t="s">
        <v>115</v>
      </c>
      <c r="P1387" t="str">
        <f t="shared" si="253"/>
        <v>[1]</v>
      </c>
      <c r="Q1387">
        <f t="shared" si="254"/>
        <v>92</v>
      </c>
      <c r="R1387" t="str">
        <f t="shared" si="255"/>
        <v/>
      </c>
      <c r="S1387">
        <f>SUMIF(O1387:$O$2855,R1387,Q1387:$Q$2855)</f>
        <v>0</v>
      </c>
    </row>
    <row r="1388" spans="11:19" x14ac:dyDescent="0.25">
      <c r="K1388" s="4" t="s">
        <v>421</v>
      </c>
      <c r="L1388" t="s">
        <v>422</v>
      </c>
      <c r="M1388" t="s">
        <v>2758</v>
      </c>
      <c r="N1388" t="s">
        <v>141</v>
      </c>
      <c r="O1388" t="s">
        <v>115</v>
      </c>
      <c r="P1388" t="str">
        <f t="shared" si="253"/>
        <v>[1]</v>
      </c>
      <c r="Q1388">
        <f t="shared" si="254"/>
        <v>104</v>
      </c>
      <c r="R1388" t="str">
        <f t="shared" si="255"/>
        <v/>
      </c>
      <c r="S1388">
        <f>SUMIF(O1388:$O$2855,R1388,Q1388:$Q$2855)</f>
        <v>0</v>
      </c>
    </row>
    <row r="1389" spans="11:19" x14ac:dyDescent="0.25">
      <c r="K1389" s="4" t="s">
        <v>421</v>
      </c>
      <c r="L1389" t="s">
        <v>422</v>
      </c>
      <c r="M1389" t="s">
        <v>3583</v>
      </c>
      <c r="N1389" t="s">
        <v>13</v>
      </c>
      <c r="O1389" t="s">
        <v>248</v>
      </c>
      <c r="P1389" t="str">
        <f t="shared" si="253"/>
        <v>[1]</v>
      </c>
      <c r="Q1389">
        <f t="shared" si="254"/>
        <v>12</v>
      </c>
      <c r="R1389" t="str">
        <f t="shared" si="255"/>
        <v>MFG_Dtls.o</v>
      </c>
      <c r="S1389">
        <f>SUMIF(O1389:$O$2855,R1389,Q1389:$Q$2855)</f>
        <v>232</v>
      </c>
    </row>
    <row r="1390" spans="11:19" x14ac:dyDescent="0.25">
      <c r="K1390" s="4" t="s">
        <v>421</v>
      </c>
      <c r="L1390" t="s">
        <v>422</v>
      </c>
      <c r="M1390" t="s">
        <v>3584</v>
      </c>
      <c r="N1390" t="s">
        <v>67</v>
      </c>
      <c r="O1390" t="s">
        <v>248</v>
      </c>
      <c r="P1390" t="str">
        <f t="shared" si="253"/>
        <v>[1]</v>
      </c>
      <c r="Q1390">
        <f t="shared" si="254"/>
        <v>48</v>
      </c>
      <c r="R1390" t="str">
        <f t="shared" si="255"/>
        <v/>
      </c>
      <c r="S1390">
        <f>SUMIF(O1390:$O$2855,R1390,Q1390:$Q$2855)</f>
        <v>0</v>
      </c>
    </row>
    <row r="1391" spans="11:19" x14ac:dyDescent="0.25">
      <c r="K1391" s="4" t="s">
        <v>421</v>
      </c>
      <c r="L1391" t="s">
        <v>422</v>
      </c>
      <c r="M1391" t="s">
        <v>3585</v>
      </c>
      <c r="N1391" t="s">
        <v>119</v>
      </c>
      <c r="O1391" t="s">
        <v>248</v>
      </c>
      <c r="P1391" t="str">
        <f t="shared" si="253"/>
        <v>[1]</v>
      </c>
      <c r="Q1391">
        <f t="shared" si="254"/>
        <v>32</v>
      </c>
      <c r="R1391" t="str">
        <f t="shared" si="255"/>
        <v/>
      </c>
      <c r="S1391">
        <f>SUMIF(O1391:$O$2855,R1391,Q1391:$Q$2855)</f>
        <v>0</v>
      </c>
    </row>
    <row r="1392" spans="11:19" x14ac:dyDescent="0.25">
      <c r="K1392" s="4" t="s">
        <v>421</v>
      </c>
      <c r="L1392" t="s">
        <v>422</v>
      </c>
      <c r="M1392" t="s">
        <v>3586</v>
      </c>
      <c r="N1392" t="s">
        <v>119</v>
      </c>
      <c r="O1392" t="s">
        <v>248</v>
      </c>
      <c r="P1392" t="str">
        <f t="shared" si="253"/>
        <v>[1]</v>
      </c>
      <c r="Q1392">
        <f t="shared" si="254"/>
        <v>32</v>
      </c>
      <c r="R1392" t="str">
        <f t="shared" si="255"/>
        <v/>
      </c>
      <c r="S1392">
        <f>SUMIF(O1392:$O$2855,R1392,Q1392:$Q$2855)</f>
        <v>0</v>
      </c>
    </row>
    <row r="1393" spans="11:19" x14ac:dyDescent="0.25">
      <c r="K1393" s="4" t="s">
        <v>421</v>
      </c>
      <c r="L1393" t="s">
        <v>422</v>
      </c>
      <c r="M1393" t="s">
        <v>3587</v>
      </c>
      <c r="N1393" t="s">
        <v>44</v>
      </c>
      <c r="O1393" t="s">
        <v>248</v>
      </c>
      <c r="P1393" t="str">
        <f t="shared" si="253"/>
        <v>[1]</v>
      </c>
      <c r="Q1393">
        <f t="shared" si="254"/>
        <v>44</v>
      </c>
      <c r="R1393" t="str">
        <f t="shared" si="255"/>
        <v/>
      </c>
      <c r="S1393">
        <f>SUMIF(O1393:$O$2855,R1393,Q1393:$Q$2855)</f>
        <v>0</v>
      </c>
    </row>
    <row r="1394" spans="11:19" x14ac:dyDescent="0.25">
      <c r="K1394" s="4" t="s">
        <v>421</v>
      </c>
      <c r="L1394" t="s">
        <v>422</v>
      </c>
      <c r="M1394" t="s">
        <v>3588</v>
      </c>
      <c r="N1394" t="s">
        <v>76</v>
      </c>
      <c r="O1394" t="s">
        <v>248</v>
      </c>
      <c r="P1394" t="str">
        <f t="shared" si="253"/>
        <v>[1]</v>
      </c>
      <c r="Q1394">
        <f t="shared" si="254"/>
        <v>36</v>
      </c>
      <c r="R1394" t="str">
        <f t="shared" si="255"/>
        <v/>
      </c>
      <c r="S1394">
        <f>SUMIF(O1394:$O$2855,R1394,Q1394:$Q$2855)</f>
        <v>0</v>
      </c>
    </row>
    <row r="1395" spans="11:19" x14ac:dyDescent="0.25">
      <c r="K1395" s="4" t="s">
        <v>421</v>
      </c>
      <c r="L1395" t="s">
        <v>422</v>
      </c>
      <c r="M1395" t="s">
        <v>3589</v>
      </c>
      <c r="N1395" t="s">
        <v>6</v>
      </c>
      <c r="O1395" t="s">
        <v>248</v>
      </c>
      <c r="P1395" t="str">
        <f t="shared" si="253"/>
        <v>[1]</v>
      </c>
      <c r="Q1395">
        <f t="shared" si="254"/>
        <v>28</v>
      </c>
      <c r="R1395" t="str">
        <f t="shared" si="255"/>
        <v/>
      </c>
      <c r="S1395">
        <f>SUMIF(O1395:$O$2855,R1395,Q1395:$Q$2855)</f>
        <v>0</v>
      </c>
    </row>
    <row r="1396" spans="11:19" x14ac:dyDescent="0.25">
      <c r="K1396" s="4" t="s">
        <v>421</v>
      </c>
      <c r="L1396" t="s">
        <v>422</v>
      </c>
      <c r="M1396" t="s">
        <v>3590</v>
      </c>
      <c r="N1396" t="s">
        <v>126</v>
      </c>
      <c r="O1396" t="s">
        <v>244</v>
      </c>
      <c r="P1396" t="str">
        <f t="shared" si="253"/>
        <v>[1]</v>
      </c>
      <c r="Q1396">
        <f t="shared" si="254"/>
        <v>8</v>
      </c>
      <c r="R1396" t="str">
        <f t="shared" si="255"/>
        <v>MFG_Port.o</v>
      </c>
      <c r="S1396">
        <f>SUMIF(O1396:$O$2855,R1396,Q1396:$Q$2855)</f>
        <v>14814</v>
      </c>
    </row>
    <row r="1397" spans="11:19" x14ac:dyDescent="0.25">
      <c r="K1397" s="4" t="s">
        <v>421</v>
      </c>
      <c r="L1397" t="s">
        <v>422</v>
      </c>
      <c r="M1397" t="s">
        <v>3591</v>
      </c>
      <c r="N1397" t="s">
        <v>6</v>
      </c>
      <c r="O1397" t="s">
        <v>244</v>
      </c>
      <c r="P1397" t="str">
        <f t="shared" si="253"/>
        <v>[1]</v>
      </c>
      <c r="Q1397">
        <f t="shared" si="254"/>
        <v>28</v>
      </c>
      <c r="R1397" t="str">
        <f t="shared" si="255"/>
        <v/>
      </c>
      <c r="S1397">
        <f>SUMIF(O1397:$O$2855,R1397,Q1397:$Q$2855)</f>
        <v>0</v>
      </c>
    </row>
    <row r="1398" spans="11:19" x14ac:dyDescent="0.25">
      <c r="K1398" s="4" t="s">
        <v>421</v>
      </c>
      <c r="L1398" t="s">
        <v>422</v>
      </c>
      <c r="M1398" t="s">
        <v>3592</v>
      </c>
      <c r="N1398" t="s">
        <v>202</v>
      </c>
      <c r="O1398" t="s">
        <v>244</v>
      </c>
      <c r="P1398" t="str">
        <f t="shared" si="253"/>
        <v>[1]</v>
      </c>
      <c r="Q1398">
        <f t="shared" si="254"/>
        <v>16</v>
      </c>
      <c r="R1398" t="str">
        <f t="shared" si="255"/>
        <v/>
      </c>
      <c r="S1398">
        <f>SUMIF(O1398:$O$2855,R1398,Q1398:$Q$2855)</f>
        <v>0</v>
      </c>
    </row>
    <row r="1399" spans="11:19" x14ac:dyDescent="0.25">
      <c r="K1399" s="4" t="s">
        <v>421</v>
      </c>
      <c r="L1399" t="s">
        <v>422</v>
      </c>
      <c r="M1399" t="s">
        <v>3593</v>
      </c>
      <c r="N1399" t="s">
        <v>437</v>
      </c>
      <c r="O1399" t="s">
        <v>244</v>
      </c>
      <c r="P1399" t="str">
        <f t="shared" si="253"/>
        <v>[1]</v>
      </c>
      <c r="Q1399">
        <f t="shared" si="254"/>
        <v>24</v>
      </c>
      <c r="R1399" t="str">
        <f t="shared" si="255"/>
        <v/>
      </c>
      <c r="S1399">
        <f>SUMIF(O1399:$O$2855,R1399,Q1399:$Q$2855)</f>
        <v>0</v>
      </c>
    </row>
    <row r="1400" spans="11:19" x14ac:dyDescent="0.25">
      <c r="K1400" s="4" t="s">
        <v>421</v>
      </c>
      <c r="L1400" t="s">
        <v>422</v>
      </c>
      <c r="M1400" t="s">
        <v>3594</v>
      </c>
      <c r="N1400" t="s">
        <v>275</v>
      </c>
      <c r="O1400" t="s">
        <v>244</v>
      </c>
      <c r="P1400" t="str">
        <f t="shared" si="253"/>
        <v>[1]</v>
      </c>
      <c r="Q1400">
        <f t="shared" si="254"/>
        <v>80</v>
      </c>
      <c r="R1400" t="str">
        <f t="shared" si="255"/>
        <v/>
      </c>
      <c r="S1400">
        <f>SUMIF(O1400:$O$2855,R1400,Q1400:$Q$2855)</f>
        <v>0</v>
      </c>
    </row>
    <row r="1401" spans="11:19" x14ac:dyDescent="0.25">
      <c r="K1401" s="4" t="s">
        <v>421</v>
      </c>
      <c r="L1401" t="s">
        <v>422</v>
      </c>
      <c r="M1401" t="s">
        <v>3595</v>
      </c>
      <c r="N1401" t="s">
        <v>6</v>
      </c>
      <c r="O1401" t="s">
        <v>244</v>
      </c>
      <c r="P1401" t="str">
        <f t="shared" si="253"/>
        <v>[1]</v>
      </c>
      <c r="Q1401">
        <f t="shared" si="254"/>
        <v>28</v>
      </c>
      <c r="R1401" t="str">
        <f t="shared" si="255"/>
        <v/>
      </c>
      <c r="S1401">
        <f>SUMIF(O1401:$O$2855,R1401,Q1401:$Q$2855)</f>
        <v>0</v>
      </c>
    </row>
    <row r="1402" spans="11:19" x14ac:dyDescent="0.25">
      <c r="K1402" s="4" t="s">
        <v>421</v>
      </c>
      <c r="L1402" t="s">
        <v>422</v>
      </c>
      <c r="M1402" t="s">
        <v>3596</v>
      </c>
      <c r="N1402" t="s">
        <v>89</v>
      </c>
      <c r="O1402" t="s">
        <v>244</v>
      </c>
      <c r="P1402" t="str">
        <f t="shared" si="253"/>
        <v>[1]</v>
      </c>
      <c r="Q1402">
        <f t="shared" si="254"/>
        <v>76</v>
      </c>
      <c r="R1402" t="str">
        <f t="shared" si="255"/>
        <v/>
      </c>
      <c r="S1402">
        <f>SUMIF(O1402:$O$2855,R1402,Q1402:$Q$2855)</f>
        <v>0</v>
      </c>
    </row>
    <row r="1403" spans="11:19" x14ac:dyDescent="0.25">
      <c r="K1403" s="4" t="s">
        <v>421</v>
      </c>
      <c r="L1403" t="s">
        <v>422</v>
      </c>
      <c r="M1403" t="s">
        <v>3597</v>
      </c>
      <c r="N1403" t="s">
        <v>165</v>
      </c>
      <c r="O1403" t="s">
        <v>244</v>
      </c>
      <c r="P1403" t="str">
        <f t="shared" si="253"/>
        <v>[1]</v>
      </c>
      <c r="Q1403">
        <f t="shared" si="254"/>
        <v>20</v>
      </c>
      <c r="R1403" t="str">
        <f t="shared" si="255"/>
        <v/>
      </c>
      <c r="S1403">
        <f>SUMIF(O1403:$O$2855,R1403,Q1403:$Q$2855)</f>
        <v>0</v>
      </c>
    </row>
    <row r="1404" spans="11:19" x14ac:dyDescent="0.25">
      <c r="K1404" s="4" t="s">
        <v>421</v>
      </c>
      <c r="L1404" t="s">
        <v>422</v>
      </c>
      <c r="M1404" t="s">
        <v>3598</v>
      </c>
      <c r="N1404" t="s">
        <v>143</v>
      </c>
      <c r="O1404" t="s">
        <v>244</v>
      </c>
      <c r="P1404" t="str">
        <f t="shared" si="253"/>
        <v>[1]</v>
      </c>
      <c r="Q1404">
        <f t="shared" si="254"/>
        <v>84</v>
      </c>
      <c r="R1404" t="str">
        <f t="shared" si="255"/>
        <v/>
      </c>
      <c r="S1404">
        <f>SUMIF(O1404:$O$2855,R1404,Q1404:$Q$2855)</f>
        <v>0</v>
      </c>
    </row>
    <row r="1405" spans="11:19" x14ac:dyDescent="0.25">
      <c r="K1405" s="4" t="s">
        <v>421</v>
      </c>
      <c r="L1405" t="s">
        <v>422</v>
      </c>
      <c r="M1405" t="s">
        <v>3599</v>
      </c>
      <c r="N1405" t="s">
        <v>6</v>
      </c>
      <c r="O1405" t="s">
        <v>244</v>
      </c>
      <c r="P1405" t="str">
        <f t="shared" si="253"/>
        <v>[1]</v>
      </c>
      <c r="Q1405">
        <f t="shared" si="254"/>
        <v>28</v>
      </c>
      <c r="R1405" t="str">
        <f t="shared" si="255"/>
        <v/>
      </c>
      <c r="S1405">
        <f>SUMIF(O1405:$O$2855,R1405,Q1405:$Q$2855)</f>
        <v>0</v>
      </c>
    </row>
    <row r="1406" spans="11:19" x14ac:dyDescent="0.25">
      <c r="K1406" s="4" t="s">
        <v>421</v>
      </c>
      <c r="L1406" t="s">
        <v>422</v>
      </c>
      <c r="M1406" t="s">
        <v>3600</v>
      </c>
      <c r="N1406" t="s">
        <v>63</v>
      </c>
      <c r="O1406" t="s">
        <v>244</v>
      </c>
      <c r="P1406" t="str">
        <f t="shared" si="253"/>
        <v>[1]</v>
      </c>
      <c r="Q1406">
        <f t="shared" si="254"/>
        <v>88</v>
      </c>
      <c r="R1406" t="str">
        <f t="shared" si="255"/>
        <v/>
      </c>
      <c r="S1406">
        <f>SUMIF(O1406:$O$2855,R1406,Q1406:$Q$2855)</f>
        <v>0</v>
      </c>
    </row>
    <row r="1407" spans="11:19" x14ac:dyDescent="0.25">
      <c r="K1407" s="4" t="s">
        <v>421</v>
      </c>
      <c r="L1407" t="s">
        <v>422</v>
      </c>
      <c r="M1407" t="s">
        <v>3601</v>
      </c>
      <c r="N1407" t="s">
        <v>437</v>
      </c>
      <c r="O1407" t="s">
        <v>244</v>
      </c>
      <c r="P1407" t="str">
        <f t="shared" si="253"/>
        <v>[1]</v>
      </c>
      <c r="Q1407">
        <f t="shared" si="254"/>
        <v>24</v>
      </c>
      <c r="R1407" t="str">
        <f t="shared" si="255"/>
        <v/>
      </c>
      <c r="S1407">
        <f>SUMIF(O1407:$O$2855,R1407,Q1407:$Q$2855)</f>
        <v>0</v>
      </c>
    </row>
    <row r="1408" spans="11:19" x14ac:dyDescent="0.25">
      <c r="K1408" s="4" t="s">
        <v>421</v>
      </c>
      <c r="L1408" t="s">
        <v>422</v>
      </c>
      <c r="M1408" t="s">
        <v>3602</v>
      </c>
      <c r="N1408" t="s">
        <v>63</v>
      </c>
      <c r="O1408" t="s">
        <v>244</v>
      </c>
      <c r="P1408" t="str">
        <f t="shared" si="253"/>
        <v>[1]</v>
      </c>
      <c r="Q1408">
        <f t="shared" si="254"/>
        <v>88</v>
      </c>
      <c r="R1408" t="str">
        <f t="shared" si="255"/>
        <v/>
      </c>
      <c r="S1408">
        <f>SUMIF(O1408:$O$2855,R1408,Q1408:$Q$2855)</f>
        <v>0</v>
      </c>
    </row>
    <row r="1409" spans="11:19" x14ac:dyDescent="0.25">
      <c r="K1409" s="4" t="s">
        <v>421</v>
      </c>
      <c r="L1409" t="s">
        <v>422</v>
      </c>
      <c r="M1409" t="s">
        <v>3603</v>
      </c>
      <c r="N1409" t="s">
        <v>119</v>
      </c>
      <c r="O1409" t="s">
        <v>244</v>
      </c>
      <c r="P1409" t="str">
        <f t="shared" si="253"/>
        <v>[1]</v>
      </c>
      <c r="Q1409">
        <f t="shared" si="254"/>
        <v>32</v>
      </c>
      <c r="R1409" t="str">
        <f t="shared" si="255"/>
        <v/>
      </c>
      <c r="S1409">
        <f>SUMIF(O1409:$O$2855,R1409,Q1409:$Q$2855)</f>
        <v>0</v>
      </c>
    </row>
    <row r="1410" spans="11:19" x14ac:dyDescent="0.25">
      <c r="K1410" s="4" t="s">
        <v>421</v>
      </c>
      <c r="L1410" t="s">
        <v>422</v>
      </c>
      <c r="M1410" t="s">
        <v>3604</v>
      </c>
      <c r="N1410" t="s">
        <v>139</v>
      </c>
      <c r="O1410" t="s">
        <v>244</v>
      </c>
      <c r="P1410" t="str">
        <f t="shared" ref="P1410:P1473" si="256">VLOOKUP($K$30,$E$1:$F$26,2,FALSE)</f>
        <v>[1]</v>
      </c>
      <c r="Q1410">
        <f t="shared" si="254"/>
        <v>96</v>
      </c>
      <c r="R1410" t="str">
        <f t="shared" si="255"/>
        <v/>
      </c>
      <c r="S1410">
        <f>SUMIF(O1410:$O$2855,R1410,Q1410:$Q$2855)</f>
        <v>0</v>
      </c>
    </row>
    <row r="1411" spans="11:19" x14ac:dyDescent="0.25">
      <c r="K1411" s="4" t="s">
        <v>421</v>
      </c>
      <c r="L1411" t="s">
        <v>422</v>
      </c>
      <c r="M1411" t="s">
        <v>3605</v>
      </c>
      <c r="N1411" t="s">
        <v>6</v>
      </c>
      <c r="O1411" t="s">
        <v>244</v>
      </c>
      <c r="P1411" t="str">
        <f t="shared" si="256"/>
        <v>[1]</v>
      </c>
      <c r="Q1411">
        <f t="shared" ref="Q1411:Q1474" si="257">HEX2DEC(MID(N1411,3,LEN(N1411)-2))</f>
        <v>28</v>
      </c>
      <c r="R1411" t="str">
        <f t="shared" si="255"/>
        <v/>
      </c>
      <c r="S1411">
        <f>SUMIF(O1411:$O$2855,R1411,Q1411:$Q$2855)</f>
        <v>0</v>
      </c>
    </row>
    <row r="1412" spans="11:19" x14ac:dyDescent="0.25">
      <c r="K1412" s="4" t="s">
        <v>421</v>
      </c>
      <c r="L1412" t="s">
        <v>422</v>
      </c>
      <c r="M1412" t="s">
        <v>3606</v>
      </c>
      <c r="N1412" t="s">
        <v>437</v>
      </c>
      <c r="O1412" t="s">
        <v>244</v>
      </c>
      <c r="P1412" t="str">
        <f t="shared" si="256"/>
        <v>[1]</v>
      </c>
      <c r="Q1412">
        <f t="shared" si="257"/>
        <v>24</v>
      </c>
      <c r="R1412" t="str">
        <f t="shared" si="255"/>
        <v/>
      </c>
      <c r="S1412">
        <f>SUMIF(O1412:$O$2855,R1412,Q1412:$Q$2855)</f>
        <v>0</v>
      </c>
    </row>
    <row r="1413" spans="11:19" x14ac:dyDescent="0.25">
      <c r="K1413" s="4" t="s">
        <v>421</v>
      </c>
      <c r="L1413" t="s">
        <v>422</v>
      </c>
      <c r="M1413" t="s">
        <v>1933</v>
      </c>
      <c r="N1413" t="s">
        <v>6</v>
      </c>
      <c r="O1413" t="s">
        <v>244</v>
      </c>
      <c r="P1413" t="str">
        <f t="shared" si="256"/>
        <v>[1]</v>
      </c>
      <c r="Q1413">
        <f t="shared" si="257"/>
        <v>28</v>
      </c>
      <c r="R1413" t="str">
        <f t="shared" si="255"/>
        <v/>
      </c>
      <c r="S1413">
        <f>SUMIF(O1413:$O$2855,R1413,Q1413:$Q$2855)</f>
        <v>0</v>
      </c>
    </row>
    <row r="1414" spans="11:19" x14ac:dyDescent="0.25">
      <c r="K1414" s="4" t="s">
        <v>421</v>
      </c>
      <c r="L1414" t="s">
        <v>422</v>
      </c>
      <c r="M1414" t="s">
        <v>3607</v>
      </c>
      <c r="N1414" t="s">
        <v>6</v>
      </c>
      <c r="O1414" t="s">
        <v>244</v>
      </c>
      <c r="P1414" t="str">
        <f t="shared" si="256"/>
        <v>[1]</v>
      </c>
      <c r="Q1414">
        <f t="shared" si="257"/>
        <v>28</v>
      </c>
      <c r="R1414" t="str">
        <f t="shared" si="255"/>
        <v/>
      </c>
      <c r="S1414">
        <f>SUMIF(O1414:$O$2855,R1414,Q1414:$Q$2855)</f>
        <v>0</v>
      </c>
    </row>
    <row r="1415" spans="11:19" x14ac:dyDescent="0.25">
      <c r="K1415" s="4" t="s">
        <v>421</v>
      </c>
      <c r="L1415" t="s">
        <v>422</v>
      </c>
      <c r="M1415" t="s">
        <v>3608</v>
      </c>
      <c r="N1415" t="s">
        <v>437</v>
      </c>
      <c r="O1415" t="s">
        <v>244</v>
      </c>
      <c r="P1415" t="str">
        <f t="shared" si="256"/>
        <v>[1]</v>
      </c>
      <c r="Q1415">
        <f t="shared" si="257"/>
        <v>24</v>
      </c>
      <c r="R1415" t="str">
        <f t="shared" si="255"/>
        <v/>
      </c>
      <c r="S1415">
        <f>SUMIF(O1415:$O$2855,R1415,Q1415:$Q$2855)</f>
        <v>0</v>
      </c>
    </row>
    <row r="1416" spans="11:19" x14ac:dyDescent="0.25">
      <c r="K1416" s="4" t="s">
        <v>421</v>
      </c>
      <c r="L1416" t="s">
        <v>422</v>
      </c>
      <c r="M1416" t="s">
        <v>1778</v>
      </c>
      <c r="N1416" t="s">
        <v>165</v>
      </c>
      <c r="O1416" t="s">
        <v>244</v>
      </c>
      <c r="P1416" t="str">
        <f t="shared" si="256"/>
        <v>[1]</v>
      </c>
      <c r="Q1416">
        <f t="shared" si="257"/>
        <v>20</v>
      </c>
      <c r="R1416" t="str">
        <f t="shared" si="255"/>
        <v/>
      </c>
      <c r="S1416">
        <f>SUMIF(O1416:$O$2855,R1416,Q1416:$Q$2855)</f>
        <v>0</v>
      </c>
    </row>
    <row r="1417" spans="11:19" x14ac:dyDescent="0.25">
      <c r="K1417" s="4" t="s">
        <v>421</v>
      </c>
      <c r="L1417" t="s">
        <v>422</v>
      </c>
      <c r="M1417" t="s">
        <v>3609</v>
      </c>
      <c r="N1417" t="s">
        <v>165</v>
      </c>
      <c r="O1417" t="s">
        <v>244</v>
      </c>
      <c r="P1417" t="str">
        <f t="shared" si="256"/>
        <v>[1]</v>
      </c>
      <c r="Q1417">
        <f t="shared" si="257"/>
        <v>20</v>
      </c>
      <c r="R1417" t="str">
        <f t="shared" si="255"/>
        <v/>
      </c>
      <c r="S1417">
        <f>SUMIF(O1417:$O$2855,R1417,Q1417:$Q$2855)</f>
        <v>0</v>
      </c>
    </row>
    <row r="1418" spans="11:19" x14ac:dyDescent="0.25">
      <c r="K1418" s="4" t="s">
        <v>421</v>
      </c>
      <c r="L1418" t="s">
        <v>422</v>
      </c>
      <c r="M1418" t="s">
        <v>3610</v>
      </c>
      <c r="N1418" t="s">
        <v>202</v>
      </c>
      <c r="O1418" t="s">
        <v>244</v>
      </c>
      <c r="P1418" t="str">
        <f t="shared" si="256"/>
        <v>[1]</v>
      </c>
      <c r="Q1418">
        <f t="shared" si="257"/>
        <v>16</v>
      </c>
      <c r="R1418" t="str">
        <f t="shared" si="255"/>
        <v/>
      </c>
      <c r="S1418">
        <f>SUMIF(O1418:$O$2855,R1418,Q1418:$Q$2855)</f>
        <v>0</v>
      </c>
    </row>
    <row r="1419" spans="11:19" x14ac:dyDescent="0.25">
      <c r="K1419" s="4" t="s">
        <v>421</v>
      </c>
      <c r="L1419" t="s">
        <v>422</v>
      </c>
      <c r="M1419" t="s">
        <v>3611</v>
      </c>
      <c r="N1419" t="s">
        <v>202</v>
      </c>
      <c r="O1419" t="s">
        <v>244</v>
      </c>
      <c r="P1419" t="str">
        <f t="shared" si="256"/>
        <v>[1]</v>
      </c>
      <c r="Q1419">
        <f t="shared" si="257"/>
        <v>16</v>
      </c>
      <c r="R1419" t="str">
        <f t="shared" si="255"/>
        <v/>
      </c>
      <c r="S1419">
        <f>SUMIF(O1419:$O$2855,R1419,Q1419:$Q$2855)</f>
        <v>0</v>
      </c>
    </row>
    <row r="1420" spans="11:19" x14ac:dyDescent="0.25">
      <c r="K1420" s="4" t="s">
        <v>421</v>
      </c>
      <c r="L1420" t="s">
        <v>422</v>
      </c>
      <c r="M1420" t="s">
        <v>3612</v>
      </c>
      <c r="N1420" t="s">
        <v>76</v>
      </c>
      <c r="O1420" t="s">
        <v>244</v>
      </c>
      <c r="P1420" t="str">
        <f t="shared" si="256"/>
        <v>[1]</v>
      </c>
      <c r="Q1420">
        <f t="shared" si="257"/>
        <v>36</v>
      </c>
      <c r="R1420" t="str">
        <f t="shared" si="255"/>
        <v/>
      </c>
      <c r="S1420">
        <f>SUMIF(O1420:$O$2855,R1420,Q1420:$Q$2855)</f>
        <v>0</v>
      </c>
    </row>
    <row r="1421" spans="11:19" x14ac:dyDescent="0.25">
      <c r="K1421" s="4" t="s">
        <v>421</v>
      </c>
      <c r="L1421" t="s">
        <v>422</v>
      </c>
      <c r="M1421" t="s">
        <v>1934</v>
      </c>
      <c r="N1421" t="s">
        <v>190</v>
      </c>
      <c r="O1421" t="s">
        <v>244</v>
      </c>
      <c r="P1421" t="str">
        <f t="shared" si="256"/>
        <v>[1]</v>
      </c>
      <c r="Q1421">
        <f t="shared" si="257"/>
        <v>56</v>
      </c>
      <c r="R1421" t="str">
        <f t="shared" si="255"/>
        <v/>
      </c>
      <c r="S1421">
        <f>SUMIF(O1421:$O$2855,R1421,Q1421:$Q$2855)</f>
        <v>0</v>
      </c>
    </row>
    <row r="1422" spans="11:19" x14ac:dyDescent="0.25">
      <c r="K1422" s="4" t="s">
        <v>421</v>
      </c>
      <c r="L1422" t="s">
        <v>422</v>
      </c>
      <c r="M1422" t="s">
        <v>3613</v>
      </c>
      <c r="N1422" t="s">
        <v>13</v>
      </c>
      <c r="O1422" t="s">
        <v>244</v>
      </c>
      <c r="P1422" t="str">
        <f t="shared" si="256"/>
        <v>[1]</v>
      </c>
      <c r="Q1422">
        <f t="shared" si="257"/>
        <v>12</v>
      </c>
      <c r="R1422" t="str">
        <f t="shared" si="255"/>
        <v/>
      </c>
      <c r="S1422">
        <f>SUMIF(O1422:$O$2855,R1422,Q1422:$Q$2855)</f>
        <v>0</v>
      </c>
    </row>
    <row r="1423" spans="11:19" x14ac:dyDescent="0.25">
      <c r="K1423" s="4" t="s">
        <v>421</v>
      </c>
      <c r="L1423" t="s">
        <v>422</v>
      </c>
      <c r="M1423" t="s">
        <v>3614</v>
      </c>
      <c r="N1423" t="s">
        <v>6</v>
      </c>
      <c r="O1423" t="s">
        <v>244</v>
      </c>
      <c r="P1423" t="str">
        <f t="shared" si="256"/>
        <v>[1]</v>
      </c>
      <c r="Q1423">
        <f t="shared" si="257"/>
        <v>28</v>
      </c>
      <c r="R1423" t="str">
        <f t="shared" si="255"/>
        <v/>
      </c>
      <c r="S1423">
        <f>SUMIF(O1423:$O$2855,R1423,Q1423:$Q$2855)</f>
        <v>0</v>
      </c>
    </row>
    <row r="1424" spans="11:19" x14ac:dyDescent="0.25">
      <c r="K1424" s="4" t="s">
        <v>421</v>
      </c>
      <c r="L1424" t="s">
        <v>422</v>
      </c>
      <c r="M1424" t="s">
        <v>3615</v>
      </c>
      <c r="N1424" t="s">
        <v>437</v>
      </c>
      <c r="O1424" t="s">
        <v>244</v>
      </c>
      <c r="P1424" t="str">
        <f t="shared" si="256"/>
        <v>[1]</v>
      </c>
      <c r="Q1424">
        <f t="shared" si="257"/>
        <v>24</v>
      </c>
      <c r="R1424" t="str">
        <f t="shared" si="255"/>
        <v/>
      </c>
      <c r="S1424">
        <f>SUMIF(O1424:$O$2855,R1424,Q1424:$Q$2855)</f>
        <v>0</v>
      </c>
    </row>
    <row r="1425" spans="11:19" x14ac:dyDescent="0.25">
      <c r="K1425" s="4" t="s">
        <v>421</v>
      </c>
      <c r="L1425" t="s">
        <v>422</v>
      </c>
      <c r="M1425" t="s">
        <v>3616</v>
      </c>
      <c r="N1425" t="s">
        <v>165</v>
      </c>
      <c r="O1425" t="s">
        <v>244</v>
      </c>
      <c r="P1425" t="str">
        <f t="shared" si="256"/>
        <v>[1]</v>
      </c>
      <c r="Q1425">
        <f t="shared" si="257"/>
        <v>20</v>
      </c>
      <c r="R1425" t="str">
        <f t="shared" si="255"/>
        <v/>
      </c>
      <c r="S1425">
        <f>SUMIF(O1425:$O$2855,R1425,Q1425:$Q$2855)</f>
        <v>0</v>
      </c>
    </row>
    <row r="1426" spans="11:19" x14ac:dyDescent="0.25">
      <c r="K1426" s="4" t="s">
        <v>421</v>
      </c>
      <c r="L1426" t="s">
        <v>422</v>
      </c>
      <c r="M1426" t="s">
        <v>3617</v>
      </c>
      <c r="N1426" t="s">
        <v>202</v>
      </c>
      <c r="O1426" t="s">
        <v>244</v>
      </c>
      <c r="P1426" t="str">
        <f t="shared" si="256"/>
        <v>[1]</v>
      </c>
      <c r="Q1426">
        <f t="shared" si="257"/>
        <v>16</v>
      </c>
      <c r="R1426" t="str">
        <f t="shared" si="255"/>
        <v/>
      </c>
      <c r="S1426">
        <f>SUMIF(O1426:$O$2855,R1426,Q1426:$Q$2855)</f>
        <v>0</v>
      </c>
    </row>
    <row r="1427" spans="11:19" x14ac:dyDescent="0.25">
      <c r="K1427" s="4" t="s">
        <v>421</v>
      </c>
      <c r="L1427" t="s">
        <v>422</v>
      </c>
      <c r="M1427" t="s">
        <v>3618</v>
      </c>
      <c r="N1427" t="s">
        <v>119</v>
      </c>
      <c r="O1427" t="s">
        <v>244</v>
      </c>
      <c r="P1427" t="str">
        <f t="shared" si="256"/>
        <v>[1]</v>
      </c>
      <c r="Q1427">
        <f t="shared" si="257"/>
        <v>32</v>
      </c>
      <c r="R1427" t="str">
        <f t="shared" si="255"/>
        <v/>
      </c>
      <c r="S1427">
        <f>SUMIF(O1427:$O$2855,R1427,Q1427:$Q$2855)</f>
        <v>0</v>
      </c>
    </row>
    <row r="1428" spans="11:19" x14ac:dyDescent="0.25">
      <c r="K1428" s="4" t="s">
        <v>421</v>
      </c>
      <c r="L1428" t="s">
        <v>422</v>
      </c>
      <c r="M1428" t="s">
        <v>1935</v>
      </c>
      <c r="N1428" t="s">
        <v>202</v>
      </c>
      <c r="O1428" t="s">
        <v>244</v>
      </c>
      <c r="P1428" t="str">
        <f t="shared" si="256"/>
        <v>[1]</v>
      </c>
      <c r="Q1428">
        <f t="shared" si="257"/>
        <v>16</v>
      </c>
      <c r="R1428" t="str">
        <f t="shared" si="255"/>
        <v/>
      </c>
      <c r="S1428">
        <f>SUMIF(O1428:$O$2855,R1428,Q1428:$Q$2855)</f>
        <v>0</v>
      </c>
    </row>
    <row r="1429" spans="11:19" x14ac:dyDescent="0.25">
      <c r="K1429" s="4" t="s">
        <v>421</v>
      </c>
      <c r="L1429" t="s">
        <v>422</v>
      </c>
      <c r="M1429" t="s">
        <v>3619</v>
      </c>
      <c r="N1429" t="s">
        <v>65</v>
      </c>
      <c r="O1429" t="s">
        <v>244</v>
      </c>
      <c r="P1429" t="str">
        <f t="shared" si="256"/>
        <v>[1]</v>
      </c>
      <c r="Q1429">
        <f t="shared" si="257"/>
        <v>40</v>
      </c>
      <c r="R1429" t="str">
        <f t="shared" si="255"/>
        <v/>
      </c>
      <c r="S1429">
        <f>SUMIF(O1429:$O$2855,R1429,Q1429:$Q$2855)</f>
        <v>0</v>
      </c>
    </row>
    <row r="1430" spans="11:19" x14ac:dyDescent="0.25">
      <c r="K1430" s="4" t="s">
        <v>421</v>
      </c>
      <c r="L1430" t="s">
        <v>422</v>
      </c>
      <c r="M1430" t="s">
        <v>3620</v>
      </c>
      <c r="N1430" t="s">
        <v>437</v>
      </c>
      <c r="O1430" t="s">
        <v>244</v>
      </c>
      <c r="P1430" t="str">
        <f t="shared" si="256"/>
        <v>[1]</v>
      </c>
      <c r="Q1430">
        <f t="shared" si="257"/>
        <v>24</v>
      </c>
      <c r="R1430" t="str">
        <f t="shared" si="255"/>
        <v/>
      </c>
      <c r="S1430">
        <f>SUMIF(O1430:$O$2855,R1430,Q1430:$Q$2855)</f>
        <v>0</v>
      </c>
    </row>
    <row r="1431" spans="11:19" x14ac:dyDescent="0.25">
      <c r="K1431" s="4" t="s">
        <v>421</v>
      </c>
      <c r="L1431" t="s">
        <v>422</v>
      </c>
      <c r="M1431" t="s">
        <v>3621</v>
      </c>
      <c r="N1431" t="s">
        <v>44</v>
      </c>
      <c r="O1431" t="s">
        <v>244</v>
      </c>
      <c r="P1431" t="str">
        <f t="shared" si="256"/>
        <v>[1]</v>
      </c>
      <c r="Q1431">
        <f t="shared" si="257"/>
        <v>44</v>
      </c>
      <c r="R1431" t="str">
        <f t="shared" si="255"/>
        <v/>
      </c>
      <c r="S1431">
        <f>SUMIF(O1431:$O$2855,R1431,Q1431:$Q$2855)</f>
        <v>0</v>
      </c>
    </row>
    <row r="1432" spans="11:19" x14ac:dyDescent="0.25">
      <c r="K1432" s="4" t="s">
        <v>421</v>
      </c>
      <c r="L1432" t="s">
        <v>422</v>
      </c>
      <c r="M1432" t="s">
        <v>3622</v>
      </c>
      <c r="N1432" t="s">
        <v>437</v>
      </c>
      <c r="O1432" t="s">
        <v>244</v>
      </c>
      <c r="P1432" t="str">
        <f t="shared" si="256"/>
        <v>[1]</v>
      </c>
      <c r="Q1432">
        <f t="shared" si="257"/>
        <v>24</v>
      </c>
      <c r="R1432" t="str">
        <f t="shared" si="255"/>
        <v/>
      </c>
      <c r="S1432">
        <f>SUMIF(O1432:$O$2855,R1432,Q1432:$Q$2855)</f>
        <v>0</v>
      </c>
    </row>
    <row r="1433" spans="11:19" x14ac:dyDescent="0.25">
      <c r="K1433" s="4" t="s">
        <v>421</v>
      </c>
      <c r="L1433" t="s">
        <v>422</v>
      </c>
      <c r="M1433" t="s">
        <v>3623</v>
      </c>
      <c r="N1433" t="s">
        <v>44</v>
      </c>
      <c r="O1433" t="s">
        <v>244</v>
      </c>
      <c r="P1433" t="str">
        <f t="shared" si="256"/>
        <v>[1]</v>
      </c>
      <c r="Q1433">
        <f t="shared" si="257"/>
        <v>44</v>
      </c>
      <c r="R1433" t="str">
        <f t="shared" si="255"/>
        <v/>
      </c>
      <c r="S1433">
        <f>SUMIF(O1433:$O$2855,R1433,Q1433:$Q$2855)</f>
        <v>0</v>
      </c>
    </row>
    <row r="1434" spans="11:19" x14ac:dyDescent="0.25">
      <c r="K1434" s="4" t="s">
        <v>421</v>
      </c>
      <c r="L1434" t="s">
        <v>422</v>
      </c>
      <c r="M1434" t="s">
        <v>3624</v>
      </c>
      <c r="N1434" t="s">
        <v>119</v>
      </c>
      <c r="O1434" t="s">
        <v>244</v>
      </c>
      <c r="P1434" t="str">
        <f t="shared" si="256"/>
        <v>[1]</v>
      </c>
      <c r="Q1434">
        <f t="shared" si="257"/>
        <v>32</v>
      </c>
      <c r="R1434" t="str">
        <f t="shared" si="255"/>
        <v/>
      </c>
      <c r="S1434">
        <f>SUMIF(O1434:$O$2855,R1434,Q1434:$Q$2855)</f>
        <v>0</v>
      </c>
    </row>
    <row r="1435" spans="11:19" x14ac:dyDescent="0.25">
      <c r="K1435" s="4" t="s">
        <v>421</v>
      </c>
      <c r="L1435" t="s">
        <v>422</v>
      </c>
      <c r="M1435" t="s">
        <v>3625</v>
      </c>
      <c r="N1435" t="s">
        <v>65</v>
      </c>
      <c r="O1435" t="s">
        <v>244</v>
      </c>
      <c r="P1435" t="str">
        <f t="shared" si="256"/>
        <v>[1]</v>
      </c>
      <c r="Q1435">
        <f t="shared" si="257"/>
        <v>40</v>
      </c>
      <c r="R1435" t="str">
        <f t="shared" si="255"/>
        <v/>
      </c>
      <c r="S1435">
        <f>SUMIF(O1435:$O$2855,R1435,Q1435:$Q$2855)</f>
        <v>0</v>
      </c>
    </row>
    <row r="1436" spans="11:19" x14ac:dyDescent="0.25">
      <c r="K1436" s="4" t="s">
        <v>421</v>
      </c>
      <c r="L1436" t="s">
        <v>422</v>
      </c>
      <c r="M1436" t="s">
        <v>3626</v>
      </c>
      <c r="N1436" t="s">
        <v>165</v>
      </c>
      <c r="O1436" t="s">
        <v>244</v>
      </c>
      <c r="P1436" t="str">
        <f t="shared" si="256"/>
        <v>[1]</v>
      </c>
      <c r="Q1436">
        <f t="shared" si="257"/>
        <v>20</v>
      </c>
      <c r="R1436" t="str">
        <f t="shared" si="255"/>
        <v/>
      </c>
      <c r="S1436">
        <f>SUMIF(O1436:$O$2855,R1436,Q1436:$Q$2855)</f>
        <v>0</v>
      </c>
    </row>
    <row r="1437" spans="11:19" x14ac:dyDescent="0.25">
      <c r="K1437" s="4" t="s">
        <v>421</v>
      </c>
      <c r="L1437" t="s">
        <v>422</v>
      </c>
      <c r="M1437" t="s">
        <v>3627</v>
      </c>
      <c r="N1437" t="s">
        <v>67</v>
      </c>
      <c r="O1437" t="s">
        <v>244</v>
      </c>
      <c r="P1437" t="str">
        <f t="shared" si="256"/>
        <v>[1]</v>
      </c>
      <c r="Q1437">
        <f t="shared" si="257"/>
        <v>48</v>
      </c>
      <c r="R1437" t="str">
        <f t="shared" si="255"/>
        <v/>
      </c>
      <c r="S1437">
        <f>SUMIF(O1437:$O$2855,R1437,Q1437:$Q$2855)</f>
        <v>0</v>
      </c>
    </row>
    <row r="1438" spans="11:19" x14ac:dyDescent="0.25">
      <c r="K1438" s="4" t="s">
        <v>421</v>
      </c>
      <c r="L1438" t="s">
        <v>422</v>
      </c>
      <c r="M1438" t="s">
        <v>3628</v>
      </c>
      <c r="N1438" t="s">
        <v>202</v>
      </c>
      <c r="O1438" t="s">
        <v>244</v>
      </c>
      <c r="P1438" t="str">
        <f t="shared" si="256"/>
        <v>[1]</v>
      </c>
      <c r="Q1438">
        <f t="shared" si="257"/>
        <v>16</v>
      </c>
      <c r="R1438" t="str">
        <f t="shared" si="255"/>
        <v/>
      </c>
      <c r="S1438">
        <f>SUMIF(O1438:$O$2855,R1438,Q1438:$Q$2855)</f>
        <v>0</v>
      </c>
    </row>
    <row r="1439" spans="11:19" x14ac:dyDescent="0.25">
      <c r="K1439" s="4" t="s">
        <v>421</v>
      </c>
      <c r="L1439" t="s">
        <v>422</v>
      </c>
      <c r="M1439" t="s">
        <v>3629</v>
      </c>
      <c r="N1439" t="s">
        <v>437</v>
      </c>
      <c r="O1439" t="s">
        <v>244</v>
      </c>
      <c r="P1439" t="str">
        <f t="shared" si="256"/>
        <v>[1]</v>
      </c>
      <c r="Q1439">
        <f t="shared" si="257"/>
        <v>24</v>
      </c>
      <c r="R1439" t="str">
        <f t="shared" si="255"/>
        <v/>
      </c>
      <c r="S1439">
        <f>SUMIF(O1439:$O$2855,R1439,Q1439:$Q$2855)</f>
        <v>0</v>
      </c>
    </row>
    <row r="1440" spans="11:19" x14ac:dyDescent="0.25">
      <c r="K1440" s="4" t="s">
        <v>421</v>
      </c>
      <c r="L1440" t="s">
        <v>422</v>
      </c>
      <c r="M1440" t="s">
        <v>3630</v>
      </c>
      <c r="N1440" t="s">
        <v>165</v>
      </c>
      <c r="O1440" t="s">
        <v>244</v>
      </c>
      <c r="P1440" t="str">
        <f t="shared" si="256"/>
        <v>[1]</v>
      </c>
      <c r="Q1440">
        <f t="shared" si="257"/>
        <v>20</v>
      </c>
      <c r="R1440" t="str">
        <f t="shared" ref="R1440:R1503" si="258">IF(O1440&lt;&gt;O1439,O1440,"")</f>
        <v/>
      </c>
      <c r="S1440">
        <f>SUMIF(O1440:$O$2855,R1440,Q1440:$Q$2855)</f>
        <v>0</v>
      </c>
    </row>
    <row r="1441" spans="11:19" x14ac:dyDescent="0.25">
      <c r="K1441" s="4" t="s">
        <v>421</v>
      </c>
      <c r="L1441" t="s">
        <v>422</v>
      </c>
      <c r="M1441" t="s">
        <v>1936</v>
      </c>
      <c r="N1441" t="s">
        <v>44</v>
      </c>
      <c r="O1441" t="s">
        <v>244</v>
      </c>
      <c r="P1441" t="str">
        <f t="shared" si="256"/>
        <v>[1]</v>
      </c>
      <c r="Q1441">
        <f t="shared" si="257"/>
        <v>44</v>
      </c>
      <c r="R1441" t="str">
        <f t="shared" si="258"/>
        <v/>
      </c>
      <c r="S1441">
        <f>SUMIF(O1441:$O$2855,R1441,Q1441:$Q$2855)</f>
        <v>0</v>
      </c>
    </row>
    <row r="1442" spans="11:19" x14ac:dyDescent="0.25">
      <c r="K1442" s="4" t="s">
        <v>421</v>
      </c>
      <c r="L1442" t="s">
        <v>422</v>
      </c>
      <c r="M1442" t="s">
        <v>3631</v>
      </c>
      <c r="N1442" t="s">
        <v>13</v>
      </c>
      <c r="O1442" t="s">
        <v>244</v>
      </c>
      <c r="P1442" t="str">
        <f t="shared" si="256"/>
        <v>[1]</v>
      </c>
      <c r="Q1442">
        <f t="shared" si="257"/>
        <v>12</v>
      </c>
      <c r="R1442" t="str">
        <f t="shared" si="258"/>
        <v/>
      </c>
      <c r="S1442">
        <f>SUMIF(O1442:$O$2855,R1442,Q1442:$Q$2855)</f>
        <v>0</v>
      </c>
    </row>
    <row r="1443" spans="11:19" x14ac:dyDescent="0.25">
      <c r="K1443" s="4" t="s">
        <v>421</v>
      </c>
      <c r="L1443" t="s">
        <v>422</v>
      </c>
      <c r="M1443" t="s">
        <v>3632</v>
      </c>
      <c r="N1443" t="s">
        <v>437</v>
      </c>
      <c r="O1443" t="s">
        <v>244</v>
      </c>
      <c r="P1443" t="str">
        <f t="shared" si="256"/>
        <v>[1]</v>
      </c>
      <c r="Q1443">
        <f t="shared" si="257"/>
        <v>24</v>
      </c>
      <c r="R1443" t="str">
        <f t="shared" si="258"/>
        <v/>
      </c>
      <c r="S1443">
        <f>SUMIF(O1443:$O$2855,R1443,Q1443:$Q$2855)</f>
        <v>0</v>
      </c>
    </row>
    <row r="1444" spans="11:19" x14ac:dyDescent="0.25">
      <c r="K1444" s="4" t="s">
        <v>421</v>
      </c>
      <c r="L1444" t="s">
        <v>422</v>
      </c>
      <c r="M1444" t="s">
        <v>1937</v>
      </c>
      <c r="N1444" t="s">
        <v>13</v>
      </c>
      <c r="O1444" t="s">
        <v>244</v>
      </c>
      <c r="P1444" t="str">
        <f t="shared" si="256"/>
        <v>[1]</v>
      </c>
      <c r="Q1444">
        <f t="shared" si="257"/>
        <v>12</v>
      </c>
      <c r="R1444" t="str">
        <f t="shared" si="258"/>
        <v/>
      </c>
      <c r="S1444">
        <f>SUMIF(O1444:$O$2855,R1444,Q1444:$Q$2855)</f>
        <v>0</v>
      </c>
    </row>
    <row r="1445" spans="11:19" x14ac:dyDescent="0.25">
      <c r="K1445" s="4" t="s">
        <v>421</v>
      </c>
      <c r="L1445" t="s">
        <v>422</v>
      </c>
      <c r="M1445" t="s">
        <v>3633</v>
      </c>
      <c r="N1445" t="s">
        <v>437</v>
      </c>
      <c r="O1445" t="s">
        <v>244</v>
      </c>
      <c r="P1445" t="str">
        <f t="shared" si="256"/>
        <v>[1]</v>
      </c>
      <c r="Q1445">
        <f t="shared" si="257"/>
        <v>24</v>
      </c>
      <c r="R1445" t="str">
        <f t="shared" si="258"/>
        <v/>
      </c>
      <c r="S1445">
        <f>SUMIF(O1445:$O$2855,R1445,Q1445:$Q$2855)</f>
        <v>0</v>
      </c>
    </row>
    <row r="1446" spans="11:19" x14ac:dyDescent="0.25">
      <c r="K1446" s="4" t="s">
        <v>421</v>
      </c>
      <c r="L1446" t="s">
        <v>422</v>
      </c>
      <c r="M1446" t="s">
        <v>3634</v>
      </c>
      <c r="N1446" t="s">
        <v>165</v>
      </c>
      <c r="O1446" t="s">
        <v>244</v>
      </c>
      <c r="P1446" t="str">
        <f t="shared" si="256"/>
        <v>[1]</v>
      </c>
      <c r="Q1446">
        <f t="shared" si="257"/>
        <v>20</v>
      </c>
      <c r="R1446" t="str">
        <f t="shared" si="258"/>
        <v/>
      </c>
      <c r="S1446">
        <f>SUMIF(O1446:$O$2855,R1446,Q1446:$Q$2855)</f>
        <v>0</v>
      </c>
    </row>
    <row r="1447" spans="11:19" x14ac:dyDescent="0.25">
      <c r="K1447" s="4" t="s">
        <v>421</v>
      </c>
      <c r="L1447" t="s">
        <v>422</v>
      </c>
      <c r="M1447" t="s">
        <v>3635</v>
      </c>
      <c r="N1447" t="s">
        <v>6</v>
      </c>
      <c r="O1447" t="s">
        <v>244</v>
      </c>
      <c r="P1447" t="str">
        <f t="shared" si="256"/>
        <v>[1]</v>
      </c>
      <c r="Q1447">
        <f t="shared" si="257"/>
        <v>28</v>
      </c>
      <c r="R1447" t="str">
        <f t="shared" si="258"/>
        <v/>
      </c>
      <c r="S1447">
        <f>SUMIF(O1447:$O$2855,R1447,Q1447:$Q$2855)</f>
        <v>0</v>
      </c>
    </row>
    <row r="1448" spans="11:19" x14ac:dyDescent="0.25">
      <c r="K1448" s="4" t="s">
        <v>421</v>
      </c>
      <c r="L1448" t="s">
        <v>422</v>
      </c>
      <c r="M1448" t="s">
        <v>3636</v>
      </c>
      <c r="N1448" t="s">
        <v>165</v>
      </c>
      <c r="O1448" t="s">
        <v>244</v>
      </c>
      <c r="P1448" t="str">
        <f t="shared" si="256"/>
        <v>[1]</v>
      </c>
      <c r="Q1448">
        <f t="shared" si="257"/>
        <v>20</v>
      </c>
      <c r="R1448" t="str">
        <f t="shared" si="258"/>
        <v/>
      </c>
      <c r="S1448">
        <f>SUMIF(O1448:$O$2855,R1448,Q1448:$Q$2855)</f>
        <v>0</v>
      </c>
    </row>
    <row r="1449" spans="11:19" x14ac:dyDescent="0.25">
      <c r="K1449" s="4" t="s">
        <v>421</v>
      </c>
      <c r="L1449" t="s">
        <v>422</v>
      </c>
      <c r="M1449" t="s">
        <v>3637</v>
      </c>
      <c r="N1449" t="s">
        <v>6</v>
      </c>
      <c r="O1449" t="s">
        <v>244</v>
      </c>
      <c r="P1449" t="str">
        <f t="shared" si="256"/>
        <v>[1]</v>
      </c>
      <c r="Q1449">
        <f t="shared" si="257"/>
        <v>28</v>
      </c>
      <c r="R1449" t="str">
        <f t="shared" si="258"/>
        <v/>
      </c>
      <c r="S1449">
        <f>SUMIF(O1449:$O$2855,R1449,Q1449:$Q$2855)</f>
        <v>0</v>
      </c>
    </row>
    <row r="1450" spans="11:19" x14ac:dyDescent="0.25">
      <c r="K1450" s="4" t="s">
        <v>421</v>
      </c>
      <c r="L1450" t="s">
        <v>422</v>
      </c>
      <c r="M1450" t="s">
        <v>1938</v>
      </c>
      <c r="N1450" t="s">
        <v>165</v>
      </c>
      <c r="O1450" t="s">
        <v>244</v>
      </c>
      <c r="P1450" t="str">
        <f t="shared" si="256"/>
        <v>[1]</v>
      </c>
      <c r="Q1450">
        <f t="shared" si="257"/>
        <v>20</v>
      </c>
      <c r="R1450" t="str">
        <f t="shared" si="258"/>
        <v/>
      </c>
      <c r="S1450">
        <f>SUMIF(O1450:$O$2855,R1450,Q1450:$Q$2855)</f>
        <v>0</v>
      </c>
    </row>
    <row r="1451" spans="11:19" x14ac:dyDescent="0.25">
      <c r="K1451" s="4" t="s">
        <v>421</v>
      </c>
      <c r="L1451" t="s">
        <v>422</v>
      </c>
      <c r="M1451" t="s">
        <v>1939</v>
      </c>
      <c r="N1451" t="s">
        <v>76</v>
      </c>
      <c r="O1451" t="s">
        <v>244</v>
      </c>
      <c r="P1451" t="str">
        <f t="shared" si="256"/>
        <v>[1]</v>
      </c>
      <c r="Q1451">
        <f t="shared" si="257"/>
        <v>36</v>
      </c>
      <c r="R1451" t="str">
        <f t="shared" si="258"/>
        <v/>
      </c>
      <c r="S1451">
        <f>SUMIF(O1451:$O$2855,R1451,Q1451:$Q$2855)</f>
        <v>0</v>
      </c>
    </row>
    <row r="1452" spans="11:19" x14ac:dyDescent="0.25">
      <c r="K1452" s="4" t="s">
        <v>421</v>
      </c>
      <c r="L1452" t="s">
        <v>422</v>
      </c>
      <c r="M1452" t="s">
        <v>3638</v>
      </c>
      <c r="N1452" t="s">
        <v>165</v>
      </c>
      <c r="O1452" t="s">
        <v>244</v>
      </c>
      <c r="P1452" t="str">
        <f t="shared" si="256"/>
        <v>[1]</v>
      </c>
      <c r="Q1452">
        <f t="shared" si="257"/>
        <v>20</v>
      </c>
      <c r="R1452" t="str">
        <f t="shared" si="258"/>
        <v/>
      </c>
      <c r="S1452">
        <f>SUMIF(O1452:$O$2855,R1452,Q1452:$Q$2855)</f>
        <v>0</v>
      </c>
    </row>
    <row r="1453" spans="11:19" x14ac:dyDescent="0.25">
      <c r="K1453" s="4" t="s">
        <v>421</v>
      </c>
      <c r="L1453" t="s">
        <v>422</v>
      </c>
      <c r="M1453" t="s">
        <v>3639</v>
      </c>
      <c r="N1453" t="s">
        <v>65</v>
      </c>
      <c r="O1453" t="s">
        <v>244</v>
      </c>
      <c r="P1453" t="str">
        <f t="shared" si="256"/>
        <v>[1]</v>
      </c>
      <c r="Q1453">
        <f t="shared" si="257"/>
        <v>40</v>
      </c>
      <c r="R1453" t="str">
        <f t="shared" si="258"/>
        <v/>
      </c>
      <c r="S1453">
        <f>SUMIF(O1453:$O$2855,R1453,Q1453:$Q$2855)</f>
        <v>0</v>
      </c>
    </row>
    <row r="1454" spans="11:19" x14ac:dyDescent="0.25">
      <c r="K1454" s="4" t="s">
        <v>421</v>
      </c>
      <c r="L1454" t="s">
        <v>422</v>
      </c>
      <c r="M1454" t="s">
        <v>3640</v>
      </c>
      <c r="N1454" t="s">
        <v>6</v>
      </c>
      <c r="O1454" t="s">
        <v>244</v>
      </c>
      <c r="P1454" t="str">
        <f t="shared" si="256"/>
        <v>[1]</v>
      </c>
      <c r="Q1454">
        <f t="shared" si="257"/>
        <v>28</v>
      </c>
      <c r="R1454" t="str">
        <f t="shared" si="258"/>
        <v/>
      </c>
      <c r="S1454">
        <f>SUMIF(O1454:$O$2855,R1454,Q1454:$Q$2855)</f>
        <v>0</v>
      </c>
    </row>
    <row r="1455" spans="11:19" x14ac:dyDescent="0.25">
      <c r="K1455" s="4" t="s">
        <v>421</v>
      </c>
      <c r="L1455" t="s">
        <v>422</v>
      </c>
      <c r="M1455" t="s">
        <v>3641</v>
      </c>
      <c r="N1455" t="s">
        <v>237</v>
      </c>
      <c r="O1455" t="s">
        <v>244</v>
      </c>
      <c r="P1455" t="str">
        <f t="shared" si="256"/>
        <v>[1]</v>
      </c>
      <c r="Q1455">
        <f t="shared" si="257"/>
        <v>52</v>
      </c>
      <c r="R1455" t="str">
        <f t="shared" si="258"/>
        <v/>
      </c>
      <c r="S1455">
        <f>SUMIF(O1455:$O$2855,R1455,Q1455:$Q$2855)</f>
        <v>0</v>
      </c>
    </row>
    <row r="1456" spans="11:19" x14ac:dyDescent="0.25">
      <c r="K1456" s="4" t="s">
        <v>421</v>
      </c>
      <c r="L1456" t="s">
        <v>422</v>
      </c>
      <c r="M1456" t="s">
        <v>3642</v>
      </c>
      <c r="N1456" t="s">
        <v>6</v>
      </c>
      <c r="O1456" t="s">
        <v>244</v>
      </c>
      <c r="P1456" t="str">
        <f t="shared" si="256"/>
        <v>[1]</v>
      </c>
      <c r="Q1456">
        <f t="shared" si="257"/>
        <v>28</v>
      </c>
      <c r="R1456" t="str">
        <f t="shared" si="258"/>
        <v/>
      </c>
      <c r="S1456">
        <f>SUMIF(O1456:$O$2855,R1456,Q1456:$Q$2855)</f>
        <v>0</v>
      </c>
    </row>
    <row r="1457" spans="11:19" x14ac:dyDescent="0.25">
      <c r="K1457" s="4" t="s">
        <v>421</v>
      </c>
      <c r="L1457" t="s">
        <v>422</v>
      </c>
      <c r="M1457" t="s">
        <v>3643</v>
      </c>
      <c r="N1457" t="s">
        <v>67</v>
      </c>
      <c r="O1457" t="s">
        <v>244</v>
      </c>
      <c r="P1457" t="str">
        <f t="shared" si="256"/>
        <v>[1]</v>
      </c>
      <c r="Q1457">
        <f t="shared" si="257"/>
        <v>48</v>
      </c>
      <c r="R1457" t="str">
        <f t="shared" si="258"/>
        <v/>
      </c>
      <c r="S1457">
        <f>SUMIF(O1457:$O$2855,R1457,Q1457:$Q$2855)</f>
        <v>0</v>
      </c>
    </row>
    <row r="1458" spans="11:19" x14ac:dyDescent="0.25">
      <c r="K1458" s="4" t="s">
        <v>421</v>
      </c>
      <c r="L1458" t="s">
        <v>422</v>
      </c>
      <c r="M1458" t="s">
        <v>3644</v>
      </c>
      <c r="N1458" t="s">
        <v>437</v>
      </c>
      <c r="O1458" t="s">
        <v>244</v>
      </c>
      <c r="P1458" t="str">
        <f t="shared" si="256"/>
        <v>[1]</v>
      </c>
      <c r="Q1458">
        <f t="shared" si="257"/>
        <v>24</v>
      </c>
      <c r="R1458" t="str">
        <f t="shared" si="258"/>
        <v/>
      </c>
      <c r="S1458">
        <f>SUMIF(O1458:$O$2855,R1458,Q1458:$Q$2855)</f>
        <v>0</v>
      </c>
    </row>
    <row r="1459" spans="11:19" x14ac:dyDescent="0.25">
      <c r="K1459" s="4" t="s">
        <v>421</v>
      </c>
      <c r="L1459" t="s">
        <v>422</v>
      </c>
      <c r="M1459" t="s">
        <v>3645</v>
      </c>
      <c r="N1459" t="s">
        <v>44</v>
      </c>
      <c r="O1459" t="s">
        <v>244</v>
      </c>
      <c r="P1459" t="str">
        <f t="shared" si="256"/>
        <v>[1]</v>
      </c>
      <c r="Q1459">
        <f t="shared" si="257"/>
        <v>44</v>
      </c>
      <c r="R1459" t="str">
        <f t="shared" si="258"/>
        <v/>
      </c>
      <c r="S1459">
        <f>SUMIF(O1459:$O$2855,R1459,Q1459:$Q$2855)</f>
        <v>0</v>
      </c>
    </row>
    <row r="1460" spans="11:19" x14ac:dyDescent="0.25">
      <c r="K1460" s="4" t="s">
        <v>421</v>
      </c>
      <c r="L1460" t="s">
        <v>422</v>
      </c>
      <c r="M1460" t="s">
        <v>3646</v>
      </c>
      <c r="N1460" t="s">
        <v>6</v>
      </c>
      <c r="O1460" t="s">
        <v>244</v>
      </c>
      <c r="P1460" t="str">
        <f t="shared" si="256"/>
        <v>[1]</v>
      </c>
      <c r="Q1460">
        <f t="shared" si="257"/>
        <v>28</v>
      </c>
      <c r="R1460" t="str">
        <f t="shared" si="258"/>
        <v/>
      </c>
      <c r="S1460">
        <f>SUMIF(O1460:$O$2855,R1460,Q1460:$Q$2855)</f>
        <v>0</v>
      </c>
    </row>
    <row r="1461" spans="11:19" x14ac:dyDescent="0.25">
      <c r="K1461" s="4" t="s">
        <v>421</v>
      </c>
      <c r="L1461" t="s">
        <v>422</v>
      </c>
      <c r="M1461" t="s">
        <v>3647</v>
      </c>
      <c r="N1461" t="s">
        <v>67</v>
      </c>
      <c r="O1461" t="s">
        <v>244</v>
      </c>
      <c r="P1461" t="str">
        <f t="shared" si="256"/>
        <v>[1]</v>
      </c>
      <c r="Q1461">
        <f t="shared" si="257"/>
        <v>48</v>
      </c>
      <c r="R1461" t="str">
        <f t="shared" si="258"/>
        <v/>
      </c>
      <c r="S1461">
        <f>SUMIF(O1461:$O$2855,R1461,Q1461:$Q$2855)</f>
        <v>0</v>
      </c>
    </row>
    <row r="1462" spans="11:19" x14ac:dyDescent="0.25">
      <c r="K1462" s="4" t="s">
        <v>421</v>
      </c>
      <c r="L1462" t="s">
        <v>422</v>
      </c>
      <c r="M1462" t="s">
        <v>3648</v>
      </c>
      <c r="N1462" t="s">
        <v>437</v>
      </c>
      <c r="O1462" t="s">
        <v>244</v>
      </c>
      <c r="P1462" t="str">
        <f t="shared" si="256"/>
        <v>[1]</v>
      </c>
      <c r="Q1462">
        <f t="shared" si="257"/>
        <v>24</v>
      </c>
      <c r="R1462" t="str">
        <f t="shared" si="258"/>
        <v/>
      </c>
      <c r="S1462">
        <f>SUMIF(O1462:$O$2855,R1462,Q1462:$Q$2855)</f>
        <v>0</v>
      </c>
    </row>
    <row r="1463" spans="11:19" x14ac:dyDescent="0.25">
      <c r="K1463" s="4" t="s">
        <v>421</v>
      </c>
      <c r="L1463" t="s">
        <v>422</v>
      </c>
      <c r="M1463" t="s">
        <v>3649</v>
      </c>
      <c r="N1463" t="s">
        <v>67</v>
      </c>
      <c r="O1463" t="s">
        <v>244</v>
      </c>
      <c r="P1463" t="str">
        <f t="shared" si="256"/>
        <v>[1]</v>
      </c>
      <c r="Q1463">
        <f t="shared" si="257"/>
        <v>48</v>
      </c>
      <c r="R1463" t="str">
        <f t="shared" si="258"/>
        <v/>
      </c>
      <c r="S1463">
        <f>SUMIF(O1463:$O$2855,R1463,Q1463:$Q$2855)</f>
        <v>0</v>
      </c>
    </row>
    <row r="1464" spans="11:19" x14ac:dyDescent="0.25">
      <c r="K1464" s="4" t="s">
        <v>421</v>
      </c>
      <c r="L1464" t="s">
        <v>422</v>
      </c>
      <c r="M1464" t="s">
        <v>3650</v>
      </c>
      <c r="N1464" t="s">
        <v>165</v>
      </c>
      <c r="O1464" t="s">
        <v>244</v>
      </c>
      <c r="P1464" t="str">
        <f t="shared" si="256"/>
        <v>[1]</v>
      </c>
      <c r="Q1464">
        <f t="shared" si="257"/>
        <v>20</v>
      </c>
      <c r="R1464" t="str">
        <f t="shared" si="258"/>
        <v/>
      </c>
      <c r="S1464">
        <f>SUMIF(O1464:$O$2855,R1464,Q1464:$Q$2855)</f>
        <v>0</v>
      </c>
    </row>
    <row r="1465" spans="11:19" x14ac:dyDescent="0.25">
      <c r="K1465" s="4" t="s">
        <v>421</v>
      </c>
      <c r="L1465" t="s">
        <v>422</v>
      </c>
      <c r="M1465" t="s">
        <v>3651</v>
      </c>
      <c r="N1465" t="s">
        <v>65</v>
      </c>
      <c r="O1465" t="s">
        <v>244</v>
      </c>
      <c r="P1465" t="str">
        <f t="shared" si="256"/>
        <v>[1]</v>
      </c>
      <c r="Q1465">
        <f t="shared" si="257"/>
        <v>40</v>
      </c>
      <c r="R1465" t="str">
        <f t="shared" si="258"/>
        <v/>
      </c>
      <c r="S1465">
        <f>SUMIF(O1465:$O$2855,R1465,Q1465:$Q$2855)</f>
        <v>0</v>
      </c>
    </row>
    <row r="1466" spans="11:19" x14ac:dyDescent="0.25">
      <c r="K1466" s="4" t="s">
        <v>421</v>
      </c>
      <c r="L1466" t="s">
        <v>422</v>
      </c>
      <c r="M1466" t="s">
        <v>3652</v>
      </c>
      <c r="N1466" t="s">
        <v>165</v>
      </c>
      <c r="O1466" t="s">
        <v>244</v>
      </c>
      <c r="P1466" t="str">
        <f t="shared" si="256"/>
        <v>[1]</v>
      </c>
      <c r="Q1466">
        <f t="shared" si="257"/>
        <v>20</v>
      </c>
      <c r="R1466" t="str">
        <f t="shared" si="258"/>
        <v/>
      </c>
      <c r="S1466">
        <f>SUMIF(O1466:$O$2855,R1466,Q1466:$Q$2855)</f>
        <v>0</v>
      </c>
    </row>
    <row r="1467" spans="11:19" x14ac:dyDescent="0.25">
      <c r="K1467" s="4" t="s">
        <v>421</v>
      </c>
      <c r="L1467" t="s">
        <v>422</v>
      </c>
      <c r="M1467" t="s">
        <v>3653</v>
      </c>
      <c r="N1467" t="s">
        <v>65</v>
      </c>
      <c r="O1467" t="s">
        <v>244</v>
      </c>
      <c r="P1467" t="str">
        <f t="shared" si="256"/>
        <v>[1]</v>
      </c>
      <c r="Q1467">
        <f t="shared" si="257"/>
        <v>40</v>
      </c>
      <c r="R1467" t="str">
        <f t="shared" si="258"/>
        <v/>
      </c>
      <c r="S1467">
        <f>SUMIF(O1467:$O$2855,R1467,Q1467:$Q$2855)</f>
        <v>0</v>
      </c>
    </row>
    <row r="1468" spans="11:19" x14ac:dyDescent="0.25">
      <c r="K1468" s="4" t="s">
        <v>421</v>
      </c>
      <c r="L1468" t="s">
        <v>422</v>
      </c>
      <c r="M1468" t="s">
        <v>3654</v>
      </c>
      <c r="N1468" t="s">
        <v>119</v>
      </c>
      <c r="O1468" t="s">
        <v>244</v>
      </c>
      <c r="P1468" t="str">
        <f t="shared" si="256"/>
        <v>[1]</v>
      </c>
      <c r="Q1468">
        <f t="shared" si="257"/>
        <v>32</v>
      </c>
      <c r="R1468" t="str">
        <f t="shared" si="258"/>
        <v/>
      </c>
      <c r="S1468">
        <f>SUMIF(O1468:$O$2855,R1468,Q1468:$Q$2855)</f>
        <v>0</v>
      </c>
    </row>
    <row r="1469" spans="11:19" x14ac:dyDescent="0.25">
      <c r="K1469" s="4" t="s">
        <v>421</v>
      </c>
      <c r="L1469" t="s">
        <v>422</v>
      </c>
      <c r="M1469" t="s">
        <v>3655</v>
      </c>
      <c r="N1469" t="s">
        <v>67</v>
      </c>
      <c r="O1469" t="s">
        <v>244</v>
      </c>
      <c r="P1469" t="str">
        <f t="shared" si="256"/>
        <v>[1]</v>
      </c>
      <c r="Q1469">
        <f t="shared" si="257"/>
        <v>48</v>
      </c>
      <c r="R1469" t="str">
        <f t="shared" si="258"/>
        <v/>
      </c>
      <c r="S1469">
        <f>SUMIF(O1469:$O$2855,R1469,Q1469:$Q$2855)</f>
        <v>0</v>
      </c>
    </row>
    <row r="1470" spans="11:19" x14ac:dyDescent="0.25">
      <c r="K1470" s="4" t="s">
        <v>421</v>
      </c>
      <c r="L1470" t="s">
        <v>422</v>
      </c>
      <c r="M1470" t="s">
        <v>3656</v>
      </c>
      <c r="N1470" t="s">
        <v>165</v>
      </c>
      <c r="O1470" t="s">
        <v>244</v>
      </c>
      <c r="P1470" t="str">
        <f t="shared" si="256"/>
        <v>[1]</v>
      </c>
      <c r="Q1470">
        <f t="shared" si="257"/>
        <v>20</v>
      </c>
      <c r="R1470" t="str">
        <f t="shared" si="258"/>
        <v/>
      </c>
      <c r="S1470">
        <f>SUMIF(O1470:$O$2855,R1470,Q1470:$Q$2855)</f>
        <v>0</v>
      </c>
    </row>
    <row r="1471" spans="11:19" x14ac:dyDescent="0.25">
      <c r="K1471" s="4" t="s">
        <v>421</v>
      </c>
      <c r="L1471" t="s">
        <v>422</v>
      </c>
      <c r="M1471" t="s">
        <v>3657</v>
      </c>
      <c r="N1471" t="s">
        <v>65</v>
      </c>
      <c r="O1471" t="s">
        <v>244</v>
      </c>
      <c r="P1471" t="str">
        <f t="shared" si="256"/>
        <v>[1]</v>
      </c>
      <c r="Q1471">
        <f t="shared" si="257"/>
        <v>40</v>
      </c>
      <c r="R1471" t="str">
        <f t="shared" si="258"/>
        <v/>
      </c>
      <c r="S1471">
        <f>SUMIF(O1471:$O$2855,R1471,Q1471:$Q$2855)</f>
        <v>0</v>
      </c>
    </row>
    <row r="1472" spans="11:19" x14ac:dyDescent="0.25">
      <c r="K1472" s="4" t="s">
        <v>421</v>
      </c>
      <c r="L1472" t="s">
        <v>422</v>
      </c>
      <c r="M1472" t="s">
        <v>3658</v>
      </c>
      <c r="N1472" t="s">
        <v>437</v>
      </c>
      <c r="O1472" t="s">
        <v>244</v>
      </c>
      <c r="P1472" t="str">
        <f t="shared" si="256"/>
        <v>[1]</v>
      </c>
      <c r="Q1472">
        <f t="shared" si="257"/>
        <v>24</v>
      </c>
      <c r="R1472" t="str">
        <f t="shared" si="258"/>
        <v/>
      </c>
      <c r="S1472">
        <f>SUMIF(O1472:$O$2855,R1472,Q1472:$Q$2855)</f>
        <v>0</v>
      </c>
    </row>
    <row r="1473" spans="11:19" x14ac:dyDescent="0.25">
      <c r="K1473" s="4" t="s">
        <v>421</v>
      </c>
      <c r="L1473" t="s">
        <v>422</v>
      </c>
      <c r="M1473" t="s">
        <v>3659</v>
      </c>
      <c r="N1473" t="s">
        <v>67</v>
      </c>
      <c r="O1473" t="s">
        <v>244</v>
      </c>
      <c r="P1473" t="str">
        <f t="shared" si="256"/>
        <v>[1]</v>
      </c>
      <c r="Q1473">
        <f t="shared" si="257"/>
        <v>48</v>
      </c>
      <c r="R1473" t="str">
        <f t="shared" si="258"/>
        <v/>
      </c>
      <c r="S1473">
        <f>SUMIF(O1473:$O$2855,R1473,Q1473:$Q$2855)</f>
        <v>0</v>
      </c>
    </row>
    <row r="1474" spans="11:19" x14ac:dyDescent="0.25">
      <c r="K1474" s="4" t="s">
        <v>421</v>
      </c>
      <c r="L1474" t="s">
        <v>422</v>
      </c>
      <c r="M1474" t="s">
        <v>3660</v>
      </c>
      <c r="N1474" t="s">
        <v>6</v>
      </c>
      <c r="O1474" t="s">
        <v>244</v>
      </c>
      <c r="P1474" t="str">
        <f t="shared" ref="P1474:P1537" si="259">VLOOKUP($K$30,$E$1:$F$26,2,FALSE)</f>
        <v>[1]</v>
      </c>
      <c r="Q1474">
        <f t="shared" si="257"/>
        <v>28</v>
      </c>
      <c r="R1474" t="str">
        <f t="shared" si="258"/>
        <v/>
      </c>
      <c r="S1474">
        <f>SUMIF(O1474:$O$2855,R1474,Q1474:$Q$2855)</f>
        <v>0</v>
      </c>
    </row>
    <row r="1475" spans="11:19" x14ac:dyDescent="0.25">
      <c r="K1475" s="4" t="s">
        <v>421</v>
      </c>
      <c r="L1475" t="s">
        <v>422</v>
      </c>
      <c r="M1475" t="s">
        <v>3661</v>
      </c>
      <c r="N1475" t="s">
        <v>67</v>
      </c>
      <c r="O1475" t="s">
        <v>244</v>
      </c>
      <c r="P1475" t="str">
        <f t="shared" si="259"/>
        <v>[1]</v>
      </c>
      <c r="Q1475">
        <f t="shared" ref="Q1475:Q1538" si="260">HEX2DEC(MID(N1475,3,LEN(N1475)-2))</f>
        <v>48</v>
      </c>
      <c r="R1475" t="str">
        <f t="shared" si="258"/>
        <v/>
      </c>
      <c r="S1475">
        <f>SUMIF(O1475:$O$2855,R1475,Q1475:$Q$2855)</f>
        <v>0</v>
      </c>
    </row>
    <row r="1476" spans="11:19" x14ac:dyDescent="0.25">
      <c r="K1476" s="4" t="s">
        <v>421</v>
      </c>
      <c r="L1476" t="s">
        <v>422</v>
      </c>
      <c r="M1476" t="s">
        <v>3662</v>
      </c>
      <c r="N1476" t="s">
        <v>6</v>
      </c>
      <c r="O1476" t="s">
        <v>244</v>
      </c>
      <c r="P1476" t="str">
        <f t="shared" si="259"/>
        <v>[1]</v>
      </c>
      <c r="Q1476">
        <f t="shared" si="260"/>
        <v>28</v>
      </c>
      <c r="R1476" t="str">
        <f t="shared" si="258"/>
        <v/>
      </c>
      <c r="S1476">
        <f>SUMIF(O1476:$O$2855,R1476,Q1476:$Q$2855)</f>
        <v>0</v>
      </c>
    </row>
    <row r="1477" spans="11:19" x14ac:dyDescent="0.25">
      <c r="K1477" s="4" t="s">
        <v>421</v>
      </c>
      <c r="L1477" t="s">
        <v>422</v>
      </c>
      <c r="M1477" t="s">
        <v>3663</v>
      </c>
      <c r="N1477" t="s">
        <v>67</v>
      </c>
      <c r="O1477" t="s">
        <v>244</v>
      </c>
      <c r="P1477" t="str">
        <f t="shared" si="259"/>
        <v>[1]</v>
      </c>
      <c r="Q1477">
        <f t="shared" si="260"/>
        <v>48</v>
      </c>
      <c r="R1477" t="str">
        <f t="shared" si="258"/>
        <v/>
      </c>
      <c r="S1477">
        <f>SUMIF(O1477:$O$2855,R1477,Q1477:$Q$2855)</f>
        <v>0</v>
      </c>
    </row>
    <row r="1478" spans="11:19" x14ac:dyDescent="0.25">
      <c r="K1478" s="4" t="s">
        <v>421</v>
      </c>
      <c r="L1478" t="s">
        <v>422</v>
      </c>
      <c r="M1478" t="s">
        <v>3664</v>
      </c>
      <c r="N1478" t="s">
        <v>437</v>
      </c>
      <c r="O1478" t="s">
        <v>244</v>
      </c>
      <c r="P1478" t="str">
        <f t="shared" si="259"/>
        <v>[1]</v>
      </c>
      <c r="Q1478">
        <f t="shared" si="260"/>
        <v>24</v>
      </c>
      <c r="R1478" t="str">
        <f t="shared" si="258"/>
        <v/>
      </c>
      <c r="S1478">
        <f>SUMIF(O1478:$O$2855,R1478,Q1478:$Q$2855)</f>
        <v>0</v>
      </c>
    </row>
    <row r="1479" spans="11:19" x14ac:dyDescent="0.25">
      <c r="K1479" s="4" t="s">
        <v>421</v>
      </c>
      <c r="L1479" t="s">
        <v>422</v>
      </c>
      <c r="M1479" t="s">
        <v>1940</v>
      </c>
      <c r="N1479" t="s">
        <v>44</v>
      </c>
      <c r="O1479" t="s">
        <v>244</v>
      </c>
      <c r="P1479" t="str">
        <f t="shared" si="259"/>
        <v>[1]</v>
      </c>
      <c r="Q1479">
        <f t="shared" si="260"/>
        <v>44</v>
      </c>
      <c r="R1479" t="str">
        <f t="shared" si="258"/>
        <v/>
      </c>
      <c r="S1479">
        <f>SUMIF(O1479:$O$2855,R1479,Q1479:$Q$2855)</f>
        <v>0</v>
      </c>
    </row>
    <row r="1480" spans="11:19" x14ac:dyDescent="0.25">
      <c r="K1480" s="4" t="s">
        <v>421</v>
      </c>
      <c r="L1480" t="s">
        <v>422</v>
      </c>
      <c r="M1480" t="s">
        <v>1779</v>
      </c>
      <c r="N1480" t="s">
        <v>13</v>
      </c>
      <c r="O1480" t="s">
        <v>244</v>
      </c>
      <c r="P1480" t="str">
        <f t="shared" si="259"/>
        <v>[1]</v>
      </c>
      <c r="Q1480">
        <f t="shared" si="260"/>
        <v>12</v>
      </c>
      <c r="R1480" t="str">
        <f t="shared" si="258"/>
        <v/>
      </c>
      <c r="S1480">
        <f>SUMIF(O1480:$O$2855,R1480,Q1480:$Q$2855)</f>
        <v>0</v>
      </c>
    </row>
    <row r="1481" spans="11:19" x14ac:dyDescent="0.25">
      <c r="K1481" s="4" t="s">
        <v>421</v>
      </c>
      <c r="L1481" t="s">
        <v>422</v>
      </c>
      <c r="M1481" t="s">
        <v>3665</v>
      </c>
      <c r="N1481" t="s">
        <v>6</v>
      </c>
      <c r="O1481" t="s">
        <v>244</v>
      </c>
      <c r="P1481" t="str">
        <f t="shared" si="259"/>
        <v>[1]</v>
      </c>
      <c r="Q1481">
        <f t="shared" si="260"/>
        <v>28</v>
      </c>
      <c r="R1481" t="str">
        <f t="shared" si="258"/>
        <v/>
      </c>
      <c r="S1481">
        <f>SUMIF(O1481:$O$2855,R1481,Q1481:$Q$2855)</f>
        <v>0</v>
      </c>
    </row>
    <row r="1482" spans="11:19" x14ac:dyDescent="0.25">
      <c r="K1482" s="4" t="s">
        <v>421</v>
      </c>
      <c r="L1482" t="s">
        <v>422</v>
      </c>
      <c r="M1482" t="s">
        <v>3666</v>
      </c>
      <c r="N1482" t="s">
        <v>202</v>
      </c>
      <c r="O1482" t="s">
        <v>244</v>
      </c>
      <c r="P1482" t="str">
        <f t="shared" si="259"/>
        <v>[1]</v>
      </c>
      <c r="Q1482">
        <f t="shared" si="260"/>
        <v>16</v>
      </c>
      <c r="R1482" t="str">
        <f t="shared" si="258"/>
        <v/>
      </c>
      <c r="S1482">
        <f>SUMIF(O1482:$O$2855,R1482,Q1482:$Q$2855)</f>
        <v>0</v>
      </c>
    </row>
    <row r="1483" spans="11:19" x14ac:dyDescent="0.25">
      <c r="K1483" s="4" t="s">
        <v>421</v>
      </c>
      <c r="L1483" t="s">
        <v>422</v>
      </c>
      <c r="M1483" t="s">
        <v>3667</v>
      </c>
      <c r="N1483" t="s">
        <v>119</v>
      </c>
      <c r="O1483" t="s">
        <v>244</v>
      </c>
      <c r="P1483" t="str">
        <f t="shared" si="259"/>
        <v>[1]</v>
      </c>
      <c r="Q1483">
        <f t="shared" si="260"/>
        <v>32</v>
      </c>
      <c r="R1483" t="str">
        <f t="shared" si="258"/>
        <v/>
      </c>
      <c r="S1483">
        <f>SUMIF(O1483:$O$2855,R1483,Q1483:$Q$2855)</f>
        <v>0</v>
      </c>
    </row>
    <row r="1484" spans="11:19" x14ac:dyDescent="0.25">
      <c r="K1484" s="4" t="s">
        <v>421</v>
      </c>
      <c r="L1484" t="s">
        <v>422</v>
      </c>
      <c r="M1484" t="s">
        <v>3668</v>
      </c>
      <c r="N1484" t="s">
        <v>165</v>
      </c>
      <c r="O1484" t="s">
        <v>244</v>
      </c>
      <c r="P1484" t="str">
        <f t="shared" si="259"/>
        <v>[1]</v>
      </c>
      <c r="Q1484">
        <f t="shared" si="260"/>
        <v>20</v>
      </c>
      <c r="R1484" t="str">
        <f t="shared" si="258"/>
        <v/>
      </c>
      <c r="S1484">
        <f>SUMIF(O1484:$O$2855,R1484,Q1484:$Q$2855)</f>
        <v>0</v>
      </c>
    </row>
    <row r="1485" spans="11:19" x14ac:dyDescent="0.25">
      <c r="K1485" s="4" t="s">
        <v>421</v>
      </c>
      <c r="L1485" t="s">
        <v>422</v>
      </c>
      <c r="M1485" t="s">
        <v>1941</v>
      </c>
      <c r="N1485" t="s">
        <v>119</v>
      </c>
      <c r="O1485" t="s">
        <v>244</v>
      </c>
      <c r="P1485" t="str">
        <f t="shared" si="259"/>
        <v>[1]</v>
      </c>
      <c r="Q1485">
        <f t="shared" si="260"/>
        <v>32</v>
      </c>
      <c r="R1485" t="str">
        <f t="shared" si="258"/>
        <v/>
      </c>
      <c r="S1485">
        <f>SUMIF(O1485:$O$2855,R1485,Q1485:$Q$2855)</f>
        <v>0</v>
      </c>
    </row>
    <row r="1486" spans="11:19" x14ac:dyDescent="0.25">
      <c r="K1486" s="4" t="s">
        <v>421</v>
      </c>
      <c r="L1486" t="s">
        <v>422</v>
      </c>
      <c r="M1486" t="s">
        <v>3669</v>
      </c>
      <c r="N1486" t="s">
        <v>437</v>
      </c>
      <c r="O1486" t="s">
        <v>244</v>
      </c>
      <c r="P1486" t="str">
        <f t="shared" si="259"/>
        <v>[1]</v>
      </c>
      <c r="Q1486">
        <f t="shared" si="260"/>
        <v>24</v>
      </c>
      <c r="R1486" t="str">
        <f t="shared" si="258"/>
        <v/>
      </c>
      <c r="S1486">
        <f>SUMIF(O1486:$O$2855,R1486,Q1486:$Q$2855)</f>
        <v>0</v>
      </c>
    </row>
    <row r="1487" spans="11:19" x14ac:dyDescent="0.25">
      <c r="K1487" s="4" t="s">
        <v>421</v>
      </c>
      <c r="L1487" t="s">
        <v>422</v>
      </c>
      <c r="M1487" t="s">
        <v>3670</v>
      </c>
      <c r="N1487" t="s">
        <v>65</v>
      </c>
      <c r="O1487" t="s">
        <v>244</v>
      </c>
      <c r="P1487" t="str">
        <f t="shared" si="259"/>
        <v>[1]</v>
      </c>
      <c r="Q1487">
        <f t="shared" si="260"/>
        <v>40</v>
      </c>
      <c r="R1487" t="str">
        <f t="shared" si="258"/>
        <v/>
      </c>
      <c r="S1487">
        <f>SUMIF(O1487:$O$2855,R1487,Q1487:$Q$2855)</f>
        <v>0</v>
      </c>
    </row>
    <row r="1488" spans="11:19" x14ac:dyDescent="0.25">
      <c r="K1488" s="4" t="s">
        <v>421</v>
      </c>
      <c r="L1488" t="s">
        <v>422</v>
      </c>
      <c r="M1488" t="s">
        <v>3671</v>
      </c>
      <c r="N1488" t="s">
        <v>437</v>
      </c>
      <c r="O1488" t="s">
        <v>244</v>
      </c>
      <c r="P1488" t="str">
        <f t="shared" si="259"/>
        <v>[1]</v>
      </c>
      <c r="Q1488">
        <f t="shared" si="260"/>
        <v>24</v>
      </c>
      <c r="R1488" t="str">
        <f t="shared" si="258"/>
        <v/>
      </c>
      <c r="S1488">
        <f>SUMIF(O1488:$O$2855,R1488,Q1488:$Q$2855)</f>
        <v>0</v>
      </c>
    </row>
    <row r="1489" spans="11:19" x14ac:dyDescent="0.25">
      <c r="K1489" s="4" t="s">
        <v>421</v>
      </c>
      <c r="L1489" t="s">
        <v>422</v>
      </c>
      <c r="M1489" t="s">
        <v>1942</v>
      </c>
      <c r="N1489" t="s">
        <v>65</v>
      </c>
      <c r="O1489" t="s">
        <v>244</v>
      </c>
      <c r="P1489" t="str">
        <f t="shared" si="259"/>
        <v>[1]</v>
      </c>
      <c r="Q1489">
        <f t="shared" si="260"/>
        <v>40</v>
      </c>
      <c r="R1489" t="str">
        <f t="shared" si="258"/>
        <v/>
      </c>
      <c r="S1489">
        <f>SUMIF(O1489:$O$2855,R1489,Q1489:$Q$2855)</f>
        <v>0</v>
      </c>
    </row>
    <row r="1490" spans="11:19" x14ac:dyDescent="0.25">
      <c r="K1490" s="4" t="s">
        <v>421</v>
      </c>
      <c r="L1490" t="s">
        <v>422</v>
      </c>
      <c r="M1490" t="s">
        <v>3672</v>
      </c>
      <c r="N1490" t="s">
        <v>202</v>
      </c>
      <c r="O1490" t="s">
        <v>244</v>
      </c>
      <c r="P1490" t="str">
        <f t="shared" si="259"/>
        <v>[1]</v>
      </c>
      <c r="Q1490">
        <f t="shared" si="260"/>
        <v>16</v>
      </c>
      <c r="R1490" t="str">
        <f t="shared" si="258"/>
        <v/>
      </c>
      <c r="S1490">
        <f>SUMIF(O1490:$O$2855,R1490,Q1490:$Q$2855)</f>
        <v>0</v>
      </c>
    </row>
    <row r="1491" spans="11:19" x14ac:dyDescent="0.25">
      <c r="K1491" s="4" t="s">
        <v>421</v>
      </c>
      <c r="L1491" t="s">
        <v>422</v>
      </c>
      <c r="M1491" t="s">
        <v>3673</v>
      </c>
      <c r="N1491" t="s">
        <v>67</v>
      </c>
      <c r="O1491" t="s">
        <v>244</v>
      </c>
      <c r="P1491" t="str">
        <f t="shared" si="259"/>
        <v>[1]</v>
      </c>
      <c r="Q1491">
        <f t="shared" si="260"/>
        <v>48</v>
      </c>
      <c r="R1491" t="str">
        <f t="shared" si="258"/>
        <v/>
      </c>
      <c r="S1491">
        <f>SUMIF(O1491:$O$2855,R1491,Q1491:$Q$2855)</f>
        <v>0</v>
      </c>
    </row>
    <row r="1492" spans="11:19" x14ac:dyDescent="0.25">
      <c r="K1492" s="4" t="s">
        <v>421</v>
      </c>
      <c r="L1492" t="s">
        <v>422</v>
      </c>
      <c r="M1492" t="s">
        <v>1943</v>
      </c>
      <c r="N1492" t="s">
        <v>202</v>
      </c>
      <c r="O1492" t="s">
        <v>244</v>
      </c>
      <c r="P1492" t="str">
        <f t="shared" si="259"/>
        <v>[1]</v>
      </c>
      <c r="Q1492">
        <f t="shared" si="260"/>
        <v>16</v>
      </c>
      <c r="R1492" t="str">
        <f t="shared" si="258"/>
        <v/>
      </c>
      <c r="S1492">
        <f>SUMIF(O1492:$O$2855,R1492,Q1492:$Q$2855)</f>
        <v>0</v>
      </c>
    </row>
    <row r="1493" spans="11:19" x14ac:dyDescent="0.25">
      <c r="K1493" s="4" t="s">
        <v>421</v>
      </c>
      <c r="L1493" t="s">
        <v>422</v>
      </c>
      <c r="M1493" t="s">
        <v>3674</v>
      </c>
      <c r="N1493" t="s">
        <v>437</v>
      </c>
      <c r="O1493" t="s">
        <v>244</v>
      </c>
      <c r="P1493" t="str">
        <f t="shared" si="259"/>
        <v>[1]</v>
      </c>
      <c r="Q1493">
        <f t="shared" si="260"/>
        <v>24</v>
      </c>
      <c r="R1493" t="str">
        <f t="shared" si="258"/>
        <v/>
      </c>
      <c r="S1493">
        <f>SUMIF(O1493:$O$2855,R1493,Q1493:$Q$2855)</f>
        <v>0</v>
      </c>
    </row>
    <row r="1494" spans="11:19" x14ac:dyDescent="0.25">
      <c r="K1494" s="4" t="s">
        <v>421</v>
      </c>
      <c r="L1494" t="s">
        <v>422</v>
      </c>
      <c r="M1494" t="s">
        <v>3675</v>
      </c>
      <c r="N1494" t="s">
        <v>202</v>
      </c>
      <c r="O1494" t="s">
        <v>244</v>
      </c>
      <c r="P1494" t="str">
        <f t="shared" si="259"/>
        <v>[1]</v>
      </c>
      <c r="Q1494">
        <f t="shared" si="260"/>
        <v>16</v>
      </c>
      <c r="R1494" t="str">
        <f t="shared" si="258"/>
        <v/>
      </c>
      <c r="S1494">
        <f>SUMIF(O1494:$O$2855,R1494,Q1494:$Q$2855)</f>
        <v>0</v>
      </c>
    </row>
    <row r="1495" spans="11:19" x14ac:dyDescent="0.25">
      <c r="K1495" s="4" t="s">
        <v>421</v>
      </c>
      <c r="L1495" t="s">
        <v>422</v>
      </c>
      <c r="M1495" t="s">
        <v>1944</v>
      </c>
      <c r="N1495" t="s">
        <v>119</v>
      </c>
      <c r="O1495" t="s">
        <v>244</v>
      </c>
      <c r="P1495" t="str">
        <f t="shared" si="259"/>
        <v>[1]</v>
      </c>
      <c r="Q1495">
        <f t="shared" si="260"/>
        <v>32</v>
      </c>
      <c r="R1495" t="str">
        <f t="shared" si="258"/>
        <v/>
      </c>
      <c r="S1495">
        <f>SUMIF(O1495:$O$2855,R1495,Q1495:$Q$2855)</f>
        <v>0</v>
      </c>
    </row>
    <row r="1496" spans="11:19" x14ac:dyDescent="0.25">
      <c r="K1496" s="4" t="s">
        <v>421</v>
      </c>
      <c r="L1496" t="s">
        <v>422</v>
      </c>
      <c r="M1496" t="s">
        <v>1945</v>
      </c>
      <c r="N1496" t="s">
        <v>437</v>
      </c>
      <c r="O1496" t="s">
        <v>244</v>
      </c>
      <c r="P1496" t="str">
        <f t="shared" si="259"/>
        <v>[1]</v>
      </c>
      <c r="Q1496">
        <f t="shared" si="260"/>
        <v>24</v>
      </c>
      <c r="R1496" t="str">
        <f t="shared" si="258"/>
        <v/>
      </c>
      <c r="S1496">
        <f>SUMIF(O1496:$O$2855,R1496,Q1496:$Q$2855)</f>
        <v>0</v>
      </c>
    </row>
    <row r="1497" spans="11:19" x14ac:dyDescent="0.25">
      <c r="K1497" s="4" t="s">
        <v>421</v>
      </c>
      <c r="L1497" t="s">
        <v>422</v>
      </c>
      <c r="M1497" t="s">
        <v>3676</v>
      </c>
      <c r="N1497" t="s">
        <v>119</v>
      </c>
      <c r="O1497" t="s">
        <v>244</v>
      </c>
      <c r="P1497" t="str">
        <f t="shared" si="259"/>
        <v>[1]</v>
      </c>
      <c r="Q1497">
        <f t="shared" si="260"/>
        <v>32</v>
      </c>
      <c r="R1497" t="str">
        <f t="shared" si="258"/>
        <v/>
      </c>
      <c r="S1497">
        <f>SUMIF(O1497:$O$2855,R1497,Q1497:$Q$2855)</f>
        <v>0</v>
      </c>
    </row>
    <row r="1498" spans="11:19" x14ac:dyDescent="0.25">
      <c r="K1498" s="4" t="s">
        <v>421</v>
      </c>
      <c r="L1498" t="s">
        <v>422</v>
      </c>
      <c r="M1498" t="s">
        <v>3677</v>
      </c>
      <c r="N1498" t="s">
        <v>437</v>
      </c>
      <c r="O1498" t="s">
        <v>244</v>
      </c>
      <c r="P1498" t="str">
        <f t="shared" si="259"/>
        <v>[1]</v>
      </c>
      <c r="Q1498">
        <f t="shared" si="260"/>
        <v>24</v>
      </c>
      <c r="R1498" t="str">
        <f t="shared" si="258"/>
        <v/>
      </c>
      <c r="S1498">
        <f>SUMIF(O1498:$O$2855,R1498,Q1498:$Q$2855)</f>
        <v>0</v>
      </c>
    </row>
    <row r="1499" spans="11:19" x14ac:dyDescent="0.25">
      <c r="K1499" s="4" t="s">
        <v>421</v>
      </c>
      <c r="L1499" t="s">
        <v>422</v>
      </c>
      <c r="M1499" t="s">
        <v>3678</v>
      </c>
      <c r="N1499" t="s">
        <v>89</v>
      </c>
      <c r="O1499" t="s">
        <v>244</v>
      </c>
      <c r="P1499" t="str">
        <f t="shared" si="259"/>
        <v>[1]</v>
      </c>
      <c r="Q1499">
        <f t="shared" si="260"/>
        <v>76</v>
      </c>
      <c r="R1499" t="str">
        <f t="shared" si="258"/>
        <v/>
      </c>
      <c r="S1499">
        <f>SUMIF(O1499:$O$2855,R1499,Q1499:$Q$2855)</f>
        <v>0</v>
      </c>
    </row>
    <row r="1500" spans="11:19" x14ac:dyDescent="0.25">
      <c r="K1500" s="4" t="s">
        <v>421</v>
      </c>
      <c r="L1500" t="s">
        <v>422</v>
      </c>
      <c r="M1500" t="s">
        <v>3679</v>
      </c>
      <c r="N1500" t="s">
        <v>437</v>
      </c>
      <c r="O1500" t="s">
        <v>244</v>
      </c>
      <c r="P1500" t="str">
        <f t="shared" si="259"/>
        <v>[1]</v>
      </c>
      <c r="Q1500">
        <f t="shared" si="260"/>
        <v>24</v>
      </c>
      <c r="R1500" t="str">
        <f t="shared" si="258"/>
        <v/>
      </c>
      <c r="S1500">
        <f>SUMIF(O1500:$O$2855,R1500,Q1500:$Q$2855)</f>
        <v>0</v>
      </c>
    </row>
    <row r="1501" spans="11:19" x14ac:dyDescent="0.25">
      <c r="K1501" s="4" t="s">
        <v>421</v>
      </c>
      <c r="L1501" t="s">
        <v>422</v>
      </c>
      <c r="M1501" t="s">
        <v>3680</v>
      </c>
      <c r="N1501" t="s">
        <v>275</v>
      </c>
      <c r="O1501" t="s">
        <v>244</v>
      </c>
      <c r="P1501" t="str">
        <f t="shared" si="259"/>
        <v>[1]</v>
      </c>
      <c r="Q1501">
        <f t="shared" si="260"/>
        <v>80</v>
      </c>
      <c r="R1501" t="str">
        <f t="shared" si="258"/>
        <v/>
      </c>
      <c r="S1501">
        <f>SUMIF(O1501:$O$2855,R1501,Q1501:$Q$2855)</f>
        <v>0</v>
      </c>
    </row>
    <row r="1502" spans="11:19" x14ac:dyDescent="0.25">
      <c r="K1502" s="4" t="s">
        <v>421</v>
      </c>
      <c r="L1502" t="s">
        <v>422</v>
      </c>
      <c r="M1502" t="s">
        <v>3681</v>
      </c>
      <c r="N1502" t="s">
        <v>437</v>
      </c>
      <c r="O1502" t="s">
        <v>244</v>
      </c>
      <c r="P1502" t="str">
        <f t="shared" si="259"/>
        <v>[1]</v>
      </c>
      <c r="Q1502">
        <f t="shared" si="260"/>
        <v>24</v>
      </c>
      <c r="R1502" t="str">
        <f t="shared" si="258"/>
        <v/>
      </c>
      <c r="S1502">
        <f>SUMIF(O1502:$O$2855,R1502,Q1502:$Q$2855)</f>
        <v>0</v>
      </c>
    </row>
    <row r="1503" spans="11:19" x14ac:dyDescent="0.25">
      <c r="K1503" s="4" t="s">
        <v>421</v>
      </c>
      <c r="L1503" t="s">
        <v>422</v>
      </c>
      <c r="M1503" t="s">
        <v>3682</v>
      </c>
      <c r="N1503" t="s">
        <v>89</v>
      </c>
      <c r="O1503" t="s">
        <v>244</v>
      </c>
      <c r="P1503" t="str">
        <f t="shared" si="259"/>
        <v>[1]</v>
      </c>
      <c r="Q1503">
        <f t="shared" si="260"/>
        <v>76</v>
      </c>
      <c r="R1503" t="str">
        <f t="shared" si="258"/>
        <v/>
      </c>
      <c r="S1503">
        <f>SUMIF(O1503:$O$2855,R1503,Q1503:$Q$2855)</f>
        <v>0</v>
      </c>
    </row>
    <row r="1504" spans="11:19" x14ac:dyDescent="0.25">
      <c r="K1504" s="4" t="s">
        <v>421</v>
      </c>
      <c r="L1504" t="s">
        <v>422</v>
      </c>
      <c r="M1504" t="s">
        <v>3683</v>
      </c>
      <c r="N1504" t="s">
        <v>126</v>
      </c>
      <c r="O1504" t="s">
        <v>244</v>
      </c>
      <c r="P1504" t="str">
        <f t="shared" si="259"/>
        <v>[1]</v>
      </c>
      <c r="Q1504">
        <f t="shared" si="260"/>
        <v>8</v>
      </c>
      <c r="R1504" t="str">
        <f t="shared" ref="R1504:R1567" si="261">IF(O1504&lt;&gt;O1503,O1504,"")</f>
        <v/>
      </c>
      <c r="S1504">
        <f>SUMIF(O1504:$O$2855,R1504,Q1504:$Q$2855)</f>
        <v>0</v>
      </c>
    </row>
    <row r="1505" spans="11:19" x14ac:dyDescent="0.25">
      <c r="K1505" s="4" t="s">
        <v>421</v>
      </c>
      <c r="L1505" t="s">
        <v>422</v>
      </c>
      <c r="M1505" t="s">
        <v>3684</v>
      </c>
      <c r="N1505" t="s">
        <v>65</v>
      </c>
      <c r="O1505" t="s">
        <v>244</v>
      </c>
      <c r="P1505" t="str">
        <f t="shared" si="259"/>
        <v>[1]</v>
      </c>
      <c r="Q1505">
        <f t="shared" si="260"/>
        <v>40</v>
      </c>
      <c r="R1505" t="str">
        <f t="shared" si="261"/>
        <v/>
      </c>
      <c r="S1505">
        <f>SUMIF(O1505:$O$2855,R1505,Q1505:$Q$2855)</f>
        <v>0</v>
      </c>
    </row>
    <row r="1506" spans="11:19" x14ac:dyDescent="0.25">
      <c r="K1506" s="4" t="s">
        <v>421</v>
      </c>
      <c r="L1506" t="s">
        <v>422</v>
      </c>
      <c r="M1506" t="s">
        <v>3685</v>
      </c>
      <c r="N1506" t="s">
        <v>165</v>
      </c>
      <c r="O1506" t="s">
        <v>244</v>
      </c>
      <c r="P1506" t="str">
        <f t="shared" si="259"/>
        <v>[1]</v>
      </c>
      <c r="Q1506">
        <f t="shared" si="260"/>
        <v>20</v>
      </c>
      <c r="R1506" t="str">
        <f t="shared" si="261"/>
        <v/>
      </c>
      <c r="S1506">
        <f>SUMIF(O1506:$O$2855,R1506,Q1506:$Q$2855)</f>
        <v>0</v>
      </c>
    </row>
    <row r="1507" spans="11:19" x14ac:dyDescent="0.25">
      <c r="K1507" s="4" t="s">
        <v>421</v>
      </c>
      <c r="L1507" t="s">
        <v>422</v>
      </c>
      <c r="M1507" t="s">
        <v>3686</v>
      </c>
      <c r="N1507" t="s">
        <v>119</v>
      </c>
      <c r="O1507" t="s">
        <v>244</v>
      </c>
      <c r="P1507" t="str">
        <f t="shared" si="259"/>
        <v>[1]</v>
      </c>
      <c r="Q1507">
        <f t="shared" si="260"/>
        <v>32</v>
      </c>
      <c r="R1507" t="str">
        <f t="shared" si="261"/>
        <v/>
      </c>
      <c r="S1507">
        <f>SUMIF(O1507:$O$2855,R1507,Q1507:$Q$2855)</f>
        <v>0</v>
      </c>
    </row>
    <row r="1508" spans="11:19" x14ac:dyDescent="0.25">
      <c r="K1508" s="4" t="s">
        <v>421</v>
      </c>
      <c r="L1508" t="s">
        <v>422</v>
      </c>
      <c r="M1508" t="s">
        <v>3687</v>
      </c>
      <c r="N1508" t="s">
        <v>165</v>
      </c>
      <c r="O1508" t="s">
        <v>244</v>
      </c>
      <c r="P1508" t="str">
        <f t="shared" si="259"/>
        <v>[1]</v>
      </c>
      <c r="Q1508">
        <f t="shared" si="260"/>
        <v>20</v>
      </c>
      <c r="R1508" t="str">
        <f t="shared" si="261"/>
        <v/>
      </c>
      <c r="S1508">
        <f>SUMIF(O1508:$O$2855,R1508,Q1508:$Q$2855)</f>
        <v>0</v>
      </c>
    </row>
    <row r="1509" spans="11:19" x14ac:dyDescent="0.25">
      <c r="K1509" s="4" t="s">
        <v>421</v>
      </c>
      <c r="L1509" t="s">
        <v>422</v>
      </c>
      <c r="M1509" t="s">
        <v>3688</v>
      </c>
      <c r="N1509" t="s">
        <v>6</v>
      </c>
      <c r="O1509" t="s">
        <v>244</v>
      </c>
      <c r="P1509" t="str">
        <f t="shared" si="259"/>
        <v>[1]</v>
      </c>
      <c r="Q1509">
        <f t="shared" si="260"/>
        <v>28</v>
      </c>
      <c r="R1509" t="str">
        <f t="shared" si="261"/>
        <v/>
      </c>
      <c r="S1509">
        <f>SUMIF(O1509:$O$2855,R1509,Q1509:$Q$2855)</f>
        <v>0</v>
      </c>
    </row>
    <row r="1510" spans="11:19" x14ac:dyDescent="0.25">
      <c r="K1510" s="4" t="s">
        <v>421</v>
      </c>
      <c r="L1510" t="s">
        <v>422</v>
      </c>
      <c r="M1510" t="s">
        <v>3689</v>
      </c>
      <c r="N1510" t="s">
        <v>202</v>
      </c>
      <c r="O1510" t="s">
        <v>244</v>
      </c>
      <c r="P1510" t="str">
        <f t="shared" si="259"/>
        <v>[1]</v>
      </c>
      <c r="Q1510">
        <f t="shared" si="260"/>
        <v>16</v>
      </c>
      <c r="R1510" t="str">
        <f t="shared" si="261"/>
        <v/>
      </c>
      <c r="S1510">
        <f>SUMIF(O1510:$O$2855,R1510,Q1510:$Q$2855)</f>
        <v>0</v>
      </c>
    </row>
    <row r="1511" spans="11:19" x14ac:dyDescent="0.25">
      <c r="K1511" s="4" t="s">
        <v>421</v>
      </c>
      <c r="L1511" t="s">
        <v>422</v>
      </c>
      <c r="M1511" t="s">
        <v>3690</v>
      </c>
      <c r="N1511" t="s">
        <v>6</v>
      </c>
      <c r="O1511" t="s">
        <v>244</v>
      </c>
      <c r="P1511" t="str">
        <f t="shared" si="259"/>
        <v>[1]</v>
      </c>
      <c r="Q1511">
        <f t="shared" si="260"/>
        <v>28</v>
      </c>
      <c r="R1511" t="str">
        <f t="shared" si="261"/>
        <v/>
      </c>
      <c r="S1511">
        <f>SUMIF(O1511:$O$2855,R1511,Q1511:$Q$2855)</f>
        <v>0</v>
      </c>
    </row>
    <row r="1512" spans="11:19" x14ac:dyDescent="0.25">
      <c r="K1512" s="4" t="s">
        <v>421</v>
      </c>
      <c r="L1512" t="s">
        <v>422</v>
      </c>
      <c r="M1512" t="s">
        <v>3691</v>
      </c>
      <c r="N1512" t="s">
        <v>202</v>
      </c>
      <c r="O1512" t="s">
        <v>244</v>
      </c>
      <c r="P1512" t="str">
        <f t="shared" si="259"/>
        <v>[1]</v>
      </c>
      <c r="Q1512">
        <f t="shared" si="260"/>
        <v>16</v>
      </c>
      <c r="R1512" t="str">
        <f t="shared" si="261"/>
        <v/>
      </c>
      <c r="S1512">
        <f>SUMIF(O1512:$O$2855,R1512,Q1512:$Q$2855)</f>
        <v>0</v>
      </c>
    </row>
    <row r="1513" spans="11:19" x14ac:dyDescent="0.25">
      <c r="K1513" s="4" t="s">
        <v>421</v>
      </c>
      <c r="L1513" t="s">
        <v>422</v>
      </c>
      <c r="M1513" t="s">
        <v>3692</v>
      </c>
      <c r="N1513" t="s">
        <v>437</v>
      </c>
      <c r="O1513" t="s">
        <v>244</v>
      </c>
      <c r="P1513" t="str">
        <f t="shared" si="259"/>
        <v>[1]</v>
      </c>
      <c r="Q1513">
        <f t="shared" si="260"/>
        <v>24</v>
      </c>
      <c r="R1513" t="str">
        <f t="shared" si="261"/>
        <v/>
      </c>
      <c r="S1513">
        <f>SUMIF(O1513:$O$2855,R1513,Q1513:$Q$2855)</f>
        <v>0</v>
      </c>
    </row>
    <row r="1514" spans="11:19" x14ac:dyDescent="0.25">
      <c r="K1514" s="4" t="s">
        <v>421</v>
      </c>
      <c r="L1514" t="s">
        <v>422</v>
      </c>
      <c r="M1514" t="s">
        <v>3693</v>
      </c>
      <c r="N1514" t="s">
        <v>437</v>
      </c>
      <c r="O1514" t="s">
        <v>244</v>
      </c>
      <c r="P1514" t="str">
        <f t="shared" si="259"/>
        <v>[1]</v>
      </c>
      <c r="Q1514">
        <f t="shared" si="260"/>
        <v>24</v>
      </c>
      <c r="R1514" t="str">
        <f t="shared" si="261"/>
        <v/>
      </c>
      <c r="S1514">
        <f>SUMIF(O1514:$O$2855,R1514,Q1514:$Q$2855)</f>
        <v>0</v>
      </c>
    </row>
    <row r="1515" spans="11:19" x14ac:dyDescent="0.25">
      <c r="K1515" s="4" t="s">
        <v>421</v>
      </c>
      <c r="L1515" t="s">
        <v>422</v>
      </c>
      <c r="M1515" t="s">
        <v>3694</v>
      </c>
      <c r="N1515" t="s">
        <v>65</v>
      </c>
      <c r="O1515" t="s">
        <v>244</v>
      </c>
      <c r="P1515" t="str">
        <f t="shared" si="259"/>
        <v>[1]</v>
      </c>
      <c r="Q1515">
        <f t="shared" si="260"/>
        <v>40</v>
      </c>
      <c r="R1515" t="str">
        <f t="shared" si="261"/>
        <v/>
      </c>
      <c r="S1515">
        <f>SUMIF(O1515:$O$2855,R1515,Q1515:$Q$2855)</f>
        <v>0</v>
      </c>
    </row>
    <row r="1516" spans="11:19" x14ac:dyDescent="0.25">
      <c r="K1516" s="4" t="s">
        <v>421</v>
      </c>
      <c r="L1516" t="s">
        <v>422</v>
      </c>
      <c r="M1516" t="s">
        <v>3695</v>
      </c>
      <c r="N1516" t="s">
        <v>6</v>
      </c>
      <c r="O1516" t="s">
        <v>244</v>
      </c>
      <c r="P1516" t="str">
        <f t="shared" si="259"/>
        <v>[1]</v>
      </c>
      <c r="Q1516">
        <f t="shared" si="260"/>
        <v>28</v>
      </c>
      <c r="R1516" t="str">
        <f t="shared" si="261"/>
        <v/>
      </c>
      <c r="S1516">
        <f>SUMIF(O1516:$O$2855,R1516,Q1516:$Q$2855)</f>
        <v>0</v>
      </c>
    </row>
    <row r="1517" spans="11:19" x14ac:dyDescent="0.25">
      <c r="K1517" s="4" t="s">
        <v>421</v>
      </c>
      <c r="L1517" t="s">
        <v>422</v>
      </c>
      <c r="M1517" t="s">
        <v>3696</v>
      </c>
      <c r="N1517" t="s">
        <v>435</v>
      </c>
      <c r="O1517" t="s">
        <v>244</v>
      </c>
      <c r="P1517" t="str">
        <f t="shared" si="259"/>
        <v>[1]</v>
      </c>
      <c r="Q1517">
        <f t="shared" si="260"/>
        <v>60</v>
      </c>
      <c r="R1517" t="str">
        <f t="shared" si="261"/>
        <v/>
      </c>
      <c r="S1517">
        <f>SUMIF(O1517:$O$2855,R1517,Q1517:$Q$2855)</f>
        <v>0</v>
      </c>
    </row>
    <row r="1518" spans="11:19" x14ac:dyDescent="0.25">
      <c r="K1518" s="4" t="s">
        <v>421</v>
      </c>
      <c r="L1518" t="s">
        <v>422</v>
      </c>
      <c r="M1518" t="s">
        <v>1946</v>
      </c>
      <c r="N1518" t="s">
        <v>165</v>
      </c>
      <c r="O1518" t="s">
        <v>244</v>
      </c>
      <c r="P1518" t="str">
        <f t="shared" si="259"/>
        <v>[1]</v>
      </c>
      <c r="Q1518">
        <f t="shared" si="260"/>
        <v>20</v>
      </c>
      <c r="R1518" t="str">
        <f t="shared" si="261"/>
        <v/>
      </c>
      <c r="S1518">
        <f>SUMIF(O1518:$O$2855,R1518,Q1518:$Q$2855)</f>
        <v>0</v>
      </c>
    </row>
    <row r="1519" spans="11:19" x14ac:dyDescent="0.25">
      <c r="K1519" s="4" t="s">
        <v>421</v>
      </c>
      <c r="L1519" t="s">
        <v>422</v>
      </c>
      <c r="M1519" t="s">
        <v>3697</v>
      </c>
      <c r="N1519" t="s">
        <v>119</v>
      </c>
      <c r="O1519" t="s">
        <v>244</v>
      </c>
      <c r="P1519" t="str">
        <f t="shared" si="259"/>
        <v>[1]</v>
      </c>
      <c r="Q1519">
        <f t="shared" si="260"/>
        <v>32</v>
      </c>
      <c r="R1519" t="str">
        <f t="shared" si="261"/>
        <v/>
      </c>
      <c r="S1519">
        <f>SUMIF(O1519:$O$2855,R1519,Q1519:$Q$2855)</f>
        <v>0</v>
      </c>
    </row>
    <row r="1520" spans="11:19" x14ac:dyDescent="0.25">
      <c r="K1520" s="4" t="s">
        <v>421</v>
      </c>
      <c r="L1520" t="s">
        <v>422</v>
      </c>
      <c r="M1520" t="s">
        <v>3698</v>
      </c>
      <c r="N1520" t="s">
        <v>165</v>
      </c>
      <c r="O1520" t="s">
        <v>244</v>
      </c>
      <c r="P1520" t="str">
        <f t="shared" si="259"/>
        <v>[1]</v>
      </c>
      <c r="Q1520">
        <f t="shared" si="260"/>
        <v>20</v>
      </c>
      <c r="R1520" t="str">
        <f t="shared" si="261"/>
        <v/>
      </c>
      <c r="S1520">
        <f>SUMIF(O1520:$O$2855,R1520,Q1520:$Q$2855)</f>
        <v>0</v>
      </c>
    </row>
    <row r="1521" spans="11:19" x14ac:dyDescent="0.25">
      <c r="K1521" s="4" t="s">
        <v>421</v>
      </c>
      <c r="L1521" t="s">
        <v>422</v>
      </c>
      <c r="M1521" t="s">
        <v>3699</v>
      </c>
      <c r="N1521" t="s">
        <v>6</v>
      </c>
      <c r="O1521" t="s">
        <v>244</v>
      </c>
      <c r="P1521" t="str">
        <f t="shared" si="259"/>
        <v>[1]</v>
      </c>
      <c r="Q1521">
        <f t="shared" si="260"/>
        <v>28</v>
      </c>
      <c r="R1521" t="str">
        <f t="shared" si="261"/>
        <v/>
      </c>
      <c r="S1521">
        <f>SUMIF(O1521:$O$2855,R1521,Q1521:$Q$2855)</f>
        <v>0</v>
      </c>
    </row>
    <row r="1522" spans="11:19" x14ac:dyDescent="0.25">
      <c r="K1522" s="4" t="s">
        <v>421</v>
      </c>
      <c r="L1522" t="s">
        <v>422</v>
      </c>
      <c r="M1522" t="s">
        <v>3700</v>
      </c>
      <c r="N1522" t="s">
        <v>165</v>
      </c>
      <c r="O1522" t="s">
        <v>244</v>
      </c>
      <c r="P1522" t="str">
        <f t="shared" si="259"/>
        <v>[1]</v>
      </c>
      <c r="Q1522">
        <f t="shared" si="260"/>
        <v>20</v>
      </c>
      <c r="R1522" t="str">
        <f t="shared" si="261"/>
        <v/>
      </c>
      <c r="S1522">
        <f>SUMIF(O1522:$O$2855,R1522,Q1522:$Q$2855)</f>
        <v>0</v>
      </c>
    </row>
    <row r="1523" spans="11:19" x14ac:dyDescent="0.25">
      <c r="K1523" s="4" t="s">
        <v>421</v>
      </c>
      <c r="L1523" t="s">
        <v>422</v>
      </c>
      <c r="M1523" t="s">
        <v>3701</v>
      </c>
      <c r="N1523" t="s">
        <v>190</v>
      </c>
      <c r="O1523" t="s">
        <v>244</v>
      </c>
      <c r="P1523" t="str">
        <f t="shared" si="259"/>
        <v>[1]</v>
      </c>
      <c r="Q1523">
        <f t="shared" si="260"/>
        <v>56</v>
      </c>
      <c r="R1523" t="str">
        <f t="shared" si="261"/>
        <v/>
      </c>
      <c r="S1523">
        <f>SUMIF(O1523:$O$2855,R1523,Q1523:$Q$2855)</f>
        <v>0</v>
      </c>
    </row>
    <row r="1524" spans="11:19" x14ac:dyDescent="0.25">
      <c r="K1524" s="4" t="s">
        <v>421</v>
      </c>
      <c r="L1524" t="s">
        <v>422</v>
      </c>
      <c r="M1524" t="s">
        <v>3702</v>
      </c>
      <c r="N1524" t="s">
        <v>6</v>
      </c>
      <c r="O1524" t="s">
        <v>244</v>
      </c>
      <c r="P1524" t="str">
        <f t="shared" si="259"/>
        <v>[1]</v>
      </c>
      <c r="Q1524">
        <f t="shared" si="260"/>
        <v>28</v>
      </c>
      <c r="R1524" t="str">
        <f t="shared" si="261"/>
        <v/>
      </c>
      <c r="S1524">
        <f>SUMIF(O1524:$O$2855,R1524,Q1524:$Q$2855)</f>
        <v>0</v>
      </c>
    </row>
    <row r="1525" spans="11:19" x14ac:dyDescent="0.25">
      <c r="K1525" s="4" t="s">
        <v>421</v>
      </c>
      <c r="L1525" t="s">
        <v>422</v>
      </c>
      <c r="M1525" t="s">
        <v>3703</v>
      </c>
      <c r="N1525" t="s">
        <v>237</v>
      </c>
      <c r="O1525" t="s">
        <v>244</v>
      </c>
      <c r="P1525" t="str">
        <f t="shared" si="259"/>
        <v>[1]</v>
      </c>
      <c r="Q1525">
        <f t="shared" si="260"/>
        <v>52</v>
      </c>
      <c r="R1525" t="str">
        <f t="shared" si="261"/>
        <v/>
      </c>
      <c r="S1525">
        <f>SUMIF(O1525:$O$2855,R1525,Q1525:$Q$2855)</f>
        <v>0</v>
      </c>
    </row>
    <row r="1526" spans="11:19" x14ac:dyDescent="0.25">
      <c r="K1526" s="4" t="s">
        <v>421</v>
      </c>
      <c r="L1526" t="s">
        <v>422</v>
      </c>
      <c r="M1526" t="s">
        <v>3704</v>
      </c>
      <c r="N1526" t="s">
        <v>6</v>
      </c>
      <c r="O1526" t="s">
        <v>244</v>
      </c>
      <c r="P1526" t="str">
        <f t="shared" si="259"/>
        <v>[1]</v>
      </c>
      <c r="Q1526">
        <f t="shared" si="260"/>
        <v>28</v>
      </c>
      <c r="R1526" t="str">
        <f t="shared" si="261"/>
        <v/>
      </c>
      <c r="S1526">
        <f>SUMIF(O1526:$O$2855,R1526,Q1526:$Q$2855)</f>
        <v>0</v>
      </c>
    </row>
    <row r="1527" spans="11:19" x14ac:dyDescent="0.25">
      <c r="K1527" s="4" t="s">
        <v>421</v>
      </c>
      <c r="L1527" t="s">
        <v>422</v>
      </c>
      <c r="M1527" t="s">
        <v>3705</v>
      </c>
      <c r="N1527" t="s">
        <v>6</v>
      </c>
      <c r="O1527" t="s">
        <v>244</v>
      </c>
      <c r="P1527" t="str">
        <f t="shared" si="259"/>
        <v>[1]</v>
      </c>
      <c r="Q1527">
        <f t="shared" si="260"/>
        <v>28</v>
      </c>
      <c r="R1527" t="str">
        <f t="shared" si="261"/>
        <v/>
      </c>
      <c r="S1527">
        <f>SUMIF(O1527:$O$2855,R1527,Q1527:$Q$2855)</f>
        <v>0</v>
      </c>
    </row>
    <row r="1528" spans="11:19" x14ac:dyDescent="0.25">
      <c r="K1528" s="4" t="s">
        <v>421</v>
      </c>
      <c r="L1528" t="s">
        <v>422</v>
      </c>
      <c r="M1528" t="s">
        <v>3706</v>
      </c>
      <c r="N1528" t="s">
        <v>67</v>
      </c>
      <c r="O1528" t="s">
        <v>244</v>
      </c>
      <c r="P1528" t="str">
        <f t="shared" si="259"/>
        <v>[1]</v>
      </c>
      <c r="Q1528">
        <f t="shared" si="260"/>
        <v>48</v>
      </c>
      <c r="R1528" t="str">
        <f t="shared" si="261"/>
        <v/>
      </c>
      <c r="S1528">
        <f>SUMIF(O1528:$O$2855,R1528,Q1528:$Q$2855)</f>
        <v>0</v>
      </c>
    </row>
    <row r="1529" spans="11:19" x14ac:dyDescent="0.25">
      <c r="K1529" s="4" t="s">
        <v>421</v>
      </c>
      <c r="L1529" t="s">
        <v>422</v>
      </c>
      <c r="M1529" t="s">
        <v>3707</v>
      </c>
      <c r="N1529" t="s">
        <v>6</v>
      </c>
      <c r="O1529" t="s">
        <v>244</v>
      </c>
      <c r="P1529" t="str">
        <f t="shared" si="259"/>
        <v>[1]</v>
      </c>
      <c r="Q1529">
        <f t="shared" si="260"/>
        <v>28</v>
      </c>
      <c r="R1529" t="str">
        <f t="shared" si="261"/>
        <v/>
      </c>
      <c r="S1529">
        <f>SUMIF(O1529:$O$2855,R1529,Q1529:$Q$2855)</f>
        <v>0</v>
      </c>
    </row>
    <row r="1530" spans="11:19" x14ac:dyDescent="0.25">
      <c r="K1530" s="4" t="s">
        <v>421</v>
      </c>
      <c r="L1530" t="s">
        <v>422</v>
      </c>
      <c r="M1530" t="s">
        <v>3708</v>
      </c>
      <c r="N1530" t="s">
        <v>67</v>
      </c>
      <c r="O1530" t="s">
        <v>244</v>
      </c>
      <c r="P1530" t="str">
        <f t="shared" si="259"/>
        <v>[1]</v>
      </c>
      <c r="Q1530">
        <f t="shared" si="260"/>
        <v>48</v>
      </c>
      <c r="R1530" t="str">
        <f t="shared" si="261"/>
        <v/>
      </c>
      <c r="S1530">
        <f>SUMIF(O1530:$O$2855,R1530,Q1530:$Q$2855)</f>
        <v>0</v>
      </c>
    </row>
    <row r="1531" spans="11:19" x14ac:dyDescent="0.25">
      <c r="K1531" s="4" t="s">
        <v>421</v>
      </c>
      <c r="L1531" t="s">
        <v>422</v>
      </c>
      <c r="M1531" t="s">
        <v>3709</v>
      </c>
      <c r="N1531" t="s">
        <v>6</v>
      </c>
      <c r="O1531" t="s">
        <v>244</v>
      </c>
      <c r="P1531" t="str">
        <f t="shared" si="259"/>
        <v>[1]</v>
      </c>
      <c r="Q1531">
        <f t="shared" si="260"/>
        <v>28</v>
      </c>
      <c r="R1531" t="str">
        <f t="shared" si="261"/>
        <v/>
      </c>
      <c r="S1531">
        <f>SUMIF(O1531:$O$2855,R1531,Q1531:$Q$2855)</f>
        <v>0</v>
      </c>
    </row>
    <row r="1532" spans="11:19" x14ac:dyDescent="0.25">
      <c r="K1532" s="4" t="s">
        <v>421</v>
      </c>
      <c r="L1532" t="s">
        <v>422</v>
      </c>
      <c r="M1532" t="s">
        <v>3710</v>
      </c>
      <c r="N1532" t="s">
        <v>237</v>
      </c>
      <c r="O1532" t="s">
        <v>244</v>
      </c>
      <c r="P1532" t="str">
        <f t="shared" si="259"/>
        <v>[1]</v>
      </c>
      <c r="Q1532">
        <f t="shared" si="260"/>
        <v>52</v>
      </c>
      <c r="R1532" t="str">
        <f t="shared" si="261"/>
        <v/>
      </c>
      <c r="S1532">
        <f>SUMIF(O1532:$O$2855,R1532,Q1532:$Q$2855)</f>
        <v>0</v>
      </c>
    </row>
    <row r="1533" spans="11:19" x14ac:dyDescent="0.25">
      <c r="K1533" s="4" t="s">
        <v>421</v>
      </c>
      <c r="L1533" t="s">
        <v>422</v>
      </c>
      <c r="M1533" t="s">
        <v>3711</v>
      </c>
      <c r="N1533" t="s">
        <v>437</v>
      </c>
      <c r="O1533" t="s">
        <v>244</v>
      </c>
      <c r="P1533" t="str">
        <f t="shared" si="259"/>
        <v>[1]</v>
      </c>
      <c r="Q1533">
        <f t="shared" si="260"/>
        <v>24</v>
      </c>
      <c r="R1533" t="str">
        <f t="shared" si="261"/>
        <v/>
      </c>
      <c r="S1533">
        <f>SUMIF(O1533:$O$2855,R1533,Q1533:$Q$2855)</f>
        <v>0</v>
      </c>
    </row>
    <row r="1534" spans="11:19" x14ac:dyDescent="0.25">
      <c r="K1534" s="4" t="s">
        <v>421</v>
      </c>
      <c r="L1534" t="s">
        <v>422</v>
      </c>
      <c r="M1534" t="s">
        <v>3712</v>
      </c>
      <c r="N1534" t="s">
        <v>78</v>
      </c>
      <c r="O1534" t="s">
        <v>244</v>
      </c>
      <c r="P1534" t="str">
        <f t="shared" si="259"/>
        <v>[1]</v>
      </c>
      <c r="Q1534">
        <f t="shared" si="260"/>
        <v>4</v>
      </c>
      <c r="R1534" t="str">
        <f t="shared" si="261"/>
        <v/>
      </c>
      <c r="S1534">
        <f>SUMIF(O1534:$O$2855,R1534,Q1534:$Q$2855)</f>
        <v>0</v>
      </c>
    </row>
    <row r="1535" spans="11:19" x14ac:dyDescent="0.25">
      <c r="K1535" s="4" t="s">
        <v>421</v>
      </c>
      <c r="L1535" t="s">
        <v>422</v>
      </c>
      <c r="M1535" t="s">
        <v>3713</v>
      </c>
      <c r="N1535" t="s">
        <v>437</v>
      </c>
      <c r="O1535" t="s">
        <v>244</v>
      </c>
      <c r="P1535" t="str">
        <f t="shared" si="259"/>
        <v>[1]</v>
      </c>
      <c r="Q1535">
        <f t="shared" si="260"/>
        <v>24</v>
      </c>
      <c r="R1535" t="str">
        <f t="shared" si="261"/>
        <v/>
      </c>
      <c r="S1535">
        <f>SUMIF(O1535:$O$2855,R1535,Q1535:$Q$2855)</f>
        <v>0</v>
      </c>
    </row>
    <row r="1536" spans="11:19" x14ac:dyDescent="0.25">
      <c r="K1536" s="4" t="s">
        <v>421</v>
      </c>
      <c r="L1536" t="s">
        <v>422</v>
      </c>
      <c r="M1536" t="s">
        <v>3714</v>
      </c>
      <c r="N1536" t="s">
        <v>65</v>
      </c>
      <c r="O1536" t="s">
        <v>244</v>
      </c>
      <c r="P1536" t="str">
        <f t="shared" si="259"/>
        <v>[1]</v>
      </c>
      <c r="Q1536">
        <f t="shared" si="260"/>
        <v>40</v>
      </c>
      <c r="R1536" t="str">
        <f t="shared" si="261"/>
        <v/>
      </c>
      <c r="S1536">
        <f>SUMIF(O1536:$O$2855,R1536,Q1536:$Q$2855)</f>
        <v>0</v>
      </c>
    </row>
    <row r="1537" spans="11:19" x14ac:dyDescent="0.25">
      <c r="K1537" s="4" t="s">
        <v>421</v>
      </c>
      <c r="L1537" t="s">
        <v>422</v>
      </c>
      <c r="M1537" t="s">
        <v>3715</v>
      </c>
      <c r="N1537" t="s">
        <v>437</v>
      </c>
      <c r="O1537" t="s">
        <v>244</v>
      </c>
      <c r="P1537" t="str">
        <f t="shared" si="259"/>
        <v>[1]</v>
      </c>
      <c r="Q1537">
        <f t="shared" si="260"/>
        <v>24</v>
      </c>
      <c r="R1537" t="str">
        <f t="shared" si="261"/>
        <v/>
      </c>
      <c r="S1537">
        <f>SUMIF(O1537:$O$2855,R1537,Q1537:$Q$2855)</f>
        <v>0</v>
      </c>
    </row>
    <row r="1538" spans="11:19" x14ac:dyDescent="0.25">
      <c r="K1538" s="4" t="s">
        <v>421</v>
      </c>
      <c r="L1538" t="s">
        <v>422</v>
      </c>
      <c r="M1538" t="s">
        <v>3716</v>
      </c>
      <c r="N1538" t="s">
        <v>76</v>
      </c>
      <c r="O1538" t="s">
        <v>244</v>
      </c>
      <c r="P1538" t="str">
        <f t="shared" ref="P1538:P1601" si="262">VLOOKUP($K$30,$E$1:$F$26,2,FALSE)</f>
        <v>[1]</v>
      </c>
      <c r="Q1538">
        <f t="shared" si="260"/>
        <v>36</v>
      </c>
      <c r="R1538" t="str">
        <f t="shared" si="261"/>
        <v/>
      </c>
      <c r="S1538">
        <f>SUMIF(O1538:$O$2855,R1538,Q1538:$Q$2855)</f>
        <v>0</v>
      </c>
    </row>
    <row r="1539" spans="11:19" x14ac:dyDescent="0.25">
      <c r="K1539" s="4" t="s">
        <v>421</v>
      </c>
      <c r="L1539" t="s">
        <v>422</v>
      </c>
      <c r="M1539" t="s">
        <v>3717</v>
      </c>
      <c r="N1539" t="s">
        <v>202</v>
      </c>
      <c r="O1539" t="s">
        <v>244</v>
      </c>
      <c r="P1539" t="str">
        <f t="shared" si="262"/>
        <v>[1]</v>
      </c>
      <c r="Q1539">
        <f t="shared" ref="Q1539:Q1602" si="263">HEX2DEC(MID(N1539,3,LEN(N1539)-2))</f>
        <v>16</v>
      </c>
      <c r="R1539" t="str">
        <f t="shared" si="261"/>
        <v/>
      </c>
      <c r="S1539">
        <f>SUMIF(O1539:$O$2855,R1539,Q1539:$Q$2855)</f>
        <v>0</v>
      </c>
    </row>
    <row r="1540" spans="11:19" x14ac:dyDescent="0.25">
      <c r="K1540" s="4" t="s">
        <v>421</v>
      </c>
      <c r="L1540" t="s">
        <v>422</v>
      </c>
      <c r="M1540" t="s">
        <v>3718</v>
      </c>
      <c r="N1540" t="s">
        <v>437</v>
      </c>
      <c r="O1540" t="s">
        <v>244</v>
      </c>
      <c r="P1540" t="str">
        <f t="shared" si="262"/>
        <v>[1]</v>
      </c>
      <c r="Q1540">
        <f t="shared" si="263"/>
        <v>24</v>
      </c>
      <c r="R1540" t="str">
        <f t="shared" si="261"/>
        <v/>
      </c>
      <c r="S1540">
        <f>SUMIF(O1540:$O$2855,R1540,Q1540:$Q$2855)</f>
        <v>0</v>
      </c>
    </row>
    <row r="1541" spans="11:19" x14ac:dyDescent="0.25">
      <c r="K1541" s="4" t="s">
        <v>421</v>
      </c>
      <c r="L1541" t="s">
        <v>422</v>
      </c>
      <c r="M1541" t="s">
        <v>3719</v>
      </c>
      <c r="N1541" t="s">
        <v>119</v>
      </c>
      <c r="O1541" t="s">
        <v>244</v>
      </c>
      <c r="P1541" t="str">
        <f t="shared" si="262"/>
        <v>[1]</v>
      </c>
      <c r="Q1541">
        <f t="shared" si="263"/>
        <v>32</v>
      </c>
      <c r="R1541" t="str">
        <f t="shared" si="261"/>
        <v/>
      </c>
      <c r="S1541">
        <f>SUMIF(O1541:$O$2855,R1541,Q1541:$Q$2855)</f>
        <v>0</v>
      </c>
    </row>
    <row r="1542" spans="11:19" x14ac:dyDescent="0.25">
      <c r="K1542" s="4" t="s">
        <v>421</v>
      </c>
      <c r="L1542" t="s">
        <v>422</v>
      </c>
      <c r="M1542" t="s">
        <v>3720</v>
      </c>
      <c r="N1542" t="s">
        <v>44</v>
      </c>
      <c r="O1542" t="s">
        <v>244</v>
      </c>
      <c r="P1542" t="str">
        <f t="shared" si="262"/>
        <v>[1]</v>
      </c>
      <c r="Q1542">
        <f t="shared" si="263"/>
        <v>44</v>
      </c>
      <c r="R1542" t="str">
        <f t="shared" si="261"/>
        <v/>
      </c>
      <c r="S1542">
        <f>SUMIF(O1542:$O$2855,R1542,Q1542:$Q$2855)</f>
        <v>0</v>
      </c>
    </row>
    <row r="1543" spans="11:19" x14ac:dyDescent="0.25">
      <c r="K1543" s="4" t="s">
        <v>421</v>
      </c>
      <c r="L1543" t="s">
        <v>422</v>
      </c>
      <c r="M1543" t="s">
        <v>1947</v>
      </c>
      <c r="N1543" t="s">
        <v>202</v>
      </c>
      <c r="O1543" t="s">
        <v>244</v>
      </c>
      <c r="P1543" t="str">
        <f t="shared" si="262"/>
        <v>[1]</v>
      </c>
      <c r="Q1543">
        <f t="shared" si="263"/>
        <v>16</v>
      </c>
      <c r="R1543" t="str">
        <f t="shared" si="261"/>
        <v/>
      </c>
      <c r="S1543">
        <f>SUMIF(O1543:$O$2855,R1543,Q1543:$Q$2855)</f>
        <v>0</v>
      </c>
    </row>
    <row r="1544" spans="11:19" x14ac:dyDescent="0.25">
      <c r="K1544" s="4" t="s">
        <v>421</v>
      </c>
      <c r="L1544" t="s">
        <v>422</v>
      </c>
      <c r="M1544" t="s">
        <v>3721</v>
      </c>
      <c r="N1544" t="s">
        <v>211</v>
      </c>
      <c r="O1544" t="s">
        <v>244</v>
      </c>
      <c r="P1544" t="str">
        <f t="shared" si="262"/>
        <v>[1]</v>
      </c>
      <c r="Q1544">
        <f t="shared" si="263"/>
        <v>92</v>
      </c>
      <c r="R1544" t="str">
        <f t="shared" si="261"/>
        <v/>
      </c>
      <c r="S1544">
        <f>SUMIF(O1544:$O$2855,R1544,Q1544:$Q$2855)</f>
        <v>0</v>
      </c>
    </row>
    <row r="1545" spans="11:19" x14ac:dyDescent="0.25">
      <c r="K1545" s="4" t="s">
        <v>421</v>
      </c>
      <c r="L1545" t="s">
        <v>422</v>
      </c>
      <c r="M1545" t="s">
        <v>3722</v>
      </c>
      <c r="N1545" t="s">
        <v>202</v>
      </c>
      <c r="O1545" t="s">
        <v>244</v>
      </c>
      <c r="P1545" t="str">
        <f t="shared" si="262"/>
        <v>[1]</v>
      </c>
      <c r="Q1545">
        <f t="shared" si="263"/>
        <v>16</v>
      </c>
      <c r="R1545" t="str">
        <f t="shared" si="261"/>
        <v/>
      </c>
      <c r="S1545">
        <f>SUMIF(O1545:$O$2855,R1545,Q1545:$Q$2855)</f>
        <v>0</v>
      </c>
    </row>
    <row r="1546" spans="11:19" x14ac:dyDescent="0.25">
      <c r="K1546" s="4" t="s">
        <v>421</v>
      </c>
      <c r="L1546" t="s">
        <v>422</v>
      </c>
      <c r="M1546" t="s">
        <v>3723</v>
      </c>
      <c r="N1546" t="s">
        <v>237</v>
      </c>
      <c r="O1546" t="s">
        <v>244</v>
      </c>
      <c r="P1546" t="str">
        <f t="shared" si="262"/>
        <v>[1]</v>
      </c>
      <c r="Q1546">
        <f t="shared" si="263"/>
        <v>52</v>
      </c>
      <c r="R1546" t="str">
        <f t="shared" si="261"/>
        <v/>
      </c>
      <c r="S1546">
        <f>SUMIF(O1546:$O$2855,R1546,Q1546:$Q$2855)</f>
        <v>0</v>
      </c>
    </row>
    <row r="1547" spans="11:19" x14ac:dyDescent="0.25">
      <c r="K1547" s="4" t="s">
        <v>421</v>
      </c>
      <c r="L1547" t="s">
        <v>422</v>
      </c>
      <c r="M1547" t="s">
        <v>3724</v>
      </c>
      <c r="N1547" t="s">
        <v>202</v>
      </c>
      <c r="O1547" t="s">
        <v>244</v>
      </c>
      <c r="P1547" t="str">
        <f t="shared" si="262"/>
        <v>[1]</v>
      </c>
      <c r="Q1547">
        <f t="shared" si="263"/>
        <v>16</v>
      </c>
      <c r="R1547" t="str">
        <f t="shared" si="261"/>
        <v/>
      </c>
      <c r="S1547">
        <f>SUMIF(O1547:$O$2855,R1547,Q1547:$Q$2855)</f>
        <v>0</v>
      </c>
    </row>
    <row r="1548" spans="11:19" x14ac:dyDescent="0.25">
      <c r="K1548" s="4" t="s">
        <v>421</v>
      </c>
      <c r="L1548" t="s">
        <v>422</v>
      </c>
      <c r="M1548" t="s">
        <v>3725</v>
      </c>
      <c r="N1548" t="s">
        <v>44</v>
      </c>
      <c r="O1548" t="s">
        <v>244</v>
      </c>
      <c r="P1548" t="str">
        <f t="shared" si="262"/>
        <v>[1]</v>
      </c>
      <c r="Q1548">
        <f t="shared" si="263"/>
        <v>44</v>
      </c>
      <c r="R1548" t="str">
        <f t="shared" si="261"/>
        <v/>
      </c>
      <c r="S1548">
        <f>SUMIF(O1548:$O$2855,R1548,Q1548:$Q$2855)</f>
        <v>0</v>
      </c>
    </row>
    <row r="1549" spans="11:19" x14ac:dyDescent="0.25">
      <c r="K1549" s="4" t="s">
        <v>421</v>
      </c>
      <c r="L1549" t="s">
        <v>422</v>
      </c>
      <c r="M1549" t="s">
        <v>1780</v>
      </c>
      <c r="N1549" t="s">
        <v>202</v>
      </c>
      <c r="O1549" t="s">
        <v>244</v>
      </c>
      <c r="P1549" t="str">
        <f t="shared" si="262"/>
        <v>[1]</v>
      </c>
      <c r="Q1549">
        <f t="shared" si="263"/>
        <v>16</v>
      </c>
      <c r="R1549" t="str">
        <f t="shared" si="261"/>
        <v/>
      </c>
      <c r="S1549">
        <f>SUMIF(O1549:$O$2855,R1549,Q1549:$Q$2855)</f>
        <v>0</v>
      </c>
    </row>
    <row r="1550" spans="11:19" x14ac:dyDescent="0.25">
      <c r="K1550" s="4" t="s">
        <v>421</v>
      </c>
      <c r="L1550" t="s">
        <v>422</v>
      </c>
      <c r="M1550" t="s">
        <v>1781</v>
      </c>
      <c r="N1550" t="s">
        <v>237</v>
      </c>
      <c r="O1550" t="s">
        <v>244</v>
      </c>
      <c r="P1550" t="str">
        <f t="shared" si="262"/>
        <v>[1]</v>
      </c>
      <c r="Q1550">
        <f t="shared" si="263"/>
        <v>52</v>
      </c>
      <c r="R1550" t="str">
        <f t="shared" si="261"/>
        <v/>
      </c>
      <c r="S1550">
        <f>SUMIF(O1550:$O$2855,R1550,Q1550:$Q$2855)</f>
        <v>0</v>
      </c>
    </row>
    <row r="1551" spans="11:19" x14ac:dyDescent="0.25">
      <c r="K1551" s="4" t="s">
        <v>421</v>
      </c>
      <c r="L1551" t="s">
        <v>422</v>
      </c>
      <c r="M1551" t="s">
        <v>1948</v>
      </c>
      <c r="N1551" t="s">
        <v>165</v>
      </c>
      <c r="O1551" t="s">
        <v>244</v>
      </c>
      <c r="P1551" t="str">
        <f t="shared" si="262"/>
        <v>[1]</v>
      </c>
      <c r="Q1551">
        <f t="shared" si="263"/>
        <v>20</v>
      </c>
      <c r="R1551" t="str">
        <f t="shared" si="261"/>
        <v/>
      </c>
      <c r="S1551">
        <f>SUMIF(O1551:$O$2855,R1551,Q1551:$Q$2855)</f>
        <v>0</v>
      </c>
    </row>
    <row r="1552" spans="11:19" x14ac:dyDescent="0.25">
      <c r="K1552" s="4" t="s">
        <v>421</v>
      </c>
      <c r="L1552" t="s">
        <v>422</v>
      </c>
      <c r="M1552" t="s">
        <v>3726</v>
      </c>
      <c r="N1552" t="s">
        <v>76</v>
      </c>
      <c r="O1552" t="s">
        <v>244</v>
      </c>
      <c r="P1552" t="str">
        <f t="shared" si="262"/>
        <v>[1]</v>
      </c>
      <c r="Q1552">
        <f t="shared" si="263"/>
        <v>36</v>
      </c>
      <c r="R1552" t="str">
        <f t="shared" si="261"/>
        <v/>
      </c>
      <c r="S1552">
        <f>SUMIF(O1552:$O$2855,R1552,Q1552:$Q$2855)</f>
        <v>0</v>
      </c>
    </row>
    <row r="1553" spans="11:19" x14ac:dyDescent="0.25">
      <c r="K1553" s="4" t="s">
        <v>421</v>
      </c>
      <c r="L1553" t="s">
        <v>422</v>
      </c>
      <c r="M1553" t="s">
        <v>1949</v>
      </c>
      <c r="N1553" t="s">
        <v>437</v>
      </c>
      <c r="O1553" t="s">
        <v>244</v>
      </c>
      <c r="P1553" t="str">
        <f t="shared" si="262"/>
        <v>[1]</v>
      </c>
      <c r="Q1553">
        <f t="shared" si="263"/>
        <v>24</v>
      </c>
      <c r="R1553" t="str">
        <f t="shared" si="261"/>
        <v/>
      </c>
      <c r="S1553">
        <f>SUMIF(O1553:$O$2855,R1553,Q1553:$Q$2855)</f>
        <v>0</v>
      </c>
    </row>
    <row r="1554" spans="11:19" x14ac:dyDescent="0.25">
      <c r="K1554" s="4" t="s">
        <v>421</v>
      </c>
      <c r="L1554" t="s">
        <v>422</v>
      </c>
      <c r="M1554" t="s">
        <v>3727</v>
      </c>
      <c r="N1554" t="s">
        <v>76</v>
      </c>
      <c r="O1554" t="s">
        <v>244</v>
      </c>
      <c r="P1554" t="str">
        <f t="shared" si="262"/>
        <v>[1]</v>
      </c>
      <c r="Q1554">
        <f t="shared" si="263"/>
        <v>36</v>
      </c>
      <c r="R1554" t="str">
        <f t="shared" si="261"/>
        <v/>
      </c>
      <c r="S1554">
        <f>SUMIF(O1554:$O$2855,R1554,Q1554:$Q$2855)</f>
        <v>0</v>
      </c>
    </row>
    <row r="1555" spans="11:19" x14ac:dyDescent="0.25">
      <c r="K1555" s="4" t="s">
        <v>421</v>
      </c>
      <c r="L1555" t="s">
        <v>422</v>
      </c>
      <c r="M1555" t="s">
        <v>3728</v>
      </c>
      <c r="N1555" t="s">
        <v>202</v>
      </c>
      <c r="O1555" t="s">
        <v>244</v>
      </c>
      <c r="P1555" t="str">
        <f t="shared" si="262"/>
        <v>[1]</v>
      </c>
      <c r="Q1555">
        <f t="shared" si="263"/>
        <v>16</v>
      </c>
      <c r="R1555" t="str">
        <f t="shared" si="261"/>
        <v/>
      </c>
      <c r="S1555">
        <f>SUMIF(O1555:$O$2855,R1555,Q1555:$Q$2855)</f>
        <v>0</v>
      </c>
    </row>
    <row r="1556" spans="11:19" x14ac:dyDescent="0.25">
      <c r="K1556" s="4" t="s">
        <v>421</v>
      </c>
      <c r="L1556" t="s">
        <v>422</v>
      </c>
      <c r="M1556" t="s">
        <v>3729</v>
      </c>
      <c r="N1556" t="s">
        <v>124</v>
      </c>
      <c r="O1556" t="s">
        <v>244</v>
      </c>
      <c r="P1556" t="str">
        <f t="shared" si="262"/>
        <v>[1]</v>
      </c>
      <c r="Q1556">
        <f t="shared" si="263"/>
        <v>68</v>
      </c>
      <c r="R1556" t="str">
        <f t="shared" si="261"/>
        <v/>
      </c>
      <c r="S1556">
        <f>SUMIF(O1556:$O$2855,R1556,Q1556:$Q$2855)</f>
        <v>0</v>
      </c>
    </row>
    <row r="1557" spans="11:19" x14ac:dyDescent="0.25">
      <c r="K1557" s="4" t="s">
        <v>421</v>
      </c>
      <c r="L1557" t="s">
        <v>422</v>
      </c>
      <c r="M1557" t="s">
        <v>1950</v>
      </c>
      <c r="N1557" t="s">
        <v>202</v>
      </c>
      <c r="O1557" t="s">
        <v>244</v>
      </c>
      <c r="P1557" t="str">
        <f t="shared" si="262"/>
        <v>[1]</v>
      </c>
      <c r="Q1557">
        <f t="shared" si="263"/>
        <v>16</v>
      </c>
      <c r="R1557" t="str">
        <f t="shared" si="261"/>
        <v/>
      </c>
      <c r="S1557">
        <f>SUMIF(O1557:$O$2855,R1557,Q1557:$Q$2855)</f>
        <v>0</v>
      </c>
    </row>
    <row r="1558" spans="11:19" x14ac:dyDescent="0.25">
      <c r="K1558" s="4" t="s">
        <v>421</v>
      </c>
      <c r="L1558" t="s">
        <v>422</v>
      </c>
      <c r="M1558" t="s">
        <v>3730</v>
      </c>
      <c r="N1558" t="s">
        <v>6</v>
      </c>
      <c r="O1558" t="s">
        <v>244</v>
      </c>
      <c r="P1558" t="str">
        <f t="shared" si="262"/>
        <v>[1]</v>
      </c>
      <c r="Q1558">
        <f t="shared" si="263"/>
        <v>28</v>
      </c>
      <c r="R1558" t="str">
        <f t="shared" si="261"/>
        <v/>
      </c>
      <c r="S1558">
        <f>SUMIF(O1558:$O$2855,R1558,Q1558:$Q$2855)</f>
        <v>0</v>
      </c>
    </row>
    <row r="1559" spans="11:19" x14ac:dyDescent="0.25">
      <c r="K1559" s="4" t="s">
        <v>421</v>
      </c>
      <c r="L1559" t="s">
        <v>422</v>
      </c>
      <c r="M1559" t="s">
        <v>3731</v>
      </c>
      <c r="N1559" t="s">
        <v>202</v>
      </c>
      <c r="O1559" t="s">
        <v>244</v>
      </c>
      <c r="P1559" t="str">
        <f t="shared" si="262"/>
        <v>[1]</v>
      </c>
      <c r="Q1559">
        <f t="shared" si="263"/>
        <v>16</v>
      </c>
      <c r="R1559" t="str">
        <f t="shared" si="261"/>
        <v/>
      </c>
      <c r="S1559">
        <f>SUMIF(O1559:$O$2855,R1559,Q1559:$Q$2855)</f>
        <v>0</v>
      </c>
    </row>
    <row r="1560" spans="11:19" x14ac:dyDescent="0.25">
      <c r="K1560" s="4" t="s">
        <v>421</v>
      </c>
      <c r="L1560" t="s">
        <v>422</v>
      </c>
      <c r="M1560" t="s">
        <v>3732</v>
      </c>
      <c r="N1560" t="s">
        <v>119</v>
      </c>
      <c r="O1560" t="s">
        <v>244</v>
      </c>
      <c r="P1560" t="str">
        <f t="shared" si="262"/>
        <v>[1]</v>
      </c>
      <c r="Q1560">
        <f t="shared" si="263"/>
        <v>32</v>
      </c>
      <c r="R1560" t="str">
        <f t="shared" si="261"/>
        <v/>
      </c>
      <c r="S1560">
        <f>SUMIF(O1560:$O$2855,R1560,Q1560:$Q$2855)</f>
        <v>0</v>
      </c>
    </row>
    <row r="1561" spans="11:19" x14ac:dyDescent="0.25">
      <c r="K1561" s="4" t="s">
        <v>421</v>
      </c>
      <c r="L1561" t="s">
        <v>422</v>
      </c>
      <c r="M1561" t="s">
        <v>3733</v>
      </c>
      <c r="N1561" t="s">
        <v>202</v>
      </c>
      <c r="O1561" t="s">
        <v>244</v>
      </c>
      <c r="P1561" t="str">
        <f t="shared" si="262"/>
        <v>[1]</v>
      </c>
      <c r="Q1561">
        <f t="shared" si="263"/>
        <v>16</v>
      </c>
      <c r="R1561" t="str">
        <f t="shared" si="261"/>
        <v/>
      </c>
      <c r="S1561">
        <f>SUMIF(O1561:$O$2855,R1561,Q1561:$Q$2855)</f>
        <v>0</v>
      </c>
    </row>
    <row r="1562" spans="11:19" x14ac:dyDescent="0.25">
      <c r="K1562" s="4" t="s">
        <v>421</v>
      </c>
      <c r="L1562" t="s">
        <v>422</v>
      </c>
      <c r="M1562" t="s">
        <v>3734</v>
      </c>
      <c r="N1562" t="s">
        <v>76</v>
      </c>
      <c r="O1562" t="s">
        <v>244</v>
      </c>
      <c r="P1562" t="str">
        <f t="shared" si="262"/>
        <v>[1]</v>
      </c>
      <c r="Q1562">
        <f t="shared" si="263"/>
        <v>36</v>
      </c>
      <c r="R1562" t="str">
        <f t="shared" si="261"/>
        <v/>
      </c>
      <c r="S1562">
        <f>SUMIF(O1562:$O$2855,R1562,Q1562:$Q$2855)</f>
        <v>0</v>
      </c>
    </row>
    <row r="1563" spans="11:19" x14ac:dyDescent="0.25">
      <c r="K1563" s="4" t="s">
        <v>421</v>
      </c>
      <c r="L1563" t="s">
        <v>422</v>
      </c>
      <c r="M1563" t="s">
        <v>3735</v>
      </c>
      <c r="N1563" t="s">
        <v>202</v>
      </c>
      <c r="O1563" t="s">
        <v>244</v>
      </c>
      <c r="P1563" t="str">
        <f t="shared" si="262"/>
        <v>[1]</v>
      </c>
      <c r="Q1563">
        <f t="shared" si="263"/>
        <v>16</v>
      </c>
      <c r="R1563" t="str">
        <f t="shared" si="261"/>
        <v/>
      </c>
      <c r="S1563">
        <f>SUMIF(O1563:$O$2855,R1563,Q1563:$Q$2855)</f>
        <v>0</v>
      </c>
    </row>
    <row r="1564" spans="11:19" x14ac:dyDescent="0.25">
      <c r="K1564" s="4" t="s">
        <v>421</v>
      </c>
      <c r="L1564" t="s">
        <v>422</v>
      </c>
      <c r="M1564" t="s">
        <v>3736</v>
      </c>
      <c r="N1564" t="s">
        <v>76</v>
      </c>
      <c r="O1564" t="s">
        <v>244</v>
      </c>
      <c r="P1564" t="str">
        <f t="shared" si="262"/>
        <v>[1]</v>
      </c>
      <c r="Q1564">
        <f t="shared" si="263"/>
        <v>36</v>
      </c>
      <c r="R1564" t="str">
        <f t="shared" si="261"/>
        <v/>
      </c>
      <c r="S1564">
        <f>SUMIF(O1564:$O$2855,R1564,Q1564:$Q$2855)</f>
        <v>0</v>
      </c>
    </row>
    <row r="1565" spans="11:19" x14ac:dyDescent="0.25">
      <c r="K1565" s="4" t="s">
        <v>421</v>
      </c>
      <c r="L1565" t="s">
        <v>422</v>
      </c>
      <c r="M1565" t="s">
        <v>3737</v>
      </c>
      <c r="N1565" t="s">
        <v>165</v>
      </c>
      <c r="O1565" t="s">
        <v>244</v>
      </c>
      <c r="P1565" t="str">
        <f t="shared" si="262"/>
        <v>[1]</v>
      </c>
      <c r="Q1565">
        <f t="shared" si="263"/>
        <v>20</v>
      </c>
      <c r="R1565" t="str">
        <f t="shared" si="261"/>
        <v/>
      </c>
      <c r="S1565">
        <f>SUMIF(O1565:$O$2855,R1565,Q1565:$Q$2855)</f>
        <v>0</v>
      </c>
    </row>
    <row r="1566" spans="11:19" x14ac:dyDescent="0.25">
      <c r="K1566" s="4" t="s">
        <v>421</v>
      </c>
      <c r="L1566" t="s">
        <v>422</v>
      </c>
      <c r="M1566" t="s">
        <v>3738</v>
      </c>
      <c r="N1566" t="s">
        <v>76</v>
      </c>
      <c r="O1566" t="s">
        <v>244</v>
      </c>
      <c r="P1566" t="str">
        <f t="shared" si="262"/>
        <v>[1]</v>
      </c>
      <c r="Q1566">
        <f t="shared" si="263"/>
        <v>36</v>
      </c>
      <c r="R1566" t="str">
        <f t="shared" si="261"/>
        <v/>
      </c>
      <c r="S1566">
        <f>SUMIF(O1566:$O$2855,R1566,Q1566:$Q$2855)</f>
        <v>0</v>
      </c>
    </row>
    <row r="1567" spans="11:19" x14ac:dyDescent="0.25">
      <c r="K1567" s="4" t="s">
        <v>421</v>
      </c>
      <c r="L1567" t="s">
        <v>422</v>
      </c>
      <c r="M1567" t="s">
        <v>3739</v>
      </c>
      <c r="N1567" t="s">
        <v>13</v>
      </c>
      <c r="O1567" t="s">
        <v>244</v>
      </c>
      <c r="P1567" t="str">
        <f t="shared" si="262"/>
        <v>[1]</v>
      </c>
      <c r="Q1567">
        <f t="shared" si="263"/>
        <v>12</v>
      </c>
      <c r="R1567" t="str">
        <f t="shared" si="261"/>
        <v/>
      </c>
      <c r="S1567">
        <f>SUMIF(O1567:$O$2855,R1567,Q1567:$Q$2855)</f>
        <v>0</v>
      </c>
    </row>
    <row r="1568" spans="11:19" x14ac:dyDescent="0.25">
      <c r="K1568" s="4" t="s">
        <v>421</v>
      </c>
      <c r="L1568" t="s">
        <v>422</v>
      </c>
      <c r="M1568" t="s">
        <v>3740</v>
      </c>
      <c r="N1568" t="s">
        <v>76</v>
      </c>
      <c r="O1568" t="s">
        <v>244</v>
      </c>
      <c r="P1568" t="str">
        <f t="shared" si="262"/>
        <v>[1]</v>
      </c>
      <c r="Q1568">
        <f t="shared" si="263"/>
        <v>36</v>
      </c>
      <c r="R1568" t="str">
        <f t="shared" ref="R1568:R1631" si="264">IF(O1568&lt;&gt;O1567,O1568,"")</f>
        <v/>
      </c>
      <c r="S1568">
        <f>SUMIF(O1568:$O$2855,R1568,Q1568:$Q$2855)</f>
        <v>0</v>
      </c>
    </row>
    <row r="1569" spans="11:19" x14ac:dyDescent="0.25">
      <c r="K1569" s="4" t="s">
        <v>421</v>
      </c>
      <c r="L1569" t="s">
        <v>422</v>
      </c>
      <c r="M1569" t="s">
        <v>3741</v>
      </c>
      <c r="N1569" t="s">
        <v>437</v>
      </c>
      <c r="O1569" t="s">
        <v>244</v>
      </c>
      <c r="P1569" t="str">
        <f t="shared" si="262"/>
        <v>[1]</v>
      </c>
      <c r="Q1569">
        <f t="shared" si="263"/>
        <v>24</v>
      </c>
      <c r="R1569" t="str">
        <f t="shared" si="264"/>
        <v/>
      </c>
      <c r="S1569">
        <f>SUMIF(O1569:$O$2855,R1569,Q1569:$Q$2855)</f>
        <v>0</v>
      </c>
    </row>
    <row r="1570" spans="11:19" x14ac:dyDescent="0.25">
      <c r="K1570" s="4" t="s">
        <v>421</v>
      </c>
      <c r="L1570" t="s">
        <v>422</v>
      </c>
      <c r="M1570" t="s">
        <v>3742</v>
      </c>
      <c r="N1570" t="s">
        <v>76</v>
      </c>
      <c r="O1570" t="s">
        <v>244</v>
      </c>
      <c r="P1570" t="str">
        <f t="shared" si="262"/>
        <v>[1]</v>
      </c>
      <c r="Q1570">
        <f t="shared" si="263"/>
        <v>36</v>
      </c>
      <c r="R1570" t="str">
        <f t="shared" si="264"/>
        <v/>
      </c>
      <c r="S1570">
        <f>SUMIF(O1570:$O$2855,R1570,Q1570:$Q$2855)</f>
        <v>0</v>
      </c>
    </row>
    <row r="1571" spans="11:19" x14ac:dyDescent="0.25">
      <c r="K1571" s="4" t="s">
        <v>421</v>
      </c>
      <c r="L1571" t="s">
        <v>422</v>
      </c>
      <c r="M1571" t="s">
        <v>3743</v>
      </c>
      <c r="N1571" t="s">
        <v>6</v>
      </c>
      <c r="O1571" t="s">
        <v>244</v>
      </c>
      <c r="P1571" t="str">
        <f t="shared" si="262"/>
        <v>[1]</v>
      </c>
      <c r="Q1571">
        <f t="shared" si="263"/>
        <v>28</v>
      </c>
      <c r="R1571" t="str">
        <f t="shared" si="264"/>
        <v/>
      </c>
      <c r="S1571">
        <f>SUMIF(O1571:$O$2855,R1571,Q1571:$Q$2855)</f>
        <v>0</v>
      </c>
    </row>
    <row r="1572" spans="11:19" x14ac:dyDescent="0.25">
      <c r="K1572" s="4" t="s">
        <v>421</v>
      </c>
      <c r="L1572" t="s">
        <v>422</v>
      </c>
      <c r="M1572" t="s">
        <v>3744</v>
      </c>
      <c r="N1572" t="s">
        <v>65</v>
      </c>
      <c r="O1572" t="s">
        <v>244</v>
      </c>
      <c r="P1572" t="str">
        <f t="shared" si="262"/>
        <v>[1]</v>
      </c>
      <c r="Q1572">
        <f t="shared" si="263"/>
        <v>40</v>
      </c>
      <c r="R1572" t="str">
        <f t="shared" si="264"/>
        <v/>
      </c>
      <c r="S1572">
        <f>SUMIF(O1572:$O$2855,R1572,Q1572:$Q$2855)</f>
        <v>0</v>
      </c>
    </row>
    <row r="1573" spans="11:19" x14ac:dyDescent="0.25">
      <c r="K1573" s="4" t="s">
        <v>421</v>
      </c>
      <c r="L1573" t="s">
        <v>422</v>
      </c>
      <c r="M1573" t="s">
        <v>3745</v>
      </c>
      <c r="N1573" t="s">
        <v>6</v>
      </c>
      <c r="O1573" t="s">
        <v>244</v>
      </c>
      <c r="P1573" t="str">
        <f t="shared" si="262"/>
        <v>[1]</v>
      </c>
      <c r="Q1573">
        <f t="shared" si="263"/>
        <v>28</v>
      </c>
      <c r="R1573" t="str">
        <f t="shared" si="264"/>
        <v/>
      </c>
      <c r="S1573">
        <f>SUMIF(O1573:$O$2855,R1573,Q1573:$Q$2855)</f>
        <v>0</v>
      </c>
    </row>
    <row r="1574" spans="11:19" x14ac:dyDescent="0.25">
      <c r="K1574" s="4" t="s">
        <v>421</v>
      </c>
      <c r="L1574" t="s">
        <v>422</v>
      </c>
      <c r="M1574" t="s">
        <v>3746</v>
      </c>
      <c r="N1574" t="s">
        <v>89</v>
      </c>
      <c r="O1574" t="s">
        <v>244</v>
      </c>
      <c r="P1574" t="str">
        <f t="shared" si="262"/>
        <v>[1]</v>
      </c>
      <c r="Q1574">
        <f t="shared" si="263"/>
        <v>76</v>
      </c>
      <c r="R1574" t="str">
        <f t="shared" si="264"/>
        <v/>
      </c>
      <c r="S1574">
        <f>SUMIF(O1574:$O$2855,R1574,Q1574:$Q$2855)</f>
        <v>0</v>
      </c>
    </row>
    <row r="1575" spans="11:19" x14ac:dyDescent="0.25">
      <c r="K1575" s="4" t="s">
        <v>421</v>
      </c>
      <c r="L1575" t="s">
        <v>422</v>
      </c>
      <c r="M1575" t="s">
        <v>3747</v>
      </c>
      <c r="N1575" t="s">
        <v>6</v>
      </c>
      <c r="O1575" t="s">
        <v>244</v>
      </c>
      <c r="P1575" t="str">
        <f t="shared" si="262"/>
        <v>[1]</v>
      </c>
      <c r="Q1575">
        <f t="shared" si="263"/>
        <v>28</v>
      </c>
      <c r="R1575" t="str">
        <f t="shared" si="264"/>
        <v/>
      </c>
      <c r="S1575">
        <f>SUMIF(O1575:$O$2855,R1575,Q1575:$Q$2855)</f>
        <v>0</v>
      </c>
    </row>
    <row r="1576" spans="11:19" x14ac:dyDescent="0.25">
      <c r="K1576" s="4" t="s">
        <v>421</v>
      </c>
      <c r="L1576" t="s">
        <v>422</v>
      </c>
      <c r="M1576" t="s">
        <v>3748</v>
      </c>
      <c r="N1576" t="s">
        <v>124</v>
      </c>
      <c r="O1576" t="s">
        <v>244</v>
      </c>
      <c r="P1576" t="str">
        <f t="shared" si="262"/>
        <v>[1]</v>
      </c>
      <c r="Q1576">
        <f t="shared" si="263"/>
        <v>68</v>
      </c>
      <c r="R1576" t="str">
        <f t="shared" si="264"/>
        <v/>
      </c>
      <c r="S1576">
        <f>SUMIF(O1576:$O$2855,R1576,Q1576:$Q$2855)</f>
        <v>0</v>
      </c>
    </row>
    <row r="1577" spans="11:19" x14ac:dyDescent="0.25">
      <c r="K1577" s="4" t="s">
        <v>421</v>
      </c>
      <c r="L1577" t="s">
        <v>422</v>
      </c>
      <c r="M1577" t="s">
        <v>3749</v>
      </c>
      <c r="N1577" t="s">
        <v>202</v>
      </c>
      <c r="O1577" t="s">
        <v>244</v>
      </c>
      <c r="P1577" t="str">
        <f t="shared" si="262"/>
        <v>[1]</v>
      </c>
      <c r="Q1577">
        <f t="shared" si="263"/>
        <v>16</v>
      </c>
      <c r="R1577" t="str">
        <f t="shared" si="264"/>
        <v/>
      </c>
      <c r="S1577">
        <f>SUMIF(O1577:$O$2855,R1577,Q1577:$Q$2855)</f>
        <v>0</v>
      </c>
    </row>
    <row r="1578" spans="11:19" x14ac:dyDescent="0.25">
      <c r="K1578" s="4" t="s">
        <v>421</v>
      </c>
      <c r="L1578" t="s">
        <v>422</v>
      </c>
      <c r="M1578" t="s">
        <v>3750</v>
      </c>
      <c r="N1578" t="s">
        <v>76</v>
      </c>
      <c r="O1578" t="s">
        <v>244</v>
      </c>
      <c r="P1578" t="str">
        <f t="shared" si="262"/>
        <v>[1]</v>
      </c>
      <c r="Q1578">
        <f t="shared" si="263"/>
        <v>36</v>
      </c>
      <c r="R1578" t="str">
        <f t="shared" si="264"/>
        <v/>
      </c>
      <c r="S1578">
        <f>SUMIF(O1578:$O$2855,R1578,Q1578:$Q$2855)</f>
        <v>0</v>
      </c>
    </row>
    <row r="1579" spans="11:19" x14ac:dyDescent="0.25">
      <c r="K1579" s="4" t="s">
        <v>421</v>
      </c>
      <c r="L1579" t="s">
        <v>422</v>
      </c>
      <c r="M1579" t="s">
        <v>3751</v>
      </c>
      <c r="N1579" t="s">
        <v>165</v>
      </c>
      <c r="O1579" t="s">
        <v>244</v>
      </c>
      <c r="P1579" t="str">
        <f t="shared" si="262"/>
        <v>[1]</v>
      </c>
      <c r="Q1579">
        <f t="shared" si="263"/>
        <v>20</v>
      </c>
      <c r="R1579" t="str">
        <f t="shared" si="264"/>
        <v/>
      </c>
      <c r="S1579">
        <f>SUMIF(O1579:$O$2855,R1579,Q1579:$Q$2855)</f>
        <v>0</v>
      </c>
    </row>
    <row r="1580" spans="11:19" x14ac:dyDescent="0.25">
      <c r="K1580" s="4" t="s">
        <v>421</v>
      </c>
      <c r="L1580" t="s">
        <v>422</v>
      </c>
      <c r="M1580" t="s">
        <v>3752</v>
      </c>
      <c r="N1580" t="s">
        <v>65</v>
      </c>
      <c r="O1580" t="s">
        <v>244</v>
      </c>
      <c r="P1580" t="str">
        <f t="shared" si="262"/>
        <v>[1]</v>
      </c>
      <c r="Q1580">
        <f t="shared" si="263"/>
        <v>40</v>
      </c>
      <c r="R1580" t="str">
        <f t="shared" si="264"/>
        <v/>
      </c>
      <c r="S1580">
        <f>SUMIF(O1580:$O$2855,R1580,Q1580:$Q$2855)</f>
        <v>0</v>
      </c>
    </row>
    <row r="1581" spans="11:19" x14ac:dyDescent="0.25">
      <c r="K1581" s="4" t="s">
        <v>421</v>
      </c>
      <c r="L1581" t="s">
        <v>422</v>
      </c>
      <c r="M1581" t="s">
        <v>3753</v>
      </c>
      <c r="N1581" t="s">
        <v>6</v>
      </c>
      <c r="O1581" t="s">
        <v>244</v>
      </c>
      <c r="P1581" t="str">
        <f t="shared" si="262"/>
        <v>[1]</v>
      </c>
      <c r="Q1581">
        <f t="shared" si="263"/>
        <v>28</v>
      </c>
      <c r="R1581" t="str">
        <f t="shared" si="264"/>
        <v/>
      </c>
      <c r="S1581">
        <f>SUMIF(O1581:$O$2855,R1581,Q1581:$Q$2855)</f>
        <v>0</v>
      </c>
    </row>
    <row r="1582" spans="11:19" x14ac:dyDescent="0.25">
      <c r="K1582" s="4" t="s">
        <v>421</v>
      </c>
      <c r="L1582" t="s">
        <v>422</v>
      </c>
      <c r="M1582" t="s">
        <v>3754</v>
      </c>
      <c r="N1582" t="s">
        <v>103</v>
      </c>
      <c r="O1582" t="s">
        <v>244</v>
      </c>
      <c r="P1582" t="str">
        <f t="shared" si="262"/>
        <v>[1]</v>
      </c>
      <c r="Q1582">
        <f t="shared" si="263"/>
        <v>64</v>
      </c>
      <c r="R1582" t="str">
        <f t="shared" si="264"/>
        <v/>
      </c>
      <c r="S1582">
        <f>SUMIF(O1582:$O$2855,R1582,Q1582:$Q$2855)</f>
        <v>0</v>
      </c>
    </row>
    <row r="1583" spans="11:19" x14ac:dyDescent="0.25">
      <c r="K1583" s="4" t="s">
        <v>421</v>
      </c>
      <c r="L1583" t="s">
        <v>422</v>
      </c>
      <c r="M1583" t="s">
        <v>1951</v>
      </c>
      <c r="N1583" t="s">
        <v>165</v>
      </c>
      <c r="O1583" t="s">
        <v>244</v>
      </c>
      <c r="P1583" t="str">
        <f t="shared" si="262"/>
        <v>[1]</v>
      </c>
      <c r="Q1583">
        <f t="shared" si="263"/>
        <v>20</v>
      </c>
      <c r="R1583" t="str">
        <f t="shared" si="264"/>
        <v/>
      </c>
      <c r="S1583">
        <f>SUMIF(O1583:$O$2855,R1583,Q1583:$Q$2855)</f>
        <v>0</v>
      </c>
    </row>
    <row r="1584" spans="11:19" x14ac:dyDescent="0.25">
      <c r="K1584" s="4" t="s">
        <v>421</v>
      </c>
      <c r="L1584" t="s">
        <v>422</v>
      </c>
      <c r="M1584" t="s">
        <v>1952</v>
      </c>
      <c r="N1584" t="s">
        <v>63</v>
      </c>
      <c r="O1584" t="s">
        <v>244</v>
      </c>
      <c r="P1584" t="str">
        <f t="shared" si="262"/>
        <v>[1]</v>
      </c>
      <c r="Q1584">
        <f t="shared" si="263"/>
        <v>88</v>
      </c>
      <c r="R1584" t="str">
        <f t="shared" si="264"/>
        <v/>
      </c>
      <c r="S1584">
        <f>SUMIF(O1584:$O$2855,R1584,Q1584:$Q$2855)</f>
        <v>0</v>
      </c>
    </row>
    <row r="1585" spans="11:19" x14ac:dyDescent="0.25">
      <c r="K1585" s="4" t="s">
        <v>421</v>
      </c>
      <c r="L1585" t="s">
        <v>422</v>
      </c>
      <c r="M1585" t="s">
        <v>3755</v>
      </c>
      <c r="N1585" t="s">
        <v>437</v>
      </c>
      <c r="O1585" t="s">
        <v>244</v>
      </c>
      <c r="P1585" t="str">
        <f t="shared" si="262"/>
        <v>[1]</v>
      </c>
      <c r="Q1585">
        <f t="shared" si="263"/>
        <v>24</v>
      </c>
      <c r="R1585" t="str">
        <f t="shared" si="264"/>
        <v/>
      </c>
      <c r="S1585">
        <f>SUMIF(O1585:$O$2855,R1585,Q1585:$Q$2855)</f>
        <v>0</v>
      </c>
    </row>
    <row r="1586" spans="11:19" x14ac:dyDescent="0.25">
      <c r="K1586" s="4" t="s">
        <v>421</v>
      </c>
      <c r="L1586" t="s">
        <v>422</v>
      </c>
      <c r="M1586" t="s">
        <v>3756</v>
      </c>
      <c r="N1586" t="s">
        <v>435</v>
      </c>
      <c r="O1586" t="s">
        <v>244</v>
      </c>
      <c r="P1586" t="str">
        <f t="shared" si="262"/>
        <v>[1]</v>
      </c>
      <c r="Q1586">
        <f t="shared" si="263"/>
        <v>60</v>
      </c>
      <c r="R1586" t="str">
        <f t="shared" si="264"/>
        <v/>
      </c>
      <c r="S1586">
        <f>SUMIF(O1586:$O$2855,R1586,Q1586:$Q$2855)</f>
        <v>0</v>
      </c>
    </row>
    <row r="1587" spans="11:19" x14ac:dyDescent="0.25">
      <c r="K1587" s="4" t="s">
        <v>421</v>
      </c>
      <c r="L1587" t="s">
        <v>422</v>
      </c>
      <c r="M1587" t="s">
        <v>1953</v>
      </c>
      <c r="N1587" t="s">
        <v>6</v>
      </c>
      <c r="O1587" t="s">
        <v>244</v>
      </c>
      <c r="P1587" t="str">
        <f t="shared" si="262"/>
        <v>[1]</v>
      </c>
      <c r="Q1587">
        <f t="shared" si="263"/>
        <v>28</v>
      </c>
      <c r="R1587" t="str">
        <f t="shared" si="264"/>
        <v/>
      </c>
      <c r="S1587">
        <f>SUMIF(O1587:$O$2855,R1587,Q1587:$Q$2855)</f>
        <v>0</v>
      </c>
    </row>
    <row r="1588" spans="11:19" x14ac:dyDescent="0.25">
      <c r="K1588" s="4" t="s">
        <v>421</v>
      </c>
      <c r="L1588" t="s">
        <v>422</v>
      </c>
      <c r="M1588" t="s">
        <v>3757</v>
      </c>
      <c r="N1588" t="s">
        <v>65</v>
      </c>
      <c r="O1588" t="s">
        <v>244</v>
      </c>
      <c r="P1588" t="str">
        <f t="shared" si="262"/>
        <v>[1]</v>
      </c>
      <c r="Q1588">
        <f t="shared" si="263"/>
        <v>40</v>
      </c>
      <c r="R1588" t="str">
        <f t="shared" si="264"/>
        <v/>
      </c>
      <c r="S1588">
        <f>SUMIF(O1588:$O$2855,R1588,Q1588:$Q$2855)</f>
        <v>0</v>
      </c>
    </row>
    <row r="1589" spans="11:19" x14ac:dyDescent="0.25">
      <c r="K1589" s="4" t="s">
        <v>421</v>
      </c>
      <c r="L1589" t="s">
        <v>422</v>
      </c>
      <c r="M1589" t="s">
        <v>3758</v>
      </c>
      <c r="N1589" t="s">
        <v>6</v>
      </c>
      <c r="O1589" t="s">
        <v>244</v>
      </c>
      <c r="P1589" t="str">
        <f t="shared" si="262"/>
        <v>[1]</v>
      </c>
      <c r="Q1589">
        <f t="shared" si="263"/>
        <v>28</v>
      </c>
      <c r="R1589" t="str">
        <f t="shared" si="264"/>
        <v/>
      </c>
      <c r="S1589">
        <f>SUMIF(O1589:$O$2855,R1589,Q1589:$Q$2855)</f>
        <v>0</v>
      </c>
    </row>
    <row r="1590" spans="11:19" x14ac:dyDescent="0.25">
      <c r="K1590" s="4" t="s">
        <v>421</v>
      </c>
      <c r="L1590" t="s">
        <v>422</v>
      </c>
      <c r="M1590" t="s">
        <v>3759</v>
      </c>
      <c r="N1590" t="s">
        <v>147</v>
      </c>
      <c r="O1590" t="s">
        <v>244</v>
      </c>
      <c r="P1590" t="str">
        <f t="shared" si="262"/>
        <v>[1]</v>
      </c>
      <c r="Q1590">
        <f t="shared" si="263"/>
        <v>72</v>
      </c>
      <c r="R1590" t="str">
        <f t="shared" si="264"/>
        <v/>
      </c>
      <c r="S1590">
        <f>SUMIF(O1590:$O$2855,R1590,Q1590:$Q$2855)</f>
        <v>0</v>
      </c>
    </row>
    <row r="1591" spans="11:19" x14ac:dyDescent="0.25">
      <c r="K1591" s="4" t="s">
        <v>421</v>
      </c>
      <c r="L1591" t="s">
        <v>422</v>
      </c>
      <c r="M1591" t="s">
        <v>3760</v>
      </c>
      <c r="N1591" t="s">
        <v>165</v>
      </c>
      <c r="O1591" t="s">
        <v>244</v>
      </c>
      <c r="P1591" t="str">
        <f t="shared" si="262"/>
        <v>[1]</v>
      </c>
      <c r="Q1591">
        <f t="shared" si="263"/>
        <v>20</v>
      </c>
      <c r="R1591" t="str">
        <f t="shared" si="264"/>
        <v/>
      </c>
      <c r="S1591">
        <f>SUMIF(O1591:$O$2855,R1591,Q1591:$Q$2855)</f>
        <v>0</v>
      </c>
    </row>
    <row r="1592" spans="11:19" x14ac:dyDescent="0.25">
      <c r="K1592" s="4" t="s">
        <v>421</v>
      </c>
      <c r="L1592" t="s">
        <v>422</v>
      </c>
      <c r="M1592" t="s">
        <v>3761</v>
      </c>
      <c r="N1592" t="s">
        <v>147</v>
      </c>
      <c r="O1592" t="s">
        <v>244</v>
      </c>
      <c r="P1592" t="str">
        <f t="shared" si="262"/>
        <v>[1]</v>
      </c>
      <c r="Q1592">
        <f t="shared" si="263"/>
        <v>72</v>
      </c>
      <c r="R1592" t="str">
        <f t="shared" si="264"/>
        <v/>
      </c>
      <c r="S1592">
        <f>SUMIF(O1592:$O$2855,R1592,Q1592:$Q$2855)</f>
        <v>0</v>
      </c>
    </row>
    <row r="1593" spans="11:19" x14ac:dyDescent="0.25">
      <c r="K1593" s="4" t="s">
        <v>421</v>
      </c>
      <c r="L1593" t="s">
        <v>422</v>
      </c>
      <c r="M1593" t="s">
        <v>3762</v>
      </c>
      <c r="N1593" t="s">
        <v>202</v>
      </c>
      <c r="O1593" t="s">
        <v>244</v>
      </c>
      <c r="P1593" t="str">
        <f t="shared" si="262"/>
        <v>[1]</v>
      </c>
      <c r="Q1593">
        <f t="shared" si="263"/>
        <v>16</v>
      </c>
      <c r="R1593" t="str">
        <f t="shared" si="264"/>
        <v/>
      </c>
      <c r="S1593">
        <f>SUMIF(O1593:$O$2855,R1593,Q1593:$Q$2855)</f>
        <v>0</v>
      </c>
    </row>
    <row r="1594" spans="11:19" x14ac:dyDescent="0.25">
      <c r="K1594" s="4" t="s">
        <v>421</v>
      </c>
      <c r="L1594" t="s">
        <v>422</v>
      </c>
      <c r="M1594" t="s">
        <v>3763</v>
      </c>
      <c r="N1594" t="s">
        <v>76</v>
      </c>
      <c r="O1594" t="s">
        <v>244</v>
      </c>
      <c r="P1594" t="str">
        <f t="shared" si="262"/>
        <v>[1]</v>
      </c>
      <c r="Q1594">
        <f t="shared" si="263"/>
        <v>36</v>
      </c>
      <c r="R1594" t="str">
        <f t="shared" si="264"/>
        <v/>
      </c>
      <c r="S1594">
        <f>SUMIF(O1594:$O$2855,R1594,Q1594:$Q$2855)</f>
        <v>0</v>
      </c>
    </row>
    <row r="1595" spans="11:19" x14ac:dyDescent="0.25">
      <c r="K1595" s="4" t="s">
        <v>421</v>
      </c>
      <c r="L1595" t="s">
        <v>422</v>
      </c>
      <c r="M1595" t="s">
        <v>3764</v>
      </c>
      <c r="N1595" t="s">
        <v>126</v>
      </c>
      <c r="O1595" t="s">
        <v>244</v>
      </c>
      <c r="P1595" t="str">
        <f t="shared" si="262"/>
        <v>[1]</v>
      </c>
      <c r="Q1595">
        <f t="shared" si="263"/>
        <v>8</v>
      </c>
      <c r="R1595" t="str">
        <f t="shared" si="264"/>
        <v/>
      </c>
      <c r="S1595">
        <f>SUMIF(O1595:$O$2855,R1595,Q1595:$Q$2855)</f>
        <v>0</v>
      </c>
    </row>
    <row r="1596" spans="11:19" x14ac:dyDescent="0.25">
      <c r="K1596" s="4" t="s">
        <v>421</v>
      </c>
      <c r="L1596" t="s">
        <v>422</v>
      </c>
      <c r="M1596" t="s">
        <v>3765</v>
      </c>
      <c r="N1596" t="s">
        <v>437</v>
      </c>
      <c r="O1596" t="s">
        <v>244</v>
      </c>
      <c r="P1596" t="str">
        <f t="shared" si="262"/>
        <v>[1]</v>
      </c>
      <c r="Q1596">
        <f t="shared" si="263"/>
        <v>24</v>
      </c>
      <c r="R1596" t="str">
        <f t="shared" si="264"/>
        <v/>
      </c>
      <c r="S1596">
        <f>SUMIF(O1596:$O$2855,R1596,Q1596:$Q$2855)</f>
        <v>0</v>
      </c>
    </row>
    <row r="1597" spans="11:19" x14ac:dyDescent="0.25">
      <c r="K1597" s="4" t="s">
        <v>421</v>
      </c>
      <c r="L1597" t="s">
        <v>422</v>
      </c>
      <c r="M1597" t="s">
        <v>3766</v>
      </c>
      <c r="N1597" t="s">
        <v>202</v>
      </c>
      <c r="O1597" t="s">
        <v>244</v>
      </c>
      <c r="P1597" t="str">
        <f t="shared" si="262"/>
        <v>[1]</v>
      </c>
      <c r="Q1597">
        <f t="shared" si="263"/>
        <v>16</v>
      </c>
      <c r="R1597" t="str">
        <f t="shared" si="264"/>
        <v/>
      </c>
      <c r="S1597">
        <f>SUMIF(O1597:$O$2855,R1597,Q1597:$Q$2855)</f>
        <v>0</v>
      </c>
    </row>
    <row r="1598" spans="11:19" x14ac:dyDescent="0.25">
      <c r="K1598" s="4" t="s">
        <v>421</v>
      </c>
      <c r="L1598" t="s">
        <v>422</v>
      </c>
      <c r="M1598" t="s">
        <v>1954</v>
      </c>
      <c r="N1598" t="s">
        <v>237</v>
      </c>
      <c r="O1598" t="s">
        <v>244</v>
      </c>
      <c r="P1598" t="str">
        <f t="shared" si="262"/>
        <v>[1]</v>
      </c>
      <c r="Q1598">
        <f t="shared" si="263"/>
        <v>52</v>
      </c>
      <c r="R1598" t="str">
        <f t="shared" si="264"/>
        <v/>
      </c>
      <c r="S1598">
        <f>SUMIF(O1598:$O$2855,R1598,Q1598:$Q$2855)</f>
        <v>0</v>
      </c>
    </row>
    <row r="1599" spans="11:19" x14ac:dyDescent="0.25">
      <c r="K1599" s="4" t="s">
        <v>421</v>
      </c>
      <c r="L1599" t="s">
        <v>422</v>
      </c>
      <c r="M1599" t="s">
        <v>3767</v>
      </c>
      <c r="N1599" t="s">
        <v>437</v>
      </c>
      <c r="O1599" t="s">
        <v>244</v>
      </c>
      <c r="P1599" t="str">
        <f t="shared" si="262"/>
        <v>[1]</v>
      </c>
      <c r="Q1599">
        <f t="shared" si="263"/>
        <v>24</v>
      </c>
      <c r="R1599" t="str">
        <f t="shared" si="264"/>
        <v/>
      </c>
      <c r="S1599">
        <f>SUMIF(O1599:$O$2855,R1599,Q1599:$Q$2855)</f>
        <v>0</v>
      </c>
    </row>
    <row r="1600" spans="11:19" x14ac:dyDescent="0.25">
      <c r="K1600" s="4" t="s">
        <v>421</v>
      </c>
      <c r="L1600" t="s">
        <v>422</v>
      </c>
      <c r="M1600" t="s">
        <v>3768</v>
      </c>
      <c r="N1600" t="s">
        <v>67</v>
      </c>
      <c r="O1600" t="s">
        <v>244</v>
      </c>
      <c r="P1600" t="str">
        <f t="shared" si="262"/>
        <v>[1]</v>
      </c>
      <c r="Q1600">
        <f t="shared" si="263"/>
        <v>48</v>
      </c>
      <c r="R1600" t="str">
        <f t="shared" si="264"/>
        <v/>
      </c>
      <c r="S1600">
        <f>SUMIF(O1600:$O$2855,R1600,Q1600:$Q$2855)</f>
        <v>0</v>
      </c>
    </row>
    <row r="1601" spans="11:19" x14ac:dyDescent="0.25">
      <c r="K1601" s="4" t="s">
        <v>421</v>
      </c>
      <c r="L1601" t="s">
        <v>422</v>
      </c>
      <c r="M1601" t="s">
        <v>3769</v>
      </c>
      <c r="N1601" t="s">
        <v>165</v>
      </c>
      <c r="O1601" t="s">
        <v>244</v>
      </c>
      <c r="P1601" t="str">
        <f t="shared" si="262"/>
        <v>[1]</v>
      </c>
      <c r="Q1601">
        <f t="shared" si="263"/>
        <v>20</v>
      </c>
      <c r="R1601" t="str">
        <f t="shared" si="264"/>
        <v/>
      </c>
      <c r="S1601">
        <f>SUMIF(O1601:$O$2855,R1601,Q1601:$Q$2855)</f>
        <v>0</v>
      </c>
    </row>
    <row r="1602" spans="11:19" x14ac:dyDescent="0.25">
      <c r="K1602" s="4" t="s">
        <v>421</v>
      </c>
      <c r="L1602" t="s">
        <v>422</v>
      </c>
      <c r="M1602" t="s">
        <v>3770</v>
      </c>
      <c r="N1602" t="s">
        <v>76</v>
      </c>
      <c r="O1602" t="s">
        <v>244</v>
      </c>
      <c r="P1602" t="str">
        <f t="shared" ref="P1602:P1665" si="265">VLOOKUP($K$30,$E$1:$F$26,2,FALSE)</f>
        <v>[1]</v>
      </c>
      <c r="Q1602">
        <f t="shared" si="263"/>
        <v>36</v>
      </c>
      <c r="R1602" t="str">
        <f t="shared" si="264"/>
        <v/>
      </c>
      <c r="S1602">
        <f>SUMIF(O1602:$O$2855,R1602,Q1602:$Q$2855)</f>
        <v>0</v>
      </c>
    </row>
    <row r="1603" spans="11:19" x14ac:dyDescent="0.25">
      <c r="K1603" s="4" t="s">
        <v>421</v>
      </c>
      <c r="L1603" t="s">
        <v>422</v>
      </c>
      <c r="M1603" t="s">
        <v>3771</v>
      </c>
      <c r="N1603" t="s">
        <v>126</v>
      </c>
      <c r="O1603" t="s">
        <v>244</v>
      </c>
      <c r="P1603" t="str">
        <f t="shared" si="265"/>
        <v>[1]</v>
      </c>
      <c r="Q1603">
        <f t="shared" ref="Q1603:Q1666" si="266">HEX2DEC(MID(N1603,3,LEN(N1603)-2))</f>
        <v>8</v>
      </c>
      <c r="R1603" t="str">
        <f t="shared" si="264"/>
        <v/>
      </c>
      <c r="S1603">
        <f>SUMIF(O1603:$O$2855,R1603,Q1603:$Q$2855)</f>
        <v>0</v>
      </c>
    </row>
    <row r="1604" spans="11:19" x14ac:dyDescent="0.25">
      <c r="K1604" s="4" t="s">
        <v>421</v>
      </c>
      <c r="L1604" t="s">
        <v>422</v>
      </c>
      <c r="M1604" t="s">
        <v>3772</v>
      </c>
      <c r="N1604" t="s">
        <v>202</v>
      </c>
      <c r="O1604" t="s">
        <v>244</v>
      </c>
      <c r="P1604" t="str">
        <f t="shared" si="265"/>
        <v>[1]</v>
      </c>
      <c r="Q1604">
        <f t="shared" si="266"/>
        <v>16</v>
      </c>
      <c r="R1604" t="str">
        <f t="shared" si="264"/>
        <v/>
      </c>
      <c r="S1604">
        <f>SUMIF(O1604:$O$2855,R1604,Q1604:$Q$2855)</f>
        <v>0</v>
      </c>
    </row>
    <row r="1605" spans="11:19" x14ac:dyDescent="0.25">
      <c r="K1605" s="4" t="s">
        <v>421</v>
      </c>
      <c r="L1605" t="s">
        <v>422</v>
      </c>
      <c r="M1605" t="s">
        <v>3773</v>
      </c>
      <c r="N1605" t="s">
        <v>165</v>
      </c>
      <c r="O1605" t="s">
        <v>244</v>
      </c>
      <c r="P1605" t="str">
        <f t="shared" si="265"/>
        <v>[1]</v>
      </c>
      <c r="Q1605">
        <f t="shared" si="266"/>
        <v>20</v>
      </c>
      <c r="R1605" t="str">
        <f t="shared" si="264"/>
        <v/>
      </c>
      <c r="S1605">
        <f>SUMIF(O1605:$O$2855,R1605,Q1605:$Q$2855)</f>
        <v>0</v>
      </c>
    </row>
    <row r="1606" spans="11:19" x14ac:dyDescent="0.25">
      <c r="K1606" s="4" t="s">
        <v>421</v>
      </c>
      <c r="L1606" t="s">
        <v>422</v>
      </c>
      <c r="M1606" t="s">
        <v>3774</v>
      </c>
      <c r="N1606" t="s">
        <v>147</v>
      </c>
      <c r="O1606" t="s">
        <v>244</v>
      </c>
      <c r="P1606" t="str">
        <f t="shared" si="265"/>
        <v>[1]</v>
      </c>
      <c r="Q1606">
        <f t="shared" si="266"/>
        <v>72</v>
      </c>
      <c r="R1606" t="str">
        <f t="shared" si="264"/>
        <v/>
      </c>
      <c r="S1606">
        <f>SUMIF(O1606:$O$2855,R1606,Q1606:$Q$2855)</f>
        <v>0</v>
      </c>
    </row>
    <row r="1607" spans="11:19" x14ac:dyDescent="0.25">
      <c r="K1607" s="4" t="s">
        <v>421</v>
      </c>
      <c r="L1607" t="s">
        <v>422</v>
      </c>
      <c r="M1607" t="s">
        <v>3775</v>
      </c>
      <c r="N1607" t="s">
        <v>13</v>
      </c>
      <c r="O1607" t="s">
        <v>244</v>
      </c>
      <c r="P1607" t="str">
        <f t="shared" si="265"/>
        <v>[1]</v>
      </c>
      <c r="Q1607">
        <f t="shared" si="266"/>
        <v>12</v>
      </c>
      <c r="R1607" t="str">
        <f t="shared" si="264"/>
        <v/>
      </c>
      <c r="S1607">
        <f>SUMIF(O1607:$O$2855,R1607,Q1607:$Q$2855)</f>
        <v>0</v>
      </c>
    </row>
    <row r="1608" spans="11:19" x14ac:dyDescent="0.25">
      <c r="K1608" s="4" t="s">
        <v>421</v>
      </c>
      <c r="L1608" t="s">
        <v>422</v>
      </c>
      <c r="M1608" t="s">
        <v>3776</v>
      </c>
      <c r="N1608" t="s">
        <v>437</v>
      </c>
      <c r="O1608" t="s">
        <v>244</v>
      </c>
      <c r="P1608" t="str">
        <f t="shared" si="265"/>
        <v>[1]</v>
      </c>
      <c r="Q1608">
        <f t="shared" si="266"/>
        <v>24</v>
      </c>
      <c r="R1608" t="str">
        <f t="shared" si="264"/>
        <v/>
      </c>
      <c r="S1608">
        <f>SUMIF(O1608:$O$2855,R1608,Q1608:$Q$2855)</f>
        <v>0</v>
      </c>
    </row>
    <row r="1609" spans="11:19" x14ac:dyDescent="0.25">
      <c r="K1609" s="4" t="s">
        <v>421</v>
      </c>
      <c r="L1609" t="s">
        <v>422</v>
      </c>
      <c r="M1609" t="s">
        <v>3777</v>
      </c>
      <c r="N1609" t="s">
        <v>13</v>
      </c>
      <c r="O1609" t="s">
        <v>244</v>
      </c>
      <c r="P1609" t="str">
        <f t="shared" si="265"/>
        <v>[1]</v>
      </c>
      <c r="Q1609">
        <f t="shared" si="266"/>
        <v>12</v>
      </c>
      <c r="R1609" t="str">
        <f t="shared" si="264"/>
        <v/>
      </c>
      <c r="S1609">
        <f>SUMIF(O1609:$O$2855,R1609,Q1609:$Q$2855)</f>
        <v>0</v>
      </c>
    </row>
    <row r="1610" spans="11:19" x14ac:dyDescent="0.25">
      <c r="K1610" s="4" t="s">
        <v>421</v>
      </c>
      <c r="L1610" t="s">
        <v>422</v>
      </c>
      <c r="M1610" t="s">
        <v>3778</v>
      </c>
      <c r="N1610" t="s">
        <v>202</v>
      </c>
      <c r="O1610" t="s">
        <v>244</v>
      </c>
      <c r="P1610" t="str">
        <f t="shared" si="265"/>
        <v>[1]</v>
      </c>
      <c r="Q1610">
        <f t="shared" si="266"/>
        <v>16</v>
      </c>
      <c r="R1610" t="str">
        <f t="shared" si="264"/>
        <v/>
      </c>
      <c r="S1610">
        <f>SUMIF(O1610:$O$2855,R1610,Q1610:$Q$2855)</f>
        <v>0</v>
      </c>
    </row>
    <row r="1611" spans="11:19" x14ac:dyDescent="0.25">
      <c r="K1611" s="4" t="s">
        <v>421</v>
      </c>
      <c r="L1611" t="s">
        <v>422</v>
      </c>
      <c r="M1611" t="s">
        <v>3779</v>
      </c>
      <c r="N1611" t="s">
        <v>165</v>
      </c>
      <c r="O1611" t="s">
        <v>244</v>
      </c>
      <c r="P1611" t="str">
        <f t="shared" si="265"/>
        <v>[1]</v>
      </c>
      <c r="Q1611">
        <f t="shared" si="266"/>
        <v>20</v>
      </c>
      <c r="R1611" t="str">
        <f t="shared" si="264"/>
        <v/>
      </c>
      <c r="S1611">
        <f>SUMIF(O1611:$O$2855,R1611,Q1611:$Q$2855)</f>
        <v>0</v>
      </c>
    </row>
    <row r="1612" spans="11:19" x14ac:dyDescent="0.25">
      <c r="K1612" s="4" t="s">
        <v>421</v>
      </c>
      <c r="L1612" t="s">
        <v>422</v>
      </c>
      <c r="M1612" t="s">
        <v>3780</v>
      </c>
      <c r="N1612" t="s">
        <v>119</v>
      </c>
      <c r="O1612" t="s">
        <v>244</v>
      </c>
      <c r="P1612" t="str">
        <f t="shared" si="265"/>
        <v>[1]</v>
      </c>
      <c r="Q1612">
        <f t="shared" si="266"/>
        <v>32</v>
      </c>
      <c r="R1612" t="str">
        <f t="shared" si="264"/>
        <v/>
      </c>
      <c r="S1612">
        <f>SUMIF(O1612:$O$2855,R1612,Q1612:$Q$2855)</f>
        <v>0</v>
      </c>
    </row>
    <row r="1613" spans="11:19" x14ac:dyDescent="0.25">
      <c r="K1613" s="4" t="s">
        <v>421</v>
      </c>
      <c r="L1613" t="s">
        <v>422</v>
      </c>
      <c r="M1613" t="s">
        <v>3781</v>
      </c>
      <c r="N1613" t="s">
        <v>165</v>
      </c>
      <c r="O1613" t="s">
        <v>244</v>
      </c>
      <c r="P1613" t="str">
        <f t="shared" si="265"/>
        <v>[1]</v>
      </c>
      <c r="Q1613">
        <f t="shared" si="266"/>
        <v>20</v>
      </c>
      <c r="R1613" t="str">
        <f t="shared" si="264"/>
        <v/>
      </c>
      <c r="S1613">
        <f>SUMIF(O1613:$O$2855,R1613,Q1613:$Q$2855)</f>
        <v>0</v>
      </c>
    </row>
    <row r="1614" spans="11:19" x14ac:dyDescent="0.25">
      <c r="K1614" s="4" t="s">
        <v>421</v>
      </c>
      <c r="L1614" t="s">
        <v>422</v>
      </c>
      <c r="M1614" t="s">
        <v>1955</v>
      </c>
      <c r="N1614" t="s">
        <v>6</v>
      </c>
      <c r="O1614" t="s">
        <v>244</v>
      </c>
      <c r="P1614" t="str">
        <f t="shared" si="265"/>
        <v>[1]</v>
      </c>
      <c r="Q1614">
        <f t="shared" si="266"/>
        <v>28</v>
      </c>
      <c r="R1614" t="str">
        <f t="shared" si="264"/>
        <v/>
      </c>
      <c r="S1614">
        <f>SUMIF(O1614:$O$2855,R1614,Q1614:$Q$2855)</f>
        <v>0</v>
      </c>
    </row>
    <row r="1615" spans="11:19" x14ac:dyDescent="0.25">
      <c r="K1615" s="4" t="s">
        <v>421</v>
      </c>
      <c r="L1615" t="s">
        <v>422</v>
      </c>
      <c r="M1615" t="s">
        <v>1956</v>
      </c>
      <c r="N1615" t="s">
        <v>202</v>
      </c>
      <c r="O1615" t="s">
        <v>244</v>
      </c>
      <c r="P1615" t="str">
        <f t="shared" si="265"/>
        <v>[1]</v>
      </c>
      <c r="Q1615">
        <f t="shared" si="266"/>
        <v>16</v>
      </c>
      <c r="R1615" t="str">
        <f t="shared" si="264"/>
        <v/>
      </c>
      <c r="S1615">
        <f>SUMIF(O1615:$O$2855,R1615,Q1615:$Q$2855)</f>
        <v>0</v>
      </c>
    </row>
    <row r="1616" spans="11:19" x14ac:dyDescent="0.25">
      <c r="K1616" s="4" t="s">
        <v>421</v>
      </c>
      <c r="L1616" t="s">
        <v>422</v>
      </c>
      <c r="M1616" t="s">
        <v>3782</v>
      </c>
      <c r="N1616" t="s">
        <v>6</v>
      </c>
      <c r="O1616" t="s">
        <v>244</v>
      </c>
      <c r="P1616" t="str">
        <f t="shared" si="265"/>
        <v>[1]</v>
      </c>
      <c r="Q1616">
        <f t="shared" si="266"/>
        <v>28</v>
      </c>
      <c r="R1616" t="str">
        <f t="shared" si="264"/>
        <v/>
      </c>
      <c r="S1616">
        <f>SUMIF(O1616:$O$2855,R1616,Q1616:$Q$2855)</f>
        <v>0</v>
      </c>
    </row>
    <row r="1617" spans="11:19" x14ac:dyDescent="0.25">
      <c r="K1617" s="4" t="s">
        <v>421</v>
      </c>
      <c r="L1617" t="s">
        <v>422</v>
      </c>
      <c r="M1617" t="s">
        <v>3783</v>
      </c>
      <c r="N1617" t="s">
        <v>202</v>
      </c>
      <c r="O1617" t="s">
        <v>244</v>
      </c>
      <c r="P1617" t="str">
        <f t="shared" si="265"/>
        <v>[1]</v>
      </c>
      <c r="Q1617">
        <f t="shared" si="266"/>
        <v>16</v>
      </c>
      <c r="R1617" t="str">
        <f t="shared" si="264"/>
        <v/>
      </c>
      <c r="S1617">
        <f>SUMIF(O1617:$O$2855,R1617,Q1617:$Q$2855)</f>
        <v>0</v>
      </c>
    </row>
    <row r="1618" spans="11:19" x14ac:dyDescent="0.25">
      <c r="K1618" s="4" t="s">
        <v>421</v>
      </c>
      <c r="L1618" t="s">
        <v>422</v>
      </c>
      <c r="M1618" t="s">
        <v>3784</v>
      </c>
      <c r="N1618" t="s">
        <v>65</v>
      </c>
      <c r="O1618" t="s">
        <v>244</v>
      </c>
      <c r="P1618" t="str">
        <f t="shared" si="265"/>
        <v>[1]</v>
      </c>
      <c r="Q1618">
        <f t="shared" si="266"/>
        <v>40</v>
      </c>
      <c r="R1618" t="str">
        <f t="shared" si="264"/>
        <v/>
      </c>
      <c r="S1618">
        <f>SUMIF(O1618:$O$2855,R1618,Q1618:$Q$2855)</f>
        <v>0</v>
      </c>
    </row>
    <row r="1619" spans="11:19" x14ac:dyDescent="0.25">
      <c r="K1619" s="4" t="s">
        <v>421</v>
      </c>
      <c r="L1619" t="s">
        <v>422</v>
      </c>
      <c r="M1619" t="s">
        <v>3785</v>
      </c>
      <c r="N1619" t="s">
        <v>202</v>
      </c>
      <c r="O1619" t="s">
        <v>244</v>
      </c>
      <c r="P1619" t="str">
        <f t="shared" si="265"/>
        <v>[1]</v>
      </c>
      <c r="Q1619">
        <f t="shared" si="266"/>
        <v>16</v>
      </c>
      <c r="R1619" t="str">
        <f t="shared" si="264"/>
        <v/>
      </c>
      <c r="S1619">
        <f>SUMIF(O1619:$O$2855,R1619,Q1619:$Q$2855)</f>
        <v>0</v>
      </c>
    </row>
    <row r="1620" spans="11:19" x14ac:dyDescent="0.25">
      <c r="K1620" s="4" t="s">
        <v>421</v>
      </c>
      <c r="L1620" t="s">
        <v>422</v>
      </c>
      <c r="M1620" t="s">
        <v>3786</v>
      </c>
      <c r="N1620" t="s">
        <v>119</v>
      </c>
      <c r="O1620" t="s">
        <v>244</v>
      </c>
      <c r="P1620" t="str">
        <f t="shared" si="265"/>
        <v>[1]</v>
      </c>
      <c r="Q1620">
        <f t="shared" si="266"/>
        <v>32</v>
      </c>
      <c r="R1620" t="str">
        <f t="shared" si="264"/>
        <v/>
      </c>
      <c r="S1620">
        <f>SUMIF(O1620:$O$2855,R1620,Q1620:$Q$2855)</f>
        <v>0</v>
      </c>
    </row>
    <row r="1621" spans="11:19" x14ac:dyDescent="0.25">
      <c r="K1621" s="4" t="s">
        <v>421</v>
      </c>
      <c r="L1621" t="s">
        <v>422</v>
      </c>
      <c r="M1621" t="s">
        <v>3787</v>
      </c>
      <c r="N1621" t="s">
        <v>13</v>
      </c>
      <c r="O1621" t="s">
        <v>244</v>
      </c>
      <c r="P1621" t="str">
        <f t="shared" si="265"/>
        <v>[1]</v>
      </c>
      <c r="Q1621">
        <f t="shared" si="266"/>
        <v>12</v>
      </c>
      <c r="R1621" t="str">
        <f t="shared" si="264"/>
        <v/>
      </c>
      <c r="S1621">
        <f>SUMIF(O1621:$O$2855,R1621,Q1621:$Q$2855)</f>
        <v>0</v>
      </c>
    </row>
    <row r="1622" spans="11:19" x14ac:dyDescent="0.25">
      <c r="K1622" s="4" t="s">
        <v>421</v>
      </c>
      <c r="L1622" t="s">
        <v>422</v>
      </c>
      <c r="M1622" t="s">
        <v>3788</v>
      </c>
      <c r="N1622" t="s">
        <v>190</v>
      </c>
      <c r="O1622" t="s">
        <v>244</v>
      </c>
      <c r="P1622" t="str">
        <f t="shared" si="265"/>
        <v>[1]</v>
      </c>
      <c r="Q1622">
        <f t="shared" si="266"/>
        <v>56</v>
      </c>
      <c r="R1622" t="str">
        <f t="shared" si="264"/>
        <v/>
      </c>
      <c r="S1622">
        <f>SUMIF(O1622:$O$2855,R1622,Q1622:$Q$2855)</f>
        <v>0</v>
      </c>
    </row>
    <row r="1623" spans="11:19" x14ac:dyDescent="0.25">
      <c r="K1623" s="4" t="s">
        <v>421</v>
      </c>
      <c r="L1623" t="s">
        <v>422</v>
      </c>
      <c r="M1623" t="s">
        <v>3789</v>
      </c>
      <c r="N1623" t="s">
        <v>165</v>
      </c>
      <c r="O1623" t="s">
        <v>244</v>
      </c>
      <c r="P1623" t="str">
        <f t="shared" si="265"/>
        <v>[1]</v>
      </c>
      <c r="Q1623">
        <f t="shared" si="266"/>
        <v>20</v>
      </c>
      <c r="R1623" t="str">
        <f t="shared" si="264"/>
        <v/>
      </c>
      <c r="S1623">
        <f>SUMIF(O1623:$O$2855,R1623,Q1623:$Q$2855)</f>
        <v>0</v>
      </c>
    </row>
    <row r="1624" spans="11:19" x14ac:dyDescent="0.25">
      <c r="K1624" s="4" t="s">
        <v>421</v>
      </c>
      <c r="L1624" t="s">
        <v>422</v>
      </c>
      <c r="M1624" t="s">
        <v>1957</v>
      </c>
      <c r="N1624" t="s">
        <v>44</v>
      </c>
      <c r="O1624" t="s">
        <v>244</v>
      </c>
      <c r="P1624" t="str">
        <f t="shared" si="265"/>
        <v>[1]</v>
      </c>
      <c r="Q1624">
        <f t="shared" si="266"/>
        <v>44</v>
      </c>
      <c r="R1624" t="str">
        <f t="shared" si="264"/>
        <v/>
      </c>
      <c r="S1624">
        <f>SUMIF(O1624:$O$2855,R1624,Q1624:$Q$2855)</f>
        <v>0</v>
      </c>
    </row>
    <row r="1625" spans="11:19" x14ac:dyDescent="0.25">
      <c r="K1625" s="4" t="s">
        <v>421</v>
      </c>
      <c r="L1625" t="s">
        <v>422</v>
      </c>
      <c r="M1625" t="s">
        <v>3790</v>
      </c>
      <c r="N1625" t="s">
        <v>165</v>
      </c>
      <c r="O1625" t="s">
        <v>244</v>
      </c>
      <c r="P1625" t="str">
        <f t="shared" si="265"/>
        <v>[1]</v>
      </c>
      <c r="Q1625">
        <f t="shared" si="266"/>
        <v>20</v>
      </c>
      <c r="R1625" t="str">
        <f t="shared" si="264"/>
        <v/>
      </c>
      <c r="S1625">
        <f>SUMIF(O1625:$O$2855,R1625,Q1625:$Q$2855)</f>
        <v>0</v>
      </c>
    </row>
    <row r="1626" spans="11:19" x14ac:dyDescent="0.25">
      <c r="K1626" s="4" t="s">
        <v>421</v>
      </c>
      <c r="L1626" t="s">
        <v>422</v>
      </c>
      <c r="M1626" t="s">
        <v>3791</v>
      </c>
      <c r="N1626" t="s">
        <v>437</v>
      </c>
      <c r="O1626" t="s">
        <v>244</v>
      </c>
      <c r="P1626" t="str">
        <f t="shared" si="265"/>
        <v>[1]</v>
      </c>
      <c r="Q1626">
        <f t="shared" si="266"/>
        <v>24</v>
      </c>
      <c r="R1626" t="str">
        <f t="shared" si="264"/>
        <v/>
      </c>
      <c r="S1626">
        <f>SUMIF(O1626:$O$2855,R1626,Q1626:$Q$2855)</f>
        <v>0</v>
      </c>
    </row>
    <row r="1627" spans="11:19" x14ac:dyDescent="0.25">
      <c r="K1627" s="4" t="s">
        <v>421</v>
      </c>
      <c r="L1627" t="s">
        <v>422</v>
      </c>
      <c r="M1627" t="s">
        <v>3792</v>
      </c>
      <c r="N1627" t="s">
        <v>202</v>
      </c>
      <c r="O1627" t="s">
        <v>244</v>
      </c>
      <c r="P1627" t="str">
        <f t="shared" si="265"/>
        <v>[1]</v>
      </c>
      <c r="Q1627">
        <f t="shared" si="266"/>
        <v>16</v>
      </c>
      <c r="R1627" t="str">
        <f t="shared" si="264"/>
        <v/>
      </c>
      <c r="S1627">
        <f>SUMIF(O1627:$O$2855,R1627,Q1627:$Q$2855)</f>
        <v>0</v>
      </c>
    </row>
    <row r="1628" spans="11:19" x14ac:dyDescent="0.25">
      <c r="K1628" s="4" t="s">
        <v>421</v>
      </c>
      <c r="L1628" t="s">
        <v>422</v>
      </c>
      <c r="M1628" t="s">
        <v>3793</v>
      </c>
      <c r="N1628" t="s">
        <v>119</v>
      </c>
      <c r="O1628" t="s">
        <v>244</v>
      </c>
      <c r="P1628" t="str">
        <f t="shared" si="265"/>
        <v>[1]</v>
      </c>
      <c r="Q1628">
        <f t="shared" si="266"/>
        <v>32</v>
      </c>
      <c r="R1628" t="str">
        <f t="shared" si="264"/>
        <v/>
      </c>
      <c r="S1628">
        <f>SUMIF(O1628:$O$2855,R1628,Q1628:$Q$2855)</f>
        <v>0</v>
      </c>
    </row>
    <row r="1629" spans="11:19" x14ac:dyDescent="0.25">
      <c r="K1629" s="4" t="s">
        <v>421</v>
      </c>
      <c r="L1629" t="s">
        <v>422</v>
      </c>
      <c r="M1629" t="s">
        <v>3794</v>
      </c>
      <c r="N1629" t="s">
        <v>13</v>
      </c>
      <c r="O1629" t="s">
        <v>244</v>
      </c>
      <c r="P1629" t="str">
        <f t="shared" si="265"/>
        <v>[1]</v>
      </c>
      <c r="Q1629">
        <f t="shared" si="266"/>
        <v>12</v>
      </c>
      <c r="R1629" t="str">
        <f t="shared" si="264"/>
        <v/>
      </c>
      <c r="S1629">
        <f>SUMIF(O1629:$O$2855,R1629,Q1629:$Q$2855)</f>
        <v>0</v>
      </c>
    </row>
    <row r="1630" spans="11:19" x14ac:dyDescent="0.25">
      <c r="K1630" s="4" t="s">
        <v>421</v>
      </c>
      <c r="L1630" t="s">
        <v>422</v>
      </c>
      <c r="M1630" t="s">
        <v>3795</v>
      </c>
      <c r="N1630" t="s">
        <v>6</v>
      </c>
      <c r="O1630" t="s">
        <v>244</v>
      </c>
      <c r="P1630" t="str">
        <f t="shared" si="265"/>
        <v>[1]</v>
      </c>
      <c r="Q1630">
        <f t="shared" si="266"/>
        <v>28</v>
      </c>
      <c r="R1630" t="str">
        <f t="shared" si="264"/>
        <v/>
      </c>
      <c r="S1630">
        <f>SUMIF(O1630:$O$2855,R1630,Q1630:$Q$2855)</f>
        <v>0</v>
      </c>
    </row>
    <row r="1631" spans="11:19" x14ac:dyDescent="0.25">
      <c r="K1631" s="4" t="s">
        <v>421</v>
      </c>
      <c r="L1631" t="s">
        <v>422</v>
      </c>
      <c r="M1631" t="s">
        <v>3796</v>
      </c>
      <c r="N1631" t="s">
        <v>13</v>
      </c>
      <c r="O1631" t="s">
        <v>244</v>
      </c>
      <c r="P1631" t="str">
        <f t="shared" si="265"/>
        <v>[1]</v>
      </c>
      <c r="Q1631">
        <f t="shared" si="266"/>
        <v>12</v>
      </c>
      <c r="R1631" t="str">
        <f t="shared" si="264"/>
        <v/>
      </c>
      <c r="S1631">
        <f>SUMIF(O1631:$O$2855,R1631,Q1631:$Q$2855)</f>
        <v>0</v>
      </c>
    </row>
    <row r="1632" spans="11:19" x14ac:dyDescent="0.25">
      <c r="K1632" s="4" t="s">
        <v>421</v>
      </c>
      <c r="L1632" t="s">
        <v>422</v>
      </c>
      <c r="M1632" t="s">
        <v>3797</v>
      </c>
      <c r="N1632" t="s">
        <v>437</v>
      </c>
      <c r="O1632" t="s">
        <v>244</v>
      </c>
      <c r="P1632" t="str">
        <f t="shared" si="265"/>
        <v>[1]</v>
      </c>
      <c r="Q1632">
        <f t="shared" si="266"/>
        <v>24</v>
      </c>
      <c r="R1632" t="str">
        <f t="shared" ref="R1632:R1695" si="267">IF(O1632&lt;&gt;O1631,O1632,"")</f>
        <v/>
      </c>
      <c r="S1632">
        <f>SUMIF(O1632:$O$2855,R1632,Q1632:$Q$2855)</f>
        <v>0</v>
      </c>
    </row>
    <row r="1633" spans="11:19" x14ac:dyDescent="0.25">
      <c r="K1633" s="4" t="s">
        <v>421</v>
      </c>
      <c r="L1633" t="s">
        <v>422</v>
      </c>
      <c r="M1633" t="s">
        <v>1958</v>
      </c>
      <c r="N1633" t="s">
        <v>165</v>
      </c>
      <c r="O1633" t="s">
        <v>244</v>
      </c>
      <c r="P1633" t="str">
        <f t="shared" si="265"/>
        <v>[1]</v>
      </c>
      <c r="Q1633">
        <f t="shared" si="266"/>
        <v>20</v>
      </c>
      <c r="R1633" t="str">
        <f t="shared" si="267"/>
        <v/>
      </c>
      <c r="S1633">
        <f>SUMIF(O1633:$O$2855,R1633,Q1633:$Q$2855)</f>
        <v>0</v>
      </c>
    </row>
    <row r="1634" spans="11:19" x14ac:dyDescent="0.25">
      <c r="K1634" s="4" t="s">
        <v>421</v>
      </c>
      <c r="L1634" t="s">
        <v>422</v>
      </c>
      <c r="M1634" t="s">
        <v>3798</v>
      </c>
      <c r="N1634" t="s">
        <v>76</v>
      </c>
      <c r="O1634" t="s">
        <v>244</v>
      </c>
      <c r="P1634" t="str">
        <f t="shared" si="265"/>
        <v>[1]</v>
      </c>
      <c r="Q1634">
        <f t="shared" si="266"/>
        <v>36</v>
      </c>
      <c r="R1634" t="str">
        <f t="shared" si="267"/>
        <v/>
      </c>
      <c r="S1634">
        <f>SUMIF(O1634:$O$2855,R1634,Q1634:$Q$2855)</f>
        <v>0</v>
      </c>
    </row>
    <row r="1635" spans="11:19" x14ac:dyDescent="0.25">
      <c r="K1635" s="4" t="s">
        <v>421</v>
      </c>
      <c r="L1635" t="s">
        <v>422</v>
      </c>
      <c r="M1635" t="s">
        <v>3799</v>
      </c>
      <c r="N1635" t="s">
        <v>202</v>
      </c>
      <c r="O1635" t="s">
        <v>244</v>
      </c>
      <c r="P1635" t="str">
        <f t="shared" si="265"/>
        <v>[1]</v>
      </c>
      <c r="Q1635">
        <f t="shared" si="266"/>
        <v>16</v>
      </c>
      <c r="R1635" t="str">
        <f t="shared" si="267"/>
        <v/>
      </c>
      <c r="S1635">
        <f>SUMIF(O1635:$O$2855,R1635,Q1635:$Q$2855)</f>
        <v>0</v>
      </c>
    </row>
    <row r="1636" spans="11:19" x14ac:dyDescent="0.25">
      <c r="K1636" s="4" t="s">
        <v>421</v>
      </c>
      <c r="L1636" t="s">
        <v>422</v>
      </c>
      <c r="M1636" t="s">
        <v>3800</v>
      </c>
      <c r="N1636" t="s">
        <v>44</v>
      </c>
      <c r="O1636" t="s">
        <v>244</v>
      </c>
      <c r="P1636" t="str">
        <f t="shared" si="265"/>
        <v>[1]</v>
      </c>
      <c r="Q1636">
        <f t="shared" si="266"/>
        <v>44</v>
      </c>
      <c r="R1636" t="str">
        <f t="shared" si="267"/>
        <v/>
      </c>
      <c r="S1636">
        <f>SUMIF(O1636:$O$2855,R1636,Q1636:$Q$2855)</f>
        <v>0</v>
      </c>
    </row>
    <row r="1637" spans="11:19" x14ac:dyDescent="0.25">
      <c r="K1637" s="4" t="s">
        <v>421</v>
      </c>
      <c r="L1637" t="s">
        <v>422</v>
      </c>
      <c r="M1637" t="s">
        <v>3801</v>
      </c>
      <c r="N1637" t="s">
        <v>202</v>
      </c>
      <c r="O1637" t="s">
        <v>244</v>
      </c>
      <c r="P1637" t="str">
        <f t="shared" si="265"/>
        <v>[1]</v>
      </c>
      <c r="Q1637">
        <f t="shared" si="266"/>
        <v>16</v>
      </c>
      <c r="R1637" t="str">
        <f t="shared" si="267"/>
        <v/>
      </c>
      <c r="S1637">
        <f>SUMIF(O1637:$O$2855,R1637,Q1637:$Q$2855)</f>
        <v>0</v>
      </c>
    </row>
    <row r="1638" spans="11:19" x14ac:dyDescent="0.25">
      <c r="K1638" s="4" t="s">
        <v>421</v>
      </c>
      <c r="L1638" t="s">
        <v>422</v>
      </c>
      <c r="M1638" t="s">
        <v>3802</v>
      </c>
      <c r="N1638" t="s">
        <v>437</v>
      </c>
      <c r="O1638" t="s">
        <v>244</v>
      </c>
      <c r="P1638" t="str">
        <f t="shared" si="265"/>
        <v>[1]</v>
      </c>
      <c r="Q1638">
        <f t="shared" si="266"/>
        <v>24</v>
      </c>
      <c r="R1638" t="str">
        <f t="shared" si="267"/>
        <v/>
      </c>
      <c r="S1638">
        <f>SUMIF(O1638:$O$2855,R1638,Q1638:$Q$2855)</f>
        <v>0</v>
      </c>
    </row>
    <row r="1639" spans="11:19" x14ac:dyDescent="0.25">
      <c r="K1639" s="4" t="s">
        <v>421</v>
      </c>
      <c r="L1639" t="s">
        <v>422</v>
      </c>
      <c r="M1639" t="s">
        <v>3803</v>
      </c>
      <c r="N1639" t="s">
        <v>165</v>
      </c>
      <c r="O1639" t="s">
        <v>244</v>
      </c>
      <c r="P1639" t="str">
        <f t="shared" si="265"/>
        <v>[1]</v>
      </c>
      <c r="Q1639">
        <f t="shared" si="266"/>
        <v>20</v>
      </c>
      <c r="R1639" t="str">
        <f t="shared" si="267"/>
        <v/>
      </c>
      <c r="S1639">
        <f>SUMIF(O1639:$O$2855,R1639,Q1639:$Q$2855)</f>
        <v>0</v>
      </c>
    </row>
    <row r="1640" spans="11:19" x14ac:dyDescent="0.25">
      <c r="K1640" s="4" t="s">
        <v>421</v>
      </c>
      <c r="L1640" t="s">
        <v>422</v>
      </c>
      <c r="M1640" t="s">
        <v>3804</v>
      </c>
      <c r="N1640" t="s">
        <v>437</v>
      </c>
      <c r="O1640" t="s">
        <v>244</v>
      </c>
      <c r="P1640" t="str">
        <f t="shared" si="265"/>
        <v>[1]</v>
      </c>
      <c r="Q1640">
        <f t="shared" si="266"/>
        <v>24</v>
      </c>
      <c r="R1640" t="str">
        <f t="shared" si="267"/>
        <v/>
      </c>
      <c r="S1640">
        <f>SUMIF(O1640:$O$2855,R1640,Q1640:$Q$2855)</f>
        <v>0</v>
      </c>
    </row>
    <row r="1641" spans="11:19" x14ac:dyDescent="0.25">
      <c r="K1641" s="4" t="s">
        <v>421</v>
      </c>
      <c r="L1641" t="s">
        <v>422</v>
      </c>
      <c r="M1641" t="s">
        <v>3805</v>
      </c>
      <c r="N1641" t="s">
        <v>437</v>
      </c>
      <c r="O1641" t="s">
        <v>244</v>
      </c>
      <c r="P1641" t="str">
        <f t="shared" si="265"/>
        <v>[1]</v>
      </c>
      <c r="Q1641">
        <f t="shared" si="266"/>
        <v>24</v>
      </c>
      <c r="R1641" t="str">
        <f t="shared" si="267"/>
        <v/>
      </c>
      <c r="S1641">
        <f>SUMIF(O1641:$O$2855,R1641,Q1641:$Q$2855)</f>
        <v>0</v>
      </c>
    </row>
    <row r="1642" spans="11:19" x14ac:dyDescent="0.25">
      <c r="K1642" s="4" t="s">
        <v>421</v>
      </c>
      <c r="L1642" t="s">
        <v>422</v>
      </c>
      <c r="M1642" t="s">
        <v>3806</v>
      </c>
      <c r="N1642" t="s">
        <v>139</v>
      </c>
      <c r="O1642" t="s">
        <v>244</v>
      </c>
      <c r="P1642" t="str">
        <f t="shared" si="265"/>
        <v>[1]</v>
      </c>
      <c r="Q1642">
        <f t="shared" si="266"/>
        <v>96</v>
      </c>
      <c r="R1642" t="str">
        <f t="shared" si="267"/>
        <v/>
      </c>
      <c r="S1642">
        <f>SUMIF(O1642:$O$2855,R1642,Q1642:$Q$2855)</f>
        <v>0</v>
      </c>
    </row>
    <row r="1643" spans="11:19" x14ac:dyDescent="0.25">
      <c r="K1643" s="4" t="s">
        <v>421</v>
      </c>
      <c r="L1643" t="s">
        <v>422</v>
      </c>
      <c r="M1643" t="s">
        <v>1959</v>
      </c>
      <c r="N1643" t="s">
        <v>13</v>
      </c>
      <c r="O1643" t="s">
        <v>244</v>
      </c>
      <c r="P1643" t="str">
        <f t="shared" si="265"/>
        <v>[1]</v>
      </c>
      <c r="Q1643">
        <f t="shared" si="266"/>
        <v>12</v>
      </c>
      <c r="R1643" t="str">
        <f t="shared" si="267"/>
        <v/>
      </c>
      <c r="S1643">
        <f>SUMIF(O1643:$O$2855,R1643,Q1643:$Q$2855)</f>
        <v>0</v>
      </c>
    </row>
    <row r="1644" spans="11:19" x14ac:dyDescent="0.25">
      <c r="K1644" s="4" t="s">
        <v>421</v>
      </c>
      <c r="L1644" t="s">
        <v>422</v>
      </c>
      <c r="M1644" t="s">
        <v>3807</v>
      </c>
      <c r="N1644" t="s">
        <v>435</v>
      </c>
      <c r="O1644" t="s">
        <v>244</v>
      </c>
      <c r="P1644" t="str">
        <f t="shared" si="265"/>
        <v>[1]</v>
      </c>
      <c r="Q1644">
        <f t="shared" si="266"/>
        <v>60</v>
      </c>
      <c r="R1644" t="str">
        <f t="shared" si="267"/>
        <v/>
      </c>
      <c r="S1644">
        <f>SUMIF(O1644:$O$2855,R1644,Q1644:$Q$2855)</f>
        <v>0</v>
      </c>
    </row>
    <row r="1645" spans="11:19" x14ac:dyDescent="0.25">
      <c r="K1645" s="4" t="s">
        <v>421</v>
      </c>
      <c r="L1645" t="s">
        <v>422</v>
      </c>
      <c r="M1645" t="s">
        <v>3808</v>
      </c>
      <c r="N1645" t="s">
        <v>126</v>
      </c>
      <c r="O1645" t="s">
        <v>244</v>
      </c>
      <c r="P1645" t="str">
        <f t="shared" si="265"/>
        <v>[1]</v>
      </c>
      <c r="Q1645">
        <f t="shared" si="266"/>
        <v>8</v>
      </c>
      <c r="R1645" t="str">
        <f t="shared" si="267"/>
        <v/>
      </c>
      <c r="S1645">
        <f>SUMIF(O1645:$O$2855,R1645,Q1645:$Q$2855)</f>
        <v>0</v>
      </c>
    </row>
    <row r="1646" spans="11:19" x14ac:dyDescent="0.25">
      <c r="K1646" s="4" t="s">
        <v>421</v>
      </c>
      <c r="L1646" t="s">
        <v>422</v>
      </c>
      <c r="M1646" t="s">
        <v>3809</v>
      </c>
      <c r="N1646" t="s">
        <v>13</v>
      </c>
      <c r="O1646" t="s">
        <v>244</v>
      </c>
      <c r="P1646" t="str">
        <f t="shared" si="265"/>
        <v>[1]</v>
      </c>
      <c r="Q1646">
        <f t="shared" si="266"/>
        <v>12</v>
      </c>
      <c r="R1646" t="str">
        <f t="shared" si="267"/>
        <v/>
      </c>
      <c r="S1646">
        <f>SUMIF(O1646:$O$2855,R1646,Q1646:$Q$2855)</f>
        <v>0</v>
      </c>
    </row>
    <row r="1647" spans="11:19" x14ac:dyDescent="0.25">
      <c r="K1647" s="4" t="s">
        <v>421</v>
      </c>
      <c r="L1647" t="s">
        <v>422</v>
      </c>
      <c r="M1647" t="s">
        <v>3810</v>
      </c>
      <c r="N1647" t="s">
        <v>13</v>
      </c>
      <c r="O1647" t="s">
        <v>244</v>
      </c>
      <c r="P1647" t="str">
        <f t="shared" si="265"/>
        <v>[1]</v>
      </c>
      <c r="Q1647">
        <f t="shared" si="266"/>
        <v>12</v>
      </c>
      <c r="R1647" t="str">
        <f t="shared" si="267"/>
        <v/>
      </c>
      <c r="S1647">
        <f>SUMIF(O1647:$O$2855,R1647,Q1647:$Q$2855)</f>
        <v>0</v>
      </c>
    </row>
    <row r="1648" spans="11:19" x14ac:dyDescent="0.25">
      <c r="K1648" s="4" t="s">
        <v>421</v>
      </c>
      <c r="L1648" t="s">
        <v>422</v>
      </c>
      <c r="M1648" t="s">
        <v>3811</v>
      </c>
      <c r="N1648" t="s">
        <v>124</v>
      </c>
      <c r="O1648" t="s">
        <v>244</v>
      </c>
      <c r="P1648" t="str">
        <f t="shared" si="265"/>
        <v>[1]</v>
      </c>
      <c r="Q1648">
        <f t="shared" si="266"/>
        <v>68</v>
      </c>
      <c r="R1648" t="str">
        <f t="shared" si="267"/>
        <v/>
      </c>
      <c r="S1648">
        <f>SUMIF(O1648:$O$2855,R1648,Q1648:$Q$2855)</f>
        <v>0</v>
      </c>
    </row>
    <row r="1649" spans="11:19" x14ac:dyDescent="0.25">
      <c r="K1649" s="4" t="s">
        <v>421</v>
      </c>
      <c r="L1649" t="s">
        <v>422</v>
      </c>
      <c r="M1649" t="s">
        <v>1960</v>
      </c>
      <c r="N1649" t="s">
        <v>13</v>
      </c>
      <c r="O1649" t="s">
        <v>244</v>
      </c>
      <c r="P1649" t="str">
        <f t="shared" si="265"/>
        <v>[1]</v>
      </c>
      <c r="Q1649">
        <f t="shared" si="266"/>
        <v>12</v>
      </c>
      <c r="R1649" t="str">
        <f t="shared" si="267"/>
        <v/>
      </c>
      <c r="S1649">
        <f>SUMIF(O1649:$O$2855,R1649,Q1649:$Q$2855)</f>
        <v>0</v>
      </c>
    </row>
    <row r="1650" spans="11:19" x14ac:dyDescent="0.25">
      <c r="K1650" s="4" t="s">
        <v>421</v>
      </c>
      <c r="L1650" t="s">
        <v>422</v>
      </c>
      <c r="M1650" t="s">
        <v>1961</v>
      </c>
      <c r="N1650" t="s">
        <v>6</v>
      </c>
      <c r="O1650" t="s">
        <v>244</v>
      </c>
      <c r="P1650" t="str">
        <f t="shared" si="265"/>
        <v>[1]</v>
      </c>
      <c r="Q1650">
        <f t="shared" si="266"/>
        <v>28</v>
      </c>
      <c r="R1650" t="str">
        <f t="shared" si="267"/>
        <v/>
      </c>
      <c r="S1650">
        <f>SUMIF(O1650:$O$2855,R1650,Q1650:$Q$2855)</f>
        <v>0</v>
      </c>
    </row>
    <row r="1651" spans="11:19" x14ac:dyDescent="0.25">
      <c r="K1651" s="4" t="s">
        <v>421</v>
      </c>
      <c r="L1651" t="s">
        <v>422</v>
      </c>
      <c r="M1651" t="s">
        <v>3812</v>
      </c>
      <c r="N1651" t="s">
        <v>165</v>
      </c>
      <c r="O1651" t="s">
        <v>244</v>
      </c>
      <c r="P1651" t="str">
        <f t="shared" si="265"/>
        <v>[1]</v>
      </c>
      <c r="Q1651">
        <f t="shared" si="266"/>
        <v>20</v>
      </c>
      <c r="R1651" t="str">
        <f t="shared" si="267"/>
        <v/>
      </c>
      <c r="S1651">
        <f>SUMIF(O1651:$O$2855,R1651,Q1651:$Q$2855)</f>
        <v>0</v>
      </c>
    </row>
    <row r="1652" spans="11:19" x14ac:dyDescent="0.25">
      <c r="K1652" s="4" t="s">
        <v>421</v>
      </c>
      <c r="L1652" t="s">
        <v>422</v>
      </c>
      <c r="M1652" t="s">
        <v>1962</v>
      </c>
      <c r="N1652" t="s">
        <v>124</v>
      </c>
      <c r="O1652" t="s">
        <v>244</v>
      </c>
      <c r="P1652" t="str">
        <f t="shared" si="265"/>
        <v>[1]</v>
      </c>
      <c r="Q1652">
        <f t="shared" si="266"/>
        <v>68</v>
      </c>
      <c r="R1652" t="str">
        <f t="shared" si="267"/>
        <v/>
      </c>
      <c r="S1652">
        <f>SUMIF(O1652:$O$2855,R1652,Q1652:$Q$2855)</f>
        <v>0</v>
      </c>
    </row>
    <row r="1653" spans="11:19" x14ac:dyDescent="0.25">
      <c r="K1653" s="4" t="s">
        <v>421</v>
      </c>
      <c r="L1653" t="s">
        <v>422</v>
      </c>
      <c r="M1653" t="s">
        <v>3813</v>
      </c>
      <c r="N1653" t="s">
        <v>165</v>
      </c>
      <c r="O1653" t="s">
        <v>244</v>
      </c>
      <c r="P1653" t="str">
        <f t="shared" si="265"/>
        <v>[1]</v>
      </c>
      <c r="Q1653">
        <f t="shared" si="266"/>
        <v>20</v>
      </c>
      <c r="R1653" t="str">
        <f t="shared" si="267"/>
        <v/>
      </c>
      <c r="S1653">
        <f>SUMIF(O1653:$O$2855,R1653,Q1653:$Q$2855)</f>
        <v>0</v>
      </c>
    </row>
    <row r="1654" spans="11:19" x14ac:dyDescent="0.25">
      <c r="K1654" s="4" t="s">
        <v>421</v>
      </c>
      <c r="L1654" t="s">
        <v>422</v>
      </c>
      <c r="M1654" t="s">
        <v>1963</v>
      </c>
      <c r="N1654" t="s">
        <v>6</v>
      </c>
      <c r="O1654" t="s">
        <v>244</v>
      </c>
      <c r="P1654" t="str">
        <f t="shared" si="265"/>
        <v>[1]</v>
      </c>
      <c r="Q1654">
        <f t="shared" si="266"/>
        <v>28</v>
      </c>
      <c r="R1654" t="str">
        <f t="shared" si="267"/>
        <v/>
      </c>
      <c r="S1654">
        <f>SUMIF(O1654:$O$2855,R1654,Q1654:$Q$2855)</f>
        <v>0</v>
      </c>
    </row>
    <row r="1655" spans="11:19" x14ac:dyDescent="0.25">
      <c r="K1655" s="4" t="s">
        <v>421</v>
      </c>
      <c r="L1655" t="s">
        <v>422</v>
      </c>
      <c r="M1655" t="s">
        <v>3814</v>
      </c>
      <c r="N1655" t="s">
        <v>119</v>
      </c>
      <c r="O1655" t="s">
        <v>244</v>
      </c>
      <c r="P1655" t="str">
        <f t="shared" si="265"/>
        <v>[1]</v>
      </c>
      <c r="Q1655">
        <f t="shared" si="266"/>
        <v>32</v>
      </c>
      <c r="R1655" t="str">
        <f t="shared" si="267"/>
        <v/>
      </c>
      <c r="S1655">
        <f>SUMIF(O1655:$O$2855,R1655,Q1655:$Q$2855)</f>
        <v>0</v>
      </c>
    </row>
    <row r="1656" spans="11:19" x14ac:dyDescent="0.25">
      <c r="K1656" s="4" t="s">
        <v>421</v>
      </c>
      <c r="L1656" t="s">
        <v>422</v>
      </c>
      <c r="M1656" t="s">
        <v>3815</v>
      </c>
      <c r="N1656" t="s">
        <v>119</v>
      </c>
      <c r="O1656" t="s">
        <v>244</v>
      </c>
      <c r="P1656" t="str">
        <f t="shared" si="265"/>
        <v>[1]</v>
      </c>
      <c r="Q1656">
        <f t="shared" si="266"/>
        <v>32</v>
      </c>
      <c r="R1656" t="str">
        <f t="shared" si="267"/>
        <v/>
      </c>
      <c r="S1656">
        <f>SUMIF(O1656:$O$2855,R1656,Q1656:$Q$2855)</f>
        <v>0</v>
      </c>
    </row>
    <row r="1657" spans="11:19" x14ac:dyDescent="0.25">
      <c r="K1657" s="4" t="s">
        <v>421</v>
      </c>
      <c r="L1657" t="s">
        <v>422</v>
      </c>
      <c r="M1657" t="s">
        <v>3816</v>
      </c>
      <c r="N1657" t="s">
        <v>437</v>
      </c>
      <c r="O1657" t="s">
        <v>244</v>
      </c>
      <c r="P1657" t="str">
        <f t="shared" si="265"/>
        <v>[1]</v>
      </c>
      <c r="Q1657">
        <f t="shared" si="266"/>
        <v>24</v>
      </c>
      <c r="R1657" t="str">
        <f t="shared" si="267"/>
        <v/>
      </c>
      <c r="S1657">
        <f>SUMIF(O1657:$O$2855,R1657,Q1657:$Q$2855)</f>
        <v>0</v>
      </c>
    </row>
    <row r="1658" spans="11:19" x14ac:dyDescent="0.25">
      <c r="K1658" s="4" t="s">
        <v>421</v>
      </c>
      <c r="L1658" t="s">
        <v>422</v>
      </c>
      <c r="M1658" t="s">
        <v>3817</v>
      </c>
      <c r="N1658" t="s">
        <v>103</v>
      </c>
      <c r="O1658" t="s">
        <v>244</v>
      </c>
      <c r="P1658" t="str">
        <f t="shared" si="265"/>
        <v>[1]</v>
      </c>
      <c r="Q1658">
        <f t="shared" si="266"/>
        <v>64</v>
      </c>
      <c r="R1658" t="str">
        <f t="shared" si="267"/>
        <v/>
      </c>
      <c r="S1658">
        <f>SUMIF(O1658:$O$2855,R1658,Q1658:$Q$2855)</f>
        <v>0</v>
      </c>
    </row>
    <row r="1659" spans="11:19" x14ac:dyDescent="0.25">
      <c r="K1659" s="4" t="s">
        <v>421</v>
      </c>
      <c r="L1659" t="s">
        <v>422</v>
      </c>
      <c r="M1659" t="s">
        <v>3818</v>
      </c>
      <c r="N1659" t="s">
        <v>13</v>
      </c>
      <c r="O1659" t="s">
        <v>244</v>
      </c>
      <c r="P1659" t="str">
        <f t="shared" si="265"/>
        <v>[1]</v>
      </c>
      <c r="Q1659">
        <f t="shared" si="266"/>
        <v>12</v>
      </c>
      <c r="R1659" t="str">
        <f t="shared" si="267"/>
        <v/>
      </c>
      <c r="S1659">
        <f>SUMIF(O1659:$O$2855,R1659,Q1659:$Q$2855)</f>
        <v>0</v>
      </c>
    </row>
    <row r="1660" spans="11:19" x14ac:dyDescent="0.25">
      <c r="K1660" s="4" t="s">
        <v>421</v>
      </c>
      <c r="L1660" t="s">
        <v>422</v>
      </c>
      <c r="M1660" t="s">
        <v>1964</v>
      </c>
      <c r="N1660" t="s">
        <v>65</v>
      </c>
      <c r="O1660" t="s">
        <v>244</v>
      </c>
      <c r="P1660" t="str">
        <f t="shared" si="265"/>
        <v>[1]</v>
      </c>
      <c r="Q1660">
        <f t="shared" si="266"/>
        <v>40</v>
      </c>
      <c r="R1660" t="str">
        <f t="shared" si="267"/>
        <v/>
      </c>
      <c r="S1660">
        <f>SUMIF(O1660:$O$2855,R1660,Q1660:$Q$2855)</f>
        <v>0</v>
      </c>
    </row>
    <row r="1661" spans="11:19" x14ac:dyDescent="0.25">
      <c r="K1661" s="4" t="s">
        <v>421</v>
      </c>
      <c r="L1661" t="s">
        <v>422</v>
      </c>
      <c r="M1661" t="s">
        <v>1728</v>
      </c>
      <c r="N1661" t="s">
        <v>13</v>
      </c>
      <c r="O1661" t="s">
        <v>244</v>
      </c>
      <c r="P1661" t="str">
        <f t="shared" si="265"/>
        <v>[1]</v>
      </c>
      <c r="Q1661">
        <f t="shared" si="266"/>
        <v>12</v>
      </c>
      <c r="R1661" t="str">
        <f t="shared" si="267"/>
        <v/>
      </c>
      <c r="S1661">
        <f>SUMIF(O1661:$O$2855,R1661,Q1661:$Q$2855)</f>
        <v>0</v>
      </c>
    </row>
    <row r="1662" spans="11:19" x14ac:dyDescent="0.25">
      <c r="K1662" s="4" t="s">
        <v>421</v>
      </c>
      <c r="L1662" t="s">
        <v>422</v>
      </c>
      <c r="M1662" t="s">
        <v>3819</v>
      </c>
      <c r="N1662" t="s">
        <v>165</v>
      </c>
      <c r="O1662" t="s">
        <v>244</v>
      </c>
      <c r="P1662" t="str">
        <f t="shared" si="265"/>
        <v>[1]</v>
      </c>
      <c r="Q1662">
        <f t="shared" si="266"/>
        <v>20</v>
      </c>
      <c r="R1662" t="str">
        <f t="shared" si="267"/>
        <v/>
      </c>
      <c r="S1662">
        <f>SUMIF(O1662:$O$2855,R1662,Q1662:$Q$2855)</f>
        <v>0</v>
      </c>
    </row>
    <row r="1663" spans="11:19" x14ac:dyDescent="0.25">
      <c r="K1663" s="4" t="s">
        <v>421</v>
      </c>
      <c r="L1663" t="s">
        <v>422</v>
      </c>
      <c r="M1663" t="s">
        <v>3820</v>
      </c>
      <c r="N1663" t="s">
        <v>13</v>
      </c>
      <c r="O1663" t="s">
        <v>244</v>
      </c>
      <c r="P1663" t="str">
        <f t="shared" si="265"/>
        <v>[1]</v>
      </c>
      <c r="Q1663">
        <f t="shared" si="266"/>
        <v>12</v>
      </c>
      <c r="R1663" t="str">
        <f t="shared" si="267"/>
        <v/>
      </c>
      <c r="S1663">
        <f>SUMIF(O1663:$O$2855,R1663,Q1663:$Q$2855)</f>
        <v>0</v>
      </c>
    </row>
    <row r="1664" spans="11:19" x14ac:dyDescent="0.25">
      <c r="K1664" s="4" t="s">
        <v>421</v>
      </c>
      <c r="L1664" t="s">
        <v>422</v>
      </c>
      <c r="M1664" t="s">
        <v>3821</v>
      </c>
      <c r="N1664" t="s">
        <v>437</v>
      </c>
      <c r="O1664" t="s">
        <v>244</v>
      </c>
      <c r="P1664" t="str">
        <f t="shared" si="265"/>
        <v>[1]</v>
      </c>
      <c r="Q1664">
        <f t="shared" si="266"/>
        <v>24</v>
      </c>
      <c r="R1664" t="str">
        <f t="shared" si="267"/>
        <v/>
      </c>
      <c r="S1664">
        <f>SUMIF(O1664:$O$2855,R1664,Q1664:$Q$2855)</f>
        <v>0</v>
      </c>
    </row>
    <row r="1665" spans="11:19" x14ac:dyDescent="0.25">
      <c r="K1665" s="4" t="s">
        <v>421</v>
      </c>
      <c r="L1665" t="s">
        <v>422</v>
      </c>
      <c r="M1665" t="s">
        <v>1965</v>
      </c>
      <c r="N1665" t="s">
        <v>13</v>
      </c>
      <c r="O1665" t="s">
        <v>244</v>
      </c>
      <c r="P1665" t="str">
        <f t="shared" si="265"/>
        <v>[1]</v>
      </c>
      <c r="Q1665">
        <f t="shared" si="266"/>
        <v>12</v>
      </c>
      <c r="R1665" t="str">
        <f t="shared" si="267"/>
        <v/>
      </c>
      <c r="S1665">
        <f>SUMIF(O1665:$O$2855,R1665,Q1665:$Q$2855)</f>
        <v>0</v>
      </c>
    </row>
    <row r="1666" spans="11:19" x14ac:dyDescent="0.25">
      <c r="K1666" s="4" t="s">
        <v>421</v>
      </c>
      <c r="L1666" t="s">
        <v>422</v>
      </c>
      <c r="M1666" t="s">
        <v>3822</v>
      </c>
      <c r="N1666" t="s">
        <v>13</v>
      </c>
      <c r="O1666" t="s">
        <v>244</v>
      </c>
      <c r="P1666" t="str">
        <f t="shared" ref="P1666:P1729" si="268">VLOOKUP($K$30,$E$1:$F$26,2,FALSE)</f>
        <v>[1]</v>
      </c>
      <c r="Q1666">
        <f t="shared" si="266"/>
        <v>12</v>
      </c>
      <c r="R1666" t="str">
        <f t="shared" si="267"/>
        <v/>
      </c>
      <c r="S1666">
        <f>SUMIF(O1666:$O$2855,R1666,Q1666:$Q$2855)</f>
        <v>0</v>
      </c>
    </row>
    <row r="1667" spans="11:19" x14ac:dyDescent="0.25">
      <c r="K1667" s="4" t="s">
        <v>421</v>
      </c>
      <c r="L1667" t="s">
        <v>422</v>
      </c>
      <c r="M1667" t="s">
        <v>3823</v>
      </c>
      <c r="N1667" t="s">
        <v>13</v>
      </c>
      <c r="O1667" t="s">
        <v>244</v>
      </c>
      <c r="P1667" t="str">
        <f t="shared" si="268"/>
        <v>[1]</v>
      </c>
      <c r="Q1667">
        <f t="shared" ref="Q1667:Q1730" si="269">HEX2DEC(MID(N1667,3,LEN(N1667)-2))</f>
        <v>12</v>
      </c>
      <c r="R1667" t="str">
        <f t="shared" si="267"/>
        <v/>
      </c>
      <c r="S1667">
        <f>SUMIF(O1667:$O$2855,R1667,Q1667:$Q$2855)</f>
        <v>0</v>
      </c>
    </row>
    <row r="1668" spans="11:19" x14ac:dyDescent="0.25">
      <c r="K1668" s="4" t="s">
        <v>421</v>
      </c>
      <c r="L1668" t="s">
        <v>422</v>
      </c>
      <c r="M1668" t="s">
        <v>3824</v>
      </c>
      <c r="N1668" t="s">
        <v>202</v>
      </c>
      <c r="O1668" t="s">
        <v>244</v>
      </c>
      <c r="P1668" t="str">
        <f t="shared" si="268"/>
        <v>[1]</v>
      </c>
      <c r="Q1668">
        <f t="shared" si="269"/>
        <v>16</v>
      </c>
      <c r="R1668" t="str">
        <f t="shared" si="267"/>
        <v/>
      </c>
      <c r="S1668">
        <f>SUMIF(O1668:$O$2855,R1668,Q1668:$Q$2855)</f>
        <v>0</v>
      </c>
    </row>
    <row r="1669" spans="11:19" x14ac:dyDescent="0.25">
      <c r="K1669" s="4" t="s">
        <v>421</v>
      </c>
      <c r="L1669" t="s">
        <v>422</v>
      </c>
      <c r="M1669" t="s">
        <v>3825</v>
      </c>
      <c r="N1669" t="s">
        <v>13</v>
      </c>
      <c r="O1669" t="s">
        <v>244</v>
      </c>
      <c r="P1669" t="str">
        <f t="shared" si="268"/>
        <v>[1]</v>
      </c>
      <c r="Q1669">
        <f t="shared" si="269"/>
        <v>12</v>
      </c>
      <c r="R1669" t="str">
        <f t="shared" si="267"/>
        <v/>
      </c>
      <c r="S1669">
        <f>SUMIF(O1669:$O$2855,R1669,Q1669:$Q$2855)</f>
        <v>0</v>
      </c>
    </row>
    <row r="1670" spans="11:19" x14ac:dyDescent="0.25">
      <c r="K1670" s="4" t="s">
        <v>421</v>
      </c>
      <c r="L1670" t="s">
        <v>422</v>
      </c>
      <c r="M1670" t="s">
        <v>3826</v>
      </c>
      <c r="N1670" t="s">
        <v>67</v>
      </c>
      <c r="O1670" t="s">
        <v>244</v>
      </c>
      <c r="P1670" t="str">
        <f t="shared" si="268"/>
        <v>[1]</v>
      </c>
      <c r="Q1670">
        <f t="shared" si="269"/>
        <v>48</v>
      </c>
      <c r="R1670" t="str">
        <f t="shared" si="267"/>
        <v/>
      </c>
      <c r="S1670">
        <f>SUMIF(O1670:$O$2855,R1670,Q1670:$Q$2855)</f>
        <v>0</v>
      </c>
    </row>
    <row r="1671" spans="11:19" x14ac:dyDescent="0.25">
      <c r="K1671" s="4" t="s">
        <v>421</v>
      </c>
      <c r="L1671" t="s">
        <v>422</v>
      </c>
      <c r="M1671" t="s">
        <v>3827</v>
      </c>
      <c r="N1671" t="s">
        <v>13</v>
      </c>
      <c r="O1671" t="s">
        <v>244</v>
      </c>
      <c r="P1671" t="str">
        <f t="shared" si="268"/>
        <v>[1]</v>
      </c>
      <c r="Q1671">
        <f t="shared" si="269"/>
        <v>12</v>
      </c>
      <c r="R1671" t="str">
        <f t="shared" si="267"/>
        <v/>
      </c>
      <c r="S1671">
        <f>SUMIF(O1671:$O$2855,R1671,Q1671:$Q$2855)</f>
        <v>0</v>
      </c>
    </row>
    <row r="1672" spans="11:19" x14ac:dyDescent="0.25">
      <c r="K1672" s="4" t="s">
        <v>421</v>
      </c>
      <c r="L1672" t="s">
        <v>422</v>
      </c>
      <c r="M1672" t="s">
        <v>3828</v>
      </c>
      <c r="N1672" t="s">
        <v>44</v>
      </c>
      <c r="O1672" t="s">
        <v>244</v>
      </c>
      <c r="P1672" t="str">
        <f t="shared" si="268"/>
        <v>[1]</v>
      </c>
      <c r="Q1672">
        <f t="shared" si="269"/>
        <v>44</v>
      </c>
      <c r="R1672" t="str">
        <f t="shared" si="267"/>
        <v/>
      </c>
      <c r="S1672">
        <f>SUMIF(O1672:$O$2855,R1672,Q1672:$Q$2855)</f>
        <v>0</v>
      </c>
    </row>
    <row r="1673" spans="11:19" x14ac:dyDescent="0.25">
      <c r="K1673" s="4" t="s">
        <v>421</v>
      </c>
      <c r="L1673" t="s">
        <v>422</v>
      </c>
      <c r="M1673" t="s">
        <v>3829</v>
      </c>
      <c r="N1673" t="s">
        <v>126</v>
      </c>
      <c r="O1673" t="s">
        <v>244</v>
      </c>
      <c r="P1673" t="str">
        <f t="shared" si="268"/>
        <v>[1]</v>
      </c>
      <c r="Q1673">
        <f t="shared" si="269"/>
        <v>8</v>
      </c>
      <c r="R1673" t="str">
        <f t="shared" si="267"/>
        <v/>
      </c>
      <c r="S1673">
        <f>SUMIF(O1673:$O$2855,R1673,Q1673:$Q$2855)</f>
        <v>0</v>
      </c>
    </row>
    <row r="1674" spans="11:19" x14ac:dyDescent="0.25">
      <c r="K1674" s="4" t="s">
        <v>421</v>
      </c>
      <c r="L1674" t="s">
        <v>422</v>
      </c>
      <c r="M1674" t="s">
        <v>3830</v>
      </c>
      <c r="N1674" t="s">
        <v>437</v>
      </c>
      <c r="O1674" t="s">
        <v>244</v>
      </c>
      <c r="P1674" t="str">
        <f t="shared" si="268"/>
        <v>[1]</v>
      </c>
      <c r="Q1674">
        <f t="shared" si="269"/>
        <v>24</v>
      </c>
      <c r="R1674" t="str">
        <f t="shared" si="267"/>
        <v/>
      </c>
      <c r="S1674">
        <f>SUMIF(O1674:$O$2855,R1674,Q1674:$Q$2855)</f>
        <v>0</v>
      </c>
    </row>
    <row r="1675" spans="11:19" x14ac:dyDescent="0.25">
      <c r="K1675" s="4" t="s">
        <v>421</v>
      </c>
      <c r="L1675" t="s">
        <v>422</v>
      </c>
      <c r="M1675" t="s">
        <v>3831</v>
      </c>
      <c r="N1675" t="s">
        <v>202</v>
      </c>
      <c r="O1675" t="s">
        <v>244</v>
      </c>
      <c r="P1675" t="str">
        <f t="shared" si="268"/>
        <v>[1]</v>
      </c>
      <c r="Q1675">
        <f t="shared" si="269"/>
        <v>16</v>
      </c>
      <c r="R1675" t="str">
        <f t="shared" si="267"/>
        <v/>
      </c>
      <c r="S1675">
        <f>SUMIF(O1675:$O$2855,R1675,Q1675:$Q$2855)</f>
        <v>0</v>
      </c>
    </row>
    <row r="1676" spans="11:19" x14ac:dyDescent="0.25">
      <c r="K1676" s="4" t="s">
        <v>421</v>
      </c>
      <c r="L1676" t="s">
        <v>422</v>
      </c>
      <c r="M1676" t="s">
        <v>1966</v>
      </c>
      <c r="N1676" t="s">
        <v>6</v>
      </c>
      <c r="O1676" t="s">
        <v>244</v>
      </c>
      <c r="P1676" t="str">
        <f t="shared" si="268"/>
        <v>[1]</v>
      </c>
      <c r="Q1676">
        <f t="shared" si="269"/>
        <v>28</v>
      </c>
      <c r="R1676" t="str">
        <f t="shared" si="267"/>
        <v/>
      </c>
      <c r="S1676">
        <f>SUMIF(O1676:$O$2855,R1676,Q1676:$Q$2855)</f>
        <v>0</v>
      </c>
    </row>
    <row r="1677" spans="11:19" x14ac:dyDescent="0.25">
      <c r="K1677" s="4" t="s">
        <v>421</v>
      </c>
      <c r="L1677" t="s">
        <v>422</v>
      </c>
      <c r="M1677" t="s">
        <v>1967</v>
      </c>
      <c r="N1677" t="s">
        <v>165</v>
      </c>
      <c r="O1677" t="s">
        <v>244</v>
      </c>
      <c r="P1677" t="str">
        <f t="shared" si="268"/>
        <v>[1]</v>
      </c>
      <c r="Q1677">
        <f t="shared" si="269"/>
        <v>20</v>
      </c>
      <c r="R1677" t="str">
        <f t="shared" si="267"/>
        <v/>
      </c>
      <c r="S1677">
        <f>SUMIF(O1677:$O$2855,R1677,Q1677:$Q$2855)</f>
        <v>0</v>
      </c>
    </row>
    <row r="1678" spans="11:19" x14ac:dyDescent="0.25">
      <c r="K1678" s="4" t="s">
        <v>421</v>
      </c>
      <c r="L1678" t="s">
        <v>422</v>
      </c>
      <c r="M1678" t="s">
        <v>3832</v>
      </c>
      <c r="N1678" t="s">
        <v>119</v>
      </c>
      <c r="O1678" t="s">
        <v>244</v>
      </c>
      <c r="P1678" t="str">
        <f t="shared" si="268"/>
        <v>[1]</v>
      </c>
      <c r="Q1678">
        <f t="shared" si="269"/>
        <v>32</v>
      </c>
      <c r="R1678" t="str">
        <f t="shared" si="267"/>
        <v/>
      </c>
      <c r="S1678">
        <f>SUMIF(O1678:$O$2855,R1678,Q1678:$Q$2855)</f>
        <v>0</v>
      </c>
    </row>
    <row r="1679" spans="11:19" x14ac:dyDescent="0.25">
      <c r="K1679" s="4" t="s">
        <v>421</v>
      </c>
      <c r="L1679" t="s">
        <v>422</v>
      </c>
      <c r="M1679" t="s">
        <v>3833</v>
      </c>
      <c r="N1679" t="s">
        <v>126</v>
      </c>
      <c r="O1679" t="s">
        <v>244</v>
      </c>
      <c r="P1679" t="str">
        <f t="shared" si="268"/>
        <v>[1]</v>
      </c>
      <c r="Q1679">
        <f t="shared" si="269"/>
        <v>8</v>
      </c>
      <c r="R1679" t="str">
        <f t="shared" si="267"/>
        <v/>
      </c>
      <c r="S1679">
        <f>SUMIF(O1679:$O$2855,R1679,Q1679:$Q$2855)</f>
        <v>0</v>
      </c>
    </row>
    <row r="1680" spans="11:19" x14ac:dyDescent="0.25">
      <c r="K1680" s="4" t="s">
        <v>421</v>
      </c>
      <c r="L1680" t="s">
        <v>422</v>
      </c>
      <c r="M1680" t="s">
        <v>3834</v>
      </c>
      <c r="N1680" t="s">
        <v>65</v>
      </c>
      <c r="O1680" t="s">
        <v>244</v>
      </c>
      <c r="P1680" t="str">
        <f t="shared" si="268"/>
        <v>[1]</v>
      </c>
      <c r="Q1680">
        <f t="shared" si="269"/>
        <v>40</v>
      </c>
      <c r="R1680" t="str">
        <f t="shared" si="267"/>
        <v/>
      </c>
      <c r="S1680">
        <f>SUMIF(O1680:$O$2855,R1680,Q1680:$Q$2855)</f>
        <v>0</v>
      </c>
    </row>
    <row r="1681" spans="11:19" x14ac:dyDescent="0.25">
      <c r="K1681" s="4" t="s">
        <v>421</v>
      </c>
      <c r="L1681" t="s">
        <v>422</v>
      </c>
      <c r="M1681" t="s">
        <v>3835</v>
      </c>
      <c r="N1681" t="s">
        <v>202</v>
      </c>
      <c r="O1681" t="s">
        <v>244</v>
      </c>
      <c r="P1681" t="str">
        <f t="shared" si="268"/>
        <v>[1]</v>
      </c>
      <c r="Q1681">
        <f t="shared" si="269"/>
        <v>16</v>
      </c>
      <c r="R1681" t="str">
        <f t="shared" si="267"/>
        <v/>
      </c>
      <c r="S1681">
        <f>SUMIF(O1681:$O$2855,R1681,Q1681:$Q$2855)</f>
        <v>0</v>
      </c>
    </row>
    <row r="1682" spans="11:19" x14ac:dyDescent="0.25">
      <c r="K1682" s="4" t="s">
        <v>421</v>
      </c>
      <c r="L1682" t="s">
        <v>422</v>
      </c>
      <c r="M1682" t="s">
        <v>3836</v>
      </c>
      <c r="N1682" t="s">
        <v>76</v>
      </c>
      <c r="O1682" t="s">
        <v>244</v>
      </c>
      <c r="P1682" t="str">
        <f t="shared" si="268"/>
        <v>[1]</v>
      </c>
      <c r="Q1682">
        <f t="shared" si="269"/>
        <v>36</v>
      </c>
      <c r="R1682" t="str">
        <f t="shared" si="267"/>
        <v/>
      </c>
      <c r="S1682">
        <f>SUMIF(O1682:$O$2855,R1682,Q1682:$Q$2855)</f>
        <v>0</v>
      </c>
    </row>
    <row r="1683" spans="11:19" x14ac:dyDescent="0.25">
      <c r="K1683" s="4" t="s">
        <v>421</v>
      </c>
      <c r="L1683" t="s">
        <v>422</v>
      </c>
      <c r="M1683" t="s">
        <v>3837</v>
      </c>
      <c r="N1683" t="s">
        <v>202</v>
      </c>
      <c r="O1683" t="s">
        <v>244</v>
      </c>
      <c r="P1683" t="str">
        <f t="shared" si="268"/>
        <v>[1]</v>
      </c>
      <c r="Q1683">
        <f t="shared" si="269"/>
        <v>16</v>
      </c>
      <c r="R1683" t="str">
        <f t="shared" si="267"/>
        <v/>
      </c>
      <c r="S1683">
        <f>SUMIF(O1683:$O$2855,R1683,Q1683:$Q$2855)</f>
        <v>0</v>
      </c>
    </row>
    <row r="1684" spans="11:19" x14ac:dyDescent="0.25">
      <c r="K1684" s="4" t="s">
        <v>421</v>
      </c>
      <c r="L1684" t="s">
        <v>422</v>
      </c>
      <c r="M1684" t="s">
        <v>1968</v>
      </c>
      <c r="N1684" t="s">
        <v>6</v>
      </c>
      <c r="O1684" t="s">
        <v>244</v>
      </c>
      <c r="P1684" t="str">
        <f t="shared" si="268"/>
        <v>[1]</v>
      </c>
      <c r="Q1684">
        <f t="shared" si="269"/>
        <v>28</v>
      </c>
      <c r="R1684" t="str">
        <f t="shared" si="267"/>
        <v/>
      </c>
      <c r="S1684">
        <f>SUMIF(O1684:$O$2855,R1684,Q1684:$Q$2855)</f>
        <v>0</v>
      </c>
    </row>
    <row r="1685" spans="11:19" x14ac:dyDescent="0.25">
      <c r="K1685" s="4" t="s">
        <v>421</v>
      </c>
      <c r="L1685" t="s">
        <v>422</v>
      </c>
      <c r="M1685" t="s">
        <v>3838</v>
      </c>
      <c r="N1685" t="s">
        <v>202</v>
      </c>
      <c r="O1685" t="s">
        <v>244</v>
      </c>
      <c r="P1685" t="str">
        <f t="shared" si="268"/>
        <v>[1]</v>
      </c>
      <c r="Q1685">
        <f t="shared" si="269"/>
        <v>16</v>
      </c>
      <c r="R1685" t="str">
        <f t="shared" si="267"/>
        <v/>
      </c>
      <c r="S1685">
        <f>SUMIF(O1685:$O$2855,R1685,Q1685:$Q$2855)</f>
        <v>0</v>
      </c>
    </row>
    <row r="1686" spans="11:19" x14ac:dyDescent="0.25">
      <c r="K1686" s="4" t="s">
        <v>421</v>
      </c>
      <c r="L1686" t="s">
        <v>422</v>
      </c>
      <c r="M1686" t="s">
        <v>3839</v>
      </c>
      <c r="N1686" t="s">
        <v>119</v>
      </c>
      <c r="O1686" t="s">
        <v>244</v>
      </c>
      <c r="P1686" t="str">
        <f t="shared" si="268"/>
        <v>[1]</v>
      </c>
      <c r="Q1686">
        <f t="shared" si="269"/>
        <v>32</v>
      </c>
      <c r="R1686" t="str">
        <f t="shared" si="267"/>
        <v/>
      </c>
      <c r="S1686">
        <f>SUMIF(O1686:$O$2855,R1686,Q1686:$Q$2855)</f>
        <v>0</v>
      </c>
    </row>
    <row r="1687" spans="11:19" x14ac:dyDescent="0.25">
      <c r="K1687" s="4" t="s">
        <v>421</v>
      </c>
      <c r="L1687" t="s">
        <v>422</v>
      </c>
      <c r="M1687" t="s">
        <v>3840</v>
      </c>
      <c r="N1687" t="s">
        <v>165</v>
      </c>
      <c r="O1687" t="s">
        <v>244</v>
      </c>
      <c r="P1687" t="str">
        <f t="shared" si="268"/>
        <v>[1]</v>
      </c>
      <c r="Q1687">
        <f t="shared" si="269"/>
        <v>20</v>
      </c>
      <c r="R1687" t="str">
        <f t="shared" si="267"/>
        <v/>
      </c>
      <c r="S1687">
        <f>SUMIF(O1687:$O$2855,R1687,Q1687:$Q$2855)</f>
        <v>0</v>
      </c>
    </row>
    <row r="1688" spans="11:19" x14ac:dyDescent="0.25">
      <c r="K1688" s="4" t="s">
        <v>421</v>
      </c>
      <c r="L1688" t="s">
        <v>422</v>
      </c>
      <c r="M1688" t="s">
        <v>3841</v>
      </c>
      <c r="N1688" t="s">
        <v>44</v>
      </c>
      <c r="O1688" t="s">
        <v>244</v>
      </c>
      <c r="P1688" t="str">
        <f t="shared" si="268"/>
        <v>[1]</v>
      </c>
      <c r="Q1688">
        <f t="shared" si="269"/>
        <v>44</v>
      </c>
      <c r="R1688" t="str">
        <f t="shared" si="267"/>
        <v/>
      </c>
      <c r="S1688">
        <f>SUMIF(O1688:$O$2855,R1688,Q1688:$Q$2855)</f>
        <v>0</v>
      </c>
    </row>
    <row r="1689" spans="11:19" x14ac:dyDescent="0.25">
      <c r="K1689" s="4" t="s">
        <v>421</v>
      </c>
      <c r="L1689" t="s">
        <v>422</v>
      </c>
      <c r="M1689" t="s">
        <v>3842</v>
      </c>
      <c r="N1689" t="s">
        <v>202</v>
      </c>
      <c r="O1689" t="s">
        <v>244</v>
      </c>
      <c r="P1689" t="str">
        <f t="shared" si="268"/>
        <v>[1]</v>
      </c>
      <c r="Q1689">
        <f t="shared" si="269"/>
        <v>16</v>
      </c>
      <c r="R1689" t="str">
        <f t="shared" si="267"/>
        <v/>
      </c>
      <c r="S1689">
        <f>SUMIF(O1689:$O$2855,R1689,Q1689:$Q$2855)</f>
        <v>0</v>
      </c>
    </row>
    <row r="1690" spans="11:19" x14ac:dyDescent="0.25">
      <c r="K1690" s="4" t="s">
        <v>421</v>
      </c>
      <c r="L1690" t="s">
        <v>422</v>
      </c>
      <c r="M1690" t="s">
        <v>3843</v>
      </c>
      <c r="N1690" t="s">
        <v>76</v>
      </c>
      <c r="O1690" t="s">
        <v>244</v>
      </c>
      <c r="P1690" t="str">
        <f t="shared" si="268"/>
        <v>[1]</v>
      </c>
      <c r="Q1690">
        <f t="shared" si="269"/>
        <v>36</v>
      </c>
      <c r="R1690" t="str">
        <f t="shared" si="267"/>
        <v/>
      </c>
      <c r="S1690">
        <f>SUMIF(O1690:$O$2855,R1690,Q1690:$Q$2855)</f>
        <v>0</v>
      </c>
    </row>
    <row r="1691" spans="11:19" x14ac:dyDescent="0.25">
      <c r="K1691" s="4" t="s">
        <v>421</v>
      </c>
      <c r="L1691" t="s">
        <v>422</v>
      </c>
      <c r="M1691" t="s">
        <v>3844</v>
      </c>
      <c r="N1691" t="s">
        <v>437</v>
      </c>
      <c r="O1691" t="s">
        <v>244</v>
      </c>
      <c r="P1691" t="str">
        <f t="shared" si="268"/>
        <v>[1]</v>
      </c>
      <c r="Q1691">
        <f t="shared" si="269"/>
        <v>24</v>
      </c>
      <c r="R1691" t="str">
        <f t="shared" si="267"/>
        <v/>
      </c>
      <c r="S1691">
        <f>SUMIF(O1691:$O$2855,R1691,Q1691:$Q$2855)</f>
        <v>0</v>
      </c>
    </row>
    <row r="1692" spans="11:19" x14ac:dyDescent="0.25">
      <c r="K1692" s="4" t="s">
        <v>421</v>
      </c>
      <c r="L1692" t="s">
        <v>422</v>
      </c>
      <c r="M1692" t="s">
        <v>3845</v>
      </c>
      <c r="N1692" t="s">
        <v>6</v>
      </c>
      <c r="O1692" t="s">
        <v>244</v>
      </c>
      <c r="P1692" t="str">
        <f t="shared" si="268"/>
        <v>[1]</v>
      </c>
      <c r="Q1692">
        <f t="shared" si="269"/>
        <v>28</v>
      </c>
      <c r="R1692" t="str">
        <f t="shared" si="267"/>
        <v/>
      </c>
      <c r="S1692">
        <f>SUMIF(O1692:$O$2855,R1692,Q1692:$Q$2855)</f>
        <v>0</v>
      </c>
    </row>
    <row r="1693" spans="11:19" x14ac:dyDescent="0.25">
      <c r="K1693" s="4" t="s">
        <v>421</v>
      </c>
      <c r="L1693" t="s">
        <v>422</v>
      </c>
      <c r="M1693" t="s">
        <v>3846</v>
      </c>
      <c r="N1693" t="s">
        <v>44</v>
      </c>
      <c r="O1693" t="s">
        <v>244</v>
      </c>
      <c r="P1693" t="str">
        <f t="shared" si="268"/>
        <v>[1]</v>
      </c>
      <c r="Q1693">
        <f t="shared" si="269"/>
        <v>44</v>
      </c>
      <c r="R1693" t="str">
        <f t="shared" si="267"/>
        <v/>
      </c>
      <c r="S1693">
        <f>SUMIF(O1693:$O$2855,R1693,Q1693:$Q$2855)</f>
        <v>0</v>
      </c>
    </row>
    <row r="1694" spans="11:19" x14ac:dyDescent="0.25">
      <c r="K1694" s="4" t="s">
        <v>421</v>
      </c>
      <c r="L1694" t="s">
        <v>422</v>
      </c>
      <c r="M1694" t="s">
        <v>3847</v>
      </c>
      <c r="N1694" t="s">
        <v>437</v>
      </c>
      <c r="O1694" t="s">
        <v>244</v>
      </c>
      <c r="P1694" t="str">
        <f t="shared" si="268"/>
        <v>[1]</v>
      </c>
      <c r="Q1694">
        <f t="shared" si="269"/>
        <v>24</v>
      </c>
      <c r="R1694" t="str">
        <f t="shared" si="267"/>
        <v/>
      </c>
      <c r="S1694">
        <f>SUMIF(O1694:$O$2855,R1694,Q1694:$Q$2855)</f>
        <v>0</v>
      </c>
    </row>
    <row r="1695" spans="11:19" x14ac:dyDescent="0.25">
      <c r="K1695" s="4" t="s">
        <v>421</v>
      </c>
      <c r="L1695" t="s">
        <v>422</v>
      </c>
      <c r="M1695" t="s">
        <v>3848</v>
      </c>
      <c r="N1695" t="s">
        <v>76</v>
      </c>
      <c r="O1695" t="s">
        <v>244</v>
      </c>
      <c r="P1695" t="str">
        <f t="shared" si="268"/>
        <v>[1]</v>
      </c>
      <c r="Q1695">
        <f t="shared" si="269"/>
        <v>36</v>
      </c>
      <c r="R1695" t="str">
        <f t="shared" si="267"/>
        <v/>
      </c>
      <c r="S1695">
        <f>SUMIF(O1695:$O$2855,R1695,Q1695:$Q$2855)</f>
        <v>0</v>
      </c>
    </row>
    <row r="1696" spans="11:19" x14ac:dyDescent="0.25">
      <c r="K1696" s="4" t="s">
        <v>421</v>
      </c>
      <c r="L1696" t="s">
        <v>422</v>
      </c>
      <c r="M1696" t="s">
        <v>3849</v>
      </c>
      <c r="N1696" t="s">
        <v>437</v>
      </c>
      <c r="O1696" t="s">
        <v>244</v>
      </c>
      <c r="P1696" t="str">
        <f t="shared" si="268"/>
        <v>[1]</v>
      </c>
      <c r="Q1696">
        <f t="shared" si="269"/>
        <v>24</v>
      </c>
      <c r="R1696" t="str">
        <f t="shared" ref="R1696:R1759" si="270">IF(O1696&lt;&gt;O1695,O1696,"")</f>
        <v/>
      </c>
      <c r="S1696">
        <f>SUMIF(O1696:$O$2855,R1696,Q1696:$Q$2855)</f>
        <v>0</v>
      </c>
    </row>
    <row r="1697" spans="11:19" x14ac:dyDescent="0.25">
      <c r="K1697" s="4" t="s">
        <v>421</v>
      </c>
      <c r="L1697" t="s">
        <v>422</v>
      </c>
      <c r="M1697" t="s">
        <v>3850</v>
      </c>
      <c r="N1697" t="s">
        <v>65</v>
      </c>
      <c r="O1697" t="s">
        <v>244</v>
      </c>
      <c r="P1697" t="str">
        <f t="shared" si="268"/>
        <v>[1]</v>
      </c>
      <c r="Q1697">
        <f t="shared" si="269"/>
        <v>40</v>
      </c>
      <c r="R1697" t="str">
        <f t="shared" si="270"/>
        <v/>
      </c>
      <c r="S1697">
        <f>SUMIF(O1697:$O$2855,R1697,Q1697:$Q$2855)</f>
        <v>0</v>
      </c>
    </row>
    <row r="1698" spans="11:19" x14ac:dyDescent="0.25">
      <c r="K1698" s="4" t="s">
        <v>421</v>
      </c>
      <c r="L1698" t="s">
        <v>422</v>
      </c>
      <c r="M1698" t="s">
        <v>3851</v>
      </c>
      <c r="N1698" t="s">
        <v>437</v>
      </c>
      <c r="O1698" t="s">
        <v>244</v>
      </c>
      <c r="P1698" t="str">
        <f t="shared" si="268"/>
        <v>[1]</v>
      </c>
      <c r="Q1698">
        <f t="shared" si="269"/>
        <v>24</v>
      </c>
      <c r="R1698" t="str">
        <f t="shared" si="270"/>
        <v/>
      </c>
      <c r="S1698">
        <f>SUMIF(O1698:$O$2855,R1698,Q1698:$Q$2855)</f>
        <v>0</v>
      </c>
    </row>
    <row r="1699" spans="11:19" x14ac:dyDescent="0.25">
      <c r="K1699" s="4" t="s">
        <v>421</v>
      </c>
      <c r="L1699" t="s">
        <v>422</v>
      </c>
      <c r="M1699" t="s">
        <v>3852</v>
      </c>
      <c r="N1699" t="s">
        <v>44</v>
      </c>
      <c r="O1699" t="s">
        <v>244</v>
      </c>
      <c r="P1699" t="str">
        <f t="shared" si="268"/>
        <v>[1]</v>
      </c>
      <c r="Q1699">
        <f t="shared" si="269"/>
        <v>44</v>
      </c>
      <c r="R1699" t="str">
        <f t="shared" si="270"/>
        <v/>
      </c>
      <c r="S1699">
        <f>SUMIF(O1699:$O$2855,R1699,Q1699:$Q$2855)</f>
        <v>0</v>
      </c>
    </row>
    <row r="1700" spans="11:19" x14ac:dyDescent="0.25">
      <c r="K1700" s="4" t="s">
        <v>421</v>
      </c>
      <c r="L1700" t="s">
        <v>422</v>
      </c>
      <c r="M1700" t="s">
        <v>3853</v>
      </c>
      <c r="N1700" t="s">
        <v>437</v>
      </c>
      <c r="O1700" t="s">
        <v>244</v>
      </c>
      <c r="P1700" t="str">
        <f t="shared" si="268"/>
        <v>[1]</v>
      </c>
      <c r="Q1700">
        <f t="shared" si="269"/>
        <v>24</v>
      </c>
      <c r="R1700" t="str">
        <f t="shared" si="270"/>
        <v/>
      </c>
      <c r="S1700">
        <f>SUMIF(O1700:$O$2855,R1700,Q1700:$Q$2855)</f>
        <v>0</v>
      </c>
    </row>
    <row r="1701" spans="11:19" x14ac:dyDescent="0.25">
      <c r="K1701" s="4" t="s">
        <v>421</v>
      </c>
      <c r="L1701" t="s">
        <v>422</v>
      </c>
      <c r="M1701" t="s">
        <v>3854</v>
      </c>
      <c r="N1701" t="s">
        <v>44</v>
      </c>
      <c r="O1701" t="s">
        <v>244</v>
      </c>
      <c r="P1701" t="str">
        <f t="shared" si="268"/>
        <v>[1]</v>
      </c>
      <c r="Q1701">
        <f t="shared" si="269"/>
        <v>44</v>
      </c>
      <c r="R1701" t="str">
        <f t="shared" si="270"/>
        <v/>
      </c>
      <c r="S1701">
        <f>SUMIF(O1701:$O$2855,R1701,Q1701:$Q$2855)</f>
        <v>0</v>
      </c>
    </row>
    <row r="1702" spans="11:19" x14ac:dyDescent="0.25">
      <c r="K1702" s="4" t="s">
        <v>421</v>
      </c>
      <c r="L1702" t="s">
        <v>422</v>
      </c>
      <c r="M1702" t="s">
        <v>3855</v>
      </c>
      <c r="N1702" t="s">
        <v>202</v>
      </c>
      <c r="O1702" t="s">
        <v>244</v>
      </c>
      <c r="P1702" t="str">
        <f t="shared" si="268"/>
        <v>[1]</v>
      </c>
      <c r="Q1702">
        <f t="shared" si="269"/>
        <v>16</v>
      </c>
      <c r="R1702" t="str">
        <f t="shared" si="270"/>
        <v/>
      </c>
      <c r="S1702">
        <f>SUMIF(O1702:$O$2855,R1702,Q1702:$Q$2855)</f>
        <v>0</v>
      </c>
    </row>
    <row r="1703" spans="11:19" x14ac:dyDescent="0.25">
      <c r="K1703" s="4" t="s">
        <v>421</v>
      </c>
      <c r="L1703" t="s">
        <v>422</v>
      </c>
      <c r="M1703" t="s">
        <v>3856</v>
      </c>
      <c r="N1703" t="s">
        <v>6</v>
      </c>
      <c r="O1703" t="s">
        <v>244</v>
      </c>
      <c r="P1703" t="str">
        <f t="shared" si="268"/>
        <v>[1]</v>
      </c>
      <c r="Q1703">
        <f t="shared" si="269"/>
        <v>28</v>
      </c>
      <c r="R1703" t="str">
        <f t="shared" si="270"/>
        <v/>
      </c>
      <c r="S1703">
        <f>SUMIF(O1703:$O$2855,R1703,Q1703:$Q$2855)</f>
        <v>0</v>
      </c>
    </row>
    <row r="1704" spans="11:19" x14ac:dyDescent="0.25">
      <c r="K1704" s="4" t="s">
        <v>421</v>
      </c>
      <c r="L1704" t="s">
        <v>422</v>
      </c>
      <c r="M1704" t="s">
        <v>3857</v>
      </c>
      <c r="N1704" t="s">
        <v>437</v>
      </c>
      <c r="O1704" t="s">
        <v>244</v>
      </c>
      <c r="P1704" t="str">
        <f t="shared" si="268"/>
        <v>[1]</v>
      </c>
      <c r="Q1704">
        <f t="shared" si="269"/>
        <v>24</v>
      </c>
      <c r="R1704" t="str">
        <f t="shared" si="270"/>
        <v/>
      </c>
      <c r="S1704">
        <f>SUMIF(O1704:$O$2855,R1704,Q1704:$Q$2855)</f>
        <v>0</v>
      </c>
    </row>
    <row r="1705" spans="11:19" x14ac:dyDescent="0.25">
      <c r="K1705" s="4" t="s">
        <v>421</v>
      </c>
      <c r="L1705" t="s">
        <v>422</v>
      </c>
      <c r="M1705" t="s">
        <v>3858</v>
      </c>
      <c r="N1705" t="s">
        <v>6</v>
      </c>
      <c r="O1705" t="s">
        <v>244</v>
      </c>
      <c r="P1705" t="str">
        <f t="shared" si="268"/>
        <v>[1]</v>
      </c>
      <c r="Q1705">
        <f t="shared" si="269"/>
        <v>28</v>
      </c>
      <c r="R1705" t="str">
        <f t="shared" si="270"/>
        <v/>
      </c>
      <c r="S1705">
        <f>SUMIF(O1705:$O$2855,R1705,Q1705:$Q$2855)</f>
        <v>0</v>
      </c>
    </row>
    <row r="1706" spans="11:19" x14ac:dyDescent="0.25">
      <c r="K1706" s="4" t="s">
        <v>421</v>
      </c>
      <c r="L1706" t="s">
        <v>422</v>
      </c>
      <c r="M1706" t="s">
        <v>3859</v>
      </c>
      <c r="N1706" t="s">
        <v>165</v>
      </c>
      <c r="O1706" t="s">
        <v>244</v>
      </c>
      <c r="P1706" t="str">
        <f t="shared" si="268"/>
        <v>[1]</v>
      </c>
      <c r="Q1706">
        <f t="shared" si="269"/>
        <v>20</v>
      </c>
      <c r="R1706" t="str">
        <f t="shared" si="270"/>
        <v/>
      </c>
      <c r="S1706">
        <f>SUMIF(O1706:$O$2855,R1706,Q1706:$Q$2855)</f>
        <v>0</v>
      </c>
    </row>
    <row r="1707" spans="11:19" x14ac:dyDescent="0.25">
      <c r="K1707" s="4" t="s">
        <v>421</v>
      </c>
      <c r="L1707" t="s">
        <v>422</v>
      </c>
      <c r="M1707" t="s">
        <v>1969</v>
      </c>
      <c r="N1707" t="s">
        <v>44</v>
      </c>
      <c r="O1707" t="s">
        <v>244</v>
      </c>
      <c r="P1707" t="str">
        <f t="shared" si="268"/>
        <v>[1]</v>
      </c>
      <c r="Q1707">
        <f t="shared" si="269"/>
        <v>44</v>
      </c>
      <c r="R1707" t="str">
        <f t="shared" si="270"/>
        <v/>
      </c>
      <c r="S1707">
        <f>SUMIF(O1707:$O$2855,R1707,Q1707:$Q$2855)</f>
        <v>0</v>
      </c>
    </row>
    <row r="1708" spans="11:19" x14ac:dyDescent="0.25">
      <c r="K1708" s="4" t="s">
        <v>421</v>
      </c>
      <c r="L1708" t="s">
        <v>422</v>
      </c>
      <c r="M1708" t="s">
        <v>3860</v>
      </c>
      <c r="N1708" t="s">
        <v>165</v>
      </c>
      <c r="O1708" t="s">
        <v>244</v>
      </c>
      <c r="P1708" t="str">
        <f t="shared" si="268"/>
        <v>[1]</v>
      </c>
      <c r="Q1708">
        <f t="shared" si="269"/>
        <v>20</v>
      </c>
      <c r="R1708" t="str">
        <f t="shared" si="270"/>
        <v/>
      </c>
      <c r="S1708">
        <f>SUMIF(O1708:$O$2855,R1708,Q1708:$Q$2855)</f>
        <v>0</v>
      </c>
    </row>
    <row r="1709" spans="11:19" x14ac:dyDescent="0.25">
      <c r="K1709" s="4" t="s">
        <v>421</v>
      </c>
      <c r="L1709" t="s">
        <v>422</v>
      </c>
      <c r="M1709" t="s">
        <v>3861</v>
      </c>
      <c r="N1709" t="s">
        <v>44</v>
      </c>
      <c r="O1709" t="s">
        <v>244</v>
      </c>
      <c r="P1709" t="str">
        <f t="shared" si="268"/>
        <v>[1]</v>
      </c>
      <c r="Q1709">
        <f t="shared" si="269"/>
        <v>44</v>
      </c>
      <c r="R1709" t="str">
        <f t="shared" si="270"/>
        <v/>
      </c>
      <c r="S1709">
        <f>SUMIF(O1709:$O$2855,R1709,Q1709:$Q$2855)</f>
        <v>0</v>
      </c>
    </row>
    <row r="1710" spans="11:19" x14ac:dyDescent="0.25">
      <c r="K1710" s="4" t="s">
        <v>421</v>
      </c>
      <c r="L1710" t="s">
        <v>422</v>
      </c>
      <c r="M1710" t="s">
        <v>3862</v>
      </c>
      <c r="N1710" t="s">
        <v>202</v>
      </c>
      <c r="O1710" t="s">
        <v>244</v>
      </c>
      <c r="P1710" t="str">
        <f t="shared" si="268"/>
        <v>[1]</v>
      </c>
      <c r="Q1710">
        <f t="shared" si="269"/>
        <v>16</v>
      </c>
      <c r="R1710" t="str">
        <f t="shared" si="270"/>
        <v/>
      </c>
      <c r="S1710">
        <f>SUMIF(O1710:$O$2855,R1710,Q1710:$Q$2855)</f>
        <v>0</v>
      </c>
    </row>
    <row r="1711" spans="11:19" x14ac:dyDescent="0.25">
      <c r="K1711" s="4" t="s">
        <v>421</v>
      </c>
      <c r="L1711" t="s">
        <v>422</v>
      </c>
      <c r="M1711" t="s">
        <v>3863</v>
      </c>
      <c r="N1711" t="s">
        <v>165</v>
      </c>
      <c r="O1711" t="s">
        <v>244</v>
      </c>
      <c r="P1711" t="str">
        <f t="shared" si="268"/>
        <v>[1]</v>
      </c>
      <c r="Q1711">
        <f t="shared" si="269"/>
        <v>20</v>
      </c>
      <c r="R1711" t="str">
        <f t="shared" si="270"/>
        <v/>
      </c>
      <c r="S1711">
        <f>SUMIF(O1711:$O$2855,R1711,Q1711:$Q$2855)</f>
        <v>0</v>
      </c>
    </row>
    <row r="1712" spans="11:19" x14ac:dyDescent="0.25">
      <c r="K1712" s="4" t="s">
        <v>421</v>
      </c>
      <c r="L1712" t="s">
        <v>422</v>
      </c>
      <c r="M1712" t="s">
        <v>3864</v>
      </c>
      <c r="N1712" t="s">
        <v>165</v>
      </c>
      <c r="O1712" t="s">
        <v>244</v>
      </c>
      <c r="P1712" t="str">
        <f t="shared" si="268"/>
        <v>[1]</v>
      </c>
      <c r="Q1712">
        <f t="shared" si="269"/>
        <v>20</v>
      </c>
      <c r="R1712" t="str">
        <f t="shared" si="270"/>
        <v/>
      </c>
      <c r="S1712">
        <f>SUMIF(O1712:$O$2855,R1712,Q1712:$Q$2855)</f>
        <v>0</v>
      </c>
    </row>
    <row r="1713" spans="11:19" x14ac:dyDescent="0.25">
      <c r="K1713" s="4" t="s">
        <v>421</v>
      </c>
      <c r="L1713" t="s">
        <v>422</v>
      </c>
      <c r="M1713" t="s">
        <v>3865</v>
      </c>
      <c r="N1713" t="s">
        <v>6</v>
      </c>
      <c r="O1713" t="s">
        <v>244</v>
      </c>
      <c r="P1713" t="str">
        <f t="shared" si="268"/>
        <v>[1]</v>
      </c>
      <c r="Q1713">
        <f t="shared" si="269"/>
        <v>28</v>
      </c>
      <c r="R1713" t="str">
        <f t="shared" si="270"/>
        <v/>
      </c>
      <c r="S1713">
        <f>SUMIF(O1713:$O$2855,R1713,Q1713:$Q$2855)</f>
        <v>0</v>
      </c>
    </row>
    <row r="1714" spans="11:19" x14ac:dyDescent="0.25">
      <c r="K1714" s="4" t="s">
        <v>421</v>
      </c>
      <c r="L1714" t="s">
        <v>422</v>
      </c>
      <c r="M1714" t="s">
        <v>1970</v>
      </c>
      <c r="N1714" t="s">
        <v>437</v>
      </c>
      <c r="O1714" t="s">
        <v>244</v>
      </c>
      <c r="P1714" t="str">
        <f t="shared" si="268"/>
        <v>[1]</v>
      </c>
      <c r="Q1714">
        <f t="shared" si="269"/>
        <v>24</v>
      </c>
      <c r="R1714" t="str">
        <f t="shared" si="270"/>
        <v/>
      </c>
      <c r="S1714">
        <f>SUMIF(O1714:$O$2855,R1714,Q1714:$Q$2855)</f>
        <v>0</v>
      </c>
    </row>
    <row r="1715" spans="11:19" x14ac:dyDescent="0.25">
      <c r="K1715" s="4" t="s">
        <v>421</v>
      </c>
      <c r="L1715" t="s">
        <v>422</v>
      </c>
      <c r="M1715" t="s">
        <v>3866</v>
      </c>
      <c r="N1715" t="s">
        <v>119</v>
      </c>
      <c r="O1715" t="s">
        <v>244</v>
      </c>
      <c r="P1715" t="str">
        <f t="shared" si="268"/>
        <v>[1]</v>
      </c>
      <c r="Q1715">
        <f t="shared" si="269"/>
        <v>32</v>
      </c>
      <c r="R1715" t="str">
        <f t="shared" si="270"/>
        <v/>
      </c>
      <c r="S1715">
        <f>SUMIF(O1715:$O$2855,R1715,Q1715:$Q$2855)</f>
        <v>0</v>
      </c>
    </row>
    <row r="1716" spans="11:19" x14ac:dyDescent="0.25">
      <c r="K1716" s="4" t="s">
        <v>421</v>
      </c>
      <c r="L1716" t="s">
        <v>422</v>
      </c>
      <c r="M1716" t="s">
        <v>3867</v>
      </c>
      <c r="N1716" t="s">
        <v>437</v>
      </c>
      <c r="O1716" t="s">
        <v>244</v>
      </c>
      <c r="P1716" t="str">
        <f t="shared" si="268"/>
        <v>[1]</v>
      </c>
      <c r="Q1716">
        <f t="shared" si="269"/>
        <v>24</v>
      </c>
      <c r="R1716" t="str">
        <f t="shared" si="270"/>
        <v/>
      </c>
      <c r="S1716">
        <f>SUMIF(O1716:$O$2855,R1716,Q1716:$Q$2855)</f>
        <v>0</v>
      </c>
    </row>
    <row r="1717" spans="11:19" x14ac:dyDescent="0.25">
      <c r="K1717" s="4" t="s">
        <v>421</v>
      </c>
      <c r="L1717" t="s">
        <v>422</v>
      </c>
      <c r="M1717" t="s">
        <v>3868</v>
      </c>
      <c r="N1717" t="s">
        <v>44</v>
      </c>
      <c r="O1717" t="s">
        <v>244</v>
      </c>
      <c r="P1717" t="str">
        <f t="shared" si="268"/>
        <v>[1]</v>
      </c>
      <c r="Q1717">
        <f t="shared" si="269"/>
        <v>44</v>
      </c>
      <c r="R1717" t="str">
        <f t="shared" si="270"/>
        <v/>
      </c>
      <c r="S1717">
        <f>SUMIF(O1717:$O$2855,R1717,Q1717:$Q$2855)</f>
        <v>0</v>
      </c>
    </row>
    <row r="1718" spans="11:19" x14ac:dyDescent="0.25">
      <c r="K1718" s="4" t="s">
        <v>421</v>
      </c>
      <c r="L1718" t="s">
        <v>422</v>
      </c>
      <c r="M1718" t="s">
        <v>3869</v>
      </c>
      <c r="N1718" t="s">
        <v>6</v>
      </c>
      <c r="O1718" t="s">
        <v>244</v>
      </c>
      <c r="P1718" t="str">
        <f t="shared" si="268"/>
        <v>[1]</v>
      </c>
      <c r="Q1718">
        <f t="shared" si="269"/>
        <v>28</v>
      </c>
      <c r="R1718" t="str">
        <f t="shared" si="270"/>
        <v/>
      </c>
      <c r="S1718">
        <f>SUMIF(O1718:$O$2855,R1718,Q1718:$Q$2855)</f>
        <v>0</v>
      </c>
    </row>
    <row r="1719" spans="11:19" x14ac:dyDescent="0.25">
      <c r="K1719" s="4" t="s">
        <v>421</v>
      </c>
      <c r="L1719" t="s">
        <v>422</v>
      </c>
      <c r="M1719" t="s">
        <v>3870</v>
      </c>
      <c r="N1719" t="s">
        <v>65</v>
      </c>
      <c r="O1719" t="s">
        <v>244</v>
      </c>
      <c r="P1719" t="str">
        <f t="shared" si="268"/>
        <v>[1]</v>
      </c>
      <c r="Q1719">
        <f t="shared" si="269"/>
        <v>40</v>
      </c>
      <c r="R1719" t="str">
        <f t="shared" si="270"/>
        <v/>
      </c>
      <c r="S1719">
        <f>SUMIF(O1719:$O$2855,R1719,Q1719:$Q$2855)</f>
        <v>0</v>
      </c>
    </row>
    <row r="1720" spans="11:19" x14ac:dyDescent="0.25">
      <c r="K1720" s="4" t="s">
        <v>421</v>
      </c>
      <c r="L1720" t="s">
        <v>422</v>
      </c>
      <c r="M1720" t="s">
        <v>3871</v>
      </c>
      <c r="N1720" t="s">
        <v>6</v>
      </c>
      <c r="O1720" t="s">
        <v>244</v>
      </c>
      <c r="P1720" t="str">
        <f t="shared" si="268"/>
        <v>[1]</v>
      </c>
      <c r="Q1720">
        <f t="shared" si="269"/>
        <v>28</v>
      </c>
      <c r="R1720" t="str">
        <f t="shared" si="270"/>
        <v/>
      </c>
      <c r="S1720">
        <f>SUMIF(O1720:$O$2855,R1720,Q1720:$Q$2855)</f>
        <v>0</v>
      </c>
    </row>
    <row r="1721" spans="11:19" x14ac:dyDescent="0.25">
      <c r="K1721" s="4" t="s">
        <v>421</v>
      </c>
      <c r="L1721" t="s">
        <v>422</v>
      </c>
      <c r="M1721" t="s">
        <v>3872</v>
      </c>
      <c r="N1721" t="s">
        <v>67</v>
      </c>
      <c r="O1721" t="s">
        <v>244</v>
      </c>
      <c r="P1721" t="str">
        <f t="shared" si="268"/>
        <v>[1]</v>
      </c>
      <c r="Q1721">
        <f t="shared" si="269"/>
        <v>48</v>
      </c>
      <c r="R1721" t="str">
        <f t="shared" si="270"/>
        <v/>
      </c>
      <c r="S1721">
        <f>SUMIF(O1721:$O$2855,R1721,Q1721:$Q$2855)</f>
        <v>0</v>
      </c>
    </row>
    <row r="1722" spans="11:19" x14ac:dyDescent="0.25">
      <c r="K1722" s="4" t="s">
        <v>421</v>
      </c>
      <c r="L1722" t="s">
        <v>422</v>
      </c>
      <c r="M1722" t="s">
        <v>3873</v>
      </c>
      <c r="N1722" t="s">
        <v>165</v>
      </c>
      <c r="O1722" t="s">
        <v>244</v>
      </c>
      <c r="P1722" t="str">
        <f t="shared" si="268"/>
        <v>[1]</v>
      </c>
      <c r="Q1722">
        <f t="shared" si="269"/>
        <v>20</v>
      </c>
      <c r="R1722" t="str">
        <f t="shared" si="270"/>
        <v/>
      </c>
      <c r="S1722">
        <f>SUMIF(O1722:$O$2855,R1722,Q1722:$Q$2855)</f>
        <v>0</v>
      </c>
    </row>
    <row r="1723" spans="11:19" x14ac:dyDescent="0.25">
      <c r="K1723" s="4" t="s">
        <v>421</v>
      </c>
      <c r="L1723" t="s">
        <v>422</v>
      </c>
      <c r="M1723" t="s">
        <v>1782</v>
      </c>
      <c r="N1723" t="s">
        <v>44</v>
      </c>
      <c r="O1723" t="s">
        <v>244</v>
      </c>
      <c r="P1723" t="str">
        <f t="shared" si="268"/>
        <v>[1]</v>
      </c>
      <c r="Q1723">
        <f t="shared" si="269"/>
        <v>44</v>
      </c>
      <c r="R1723" t="str">
        <f t="shared" si="270"/>
        <v/>
      </c>
      <c r="S1723">
        <f>SUMIF(O1723:$O$2855,R1723,Q1723:$Q$2855)</f>
        <v>0</v>
      </c>
    </row>
    <row r="1724" spans="11:19" x14ac:dyDescent="0.25">
      <c r="K1724" s="4" t="s">
        <v>421</v>
      </c>
      <c r="L1724" t="s">
        <v>422</v>
      </c>
      <c r="M1724" t="s">
        <v>3874</v>
      </c>
      <c r="N1724" t="s">
        <v>437</v>
      </c>
      <c r="O1724" t="s">
        <v>244</v>
      </c>
      <c r="P1724" t="str">
        <f t="shared" si="268"/>
        <v>[1]</v>
      </c>
      <c r="Q1724">
        <f t="shared" si="269"/>
        <v>24</v>
      </c>
      <c r="R1724" t="str">
        <f t="shared" si="270"/>
        <v/>
      </c>
      <c r="S1724">
        <f>SUMIF(O1724:$O$2855,R1724,Q1724:$Q$2855)</f>
        <v>0</v>
      </c>
    </row>
    <row r="1725" spans="11:19" x14ac:dyDescent="0.25">
      <c r="K1725" s="4" t="s">
        <v>421</v>
      </c>
      <c r="L1725" t="s">
        <v>422</v>
      </c>
      <c r="M1725" t="s">
        <v>1971</v>
      </c>
      <c r="N1725" t="s">
        <v>119</v>
      </c>
      <c r="O1725" t="s">
        <v>244</v>
      </c>
      <c r="P1725" t="str">
        <f t="shared" si="268"/>
        <v>[1]</v>
      </c>
      <c r="Q1725">
        <f t="shared" si="269"/>
        <v>32</v>
      </c>
      <c r="R1725" t="str">
        <f t="shared" si="270"/>
        <v/>
      </c>
      <c r="S1725">
        <f>SUMIF(O1725:$O$2855,R1725,Q1725:$Q$2855)</f>
        <v>0</v>
      </c>
    </row>
    <row r="1726" spans="11:19" x14ac:dyDescent="0.25">
      <c r="K1726" s="4" t="s">
        <v>421</v>
      </c>
      <c r="L1726" t="s">
        <v>422</v>
      </c>
      <c r="M1726" t="s">
        <v>3875</v>
      </c>
      <c r="N1726" t="s">
        <v>437</v>
      </c>
      <c r="O1726" t="s">
        <v>244</v>
      </c>
      <c r="P1726" t="str">
        <f t="shared" si="268"/>
        <v>[1]</v>
      </c>
      <c r="Q1726">
        <f t="shared" si="269"/>
        <v>24</v>
      </c>
      <c r="R1726" t="str">
        <f t="shared" si="270"/>
        <v/>
      </c>
      <c r="S1726">
        <f>SUMIF(O1726:$O$2855,R1726,Q1726:$Q$2855)</f>
        <v>0</v>
      </c>
    </row>
    <row r="1727" spans="11:19" x14ac:dyDescent="0.25">
      <c r="K1727" s="4" t="s">
        <v>421</v>
      </c>
      <c r="L1727" t="s">
        <v>422</v>
      </c>
      <c r="M1727" t="s">
        <v>1972</v>
      </c>
      <c r="N1727" t="s">
        <v>67</v>
      </c>
      <c r="O1727" t="s">
        <v>244</v>
      </c>
      <c r="P1727" t="str">
        <f t="shared" si="268"/>
        <v>[1]</v>
      </c>
      <c r="Q1727">
        <f t="shared" si="269"/>
        <v>48</v>
      </c>
      <c r="R1727" t="str">
        <f t="shared" si="270"/>
        <v/>
      </c>
      <c r="S1727">
        <f>SUMIF(O1727:$O$2855,R1727,Q1727:$Q$2855)</f>
        <v>0</v>
      </c>
    </row>
    <row r="1728" spans="11:19" x14ac:dyDescent="0.25">
      <c r="K1728" s="4" t="s">
        <v>421</v>
      </c>
      <c r="L1728" t="s">
        <v>422</v>
      </c>
      <c r="M1728" t="s">
        <v>3876</v>
      </c>
      <c r="N1728" t="s">
        <v>202</v>
      </c>
      <c r="O1728" t="s">
        <v>244</v>
      </c>
      <c r="P1728" t="str">
        <f t="shared" si="268"/>
        <v>[1]</v>
      </c>
      <c r="Q1728">
        <f t="shared" si="269"/>
        <v>16</v>
      </c>
      <c r="R1728" t="str">
        <f t="shared" si="270"/>
        <v/>
      </c>
      <c r="S1728">
        <f>SUMIF(O1728:$O$2855,R1728,Q1728:$Q$2855)</f>
        <v>0</v>
      </c>
    </row>
    <row r="1729" spans="11:19" x14ac:dyDescent="0.25">
      <c r="K1729" s="4" t="s">
        <v>421</v>
      </c>
      <c r="L1729" t="s">
        <v>422</v>
      </c>
      <c r="M1729" t="s">
        <v>1783</v>
      </c>
      <c r="N1729" t="s">
        <v>437</v>
      </c>
      <c r="O1729" t="s">
        <v>244</v>
      </c>
      <c r="P1729" t="str">
        <f t="shared" si="268"/>
        <v>[1]</v>
      </c>
      <c r="Q1729">
        <f t="shared" si="269"/>
        <v>24</v>
      </c>
      <c r="R1729" t="str">
        <f t="shared" si="270"/>
        <v/>
      </c>
      <c r="S1729">
        <f>SUMIF(O1729:$O$2855,R1729,Q1729:$Q$2855)</f>
        <v>0</v>
      </c>
    </row>
    <row r="1730" spans="11:19" x14ac:dyDescent="0.25">
      <c r="K1730" s="4" t="s">
        <v>421</v>
      </c>
      <c r="L1730" t="s">
        <v>422</v>
      </c>
      <c r="M1730" t="s">
        <v>3877</v>
      </c>
      <c r="N1730" t="s">
        <v>165</v>
      </c>
      <c r="O1730" t="s">
        <v>244</v>
      </c>
      <c r="P1730" t="str">
        <f t="shared" ref="P1730:P1793" si="271">VLOOKUP($K$30,$E$1:$F$26,2,FALSE)</f>
        <v>[1]</v>
      </c>
      <c r="Q1730">
        <f t="shared" si="269"/>
        <v>20</v>
      </c>
      <c r="R1730" t="str">
        <f t="shared" si="270"/>
        <v/>
      </c>
      <c r="S1730">
        <f>SUMIF(O1730:$O$2855,R1730,Q1730:$Q$2855)</f>
        <v>0</v>
      </c>
    </row>
    <row r="1731" spans="11:19" x14ac:dyDescent="0.25">
      <c r="K1731" s="4" t="s">
        <v>421</v>
      </c>
      <c r="L1731" t="s">
        <v>422</v>
      </c>
      <c r="M1731" t="s">
        <v>3878</v>
      </c>
      <c r="N1731" t="s">
        <v>65</v>
      </c>
      <c r="O1731" t="s">
        <v>244</v>
      </c>
      <c r="P1731" t="str">
        <f t="shared" si="271"/>
        <v>[1]</v>
      </c>
      <c r="Q1731">
        <f t="shared" ref="Q1731:Q1794" si="272">HEX2DEC(MID(N1731,3,LEN(N1731)-2))</f>
        <v>40</v>
      </c>
      <c r="R1731" t="str">
        <f t="shared" si="270"/>
        <v/>
      </c>
      <c r="S1731">
        <f>SUMIF(O1731:$O$2855,R1731,Q1731:$Q$2855)</f>
        <v>0</v>
      </c>
    </row>
    <row r="1732" spans="11:19" x14ac:dyDescent="0.25">
      <c r="K1732" s="4" t="s">
        <v>421</v>
      </c>
      <c r="L1732" t="s">
        <v>422</v>
      </c>
      <c r="M1732" t="s">
        <v>3879</v>
      </c>
      <c r="N1732" t="s">
        <v>437</v>
      </c>
      <c r="O1732" t="s">
        <v>244</v>
      </c>
      <c r="P1732" t="str">
        <f t="shared" si="271"/>
        <v>[1]</v>
      </c>
      <c r="Q1732">
        <f t="shared" si="272"/>
        <v>24</v>
      </c>
      <c r="R1732" t="str">
        <f t="shared" si="270"/>
        <v/>
      </c>
      <c r="S1732">
        <f>SUMIF(O1732:$O$2855,R1732,Q1732:$Q$2855)</f>
        <v>0</v>
      </c>
    </row>
    <row r="1733" spans="11:19" x14ac:dyDescent="0.25">
      <c r="K1733" s="4" t="s">
        <v>421</v>
      </c>
      <c r="L1733" t="s">
        <v>422</v>
      </c>
      <c r="M1733" t="s">
        <v>3880</v>
      </c>
      <c r="N1733" t="s">
        <v>267</v>
      </c>
      <c r="O1733" t="s">
        <v>244</v>
      </c>
      <c r="P1733" t="str">
        <f t="shared" si="271"/>
        <v>[1]</v>
      </c>
      <c r="Q1733">
        <f t="shared" si="272"/>
        <v>116</v>
      </c>
      <c r="R1733" t="str">
        <f t="shared" si="270"/>
        <v/>
      </c>
      <c r="S1733">
        <f>SUMIF(O1733:$O$2855,R1733,Q1733:$Q$2855)</f>
        <v>0</v>
      </c>
    </row>
    <row r="1734" spans="11:19" x14ac:dyDescent="0.25">
      <c r="K1734" s="4" t="s">
        <v>421</v>
      </c>
      <c r="L1734" t="s">
        <v>422</v>
      </c>
      <c r="M1734" t="s">
        <v>3881</v>
      </c>
      <c r="N1734" t="s">
        <v>202</v>
      </c>
      <c r="O1734" t="s">
        <v>244</v>
      </c>
      <c r="P1734" t="str">
        <f t="shared" si="271"/>
        <v>[1]</v>
      </c>
      <c r="Q1734">
        <f t="shared" si="272"/>
        <v>16</v>
      </c>
      <c r="R1734" t="str">
        <f t="shared" si="270"/>
        <v/>
      </c>
      <c r="S1734">
        <f>SUMIF(O1734:$O$2855,R1734,Q1734:$Q$2855)</f>
        <v>0</v>
      </c>
    </row>
    <row r="1735" spans="11:19" x14ac:dyDescent="0.25">
      <c r="K1735" s="4" t="s">
        <v>421</v>
      </c>
      <c r="L1735" t="s">
        <v>422</v>
      </c>
      <c r="M1735" t="s">
        <v>3882</v>
      </c>
      <c r="N1735" t="s">
        <v>76</v>
      </c>
      <c r="O1735" t="s">
        <v>244</v>
      </c>
      <c r="P1735" t="str">
        <f t="shared" si="271"/>
        <v>[1]</v>
      </c>
      <c r="Q1735">
        <f t="shared" si="272"/>
        <v>36</v>
      </c>
      <c r="R1735" t="str">
        <f t="shared" si="270"/>
        <v/>
      </c>
      <c r="S1735">
        <f>SUMIF(O1735:$O$2855,R1735,Q1735:$Q$2855)</f>
        <v>0</v>
      </c>
    </row>
    <row r="1736" spans="11:19" x14ac:dyDescent="0.25">
      <c r="K1736" s="4" t="s">
        <v>421</v>
      </c>
      <c r="L1736" t="s">
        <v>422</v>
      </c>
      <c r="M1736" t="s">
        <v>3883</v>
      </c>
      <c r="N1736" t="s">
        <v>202</v>
      </c>
      <c r="O1736" t="s">
        <v>244</v>
      </c>
      <c r="P1736" t="str">
        <f t="shared" si="271"/>
        <v>[1]</v>
      </c>
      <c r="Q1736">
        <f t="shared" si="272"/>
        <v>16</v>
      </c>
      <c r="R1736" t="str">
        <f t="shared" si="270"/>
        <v/>
      </c>
      <c r="S1736">
        <f>SUMIF(O1736:$O$2855,R1736,Q1736:$Q$2855)</f>
        <v>0</v>
      </c>
    </row>
    <row r="1737" spans="11:19" x14ac:dyDescent="0.25">
      <c r="K1737" s="4" t="s">
        <v>421</v>
      </c>
      <c r="L1737" t="s">
        <v>422</v>
      </c>
      <c r="M1737" t="s">
        <v>3884</v>
      </c>
      <c r="N1737" t="s">
        <v>76</v>
      </c>
      <c r="O1737" t="s">
        <v>244</v>
      </c>
      <c r="P1737" t="str">
        <f t="shared" si="271"/>
        <v>[1]</v>
      </c>
      <c r="Q1737">
        <f t="shared" si="272"/>
        <v>36</v>
      </c>
      <c r="R1737" t="str">
        <f t="shared" si="270"/>
        <v/>
      </c>
      <c r="S1737">
        <f>SUMIF(O1737:$O$2855,R1737,Q1737:$Q$2855)</f>
        <v>0</v>
      </c>
    </row>
    <row r="1738" spans="11:19" x14ac:dyDescent="0.25">
      <c r="K1738" s="4" t="s">
        <v>421</v>
      </c>
      <c r="L1738" t="s">
        <v>422</v>
      </c>
      <c r="M1738" t="s">
        <v>3885</v>
      </c>
      <c r="N1738" t="s">
        <v>165</v>
      </c>
      <c r="O1738" t="s">
        <v>244</v>
      </c>
      <c r="P1738" t="str">
        <f t="shared" si="271"/>
        <v>[1]</v>
      </c>
      <c r="Q1738">
        <f t="shared" si="272"/>
        <v>20</v>
      </c>
      <c r="R1738" t="str">
        <f t="shared" si="270"/>
        <v/>
      </c>
      <c r="S1738">
        <f>SUMIF(O1738:$O$2855,R1738,Q1738:$Q$2855)</f>
        <v>0</v>
      </c>
    </row>
    <row r="1739" spans="11:19" x14ac:dyDescent="0.25">
      <c r="K1739" s="4" t="s">
        <v>421</v>
      </c>
      <c r="L1739" t="s">
        <v>422</v>
      </c>
      <c r="M1739" t="s">
        <v>3886</v>
      </c>
      <c r="N1739" t="s">
        <v>119</v>
      </c>
      <c r="O1739" t="s">
        <v>244</v>
      </c>
      <c r="P1739" t="str">
        <f t="shared" si="271"/>
        <v>[1]</v>
      </c>
      <c r="Q1739">
        <f t="shared" si="272"/>
        <v>32</v>
      </c>
      <c r="R1739" t="str">
        <f t="shared" si="270"/>
        <v/>
      </c>
      <c r="S1739">
        <f>SUMIF(O1739:$O$2855,R1739,Q1739:$Q$2855)</f>
        <v>0</v>
      </c>
    </row>
    <row r="1740" spans="11:19" x14ac:dyDescent="0.25">
      <c r="K1740" s="4" t="s">
        <v>421</v>
      </c>
      <c r="L1740" t="s">
        <v>422</v>
      </c>
      <c r="M1740" t="s">
        <v>3887</v>
      </c>
      <c r="N1740" t="s">
        <v>13</v>
      </c>
      <c r="O1740" t="s">
        <v>244</v>
      </c>
      <c r="P1740" t="str">
        <f t="shared" si="271"/>
        <v>[1]</v>
      </c>
      <c r="Q1740">
        <f t="shared" si="272"/>
        <v>12</v>
      </c>
      <c r="R1740" t="str">
        <f t="shared" si="270"/>
        <v/>
      </c>
      <c r="S1740">
        <f>SUMIF(O1740:$O$2855,R1740,Q1740:$Q$2855)</f>
        <v>0</v>
      </c>
    </row>
    <row r="1741" spans="11:19" x14ac:dyDescent="0.25">
      <c r="K1741" s="4" t="s">
        <v>421</v>
      </c>
      <c r="L1741" t="s">
        <v>422</v>
      </c>
      <c r="M1741" t="s">
        <v>1973</v>
      </c>
      <c r="N1741" t="s">
        <v>165</v>
      </c>
      <c r="O1741" t="s">
        <v>244</v>
      </c>
      <c r="P1741" t="str">
        <f t="shared" si="271"/>
        <v>[1]</v>
      </c>
      <c r="Q1741">
        <f t="shared" si="272"/>
        <v>20</v>
      </c>
      <c r="R1741" t="str">
        <f t="shared" si="270"/>
        <v/>
      </c>
      <c r="S1741">
        <f>SUMIF(O1741:$O$2855,R1741,Q1741:$Q$2855)</f>
        <v>0</v>
      </c>
    </row>
    <row r="1742" spans="11:19" x14ac:dyDescent="0.25">
      <c r="K1742" s="4" t="s">
        <v>421</v>
      </c>
      <c r="L1742" t="s">
        <v>422</v>
      </c>
      <c r="M1742" t="s">
        <v>3888</v>
      </c>
      <c r="N1742" t="s">
        <v>13</v>
      </c>
      <c r="O1742" t="s">
        <v>244</v>
      </c>
      <c r="P1742" t="str">
        <f t="shared" si="271"/>
        <v>[1]</v>
      </c>
      <c r="Q1742">
        <f t="shared" si="272"/>
        <v>12</v>
      </c>
      <c r="R1742" t="str">
        <f t="shared" si="270"/>
        <v/>
      </c>
      <c r="S1742">
        <f>SUMIF(O1742:$O$2855,R1742,Q1742:$Q$2855)</f>
        <v>0</v>
      </c>
    </row>
    <row r="1743" spans="11:19" x14ac:dyDescent="0.25">
      <c r="K1743" s="4" t="s">
        <v>421</v>
      </c>
      <c r="L1743" t="s">
        <v>422</v>
      </c>
      <c r="M1743" t="s">
        <v>3889</v>
      </c>
      <c r="N1743" t="s">
        <v>165</v>
      </c>
      <c r="O1743" t="s">
        <v>244</v>
      </c>
      <c r="P1743" t="str">
        <f t="shared" si="271"/>
        <v>[1]</v>
      </c>
      <c r="Q1743">
        <f t="shared" si="272"/>
        <v>20</v>
      </c>
      <c r="R1743" t="str">
        <f t="shared" si="270"/>
        <v/>
      </c>
      <c r="S1743">
        <f>SUMIF(O1743:$O$2855,R1743,Q1743:$Q$2855)</f>
        <v>0</v>
      </c>
    </row>
    <row r="1744" spans="11:19" x14ac:dyDescent="0.25">
      <c r="K1744" s="4" t="s">
        <v>421</v>
      </c>
      <c r="L1744" t="s">
        <v>422</v>
      </c>
      <c r="M1744" t="s">
        <v>3890</v>
      </c>
      <c r="N1744" t="s">
        <v>165</v>
      </c>
      <c r="O1744" t="s">
        <v>244</v>
      </c>
      <c r="P1744" t="str">
        <f t="shared" si="271"/>
        <v>[1]</v>
      </c>
      <c r="Q1744">
        <f t="shared" si="272"/>
        <v>20</v>
      </c>
      <c r="R1744" t="str">
        <f t="shared" si="270"/>
        <v/>
      </c>
      <c r="S1744">
        <f>SUMIF(O1744:$O$2855,R1744,Q1744:$Q$2855)</f>
        <v>0</v>
      </c>
    </row>
    <row r="1745" spans="11:19" x14ac:dyDescent="0.25">
      <c r="K1745" s="4" t="s">
        <v>421</v>
      </c>
      <c r="L1745" t="s">
        <v>422</v>
      </c>
      <c r="M1745" t="s">
        <v>3891</v>
      </c>
      <c r="N1745" t="s">
        <v>6</v>
      </c>
      <c r="O1745" t="s">
        <v>244</v>
      </c>
      <c r="P1745" t="str">
        <f t="shared" si="271"/>
        <v>[1]</v>
      </c>
      <c r="Q1745">
        <f t="shared" si="272"/>
        <v>28</v>
      </c>
      <c r="R1745" t="str">
        <f t="shared" si="270"/>
        <v/>
      </c>
      <c r="S1745">
        <f>SUMIF(O1745:$O$2855,R1745,Q1745:$Q$2855)</f>
        <v>0</v>
      </c>
    </row>
    <row r="1746" spans="11:19" x14ac:dyDescent="0.25">
      <c r="K1746" s="4" t="s">
        <v>421</v>
      </c>
      <c r="L1746" t="s">
        <v>422</v>
      </c>
      <c r="M1746" t="s">
        <v>3892</v>
      </c>
      <c r="N1746" t="s">
        <v>165</v>
      </c>
      <c r="O1746" t="s">
        <v>244</v>
      </c>
      <c r="P1746" t="str">
        <f t="shared" si="271"/>
        <v>[1]</v>
      </c>
      <c r="Q1746">
        <f t="shared" si="272"/>
        <v>20</v>
      </c>
      <c r="R1746" t="str">
        <f t="shared" si="270"/>
        <v/>
      </c>
      <c r="S1746">
        <f>SUMIF(O1746:$O$2855,R1746,Q1746:$Q$2855)</f>
        <v>0</v>
      </c>
    </row>
    <row r="1747" spans="11:19" x14ac:dyDescent="0.25">
      <c r="K1747" s="4" t="s">
        <v>421</v>
      </c>
      <c r="L1747" t="s">
        <v>422</v>
      </c>
      <c r="M1747" t="s">
        <v>1974</v>
      </c>
      <c r="N1747" t="s">
        <v>165</v>
      </c>
      <c r="O1747" t="s">
        <v>244</v>
      </c>
      <c r="P1747" t="str">
        <f t="shared" si="271"/>
        <v>[1]</v>
      </c>
      <c r="Q1747">
        <f t="shared" si="272"/>
        <v>20</v>
      </c>
      <c r="R1747" t="str">
        <f t="shared" si="270"/>
        <v/>
      </c>
      <c r="S1747">
        <f>SUMIF(O1747:$O$2855,R1747,Q1747:$Q$2855)</f>
        <v>0</v>
      </c>
    </row>
    <row r="1748" spans="11:19" x14ac:dyDescent="0.25">
      <c r="K1748" s="4" t="s">
        <v>421</v>
      </c>
      <c r="L1748" t="s">
        <v>422</v>
      </c>
      <c r="M1748" t="s">
        <v>3893</v>
      </c>
      <c r="N1748" t="s">
        <v>202</v>
      </c>
      <c r="O1748" t="s">
        <v>244</v>
      </c>
      <c r="P1748" t="str">
        <f t="shared" si="271"/>
        <v>[1]</v>
      </c>
      <c r="Q1748">
        <f t="shared" si="272"/>
        <v>16</v>
      </c>
      <c r="R1748" t="str">
        <f t="shared" si="270"/>
        <v/>
      </c>
      <c r="S1748">
        <f>SUMIF(O1748:$O$2855,R1748,Q1748:$Q$2855)</f>
        <v>0</v>
      </c>
    </row>
    <row r="1749" spans="11:19" x14ac:dyDescent="0.25">
      <c r="K1749" s="4" t="s">
        <v>421</v>
      </c>
      <c r="L1749" t="s">
        <v>422</v>
      </c>
      <c r="M1749" t="s">
        <v>3894</v>
      </c>
      <c r="N1749" t="s">
        <v>435</v>
      </c>
      <c r="O1749" t="s">
        <v>244</v>
      </c>
      <c r="P1749" t="str">
        <f t="shared" si="271"/>
        <v>[1]</v>
      </c>
      <c r="Q1749">
        <f t="shared" si="272"/>
        <v>60</v>
      </c>
      <c r="R1749" t="str">
        <f t="shared" si="270"/>
        <v/>
      </c>
      <c r="S1749">
        <f>SUMIF(O1749:$O$2855,R1749,Q1749:$Q$2855)</f>
        <v>0</v>
      </c>
    </row>
    <row r="1750" spans="11:19" x14ac:dyDescent="0.25">
      <c r="K1750" s="4" t="s">
        <v>421</v>
      </c>
      <c r="L1750" t="s">
        <v>422</v>
      </c>
      <c r="M1750" t="s">
        <v>1784</v>
      </c>
      <c r="N1750" t="s">
        <v>437</v>
      </c>
      <c r="O1750" t="s">
        <v>244</v>
      </c>
      <c r="P1750" t="str">
        <f t="shared" si="271"/>
        <v>[1]</v>
      </c>
      <c r="Q1750">
        <f t="shared" si="272"/>
        <v>24</v>
      </c>
      <c r="R1750" t="str">
        <f t="shared" si="270"/>
        <v/>
      </c>
      <c r="S1750">
        <f>SUMIF(O1750:$O$2855,R1750,Q1750:$Q$2855)</f>
        <v>0</v>
      </c>
    </row>
    <row r="1751" spans="11:19" x14ac:dyDescent="0.25">
      <c r="K1751" s="4" t="s">
        <v>421</v>
      </c>
      <c r="L1751" t="s">
        <v>422</v>
      </c>
      <c r="M1751" t="s">
        <v>1975</v>
      </c>
      <c r="N1751" t="s">
        <v>76</v>
      </c>
      <c r="O1751" t="s">
        <v>244</v>
      </c>
      <c r="P1751" t="str">
        <f t="shared" si="271"/>
        <v>[1]</v>
      </c>
      <c r="Q1751">
        <f t="shared" si="272"/>
        <v>36</v>
      </c>
      <c r="R1751" t="str">
        <f t="shared" si="270"/>
        <v/>
      </c>
      <c r="S1751">
        <f>SUMIF(O1751:$O$2855,R1751,Q1751:$Q$2855)</f>
        <v>0</v>
      </c>
    </row>
    <row r="1752" spans="11:19" x14ac:dyDescent="0.25">
      <c r="K1752" s="4" t="s">
        <v>421</v>
      </c>
      <c r="L1752" t="s">
        <v>422</v>
      </c>
      <c r="M1752" t="s">
        <v>3895</v>
      </c>
      <c r="N1752" t="s">
        <v>65</v>
      </c>
      <c r="O1752" t="s">
        <v>244</v>
      </c>
      <c r="P1752" t="str">
        <f t="shared" si="271"/>
        <v>[1]</v>
      </c>
      <c r="Q1752">
        <f t="shared" si="272"/>
        <v>40</v>
      </c>
      <c r="R1752" t="str">
        <f t="shared" si="270"/>
        <v/>
      </c>
      <c r="S1752">
        <f>SUMIF(O1752:$O$2855,R1752,Q1752:$Q$2855)</f>
        <v>0</v>
      </c>
    </row>
    <row r="1753" spans="11:19" x14ac:dyDescent="0.25">
      <c r="K1753" s="4" t="s">
        <v>421</v>
      </c>
      <c r="L1753" t="s">
        <v>422</v>
      </c>
      <c r="M1753" t="s">
        <v>1976</v>
      </c>
      <c r="N1753" t="s">
        <v>437</v>
      </c>
      <c r="O1753" t="s">
        <v>244</v>
      </c>
      <c r="P1753" t="str">
        <f t="shared" si="271"/>
        <v>[1]</v>
      </c>
      <c r="Q1753">
        <f t="shared" si="272"/>
        <v>24</v>
      </c>
      <c r="R1753" t="str">
        <f t="shared" si="270"/>
        <v/>
      </c>
      <c r="S1753">
        <f>SUMIF(O1753:$O$2855,R1753,Q1753:$Q$2855)</f>
        <v>0</v>
      </c>
    </row>
    <row r="1754" spans="11:19" x14ac:dyDescent="0.25">
      <c r="K1754" s="4" t="s">
        <v>421</v>
      </c>
      <c r="L1754" t="s">
        <v>422</v>
      </c>
      <c r="M1754" t="s">
        <v>1977</v>
      </c>
      <c r="N1754" t="s">
        <v>202</v>
      </c>
      <c r="O1754" t="s">
        <v>244</v>
      </c>
      <c r="P1754" t="str">
        <f t="shared" si="271"/>
        <v>[1]</v>
      </c>
      <c r="Q1754">
        <f t="shared" si="272"/>
        <v>16</v>
      </c>
      <c r="R1754" t="str">
        <f t="shared" si="270"/>
        <v/>
      </c>
      <c r="S1754">
        <f>SUMIF(O1754:$O$2855,R1754,Q1754:$Q$2855)</f>
        <v>0</v>
      </c>
    </row>
    <row r="1755" spans="11:19" x14ac:dyDescent="0.25">
      <c r="K1755" s="4" t="s">
        <v>421</v>
      </c>
      <c r="L1755" t="s">
        <v>422</v>
      </c>
      <c r="M1755" t="s">
        <v>3896</v>
      </c>
      <c r="N1755" t="s">
        <v>437</v>
      </c>
      <c r="O1755" t="s">
        <v>244</v>
      </c>
      <c r="P1755" t="str">
        <f t="shared" si="271"/>
        <v>[1]</v>
      </c>
      <c r="Q1755">
        <f t="shared" si="272"/>
        <v>24</v>
      </c>
      <c r="R1755" t="str">
        <f t="shared" si="270"/>
        <v/>
      </c>
      <c r="S1755">
        <f>SUMIF(O1755:$O$2855,R1755,Q1755:$Q$2855)</f>
        <v>0</v>
      </c>
    </row>
    <row r="1756" spans="11:19" x14ac:dyDescent="0.25">
      <c r="K1756" s="4" t="s">
        <v>421</v>
      </c>
      <c r="L1756" t="s">
        <v>422</v>
      </c>
      <c r="M1756" t="s">
        <v>3897</v>
      </c>
      <c r="N1756" t="s">
        <v>119</v>
      </c>
      <c r="O1756" t="s">
        <v>244</v>
      </c>
      <c r="P1756" t="str">
        <f t="shared" si="271"/>
        <v>[1]</v>
      </c>
      <c r="Q1756">
        <f t="shared" si="272"/>
        <v>32</v>
      </c>
      <c r="R1756" t="str">
        <f t="shared" si="270"/>
        <v/>
      </c>
      <c r="S1756">
        <f>SUMIF(O1756:$O$2855,R1756,Q1756:$Q$2855)</f>
        <v>0</v>
      </c>
    </row>
    <row r="1757" spans="11:19" x14ac:dyDescent="0.25">
      <c r="K1757" s="4" t="s">
        <v>421</v>
      </c>
      <c r="L1757" t="s">
        <v>422</v>
      </c>
      <c r="M1757" t="s">
        <v>3898</v>
      </c>
      <c r="N1757" t="s">
        <v>76</v>
      </c>
      <c r="O1757" t="s">
        <v>244</v>
      </c>
      <c r="P1757" t="str">
        <f t="shared" si="271"/>
        <v>[1]</v>
      </c>
      <c r="Q1757">
        <f t="shared" si="272"/>
        <v>36</v>
      </c>
      <c r="R1757" t="str">
        <f t="shared" si="270"/>
        <v/>
      </c>
      <c r="S1757">
        <f>SUMIF(O1757:$O$2855,R1757,Q1757:$Q$2855)</f>
        <v>0</v>
      </c>
    </row>
    <row r="1758" spans="11:19" x14ac:dyDescent="0.25">
      <c r="K1758" s="4" t="s">
        <v>421</v>
      </c>
      <c r="L1758" t="s">
        <v>422</v>
      </c>
      <c r="M1758" t="s">
        <v>3899</v>
      </c>
      <c r="N1758" t="s">
        <v>13</v>
      </c>
      <c r="O1758" t="s">
        <v>244</v>
      </c>
      <c r="P1758" t="str">
        <f t="shared" si="271"/>
        <v>[1]</v>
      </c>
      <c r="Q1758">
        <f t="shared" si="272"/>
        <v>12</v>
      </c>
      <c r="R1758" t="str">
        <f t="shared" si="270"/>
        <v/>
      </c>
      <c r="S1758">
        <f>SUMIF(O1758:$O$2855,R1758,Q1758:$Q$2855)</f>
        <v>0</v>
      </c>
    </row>
    <row r="1759" spans="11:19" x14ac:dyDescent="0.25">
      <c r="K1759" s="4" t="s">
        <v>421</v>
      </c>
      <c r="L1759" t="s">
        <v>422</v>
      </c>
      <c r="M1759" t="s">
        <v>3900</v>
      </c>
      <c r="N1759" t="s">
        <v>103</v>
      </c>
      <c r="O1759" t="s">
        <v>244</v>
      </c>
      <c r="P1759" t="str">
        <f t="shared" si="271"/>
        <v>[1]</v>
      </c>
      <c r="Q1759">
        <f t="shared" si="272"/>
        <v>64</v>
      </c>
      <c r="R1759" t="str">
        <f t="shared" si="270"/>
        <v/>
      </c>
      <c r="S1759">
        <f>SUMIF(O1759:$O$2855,R1759,Q1759:$Q$2855)</f>
        <v>0</v>
      </c>
    </row>
    <row r="1760" spans="11:19" x14ac:dyDescent="0.25">
      <c r="K1760" s="4" t="s">
        <v>421</v>
      </c>
      <c r="L1760" t="s">
        <v>422</v>
      </c>
      <c r="M1760" t="s">
        <v>1729</v>
      </c>
      <c r="N1760" t="s">
        <v>126</v>
      </c>
      <c r="O1760" t="s">
        <v>244</v>
      </c>
      <c r="P1760" t="str">
        <f t="shared" si="271"/>
        <v>[1]</v>
      </c>
      <c r="Q1760">
        <f t="shared" si="272"/>
        <v>8</v>
      </c>
      <c r="R1760" t="str">
        <f t="shared" ref="R1760:R1823" si="273">IF(O1760&lt;&gt;O1759,O1760,"")</f>
        <v/>
      </c>
      <c r="S1760">
        <f>SUMIF(O1760:$O$2855,R1760,Q1760:$Q$2855)</f>
        <v>0</v>
      </c>
    </row>
    <row r="1761" spans="11:19" x14ac:dyDescent="0.25">
      <c r="K1761" s="4" t="s">
        <v>421</v>
      </c>
      <c r="L1761" t="s">
        <v>422</v>
      </c>
      <c r="M1761" t="s">
        <v>3901</v>
      </c>
      <c r="N1761" t="s">
        <v>6</v>
      </c>
      <c r="O1761" t="s">
        <v>244</v>
      </c>
      <c r="P1761" t="str">
        <f t="shared" si="271"/>
        <v>[1]</v>
      </c>
      <c r="Q1761">
        <f t="shared" si="272"/>
        <v>28</v>
      </c>
      <c r="R1761" t="str">
        <f t="shared" si="273"/>
        <v/>
      </c>
      <c r="S1761">
        <f>SUMIF(O1761:$O$2855,R1761,Q1761:$Q$2855)</f>
        <v>0</v>
      </c>
    </row>
    <row r="1762" spans="11:19" x14ac:dyDescent="0.25">
      <c r="K1762" s="4" t="s">
        <v>421</v>
      </c>
      <c r="L1762" t="s">
        <v>422</v>
      </c>
      <c r="M1762" t="s">
        <v>3902</v>
      </c>
      <c r="N1762" t="s">
        <v>76</v>
      </c>
      <c r="O1762" t="s">
        <v>244</v>
      </c>
      <c r="P1762" t="str">
        <f t="shared" si="271"/>
        <v>[1]</v>
      </c>
      <c r="Q1762">
        <f t="shared" si="272"/>
        <v>36</v>
      </c>
      <c r="R1762" t="str">
        <f t="shared" si="273"/>
        <v/>
      </c>
      <c r="S1762">
        <f>SUMIF(O1762:$O$2855,R1762,Q1762:$Q$2855)</f>
        <v>0</v>
      </c>
    </row>
    <row r="1763" spans="11:19" x14ac:dyDescent="0.25">
      <c r="K1763" s="4" t="s">
        <v>421</v>
      </c>
      <c r="L1763" t="s">
        <v>422</v>
      </c>
      <c r="M1763" t="s">
        <v>3903</v>
      </c>
      <c r="N1763" t="s">
        <v>119</v>
      </c>
      <c r="O1763" t="s">
        <v>244</v>
      </c>
      <c r="P1763" t="str">
        <f t="shared" si="271"/>
        <v>[1]</v>
      </c>
      <c r="Q1763">
        <f t="shared" si="272"/>
        <v>32</v>
      </c>
      <c r="R1763" t="str">
        <f t="shared" si="273"/>
        <v/>
      </c>
      <c r="S1763">
        <f>SUMIF(O1763:$O$2855,R1763,Q1763:$Q$2855)</f>
        <v>0</v>
      </c>
    </row>
    <row r="1764" spans="11:19" x14ac:dyDescent="0.25">
      <c r="K1764" s="4" t="s">
        <v>421</v>
      </c>
      <c r="L1764" t="s">
        <v>422</v>
      </c>
      <c r="M1764" t="s">
        <v>1978</v>
      </c>
      <c r="N1764" t="s">
        <v>437</v>
      </c>
      <c r="O1764" t="s">
        <v>244</v>
      </c>
      <c r="P1764" t="str">
        <f t="shared" si="271"/>
        <v>[1]</v>
      </c>
      <c r="Q1764">
        <f t="shared" si="272"/>
        <v>24</v>
      </c>
      <c r="R1764" t="str">
        <f t="shared" si="273"/>
        <v/>
      </c>
      <c r="S1764">
        <f>SUMIF(O1764:$O$2855,R1764,Q1764:$Q$2855)</f>
        <v>0</v>
      </c>
    </row>
    <row r="1765" spans="11:19" x14ac:dyDescent="0.25">
      <c r="K1765" s="4" t="s">
        <v>421</v>
      </c>
      <c r="L1765" t="s">
        <v>422</v>
      </c>
      <c r="M1765" t="s">
        <v>3904</v>
      </c>
      <c r="N1765" t="s">
        <v>202</v>
      </c>
      <c r="O1765" t="s">
        <v>244</v>
      </c>
      <c r="P1765" t="str">
        <f t="shared" si="271"/>
        <v>[1]</v>
      </c>
      <c r="Q1765">
        <f t="shared" si="272"/>
        <v>16</v>
      </c>
      <c r="R1765" t="str">
        <f t="shared" si="273"/>
        <v/>
      </c>
      <c r="S1765">
        <f>SUMIF(O1765:$O$2855,R1765,Q1765:$Q$2855)</f>
        <v>0</v>
      </c>
    </row>
    <row r="1766" spans="11:19" x14ac:dyDescent="0.25">
      <c r="K1766" s="4" t="s">
        <v>421</v>
      </c>
      <c r="L1766" t="s">
        <v>422</v>
      </c>
      <c r="M1766" t="s">
        <v>3905</v>
      </c>
      <c r="N1766" t="s">
        <v>13</v>
      </c>
      <c r="O1766" t="s">
        <v>244</v>
      </c>
      <c r="P1766" t="str">
        <f t="shared" si="271"/>
        <v>[1]</v>
      </c>
      <c r="Q1766">
        <f t="shared" si="272"/>
        <v>12</v>
      </c>
      <c r="R1766" t="str">
        <f t="shared" si="273"/>
        <v/>
      </c>
      <c r="S1766">
        <f>SUMIF(O1766:$O$2855,R1766,Q1766:$Q$2855)</f>
        <v>0</v>
      </c>
    </row>
    <row r="1767" spans="11:19" x14ac:dyDescent="0.25">
      <c r="K1767" s="4" t="s">
        <v>421</v>
      </c>
      <c r="L1767" t="s">
        <v>422</v>
      </c>
      <c r="M1767" t="s">
        <v>3906</v>
      </c>
      <c r="N1767" t="s">
        <v>6</v>
      </c>
      <c r="O1767" t="s">
        <v>244</v>
      </c>
      <c r="P1767" t="str">
        <f t="shared" si="271"/>
        <v>[1]</v>
      </c>
      <c r="Q1767">
        <f t="shared" si="272"/>
        <v>28</v>
      </c>
      <c r="R1767" t="str">
        <f t="shared" si="273"/>
        <v/>
      </c>
      <c r="S1767">
        <f>SUMIF(O1767:$O$2855,R1767,Q1767:$Q$2855)</f>
        <v>0</v>
      </c>
    </row>
    <row r="1768" spans="11:19" x14ac:dyDescent="0.25">
      <c r="K1768" s="4" t="s">
        <v>421</v>
      </c>
      <c r="L1768" t="s">
        <v>422</v>
      </c>
      <c r="M1768" t="s">
        <v>1979</v>
      </c>
      <c r="N1768" t="s">
        <v>165</v>
      </c>
      <c r="O1768" t="s">
        <v>244</v>
      </c>
      <c r="P1768" t="str">
        <f t="shared" si="271"/>
        <v>[1]</v>
      </c>
      <c r="Q1768">
        <f t="shared" si="272"/>
        <v>20</v>
      </c>
      <c r="R1768" t="str">
        <f t="shared" si="273"/>
        <v/>
      </c>
      <c r="S1768">
        <f>SUMIF(O1768:$O$2855,R1768,Q1768:$Q$2855)</f>
        <v>0</v>
      </c>
    </row>
    <row r="1769" spans="11:19" x14ac:dyDescent="0.25">
      <c r="K1769" s="4" t="s">
        <v>421</v>
      </c>
      <c r="L1769" t="s">
        <v>422</v>
      </c>
      <c r="M1769" t="s">
        <v>1980</v>
      </c>
      <c r="N1769" t="s">
        <v>126</v>
      </c>
      <c r="O1769" t="s">
        <v>244</v>
      </c>
      <c r="P1769" t="str">
        <f t="shared" si="271"/>
        <v>[1]</v>
      </c>
      <c r="Q1769">
        <f t="shared" si="272"/>
        <v>8</v>
      </c>
      <c r="R1769" t="str">
        <f t="shared" si="273"/>
        <v/>
      </c>
      <c r="S1769">
        <f>SUMIF(O1769:$O$2855,R1769,Q1769:$Q$2855)</f>
        <v>0</v>
      </c>
    </row>
    <row r="1770" spans="11:19" x14ac:dyDescent="0.25">
      <c r="K1770" s="4" t="s">
        <v>421</v>
      </c>
      <c r="L1770" t="s">
        <v>422</v>
      </c>
      <c r="M1770" t="s">
        <v>3907</v>
      </c>
      <c r="N1770" t="s">
        <v>126</v>
      </c>
      <c r="O1770" t="s">
        <v>244</v>
      </c>
      <c r="P1770" t="str">
        <f t="shared" si="271"/>
        <v>[1]</v>
      </c>
      <c r="Q1770">
        <f t="shared" si="272"/>
        <v>8</v>
      </c>
      <c r="R1770" t="str">
        <f t="shared" si="273"/>
        <v/>
      </c>
      <c r="S1770">
        <f>SUMIF(O1770:$O$2855,R1770,Q1770:$Q$2855)</f>
        <v>0</v>
      </c>
    </row>
    <row r="1771" spans="11:19" x14ac:dyDescent="0.25">
      <c r="K1771" s="4" t="s">
        <v>421</v>
      </c>
      <c r="L1771" t="s">
        <v>422</v>
      </c>
      <c r="M1771" t="s">
        <v>3908</v>
      </c>
      <c r="N1771" t="s">
        <v>126</v>
      </c>
      <c r="O1771" t="s">
        <v>244</v>
      </c>
      <c r="P1771" t="str">
        <f t="shared" si="271"/>
        <v>[1]</v>
      </c>
      <c r="Q1771">
        <f t="shared" si="272"/>
        <v>8</v>
      </c>
      <c r="R1771" t="str">
        <f t="shared" si="273"/>
        <v/>
      </c>
      <c r="S1771">
        <f>SUMIF(O1771:$O$2855,R1771,Q1771:$Q$2855)</f>
        <v>0</v>
      </c>
    </row>
    <row r="1772" spans="11:19" x14ac:dyDescent="0.25">
      <c r="K1772" s="4" t="s">
        <v>421</v>
      </c>
      <c r="L1772" t="s">
        <v>422</v>
      </c>
      <c r="M1772" t="s">
        <v>1981</v>
      </c>
      <c r="N1772" t="s">
        <v>190</v>
      </c>
      <c r="O1772" t="s">
        <v>244</v>
      </c>
      <c r="P1772" t="str">
        <f t="shared" si="271"/>
        <v>[1]</v>
      </c>
      <c r="Q1772">
        <f t="shared" si="272"/>
        <v>56</v>
      </c>
      <c r="R1772" t="str">
        <f t="shared" si="273"/>
        <v/>
      </c>
      <c r="S1772">
        <f>SUMIF(O1772:$O$2855,R1772,Q1772:$Q$2855)</f>
        <v>0</v>
      </c>
    </row>
    <row r="1773" spans="11:19" x14ac:dyDescent="0.25">
      <c r="K1773" s="4" t="s">
        <v>421</v>
      </c>
      <c r="L1773" t="s">
        <v>422</v>
      </c>
      <c r="M1773" t="s">
        <v>1982</v>
      </c>
      <c r="N1773" t="s">
        <v>435</v>
      </c>
      <c r="O1773" t="s">
        <v>244</v>
      </c>
      <c r="P1773" t="str">
        <f t="shared" si="271"/>
        <v>[1]</v>
      </c>
      <c r="Q1773">
        <f t="shared" si="272"/>
        <v>60</v>
      </c>
      <c r="R1773" t="str">
        <f t="shared" si="273"/>
        <v/>
      </c>
      <c r="S1773">
        <f>SUMIF(O1773:$O$2855,R1773,Q1773:$Q$2855)</f>
        <v>0</v>
      </c>
    </row>
    <row r="1774" spans="11:19" x14ac:dyDescent="0.25">
      <c r="K1774" s="4" t="s">
        <v>421</v>
      </c>
      <c r="L1774" t="s">
        <v>422</v>
      </c>
      <c r="M1774" t="s">
        <v>3909</v>
      </c>
      <c r="N1774" t="s">
        <v>6</v>
      </c>
      <c r="O1774" t="s">
        <v>244</v>
      </c>
      <c r="P1774" t="str">
        <f t="shared" si="271"/>
        <v>[1]</v>
      </c>
      <c r="Q1774">
        <f t="shared" si="272"/>
        <v>28</v>
      </c>
      <c r="R1774" t="str">
        <f t="shared" si="273"/>
        <v/>
      </c>
      <c r="S1774">
        <f>SUMIF(O1774:$O$2855,R1774,Q1774:$Q$2855)</f>
        <v>0</v>
      </c>
    </row>
    <row r="1775" spans="11:19" x14ac:dyDescent="0.25">
      <c r="K1775" s="4" t="s">
        <v>421</v>
      </c>
      <c r="L1775" t="s">
        <v>422</v>
      </c>
      <c r="M1775" t="s">
        <v>3910</v>
      </c>
      <c r="N1775" t="s">
        <v>165</v>
      </c>
      <c r="O1775" t="s">
        <v>244</v>
      </c>
      <c r="P1775" t="str">
        <f t="shared" si="271"/>
        <v>[1]</v>
      </c>
      <c r="Q1775">
        <f t="shared" si="272"/>
        <v>20</v>
      </c>
      <c r="R1775" t="str">
        <f t="shared" si="273"/>
        <v/>
      </c>
      <c r="S1775">
        <f>SUMIF(O1775:$O$2855,R1775,Q1775:$Q$2855)</f>
        <v>0</v>
      </c>
    </row>
    <row r="1776" spans="11:19" x14ac:dyDescent="0.25">
      <c r="K1776" s="4" t="s">
        <v>421</v>
      </c>
      <c r="L1776" t="s">
        <v>422</v>
      </c>
      <c r="M1776" t="s">
        <v>3911</v>
      </c>
      <c r="N1776" t="s">
        <v>13</v>
      </c>
      <c r="O1776" t="s">
        <v>244</v>
      </c>
      <c r="P1776" t="str">
        <f t="shared" si="271"/>
        <v>[1]</v>
      </c>
      <c r="Q1776">
        <f t="shared" si="272"/>
        <v>12</v>
      </c>
      <c r="R1776" t="str">
        <f t="shared" si="273"/>
        <v/>
      </c>
      <c r="S1776">
        <f>SUMIF(O1776:$O$2855,R1776,Q1776:$Q$2855)</f>
        <v>0</v>
      </c>
    </row>
    <row r="1777" spans="11:19" x14ac:dyDescent="0.25">
      <c r="K1777" s="4" t="s">
        <v>421</v>
      </c>
      <c r="L1777" t="s">
        <v>422</v>
      </c>
      <c r="M1777" t="s">
        <v>3912</v>
      </c>
      <c r="N1777" t="s">
        <v>126</v>
      </c>
      <c r="O1777" t="s">
        <v>244</v>
      </c>
      <c r="P1777" t="str">
        <f t="shared" si="271"/>
        <v>[1]</v>
      </c>
      <c r="Q1777">
        <f t="shared" si="272"/>
        <v>8</v>
      </c>
      <c r="R1777" t="str">
        <f t="shared" si="273"/>
        <v/>
      </c>
      <c r="S1777">
        <f>SUMIF(O1777:$O$2855,R1777,Q1777:$Q$2855)</f>
        <v>0</v>
      </c>
    </row>
    <row r="1778" spans="11:19" x14ac:dyDescent="0.25">
      <c r="K1778" s="4" t="s">
        <v>421</v>
      </c>
      <c r="L1778" t="s">
        <v>422</v>
      </c>
      <c r="M1778" t="s">
        <v>3913</v>
      </c>
      <c r="N1778" t="s">
        <v>165</v>
      </c>
      <c r="O1778" t="s">
        <v>244</v>
      </c>
      <c r="P1778" t="str">
        <f t="shared" si="271"/>
        <v>[1]</v>
      </c>
      <c r="Q1778">
        <f t="shared" si="272"/>
        <v>20</v>
      </c>
      <c r="R1778" t="str">
        <f t="shared" si="273"/>
        <v/>
      </c>
      <c r="S1778">
        <f>SUMIF(O1778:$O$2855,R1778,Q1778:$Q$2855)</f>
        <v>0</v>
      </c>
    </row>
    <row r="1779" spans="11:19" x14ac:dyDescent="0.25">
      <c r="K1779" s="4" t="s">
        <v>421</v>
      </c>
      <c r="L1779" t="s">
        <v>422</v>
      </c>
      <c r="M1779" t="s">
        <v>3914</v>
      </c>
      <c r="N1779" t="s">
        <v>119</v>
      </c>
      <c r="O1779" t="s">
        <v>244</v>
      </c>
      <c r="P1779" t="str">
        <f t="shared" si="271"/>
        <v>[1]</v>
      </c>
      <c r="Q1779">
        <f t="shared" si="272"/>
        <v>32</v>
      </c>
      <c r="R1779" t="str">
        <f t="shared" si="273"/>
        <v/>
      </c>
      <c r="S1779">
        <f>SUMIF(O1779:$O$2855,R1779,Q1779:$Q$2855)</f>
        <v>0</v>
      </c>
    </row>
    <row r="1780" spans="11:19" x14ac:dyDescent="0.25">
      <c r="K1780" s="4" t="s">
        <v>421</v>
      </c>
      <c r="L1780" t="s">
        <v>422</v>
      </c>
      <c r="M1780" t="s">
        <v>3915</v>
      </c>
      <c r="N1780" t="s">
        <v>13</v>
      </c>
      <c r="O1780" t="s">
        <v>244</v>
      </c>
      <c r="P1780" t="str">
        <f t="shared" si="271"/>
        <v>[1]</v>
      </c>
      <c r="Q1780">
        <f t="shared" si="272"/>
        <v>12</v>
      </c>
      <c r="R1780" t="str">
        <f t="shared" si="273"/>
        <v/>
      </c>
      <c r="S1780">
        <f>SUMIF(O1780:$O$2855,R1780,Q1780:$Q$2855)</f>
        <v>0</v>
      </c>
    </row>
    <row r="1781" spans="11:19" x14ac:dyDescent="0.25">
      <c r="K1781" s="4" t="s">
        <v>421</v>
      </c>
      <c r="L1781" t="s">
        <v>422</v>
      </c>
      <c r="M1781" t="s">
        <v>3916</v>
      </c>
      <c r="N1781" t="s">
        <v>65</v>
      </c>
      <c r="O1781" t="s">
        <v>244</v>
      </c>
      <c r="P1781" t="str">
        <f t="shared" si="271"/>
        <v>[1]</v>
      </c>
      <c r="Q1781">
        <f t="shared" si="272"/>
        <v>40</v>
      </c>
      <c r="R1781" t="str">
        <f t="shared" si="273"/>
        <v/>
      </c>
      <c r="S1781">
        <f>SUMIF(O1781:$O$2855,R1781,Q1781:$Q$2855)</f>
        <v>0</v>
      </c>
    </row>
    <row r="1782" spans="11:19" x14ac:dyDescent="0.25">
      <c r="K1782" s="4" t="s">
        <v>421</v>
      </c>
      <c r="L1782" t="s">
        <v>422</v>
      </c>
      <c r="M1782" t="s">
        <v>3917</v>
      </c>
      <c r="N1782" t="s">
        <v>126</v>
      </c>
      <c r="O1782" t="s">
        <v>244</v>
      </c>
      <c r="P1782" t="str">
        <f t="shared" si="271"/>
        <v>[1]</v>
      </c>
      <c r="Q1782">
        <f t="shared" si="272"/>
        <v>8</v>
      </c>
      <c r="R1782" t="str">
        <f t="shared" si="273"/>
        <v/>
      </c>
      <c r="S1782">
        <f>SUMIF(O1782:$O$2855,R1782,Q1782:$Q$2855)</f>
        <v>0</v>
      </c>
    </row>
    <row r="1783" spans="11:19" x14ac:dyDescent="0.25">
      <c r="K1783" s="4" t="s">
        <v>421</v>
      </c>
      <c r="L1783" t="s">
        <v>422</v>
      </c>
      <c r="M1783" t="s">
        <v>3918</v>
      </c>
      <c r="N1783" t="s">
        <v>13</v>
      </c>
      <c r="O1783" t="s">
        <v>244</v>
      </c>
      <c r="P1783" t="str">
        <f t="shared" si="271"/>
        <v>[1]</v>
      </c>
      <c r="Q1783">
        <f t="shared" si="272"/>
        <v>12</v>
      </c>
      <c r="R1783" t="str">
        <f t="shared" si="273"/>
        <v/>
      </c>
      <c r="S1783">
        <f>SUMIF(O1783:$O$2855,R1783,Q1783:$Q$2855)</f>
        <v>0</v>
      </c>
    </row>
    <row r="1784" spans="11:19" x14ac:dyDescent="0.25">
      <c r="K1784" s="4" t="s">
        <v>421</v>
      </c>
      <c r="L1784" t="s">
        <v>422</v>
      </c>
      <c r="M1784" t="s">
        <v>3919</v>
      </c>
      <c r="N1784" t="s">
        <v>126</v>
      </c>
      <c r="O1784" t="s">
        <v>244</v>
      </c>
      <c r="P1784" t="str">
        <f t="shared" si="271"/>
        <v>[1]</v>
      </c>
      <c r="Q1784">
        <f t="shared" si="272"/>
        <v>8</v>
      </c>
      <c r="R1784" t="str">
        <f t="shared" si="273"/>
        <v/>
      </c>
      <c r="S1784">
        <f>SUMIF(O1784:$O$2855,R1784,Q1784:$Q$2855)</f>
        <v>0</v>
      </c>
    </row>
    <row r="1785" spans="11:19" x14ac:dyDescent="0.25">
      <c r="K1785" s="4" t="s">
        <v>421</v>
      </c>
      <c r="L1785" t="s">
        <v>422</v>
      </c>
      <c r="M1785" t="s">
        <v>3920</v>
      </c>
      <c r="N1785" t="s">
        <v>76</v>
      </c>
      <c r="O1785" t="s">
        <v>244</v>
      </c>
      <c r="P1785" t="str">
        <f t="shared" si="271"/>
        <v>[1]</v>
      </c>
      <c r="Q1785">
        <f t="shared" si="272"/>
        <v>36</v>
      </c>
      <c r="R1785" t="str">
        <f t="shared" si="273"/>
        <v/>
      </c>
      <c r="S1785">
        <f>SUMIF(O1785:$O$2855,R1785,Q1785:$Q$2855)</f>
        <v>0</v>
      </c>
    </row>
    <row r="1786" spans="11:19" x14ac:dyDescent="0.25">
      <c r="K1786" s="4" t="s">
        <v>421</v>
      </c>
      <c r="L1786" t="s">
        <v>422</v>
      </c>
      <c r="M1786" t="s">
        <v>3921</v>
      </c>
      <c r="N1786" t="s">
        <v>126</v>
      </c>
      <c r="O1786" t="s">
        <v>244</v>
      </c>
      <c r="P1786" t="str">
        <f t="shared" si="271"/>
        <v>[1]</v>
      </c>
      <c r="Q1786">
        <f t="shared" si="272"/>
        <v>8</v>
      </c>
      <c r="R1786" t="str">
        <f t="shared" si="273"/>
        <v/>
      </c>
      <c r="S1786">
        <f>SUMIF(O1786:$O$2855,R1786,Q1786:$Q$2855)</f>
        <v>0</v>
      </c>
    </row>
    <row r="1787" spans="11:19" x14ac:dyDescent="0.25">
      <c r="K1787" s="4" t="s">
        <v>421</v>
      </c>
      <c r="L1787" t="s">
        <v>422</v>
      </c>
      <c r="M1787" t="s">
        <v>3922</v>
      </c>
      <c r="N1787" t="s">
        <v>126</v>
      </c>
      <c r="O1787" t="s">
        <v>244</v>
      </c>
      <c r="P1787" t="str">
        <f t="shared" si="271"/>
        <v>[1]</v>
      </c>
      <c r="Q1787">
        <f t="shared" si="272"/>
        <v>8</v>
      </c>
      <c r="R1787" t="str">
        <f t="shared" si="273"/>
        <v/>
      </c>
      <c r="S1787">
        <f>SUMIF(O1787:$O$2855,R1787,Q1787:$Q$2855)</f>
        <v>0</v>
      </c>
    </row>
    <row r="1788" spans="11:19" x14ac:dyDescent="0.25">
      <c r="K1788" s="4" t="s">
        <v>421</v>
      </c>
      <c r="L1788" t="s">
        <v>422</v>
      </c>
      <c r="M1788" t="s">
        <v>3923</v>
      </c>
      <c r="N1788" t="s">
        <v>165</v>
      </c>
      <c r="O1788" t="s">
        <v>244</v>
      </c>
      <c r="P1788" t="str">
        <f t="shared" si="271"/>
        <v>[1]</v>
      </c>
      <c r="Q1788">
        <f t="shared" si="272"/>
        <v>20</v>
      </c>
      <c r="R1788" t="str">
        <f t="shared" si="273"/>
        <v/>
      </c>
      <c r="S1788">
        <f>SUMIF(O1788:$O$2855,R1788,Q1788:$Q$2855)</f>
        <v>0</v>
      </c>
    </row>
    <row r="1789" spans="11:19" x14ac:dyDescent="0.25">
      <c r="K1789" s="4" t="s">
        <v>421</v>
      </c>
      <c r="L1789" t="s">
        <v>422</v>
      </c>
      <c r="M1789" t="s">
        <v>3924</v>
      </c>
      <c r="N1789" t="s">
        <v>437</v>
      </c>
      <c r="O1789" t="s">
        <v>244</v>
      </c>
      <c r="P1789" t="str">
        <f t="shared" si="271"/>
        <v>[1]</v>
      </c>
      <c r="Q1789">
        <f t="shared" si="272"/>
        <v>24</v>
      </c>
      <c r="R1789" t="str">
        <f t="shared" si="273"/>
        <v/>
      </c>
      <c r="S1789">
        <f>SUMIF(O1789:$O$2855,R1789,Q1789:$Q$2855)</f>
        <v>0</v>
      </c>
    </row>
    <row r="1790" spans="11:19" x14ac:dyDescent="0.25">
      <c r="K1790" s="4" t="s">
        <v>421</v>
      </c>
      <c r="L1790" t="s">
        <v>422</v>
      </c>
      <c r="M1790" t="s">
        <v>3925</v>
      </c>
      <c r="N1790" t="s">
        <v>119</v>
      </c>
      <c r="O1790" t="s">
        <v>244</v>
      </c>
      <c r="P1790" t="str">
        <f t="shared" si="271"/>
        <v>[1]</v>
      </c>
      <c r="Q1790">
        <f t="shared" si="272"/>
        <v>32</v>
      </c>
      <c r="R1790" t="str">
        <f t="shared" si="273"/>
        <v/>
      </c>
      <c r="S1790">
        <f>SUMIF(O1790:$O$2855,R1790,Q1790:$Q$2855)</f>
        <v>0</v>
      </c>
    </row>
    <row r="1791" spans="11:19" x14ac:dyDescent="0.25">
      <c r="K1791" s="4" t="s">
        <v>421</v>
      </c>
      <c r="L1791" t="s">
        <v>422</v>
      </c>
      <c r="M1791" t="s">
        <v>3926</v>
      </c>
      <c r="N1791" t="s">
        <v>126</v>
      </c>
      <c r="O1791" t="s">
        <v>244</v>
      </c>
      <c r="P1791" t="str">
        <f t="shared" si="271"/>
        <v>[1]</v>
      </c>
      <c r="Q1791">
        <f t="shared" si="272"/>
        <v>8</v>
      </c>
      <c r="R1791" t="str">
        <f t="shared" si="273"/>
        <v/>
      </c>
      <c r="S1791">
        <f>SUMIF(O1791:$O$2855,R1791,Q1791:$Q$2855)</f>
        <v>0</v>
      </c>
    </row>
    <row r="1792" spans="11:19" x14ac:dyDescent="0.25">
      <c r="K1792" s="4" t="s">
        <v>421</v>
      </c>
      <c r="L1792" t="s">
        <v>422</v>
      </c>
      <c r="M1792" t="s">
        <v>3927</v>
      </c>
      <c r="N1792" t="s">
        <v>126</v>
      </c>
      <c r="O1792" t="s">
        <v>244</v>
      </c>
      <c r="P1792" t="str">
        <f t="shared" si="271"/>
        <v>[1]</v>
      </c>
      <c r="Q1792">
        <f t="shared" si="272"/>
        <v>8</v>
      </c>
      <c r="R1792" t="str">
        <f t="shared" si="273"/>
        <v/>
      </c>
      <c r="S1792">
        <f>SUMIF(O1792:$O$2855,R1792,Q1792:$Q$2855)</f>
        <v>0</v>
      </c>
    </row>
    <row r="1793" spans="11:19" x14ac:dyDescent="0.25">
      <c r="K1793" s="4" t="s">
        <v>421</v>
      </c>
      <c r="L1793" t="s">
        <v>422</v>
      </c>
      <c r="M1793" t="s">
        <v>3928</v>
      </c>
      <c r="N1793" t="s">
        <v>126</v>
      </c>
      <c r="O1793" t="s">
        <v>244</v>
      </c>
      <c r="P1793" t="str">
        <f t="shared" si="271"/>
        <v>[1]</v>
      </c>
      <c r="Q1793">
        <f t="shared" si="272"/>
        <v>8</v>
      </c>
      <c r="R1793" t="str">
        <f t="shared" si="273"/>
        <v/>
      </c>
      <c r="S1793">
        <f>SUMIF(O1793:$O$2855,R1793,Q1793:$Q$2855)</f>
        <v>0</v>
      </c>
    </row>
    <row r="1794" spans="11:19" x14ac:dyDescent="0.25">
      <c r="K1794" s="4" t="s">
        <v>421</v>
      </c>
      <c r="L1794" t="s">
        <v>422</v>
      </c>
      <c r="M1794" t="s">
        <v>1983</v>
      </c>
      <c r="N1794" t="s">
        <v>165</v>
      </c>
      <c r="O1794" t="s">
        <v>244</v>
      </c>
      <c r="P1794" t="str">
        <f t="shared" ref="P1794:P1857" si="274">VLOOKUP($K$30,$E$1:$F$26,2,FALSE)</f>
        <v>[1]</v>
      </c>
      <c r="Q1794">
        <f t="shared" si="272"/>
        <v>20</v>
      </c>
      <c r="R1794" t="str">
        <f t="shared" si="273"/>
        <v/>
      </c>
      <c r="S1794">
        <f>SUMIF(O1794:$O$2855,R1794,Q1794:$Q$2855)</f>
        <v>0</v>
      </c>
    </row>
    <row r="1795" spans="11:19" x14ac:dyDescent="0.25">
      <c r="K1795" s="4" t="s">
        <v>421</v>
      </c>
      <c r="L1795" t="s">
        <v>422</v>
      </c>
      <c r="M1795" t="s">
        <v>3929</v>
      </c>
      <c r="N1795" t="s">
        <v>126</v>
      </c>
      <c r="O1795" t="s">
        <v>244</v>
      </c>
      <c r="P1795" t="str">
        <f t="shared" si="274"/>
        <v>[1]</v>
      </c>
      <c r="Q1795">
        <f t="shared" ref="Q1795:Q1858" si="275">HEX2DEC(MID(N1795,3,LEN(N1795)-2))</f>
        <v>8</v>
      </c>
      <c r="R1795" t="str">
        <f t="shared" si="273"/>
        <v/>
      </c>
      <c r="S1795">
        <f>SUMIF(O1795:$O$2855,R1795,Q1795:$Q$2855)</f>
        <v>0</v>
      </c>
    </row>
    <row r="1796" spans="11:19" x14ac:dyDescent="0.25">
      <c r="K1796" s="4" t="s">
        <v>421</v>
      </c>
      <c r="L1796" t="s">
        <v>422</v>
      </c>
      <c r="M1796" t="s">
        <v>3930</v>
      </c>
      <c r="N1796" t="s">
        <v>126</v>
      </c>
      <c r="O1796" t="s">
        <v>244</v>
      </c>
      <c r="P1796" t="str">
        <f t="shared" si="274"/>
        <v>[1]</v>
      </c>
      <c r="Q1796">
        <f t="shared" si="275"/>
        <v>8</v>
      </c>
      <c r="R1796" t="str">
        <f t="shared" si="273"/>
        <v/>
      </c>
      <c r="S1796">
        <f>SUMIF(O1796:$O$2855,R1796,Q1796:$Q$2855)</f>
        <v>0</v>
      </c>
    </row>
    <row r="1797" spans="11:19" x14ac:dyDescent="0.25">
      <c r="K1797" s="4" t="s">
        <v>421</v>
      </c>
      <c r="L1797" t="s">
        <v>422</v>
      </c>
      <c r="M1797" t="s">
        <v>3931</v>
      </c>
      <c r="N1797" t="s">
        <v>126</v>
      </c>
      <c r="O1797" t="s">
        <v>244</v>
      </c>
      <c r="P1797" t="str">
        <f t="shared" si="274"/>
        <v>[1]</v>
      </c>
      <c r="Q1797">
        <f t="shared" si="275"/>
        <v>8</v>
      </c>
      <c r="R1797" t="str">
        <f t="shared" si="273"/>
        <v/>
      </c>
      <c r="S1797">
        <f>SUMIF(O1797:$O$2855,R1797,Q1797:$Q$2855)</f>
        <v>0</v>
      </c>
    </row>
    <row r="1798" spans="11:19" x14ac:dyDescent="0.25">
      <c r="K1798" s="4" t="s">
        <v>421</v>
      </c>
      <c r="L1798" t="s">
        <v>422</v>
      </c>
      <c r="M1798" t="s">
        <v>3932</v>
      </c>
      <c r="N1798" t="s">
        <v>119</v>
      </c>
      <c r="O1798" t="s">
        <v>244</v>
      </c>
      <c r="P1798" t="str">
        <f t="shared" si="274"/>
        <v>[1]</v>
      </c>
      <c r="Q1798">
        <f t="shared" si="275"/>
        <v>32</v>
      </c>
      <c r="R1798" t="str">
        <f t="shared" si="273"/>
        <v/>
      </c>
      <c r="S1798">
        <f>SUMIF(O1798:$O$2855,R1798,Q1798:$Q$2855)</f>
        <v>0</v>
      </c>
    </row>
    <row r="1799" spans="11:19" x14ac:dyDescent="0.25">
      <c r="K1799" s="4" t="s">
        <v>421</v>
      </c>
      <c r="L1799" t="s">
        <v>422</v>
      </c>
      <c r="M1799" t="s">
        <v>3933</v>
      </c>
      <c r="N1799" t="s">
        <v>126</v>
      </c>
      <c r="O1799" t="s">
        <v>244</v>
      </c>
      <c r="P1799" t="str">
        <f t="shared" si="274"/>
        <v>[1]</v>
      </c>
      <c r="Q1799">
        <f t="shared" si="275"/>
        <v>8</v>
      </c>
      <c r="R1799" t="str">
        <f t="shared" si="273"/>
        <v/>
      </c>
      <c r="S1799">
        <f>SUMIF(O1799:$O$2855,R1799,Q1799:$Q$2855)</f>
        <v>0</v>
      </c>
    </row>
    <row r="1800" spans="11:19" x14ac:dyDescent="0.25">
      <c r="K1800" s="4" t="s">
        <v>421</v>
      </c>
      <c r="L1800" t="s">
        <v>422</v>
      </c>
      <c r="M1800" t="s">
        <v>3934</v>
      </c>
      <c r="N1800" t="s">
        <v>165</v>
      </c>
      <c r="O1800" t="s">
        <v>244</v>
      </c>
      <c r="P1800" t="str">
        <f t="shared" si="274"/>
        <v>[1]</v>
      </c>
      <c r="Q1800">
        <f t="shared" si="275"/>
        <v>20</v>
      </c>
      <c r="R1800" t="str">
        <f t="shared" si="273"/>
        <v/>
      </c>
      <c r="S1800">
        <f>SUMIF(O1800:$O$2855,R1800,Q1800:$Q$2855)</f>
        <v>0</v>
      </c>
    </row>
    <row r="1801" spans="11:19" x14ac:dyDescent="0.25">
      <c r="K1801" s="4" t="s">
        <v>421</v>
      </c>
      <c r="L1801" t="s">
        <v>422</v>
      </c>
      <c r="M1801" t="s">
        <v>3935</v>
      </c>
      <c r="N1801" t="s">
        <v>141</v>
      </c>
      <c r="O1801" t="s">
        <v>244</v>
      </c>
      <c r="P1801" t="str">
        <f t="shared" si="274"/>
        <v>[1]</v>
      </c>
      <c r="Q1801">
        <f t="shared" si="275"/>
        <v>104</v>
      </c>
      <c r="R1801" t="str">
        <f t="shared" si="273"/>
        <v/>
      </c>
      <c r="S1801">
        <f>SUMIF(O1801:$O$2855,R1801,Q1801:$Q$2855)</f>
        <v>0</v>
      </c>
    </row>
    <row r="1802" spans="11:19" x14ac:dyDescent="0.25">
      <c r="K1802" s="4" t="s">
        <v>421</v>
      </c>
      <c r="L1802" t="s">
        <v>422</v>
      </c>
      <c r="M1802" t="s">
        <v>3936</v>
      </c>
      <c r="N1802" t="s">
        <v>126</v>
      </c>
      <c r="O1802" t="s">
        <v>244</v>
      </c>
      <c r="P1802" t="str">
        <f t="shared" si="274"/>
        <v>[1]</v>
      </c>
      <c r="Q1802">
        <f t="shared" si="275"/>
        <v>8</v>
      </c>
      <c r="R1802" t="str">
        <f t="shared" si="273"/>
        <v/>
      </c>
      <c r="S1802">
        <f>SUMIF(O1802:$O$2855,R1802,Q1802:$Q$2855)</f>
        <v>0</v>
      </c>
    </row>
    <row r="1803" spans="11:19" x14ac:dyDescent="0.25">
      <c r="K1803" s="4" t="s">
        <v>421</v>
      </c>
      <c r="L1803" t="s">
        <v>422</v>
      </c>
      <c r="M1803" t="s">
        <v>3937</v>
      </c>
      <c r="N1803" t="s">
        <v>126</v>
      </c>
      <c r="O1803" t="s">
        <v>244</v>
      </c>
      <c r="P1803" t="str">
        <f t="shared" si="274"/>
        <v>[1]</v>
      </c>
      <c r="Q1803">
        <f t="shared" si="275"/>
        <v>8</v>
      </c>
      <c r="R1803" t="str">
        <f t="shared" si="273"/>
        <v/>
      </c>
      <c r="S1803">
        <f>SUMIF(O1803:$O$2855,R1803,Q1803:$Q$2855)</f>
        <v>0</v>
      </c>
    </row>
    <row r="1804" spans="11:19" x14ac:dyDescent="0.25">
      <c r="K1804" s="4" t="s">
        <v>421</v>
      </c>
      <c r="L1804" t="s">
        <v>422</v>
      </c>
      <c r="M1804" t="s">
        <v>3938</v>
      </c>
      <c r="N1804" t="s">
        <v>165</v>
      </c>
      <c r="O1804" t="s">
        <v>244</v>
      </c>
      <c r="P1804" t="str">
        <f t="shared" si="274"/>
        <v>[1]</v>
      </c>
      <c r="Q1804">
        <f t="shared" si="275"/>
        <v>20</v>
      </c>
      <c r="R1804" t="str">
        <f t="shared" si="273"/>
        <v/>
      </c>
      <c r="S1804">
        <f>SUMIF(O1804:$O$2855,R1804,Q1804:$Q$2855)</f>
        <v>0</v>
      </c>
    </row>
    <row r="1805" spans="11:19" x14ac:dyDescent="0.25">
      <c r="K1805" s="4" t="s">
        <v>421</v>
      </c>
      <c r="L1805" t="s">
        <v>422</v>
      </c>
      <c r="M1805" t="s">
        <v>3939</v>
      </c>
      <c r="N1805" t="s">
        <v>13</v>
      </c>
      <c r="O1805" t="s">
        <v>244</v>
      </c>
      <c r="P1805" t="str">
        <f t="shared" si="274"/>
        <v>[1]</v>
      </c>
      <c r="Q1805">
        <f t="shared" si="275"/>
        <v>12</v>
      </c>
      <c r="R1805" t="str">
        <f t="shared" si="273"/>
        <v/>
      </c>
      <c r="S1805">
        <f>SUMIF(O1805:$O$2855,R1805,Q1805:$Q$2855)</f>
        <v>0</v>
      </c>
    </row>
    <row r="1806" spans="11:19" x14ac:dyDescent="0.25">
      <c r="K1806" s="4" t="s">
        <v>421</v>
      </c>
      <c r="L1806" t="s">
        <v>422</v>
      </c>
      <c r="M1806" t="s">
        <v>3940</v>
      </c>
      <c r="N1806" t="s">
        <v>103</v>
      </c>
      <c r="O1806" t="s">
        <v>244</v>
      </c>
      <c r="P1806" t="str">
        <f t="shared" si="274"/>
        <v>[1]</v>
      </c>
      <c r="Q1806">
        <f t="shared" si="275"/>
        <v>64</v>
      </c>
      <c r="R1806" t="str">
        <f t="shared" si="273"/>
        <v/>
      </c>
      <c r="S1806">
        <f>SUMIF(O1806:$O$2855,R1806,Q1806:$Q$2855)</f>
        <v>0</v>
      </c>
    </row>
    <row r="1807" spans="11:19" x14ac:dyDescent="0.25">
      <c r="K1807" s="4" t="s">
        <v>421</v>
      </c>
      <c r="L1807" t="s">
        <v>422</v>
      </c>
      <c r="M1807" t="s">
        <v>3941</v>
      </c>
      <c r="N1807" t="s">
        <v>202</v>
      </c>
      <c r="O1807" t="s">
        <v>244</v>
      </c>
      <c r="P1807" t="str">
        <f t="shared" si="274"/>
        <v>[1]</v>
      </c>
      <c r="Q1807">
        <f t="shared" si="275"/>
        <v>16</v>
      </c>
      <c r="R1807" t="str">
        <f t="shared" si="273"/>
        <v/>
      </c>
      <c r="S1807">
        <f>SUMIF(O1807:$O$2855,R1807,Q1807:$Q$2855)</f>
        <v>0</v>
      </c>
    </row>
    <row r="1808" spans="11:19" x14ac:dyDescent="0.25">
      <c r="K1808" s="4" t="s">
        <v>421</v>
      </c>
      <c r="L1808" t="s">
        <v>422</v>
      </c>
      <c r="M1808" t="s">
        <v>3942</v>
      </c>
      <c r="N1808" t="s">
        <v>89</v>
      </c>
      <c r="O1808" t="s">
        <v>244</v>
      </c>
      <c r="P1808" t="str">
        <f t="shared" si="274"/>
        <v>[1]</v>
      </c>
      <c r="Q1808">
        <f t="shared" si="275"/>
        <v>76</v>
      </c>
      <c r="R1808" t="str">
        <f t="shared" si="273"/>
        <v/>
      </c>
      <c r="S1808">
        <f>SUMIF(O1808:$O$2855,R1808,Q1808:$Q$2855)</f>
        <v>0</v>
      </c>
    </row>
    <row r="1809" spans="11:19" x14ac:dyDescent="0.25">
      <c r="K1809" s="4" t="s">
        <v>421</v>
      </c>
      <c r="L1809" t="s">
        <v>422</v>
      </c>
      <c r="M1809" t="s">
        <v>3943</v>
      </c>
      <c r="N1809" t="s">
        <v>237</v>
      </c>
      <c r="O1809" t="s">
        <v>244</v>
      </c>
      <c r="P1809" t="str">
        <f t="shared" si="274"/>
        <v>[1]</v>
      </c>
      <c r="Q1809">
        <f t="shared" si="275"/>
        <v>52</v>
      </c>
      <c r="R1809" t="str">
        <f t="shared" si="273"/>
        <v/>
      </c>
      <c r="S1809">
        <f>SUMIF(O1809:$O$2855,R1809,Q1809:$Q$2855)</f>
        <v>0</v>
      </c>
    </row>
    <row r="1810" spans="11:19" x14ac:dyDescent="0.25">
      <c r="K1810" s="4" t="s">
        <v>421</v>
      </c>
      <c r="L1810" t="s">
        <v>422</v>
      </c>
      <c r="M1810" t="s">
        <v>3944</v>
      </c>
      <c r="N1810" t="s">
        <v>65</v>
      </c>
      <c r="O1810" t="s">
        <v>244</v>
      </c>
      <c r="P1810" t="str">
        <f t="shared" si="274"/>
        <v>[1]</v>
      </c>
      <c r="Q1810">
        <f t="shared" si="275"/>
        <v>40</v>
      </c>
      <c r="R1810" t="str">
        <f t="shared" si="273"/>
        <v/>
      </c>
      <c r="S1810">
        <f>SUMIF(O1810:$O$2855,R1810,Q1810:$Q$2855)</f>
        <v>0</v>
      </c>
    </row>
    <row r="1811" spans="11:19" x14ac:dyDescent="0.25">
      <c r="K1811" s="4" t="s">
        <v>421</v>
      </c>
      <c r="L1811" t="s">
        <v>422</v>
      </c>
      <c r="M1811" t="s">
        <v>3945</v>
      </c>
      <c r="N1811" t="s">
        <v>124</v>
      </c>
      <c r="O1811" t="s">
        <v>244</v>
      </c>
      <c r="P1811" t="str">
        <f t="shared" si="274"/>
        <v>[1]</v>
      </c>
      <c r="Q1811">
        <f t="shared" si="275"/>
        <v>68</v>
      </c>
      <c r="R1811" t="str">
        <f t="shared" si="273"/>
        <v/>
      </c>
      <c r="S1811">
        <f>SUMIF(O1811:$O$2855,R1811,Q1811:$Q$2855)</f>
        <v>0</v>
      </c>
    </row>
    <row r="1812" spans="11:19" x14ac:dyDescent="0.25">
      <c r="K1812" s="4" t="s">
        <v>421</v>
      </c>
      <c r="L1812" t="s">
        <v>422</v>
      </c>
      <c r="M1812" t="s">
        <v>3946</v>
      </c>
      <c r="N1812" t="s">
        <v>119</v>
      </c>
      <c r="O1812" t="s">
        <v>244</v>
      </c>
      <c r="P1812" t="str">
        <f t="shared" si="274"/>
        <v>[1]</v>
      </c>
      <c r="Q1812">
        <f t="shared" si="275"/>
        <v>32</v>
      </c>
      <c r="R1812" t="str">
        <f t="shared" si="273"/>
        <v/>
      </c>
      <c r="S1812">
        <f>SUMIF(O1812:$O$2855,R1812,Q1812:$Q$2855)</f>
        <v>0</v>
      </c>
    </row>
    <row r="1813" spans="11:19" x14ac:dyDescent="0.25">
      <c r="K1813" s="4" t="s">
        <v>421</v>
      </c>
      <c r="L1813" t="s">
        <v>422</v>
      </c>
      <c r="M1813" t="s">
        <v>3947</v>
      </c>
      <c r="N1813" t="s">
        <v>13</v>
      </c>
      <c r="O1813" t="s">
        <v>244</v>
      </c>
      <c r="P1813" t="str">
        <f t="shared" si="274"/>
        <v>[1]</v>
      </c>
      <c r="Q1813">
        <f t="shared" si="275"/>
        <v>12</v>
      </c>
      <c r="R1813" t="str">
        <f t="shared" si="273"/>
        <v/>
      </c>
      <c r="S1813">
        <f>SUMIF(O1813:$O$2855,R1813,Q1813:$Q$2855)</f>
        <v>0</v>
      </c>
    </row>
    <row r="1814" spans="11:19" x14ac:dyDescent="0.25">
      <c r="K1814" s="4" t="s">
        <v>421</v>
      </c>
      <c r="L1814" t="s">
        <v>422</v>
      </c>
      <c r="M1814" t="s">
        <v>3948</v>
      </c>
      <c r="N1814" t="s">
        <v>126</v>
      </c>
      <c r="O1814" t="s">
        <v>244</v>
      </c>
      <c r="P1814" t="str">
        <f t="shared" si="274"/>
        <v>[1]</v>
      </c>
      <c r="Q1814">
        <f t="shared" si="275"/>
        <v>8</v>
      </c>
      <c r="R1814" t="str">
        <f t="shared" si="273"/>
        <v/>
      </c>
      <c r="S1814">
        <f>SUMIF(O1814:$O$2855,R1814,Q1814:$Q$2855)</f>
        <v>0</v>
      </c>
    </row>
    <row r="1815" spans="11:19" x14ac:dyDescent="0.25">
      <c r="K1815" s="4" t="s">
        <v>421</v>
      </c>
      <c r="L1815" t="s">
        <v>422</v>
      </c>
      <c r="M1815" t="s">
        <v>3949</v>
      </c>
      <c r="N1815" t="s">
        <v>126</v>
      </c>
      <c r="O1815" t="s">
        <v>244</v>
      </c>
      <c r="P1815" t="str">
        <f t="shared" si="274"/>
        <v>[1]</v>
      </c>
      <c r="Q1815">
        <f t="shared" si="275"/>
        <v>8</v>
      </c>
      <c r="R1815" t="str">
        <f t="shared" si="273"/>
        <v/>
      </c>
      <c r="S1815">
        <f>SUMIF(O1815:$O$2855,R1815,Q1815:$Q$2855)</f>
        <v>0</v>
      </c>
    </row>
    <row r="1816" spans="11:19" x14ac:dyDescent="0.25">
      <c r="K1816" s="4" t="s">
        <v>421</v>
      </c>
      <c r="L1816" t="s">
        <v>422</v>
      </c>
      <c r="M1816" t="s">
        <v>3950</v>
      </c>
      <c r="N1816" t="s">
        <v>13</v>
      </c>
      <c r="O1816" t="s">
        <v>244</v>
      </c>
      <c r="P1816" t="str">
        <f t="shared" si="274"/>
        <v>[1]</v>
      </c>
      <c r="Q1816">
        <f t="shared" si="275"/>
        <v>12</v>
      </c>
      <c r="R1816" t="str">
        <f t="shared" si="273"/>
        <v/>
      </c>
      <c r="S1816">
        <f>SUMIF(O1816:$O$2855,R1816,Q1816:$Q$2855)</f>
        <v>0</v>
      </c>
    </row>
    <row r="1817" spans="11:19" x14ac:dyDescent="0.25">
      <c r="K1817" s="4" t="s">
        <v>421</v>
      </c>
      <c r="L1817" t="s">
        <v>422</v>
      </c>
      <c r="M1817" t="s">
        <v>3951</v>
      </c>
      <c r="N1817" t="s">
        <v>165</v>
      </c>
      <c r="O1817" t="s">
        <v>244</v>
      </c>
      <c r="P1817" t="str">
        <f t="shared" si="274"/>
        <v>[1]</v>
      </c>
      <c r="Q1817">
        <f t="shared" si="275"/>
        <v>20</v>
      </c>
      <c r="R1817" t="str">
        <f t="shared" si="273"/>
        <v/>
      </c>
      <c r="S1817">
        <f>SUMIF(O1817:$O$2855,R1817,Q1817:$Q$2855)</f>
        <v>0</v>
      </c>
    </row>
    <row r="1818" spans="11:19" x14ac:dyDescent="0.25">
      <c r="K1818" s="4" t="s">
        <v>421</v>
      </c>
      <c r="L1818" t="s">
        <v>422</v>
      </c>
      <c r="M1818" t="s">
        <v>3952</v>
      </c>
      <c r="N1818" t="s">
        <v>3953</v>
      </c>
      <c r="O1818" t="s">
        <v>244</v>
      </c>
      <c r="P1818" t="str">
        <f t="shared" si="274"/>
        <v>[1]</v>
      </c>
      <c r="Q1818">
        <f t="shared" si="275"/>
        <v>1560</v>
      </c>
      <c r="R1818" t="str">
        <f t="shared" si="273"/>
        <v/>
      </c>
      <c r="S1818">
        <f>SUMIF(O1818:$O$2855,R1818,Q1818:$Q$2855)</f>
        <v>0</v>
      </c>
    </row>
    <row r="1819" spans="11:19" x14ac:dyDescent="0.25">
      <c r="K1819" s="4" t="s">
        <v>421</v>
      </c>
      <c r="L1819" t="s">
        <v>422</v>
      </c>
      <c r="M1819" t="s">
        <v>3954</v>
      </c>
      <c r="N1819" t="s">
        <v>1147</v>
      </c>
      <c r="O1819" t="s">
        <v>244</v>
      </c>
      <c r="P1819" t="str">
        <f t="shared" si="274"/>
        <v>[1]</v>
      </c>
      <c r="Q1819">
        <f t="shared" si="275"/>
        <v>600</v>
      </c>
      <c r="R1819" t="str">
        <f t="shared" si="273"/>
        <v/>
      </c>
      <c r="S1819">
        <f>SUMIF(O1819:$O$2855,R1819,Q1819:$Q$2855)</f>
        <v>0</v>
      </c>
    </row>
    <row r="1820" spans="11:19" x14ac:dyDescent="0.25">
      <c r="K1820" s="4" t="s">
        <v>421</v>
      </c>
      <c r="L1820" t="s">
        <v>422</v>
      </c>
      <c r="M1820" t="s">
        <v>3955</v>
      </c>
      <c r="N1820" t="s">
        <v>437</v>
      </c>
      <c r="O1820" t="s">
        <v>244</v>
      </c>
      <c r="P1820" t="str">
        <f t="shared" si="274"/>
        <v>[1]</v>
      </c>
      <c r="Q1820">
        <f t="shared" si="275"/>
        <v>24</v>
      </c>
      <c r="R1820" t="str">
        <f t="shared" si="273"/>
        <v/>
      </c>
      <c r="S1820">
        <f>SUMIF(O1820:$O$2855,R1820,Q1820:$Q$2855)</f>
        <v>0</v>
      </c>
    </row>
    <row r="1821" spans="11:19" x14ac:dyDescent="0.25">
      <c r="K1821" s="4" t="s">
        <v>421</v>
      </c>
      <c r="L1821" t="s">
        <v>422</v>
      </c>
      <c r="M1821" t="s">
        <v>3956</v>
      </c>
      <c r="N1821" t="s">
        <v>147</v>
      </c>
      <c r="O1821" t="s">
        <v>244</v>
      </c>
      <c r="P1821" t="str">
        <f t="shared" si="274"/>
        <v>[1]</v>
      </c>
      <c r="Q1821">
        <f t="shared" si="275"/>
        <v>72</v>
      </c>
      <c r="R1821" t="str">
        <f t="shared" si="273"/>
        <v/>
      </c>
      <c r="S1821">
        <f>SUMIF(O1821:$O$2855,R1821,Q1821:$Q$2855)</f>
        <v>0</v>
      </c>
    </row>
    <row r="1822" spans="11:19" x14ac:dyDescent="0.25">
      <c r="K1822" s="4" t="s">
        <v>421</v>
      </c>
      <c r="L1822" t="s">
        <v>422</v>
      </c>
      <c r="M1822" t="s">
        <v>3957</v>
      </c>
      <c r="N1822" t="s">
        <v>76</v>
      </c>
      <c r="O1822" t="s">
        <v>244</v>
      </c>
      <c r="P1822" t="str">
        <f t="shared" si="274"/>
        <v>[1]</v>
      </c>
      <c r="Q1822">
        <f t="shared" si="275"/>
        <v>36</v>
      </c>
      <c r="R1822" t="str">
        <f t="shared" si="273"/>
        <v/>
      </c>
      <c r="S1822">
        <f>SUMIF(O1822:$O$2855,R1822,Q1822:$Q$2855)</f>
        <v>0</v>
      </c>
    </row>
    <row r="1823" spans="11:19" x14ac:dyDescent="0.25">
      <c r="K1823" s="4" t="s">
        <v>421</v>
      </c>
      <c r="L1823" t="s">
        <v>422</v>
      </c>
      <c r="M1823" t="s">
        <v>3958</v>
      </c>
      <c r="N1823" t="s">
        <v>165</v>
      </c>
      <c r="O1823" t="s">
        <v>244</v>
      </c>
      <c r="P1823" t="str">
        <f t="shared" si="274"/>
        <v>[1]</v>
      </c>
      <c r="Q1823">
        <f t="shared" si="275"/>
        <v>20</v>
      </c>
      <c r="R1823" t="str">
        <f t="shared" si="273"/>
        <v/>
      </c>
      <c r="S1823">
        <f>SUMIF(O1823:$O$2855,R1823,Q1823:$Q$2855)</f>
        <v>0</v>
      </c>
    </row>
    <row r="1824" spans="11:19" x14ac:dyDescent="0.25">
      <c r="K1824" s="4" t="s">
        <v>421</v>
      </c>
      <c r="L1824" t="s">
        <v>422</v>
      </c>
      <c r="M1824" t="s">
        <v>1730</v>
      </c>
      <c r="N1824" t="s">
        <v>46</v>
      </c>
      <c r="O1824" t="s">
        <v>244</v>
      </c>
      <c r="P1824" t="str">
        <f t="shared" si="274"/>
        <v>[1]</v>
      </c>
      <c r="Q1824">
        <f t="shared" si="275"/>
        <v>2</v>
      </c>
      <c r="R1824" t="str">
        <f t="shared" ref="R1824:R1887" si="276">IF(O1824&lt;&gt;O1823,O1824,"")</f>
        <v/>
      </c>
      <c r="S1824">
        <f>SUMIF(O1824:$O$2855,R1824,Q1824:$Q$2855)</f>
        <v>0</v>
      </c>
    </row>
    <row r="1825" spans="11:19" x14ac:dyDescent="0.25">
      <c r="K1825" s="4" t="s">
        <v>421</v>
      </c>
      <c r="L1825" t="s">
        <v>422</v>
      </c>
      <c r="M1825" t="s">
        <v>3959</v>
      </c>
      <c r="N1825" t="s">
        <v>46</v>
      </c>
      <c r="O1825" t="s">
        <v>244</v>
      </c>
      <c r="P1825" t="str">
        <f t="shared" si="274"/>
        <v>[1]</v>
      </c>
      <c r="Q1825">
        <f t="shared" si="275"/>
        <v>2</v>
      </c>
      <c r="R1825" t="str">
        <f t="shared" si="276"/>
        <v/>
      </c>
      <c r="S1825">
        <f>SUMIF(O1825:$O$2855,R1825,Q1825:$Q$2855)</f>
        <v>0</v>
      </c>
    </row>
    <row r="1826" spans="11:19" x14ac:dyDescent="0.25">
      <c r="K1826" s="4" t="s">
        <v>421</v>
      </c>
      <c r="L1826" t="s">
        <v>422</v>
      </c>
      <c r="M1826" t="s">
        <v>1984</v>
      </c>
      <c r="N1826" t="s">
        <v>46</v>
      </c>
      <c r="O1826" t="s">
        <v>244</v>
      </c>
      <c r="P1826" t="str">
        <f t="shared" si="274"/>
        <v>[1]</v>
      </c>
      <c r="Q1826">
        <f t="shared" si="275"/>
        <v>2</v>
      </c>
      <c r="R1826" t="str">
        <f t="shared" si="276"/>
        <v/>
      </c>
      <c r="S1826">
        <f>SUMIF(O1826:$O$2855,R1826,Q1826:$Q$2855)</f>
        <v>0</v>
      </c>
    </row>
    <row r="1827" spans="11:19" x14ac:dyDescent="0.25">
      <c r="K1827" s="4" t="s">
        <v>421</v>
      </c>
      <c r="L1827" t="s">
        <v>422</v>
      </c>
      <c r="M1827" t="s">
        <v>3960</v>
      </c>
      <c r="N1827" t="s">
        <v>13</v>
      </c>
      <c r="O1827" t="s">
        <v>919</v>
      </c>
      <c r="P1827" t="str">
        <f t="shared" si="274"/>
        <v>[1]</v>
      </c>
      <c r="Q1827">
        <f t="shared" si="275"/>
        <v>12</v>
      </c>
      <c r="R1827" t="str">
        <f t="shared" si="276"/>
        <v>MIMT_info.o</v>
      </c>
      <c r="S1827">
        <f>SUMIF(O1827:$O$2855,R1827,Q1827:$Q$2855)</f>
        <v>12</v>
      </c>
    </row>
    <row r="1828" spans="11:19" x14ac:dyDescent="0.25">
      <c r="K1828" s="4" t="s">
        <v>421</v>
      </c>
      <c r="L1828" t="s">
        <v>422</v>
      </c>
      <c r="M1828" t="s">
        <v>3961</v>
      </c>
      <c r="N1828" t="s">
        <v>202</v>
      </c>
      <c r="O1828" t="s">
        <v>86</v>
      </c>
      <c r="P1828" t="str">
        <f t="shared" si="274"/>
        <v>[1]</v>
      </c>
      <c r="Q1828">
        <f t="shared" si="275"/>
        <v>16</v>
      </c>
      <c r="R1828" t="str">
        <f t="shared" si="276"/>
        <v>mode_config.o</v>
      </c>
      <c r="S1828">
        <f>SUMIF(O1828:$O$2855,R1828,Q1828:$Q$2855)</f>
        <v>124</v>
      </c>
    </row>
    <row r="1829" spans="11:19" x14ac:dyDescent="0.25">
      <c r="K1829" s="4" t="s">
        <v>421</v>
      </c>
      <c r="L1829" t="s">
        <v>422</v>
      </c>
      <c r="M1829" t="s">
        <v>3962</v>
      </c>
      <c r="N1829" t="s">
        <v>119</v>
      </c>
      <c r="O1829" t="s">
        <v>86</v>
      </c>
      <c r="P1829" t="str">
        <f t="shared" si="274"/>
        <v>[1]</v>
      </c>
      <c r="Q1829">
        <f t="shared" si="275"/>
        <v>32</v>
      </c>
      <c r="R1829" t="str">
        <f t="shared" si="276"/>
        <v/>
      </c>
      <c r="S1829">
        <f>SUMIF(O1829:$O$2855,R1829,Q1829:$Q$2855)</f>
        <v>0</v>
      </c>
    </row>
    <row r="1830" spans="11:19" x14ac:dyDescent="0.25">
      <c r="K1830" s="4" t="s">
        <v>421</v>
      </c>
      <c r="L1830" t="s">
        <v>422</v>
      </c>
      <c r="M1830" t="s">
        <v>3963</v>
      </c>
      <c r="N1830" t="s">
        <v>6</v>
      </c>
      <c r="O1830" t="s">
        <v>86</v>
      </c>
      <c r="P1830" t="str">
        <f t="shared" si="274"/>
        <v>[1]</v>
      </c>
      <c r="Q1830">
        <f t="shared" si="275"/>
        <v>28</v>
      </c>
      <c r="R1830" t="str">
        <f t="shared" si="276"/>
        <v/>
      </c>
      <c r="S1830">
        <f>SUMIF(O1830:$O$2855,R1830,Q1830:$Q$2855)</f>
        <v>0</v>
      </c>
    </row>
    <row r="1831" spans="11:19" x14ac:dyDescent="0.25">
      <c r="K1831" s="4" t="s">
        <v>421</v>
      </c>
      <c r="L1831" t="s">
        <v>422</v>
      </c>
      <c r="M1831" t="s">
        <v>1785</v>
      </c>
      <c r="N1831" t="s">
        <v>67</v>
      </c>
      <c r="O1831" t="s">
        <v>86</v>
      </c>
      <c r="P1831" t="str">
        <f t="shared" si="274"/>
        <v>[1]</v>
      </c>
      <c r="Q1831">
        <f t="shared" si="275"/>
        <v>48</v>
      </c>
      <c r="R1831" t="str">
        <f t="shared" si="276"/>
        <v/>
      </c>
      <c r="S1831">
        <f>SUMIF(O1831:$O$2855,R1831,Q1831:$Q$2855)</f>
        <v>0</v>
      </c>
    </row>
    <row r="1832" spans="11:19" x14ac:dyDescent="0.25">
      <c r="K1832" s="4" t="s">
        <v>421</v>
      </c>
      <c r="L1832" t="s">
        <v>422</v>
      </c>
      <c r="M1832" t="s">
        <v>2367</v>
      </c>
      <c r="N1832" t="s">
        <v>13</v>
      </c>
      <c r="O1832" t="s">
        <v>1046</v>
      </c>
      <c r="P1832" t="str">
        <f t="shared" si="274"/>
        <v>[1]</v>
      </c>
      <c r="Q1832">
        <f t="shared" si="275"/>
        <v>12</v>
      </c>
      <c r="R1832" t="str">
        <f t="shared" si="276"/>
        <v>mtls.o</v>
      </c>
      <c r="S1832">
        <f>SUMIF(O1832:$O$2855,R1832,Q1832:$Q$2855)</f>
        <v>1196</v>
      </c>
    </row>
    <row r="1833" spans="11:19" x14ac:dyDescent="0.25">
      <c r="K1833" s="4" t="s">
        <v>421</v>
      </c>
      <c r="L1833" t="s">
        <v>422</v>
      </c>
      <c r="M1833" t="s">
        <v>2368</v>
      </c>
      <c r="N1833" t="s">
        <v>202</v>
      </c>
      <c r="O1833" t="s">
        <v>1046</v>
      </c>
      <c r="P1833" t="str">
        <f t="shared" si="274"/>
        <v>[1]</v>
      </c>
      <c r="Q1833">
        <f t="shared" si="275"/>
        <v>16</v>
      </c>
      <c r="R1833" t="str">
        <f t="shared" si="276"/>
        <v/>
      </c>
      <c r="S1833">
        <f>SUMIF(O1833:$O$2855,R1833,Q1833:$Q$2855)</f>
        <v>0</v>
      </c>
    </row>
    <row r="1834" spans="11:19" x14ac:dyDescent="0.25">
      <c r="K1834" s="4" t="s">
        <v>421</v>
      </c>
      <c r="L1834" t="s">
        <v>422</v>
      </c>
      <c r="M1834" t="s">
        <v>2369</v>
      </c>
      <c r="N1834" t="s">
        <v>119</v>
      </c>
      <c r="O1834" t="s">
        <v>1046</v>
      </c>
      <c r="P1834" t="str">
        <f t="shared" si="274"/>
        <v>[1]</v>
      </c>
      <c r="Q1834">
        <f t="shared" si="275"/>
        <v>32</v>
      </c>
      <c r="R1834" t="str">
        <f t="shared" si="276"/>
        <v/>
      </c>
      <c r="S1834">
        <f>SUMIF(O1834:$O$2855,R1834,Q1834:$Q$2855)</f>
        <v>0</v>
      </c>
    </row>
    <row r="1835" spans="11:19" x14ac:dyDescent="0.25">
      <c r="K1835" s="4" t="s">
        <v>421</v>
      </c>
      <c r="L1835" t="s">
        <v>422</v>
      </c>
      <c r="M1835" t="s">
        <v>2370</v>
      </c>
      <c r="N1835" t="s">
        <v>190</v>
      </c>
      <c r="O1835" t="s">
        <v>1046</v>
      </c>
      <c r="P1835" t="str">
        <f t="shared" si="274"/>
        <v>[1]</v>
      </c>
      <c r="Q1835">
        <f t="shared" si="275"/>
        <v>56</v>
      </c>
      <c r="R1835" t="str">
        <f t="shared" si="276"/>
        <v/>
      </c>
      <c r="S1835">
        <f>SUMIF(O1835:$O$2855,R1835,Q1835:$Q$2855)</f>
        <v>0</v>
      </c>
    </row>
    <row r="1836" spans="11:19" x14ac:dyDescent="0.25">
      <c r="K1836" s="4" t="s">
        <v>421</v>
      </c>
      <c r="L1836" t="s">
        <v>422</v>
      </c>
      <c r="M1836" t="s">
        <v>2371</v>
      </c>
      <c r="N1836" t="s">
        <v>190</v>
      </c>
      <c r="O1836" t="s">
        <v>1046</v>
      </c>
      <c r="P1836" t="str">
        <f t="shared" si="274"/>
        <v>[1]</v>
      </c>
      <c r="Q1836">
        <f t="shared" si="275"/>
        <v>56</v>
      </c>
      <c r="R1836" t="str">
        <f t="shared" si="276"/>
        <v/>
      </c>
      <c r="S1836">
        <f>SUMIF(O1836:$O$2855,R1836,Q1836:$Q$2855)</f>
        <v>0</v>
      </c>
    </row>
    <row r="1837" spans="11:19" x14ac:dyDescent="0.25">
      <c r="K1837" s="4" t="s">
        <v>421</v>
      </c>
      <c r="L1837" t="s">
        <v>422</v>
      </c>
      <c r="M1837" t="s">
        <v>2372</v>
      </c>
      <c r="N1837" t="s">
        <v>190</v>
      </c>
      <c r="O1837" t="s">
        <v>1046</v>
      </c>
      <c r="P1837" t="str">
        <f t="shared" si="274"/>
        <v>[1]</v>
      </c>
      <c r="Q1837">
        <f t="shared" si="275"/>
        <v>56</v>
      </c>
      <c r="R1837" t="str">
        <f t="shared" si="276"/>
        <v/>
      </c>
      <c r="S1837">
        <f>SUMIF(O1837:$O$2855,R1837,Q1837:$Q$2855)</f>
        <v>0</v>
      </c>
    </row>
    <row r="1838" spans="11:19" x14ac:dyDescent="0.25">
      <c r="K1838" s="4" t="s">
        <v>421</v>
      </c>
      <c r="L1838" t="s">
        <v>422</v>
      </c>
      <c r="M1838" t="s">
        <v>2373</v>
      </c>
      <c r="N1838" t="s">
        <v>76</v>
      </c>
      <c r="O1838" t="s">
        <v>1046</v>
      </c>
      <c r="P1838" t="str">
        <f t="shared" si="274"/>
        <v>[1]</v>
      </c>
      <c r="Q1838">
        <f t="shared" si="275"/>
        <v>36</v>
      </c>
      <c r="R1838" t="str">
        <f t="shared" si="276"/>
        <v/>
      </c>
      <c r="S1838">
        <f>SUMIF(O1838:$O$2855,R1838,Q1838:$Q$2855)</f>
        <v>0</v>
      </c>
    </row>
    <row r="1839" spans="11:19" x14ac:dyDescent="0.25">
      <c r="K1839" s="4" t="s">
        <v>421</v>
      </c>
      <c r="L1839" t="s">
        <v>422</v>
      </c>
      <c r="M1839" t="s">
        <v>2374</v>
      </c>
      <c r="N1839" t="s">
        <v>202</v>
      </c>
      <c r="O1839" t="s">
        <v>1046</v>
      </c>
      <c r="P1839" t="str">
        <f t="shared" si="274"/>
        <v>[1]</v>
      </c>
      <c r="Q1839">
        <f t="shared" si="275"/>
        <v>16</v>
      </c>
      <c r="R1839" t="str">
        <f t="shared" si="276"/>
        <v/>
      </c>
      <c r="S1839">
        <f>SUMIF(O1839:$O$2855,R1839,Q1839:$Q$2855)</f>
        <v>0</v>
      </c>
    </row>
    <row r="1840" spans="11:19" x14ac:dyDescent="0.25">
      <c r="K1840" s="4" t="s">
        <v>421</v>
      </c>
      <c r="L1840" t="s">
        <v>422</v>
      </c>
      <c r="M1840" t="s">
        <v>2375</v>
      </c>
      <c r="N1840" t="s">
        <v>6</v>
      </c>
      <c r="O1840" t="s">
        <v>1046</v>
      </c>
      <c r="P1840" t="str">
        <f t="shared" si="274"/>
        <v>[1]</v>
      </c>
      <c r="Q1840">
        <f t="shared" si="275"/>
        <v>28</v>
      </c>
      <c r="R1840" t="str">
        <f t="shared" si="276"/>
        <v/>
      </c>
      <c r="S1840">
        <f>SUMIF(O1840:$O$2855,R1840,Q1840:$Q$2855)</f>
        <v>0</v>
      </c>
    </row>
    <row r="1841" spans="11:19" x14ac:dyDescent="0.25">
      <c r="K1841" s="4" t="s">
        <v>421</v>
      </c>
      <c r="L1841" t="s">
        <v>422</v>
      </c>
      <c r="M1841" t="s">
        <v>2376</v>
      </c>
      <c r="N1841" t="s">
        <v>6</v>
      </c>
      <c r="O1841" t="s">
        <v>1046</v>
      </c>
      <c r="P1841" t="str">
        <f t="shared" si="274"/>
        <v>[1]</v>
      </c>
      <c r="Q1841">
        <f t="shared" si="275"/>
        <v>28</v>
      </c>
      <c r="R1841" t="str">
        <f t="shared" si="276"/>
        <v/>
      </c>
      <c r="S1841">
        <f>SUMIF(O1841:$O$2855,R1841,Q1841:$Q$2855)</f>
        <v>0</v>
      </c>
    </row>
    <row r="1842" spans="11:19" x14ac:dyDescent="0.25">
      <c r="K1842" s="4" t="s">
        <v>421</v>
      </c>
      <c r="L1842" t="s">
        <v>422</v>
      </c>
      <c r="M1842" t="s">
        <v>2377</v>
      </c>
      <c r="N1842" t="s">
        <v>190</v>
      </c>
      <c r="O1842" t="s">
        <v>1046</v>
      </c>
      <c r="P1842" t="str">
        <f t="shared" si="274"/>
        <v>[1]</v>
      </c>
      <c r="Q1842">
        <f t="shared" si="275"/>
        <v>56</v>
      </c>
      <c r="R1842" t="str">
        <f t="shared" si="276"/>
        <v/>
      </c>
      <c r="S1842">
        <f>SUMIF(O1842:$O$2855,R1842,Q1842:$Q$2855)</f>
        <v>0</v>
      </c>
    </row>
    <row r="1843" spans="11:19" x14ac:dyDescent="0.25">
      <c r="K1843" s="4" t="s">
        <v>421</v>
      </c>
      <c r="L1843" t="s">
        <v>422</v>
      </c>
      <c r="M1843" t="s">
        <v>2378</v>
      </c>
      <c r="N1843" t="s">
        <v>67</v>
      </c>
      <c r="O1843" t="s">
        <v>1046</v>
      </c>
      <c r="P1843" t="str">
        <f t="shared" si="274"/>
        <v>[1]</v>
      </c>
      <c r="Q1843">
        <f t="shared" si="275"/>
        <v>48</v>
      </c>
      <c r="R1843" t="str">
        <f t="shared" si="276"/>
        <v/>
      </c>
      <c r="S1843">
        <f>SUMIF(O1843:$O$2855,R1843,Q1843:$Q$2855)</f>
        <v>0</v>
      </c>
    </row>
    <row r="1844" spans="11:19" x14ac:dyDescent="0.25">
      <c r="K1844" s="4" t="s">
        <v>421</v>
      </c>
      <c r="L1844" t="s">
        <v>422</v>
      </c>
      <c r="M1844" t="s">
        <v>2379</v>
      </c>
      <c r="N1844" t="s">
        <v>126</v>
      </c>
      <c r="O1844" t="s">
        <v>1046</v>
      </c>
      <c r="P1844" t="str">
        <f t="shared" si="274"/>
        <v>[1]</v>
      </c>
      <c r="Q1844">
        <f t="shared" si="275"/>
        <v>8</v>
      </c>
      <c r="R1844" t="str">
        <f t="shared" si="276"/>
        <v/>
      </c>
      <c r="S1844">
        <f>SUMIF(O1844:$O$2855,R1844,Q1844:$Q$2855)</f>
        <v>0</v>
      </c>
    </row>
    <row r="1845" spans="11:19" x14ac:dyDescent="0.25">
      <c r="K1845" s="4" t="s">
        <v>421</v>
      </c>
      <c r="L1845" t="s">
        <v>422</v>
      </c>
      <c r="M1845" t="s">
        <v>2380</v>
      </c>
      <c r="N1845" t="s">
        <v>165</v>
      </c>
      <c r="O1845" t="s">
        <v>1046</v>
      </c>
      <c r="P1845" t="str">
        <f t="shared" si="274"/>
        <v>[1]</v>
      </c>
      <c r="Q1845">
        <f t="shared" si="275"/>
        <v>20</v>
      </c>
      <c r="R1845" t="str">
        <f t="shared" si="276"/>
        <v/>
      </c>
      <c r="S1845">
        <f>SUMIF(O1845:$O$2855,R1845,Q1845:$Q$2855)</f>
        <v>0</v>
      </c>
    </row>
    <row r="1846" spans="11:19" x14ac:dyDescent="0.25">
      <c r="K1846" s="4" t="s">
        <v>421</v>
      </c>
      <c r="L1846" t="s">
        <v>422</v>
      </c>
      <c r="M1846" t="s">
        <v>2381</v>
      </c>
      <c r="N1846" t="s">
        <v>13</v>
      </c>
      <c r="O1846" t="s">
        <v>1046</v>
      </c>
      <c r="P1846" t="str">
        <f t="shared" si="274"/>
        <v>[1]</v>
      </c>
      <c r="Q1846">
        <f t="shared" si="275"/>
        <v>12</v>
      </c>
      <c r="R1846" t="str">
        <f t="shared" si="276"/>
        <v/>
      </c>
      <c r="S1846">
        <f>SUMIF(O1846:$O$2855,R1846,Q1846:$Q$2855)</f>
        <v>0</v>
      </c>
    </row>
    <row r="1847" spans="11:19" x14ac:dyDescent="0.25">
      <c r="K1847" s="4" t="s">
        <v>421</v>
      </c>
      <c r="L1847" t="s">
        <v>422</v>
      </c>
      <c r="M1847" t="s">
        <v>2382</v>
      </c>
      <c r="N1847" t="s">
        <v>13</v>
      </c>
      <c r="O1847" t="s">
        <v>1046</v>
      </c>
      <c r="P1847" t="str">
        <f t="shared" si="274"/>
        <v>[1]</v>
      </c>
      <c r="Q1847">
        <f t="shared" si="275"/>
        <v>12</v>
      </c>
      <c r="R1847" t="str">
        <f t="shared" si="276"/>
        <v/>
      </c>
      <c r="S1847">
        <f>SUMIF(O1847:$O$2855,R1847,Q1847:$Q$2855)</f>
        <v>0</v>
      </c>
    </row>
    <row r="1848" spans="11:19" x14ac:dyDescent="0.25">
      <c r="K1848" s="4" t="s">
        <v>421</v>
      </c>
      <c r="L1848" t="s">
        <v>422</v>
      </c>
      <c r="M1848" t="s">
        <v>2383</v>
      </c>
      <c r="N1848" t="s">
        <v>13</v>
      </c>
      <c r="O1848" t="s">
        <v>1046</v>
      </c>
      <c r="P1848" t="str">
        <f t="shared" si="274"/>
        <v>[1]</v>
      </c>
      <c r="Q1848">
        <f t="shared" si="275"/>
        <v>12</v>
      </c>
      <c r="R1848" t="str">
        <f t="shared" si="276"/>
        <v/>
      </c>
      <c r="S1848">
        <f>SUMIF(O1848:$O$2855,R1848,Q1848:$Q$2855)</f>
        <v>0</v>
      </c>
    </row>
    <row r="1849" spans="11:19" x14ac:dyDescent="0.25">
      <c r="K1849" s="4" t="s">
        <v>421</v>
      </c>
      <c r="L1849" t="s">
        <v>422</v>
      </c>
      <c r="M1849" t="s">
        <v>2384</v>
      </c>
      <c r="N1849" t="s">
        <v>76</v>
      </c>
      <c r="O1849" t="s">
        <v>1046</v>
      </c>
      <c r="P1849" t="str">
        <f t="shared" si="274"/>
        <v>[1]</v>
      </c>
      <c r="Q1849">
        <f t="shared" si="275"/>
        <v>36</v>
      </c>
      <c r="R1849" t="str">
        <f t="shared" si="276"/>
        <v/>
      </c>
      <c r="S1849">
        <f>SUMIF(O1849:$O$2855,R1849,Q1849:$Q$2855)</f>
        <v>0</v>
      </c>
    </row>
    <row r="1850" spans="11:19" x14ac:dyDescent="0.25">
      <c r="K1850" s="4" t="s">
        <v>421</v>
      </c>
      <c r="L1850" t="s">
        <v>422</v>
      </c>
      <c r="M1850" t="s">
        <v>2385</v>
      </c>
      <c r="N1850" t="s">
        <v>89</v>
      </c>
      <c r="O1850" t="s">
        <v>1046</v>
      </c>
      <c r="P1850" t="str">
        <f t="shared" si="274"/>
        <v>[1]</v>
      </c>
      <c r="Q1850">
        <f t="shared" si="275"/>
        <v>76</v>
      </c>
      <c r="R1850" t="str">
        <f t="shared" si="276"/>
        <v/>
      </c>
      <c r="S1850">
        <f>SUMIF(O1850:$O$2855,R1850,Q1850:$Q$2855)</f>
        <v>0</v>
      </c>
    </row>
    <row r="1851" spans="11:19" x14ac:dyDescent="0.25">
      <c r="K1851" s="4" t="s">
        <v>421</v>
      </c>
      <c r="L1851" t="s">
        <v>422</v>
      </c>
      <c r="M1851" t="s">
        <v>2386</v>
      </c>
      <c r="N1851" t="s">
        <v>119</v>
      </c>
      <c r="O1851" t="s">
        <v>1046</v>
      </c>
      <c r="P1851" t="str">
        <f t="shared" si="274"/>
        <v>[1]</v>
      </c>
      <c r="Q1851">
        <f t="shared" si="275"/>
        <v>32</v>
      </c>
      <c r="R1851" t="str">
        <f t="shared" si="276"/>
        <v/>
      </c>
      <c r="S1851">
        <f>SUMIF(O1851:$O$2855,R1851,Q1851:$Q$2855)</f>
        <v>0</v>
      </c>
    </row>
    <row r="1852" spans="11:19" x14ac:dyDescent="0.25">
      <c r="K1852" s="4" t="s">
        <v>421</v>
      </c>
      <c r="L1852" t="s">
        <v>422</v>
      </c>
      <c r="M1852" t="s">
        <v>2387</v>
      </c>
      <c r="N1852" t="s">
        <v>119</v>
      </c>
      <c r="O1852" t="s">
        <v>1046</v>
      </c>
      <c r="P1852" t="str">
        <f t="shared" si="274"/>
        <v>[1]</v>
      </c>
      <c r="Q1852">
        <f t="shared" si="275"/>
        <v>32</v>
      </c>
      <c r="R1852" t="str">
        <f t="shared" si="276"/>
        <v/>
      </c>
      <c r="S1852">
        <f>SUMIF(O1852:$O$2855,R1852,Q1852:$Q$2855)</f>
        <v>0</v>
      </c>
    </row>
    <row r="1853" spans="11:19" x14ac:dyDescent="0.25">
      <c r="K1853" s="4" t="s">
        <v>421</v>
      </c>
      <c r="L1853" t="s">
        <v>422</v>
      </c>
      <c r="M1853" t="s">
        <v>2388</v>
      </c>
      <c r="N1853" t="s">
        <v>119</v>
      </c>
      <c r="O1853" t="s">
        <v>1046</v>
      </c>
      <c r="P1853" t="str">
        <f t="shared" si="274"/>
        <v>[1]</v>
      </c>
      <c r="Q1853">
        <f t="shared" si="275"/>
        <v>32</v>
      </c>
      <c r="R1853" t="str">
        <f t="shared" si="276"/>
        <v/>
      </c>
      <c r="S1853">
        <f>SUMIF(O1853:$O$2855,R1853,Q1853:$Q$2855)</f>
        <v>0</v>
      </c>
    </row>
    <row r="1854" spans="11:19" x14ac:dyDescent="0.25">
      <c r="K1854" s="4" t="s">
        <v>421</v>
      </c>
      <c r="L1854" t="s">
        <v>422</v>
      </c>
      <c r="M1854" t="s">
        <v>2389</v>
      </c>
      <c r="N1854" t="s">
        <v>119</v>
      </c>
      <c r="O1854" t="s">
        <v>1046</v>
      </c>
      <c r="P1854" t="str">
        <f t="shared" si="274"/>
        <v>[1]</v>
      </c>
      <c r="Q1854">
        <f t="shared" si="275"/>
        <v>32</v>
      </c>
      <c r="R1854" t="str">
        <f t="shared" si="276"/>
        <v/>
      </c>
      <c r="S1854">
        <f>SUMIF(O1854:$O$2855,R1854,Q1854:$Q$2855)</f>
        <v>0</v>
      </c>
    </row>
    <row r="1855" spans="11:19" x14ac:dyDescent="0.25">
      <c r="K1855" s="4" t="s">
        <v>421</v>
      </c>
      <c r="L1855" t="s">
        <v>422</v>
      </c>
      <c r="M1855" t="s">
        <v>2390</v>
      </c>
      <c r="N1855" t="s">
        <v>119</v>
      </c>
      <c r="O1855" t="s">
        <v>1046</v>
      </c>
      <c r="P1855" t="str">
        <f t="shared" si="274"/>
        <v>[1]</v>
      </c>
      <c r="Q1855">
        <f t="shared" si="275"/>
        <v>32</v>
      </c>
      <c r="R1855" t="str">
        <f t="shared" si="276"/>
        <v/>
      </c>
      <c r="S1855">
        <f>SUMIF(O1855:$O$2855,R1855,Q1855:$Q$2855)</f>
        <v>0</v>
      </c>
    </row>
    <row r="1856" spans="11:19" x14ac:dyDescent="0.25">
      <c r="K1856" s="4" t="s">
        <v>421</v>
      </c>
      <c r="L1856" t="s">
        <v>422</v>
      </c>
      <c r="M1856" t="s">
        <v>2391</v>
      </c>
      <c r="N1856" t="s">
        <v>119</v>
      </c>
      <c r="O1856" t="s">
        <v>1046</v>
      </c>
      <c r="P1856" t="str">
        <f t="shared" si="274"/>
        <v>[1]</v>
      </c>
      <c r="Q1856">
        <f t="shared" si="275"/>
        <v>32</v>
      </c>
      <c r="R1856" t="str">
        <f t="shared" si="276"/>
        <v/>
      </c>
      <c r="S1856">
        <f>SUMIF(O1856:$O$2855,R1856,Q1856:$Q$2855)</f>
        <v>0</v>
      </c>
    </row>
    <row r="1857" spans="11:19" x14ac:dyDescent="0.25">
      <c r="K1857" s="4" t="s">
        <v>421</v>
      </c>
      <c r="L1857" t="s">
        <v>422</v>
      </c>
      <c r="M1857" t="s">
        <v>2392</v>
      </c>
      <c r="N1857" t="s">
        <v>119</v>
      </c>
      <c r="O1857" t="s">
        <v>1046</v>
      </c>
      <c r="P1857" t="str">
        <f t="shared" si="274"/>
        <v>[1]</v>
      </c>
      <c r="Q1857">
        <f t="shared" si="275"/>
        <v>32</v>
      </c>
      <c r="R1857" t="str">
        <f t="shared" si="276"/>
        <v/>
      </c>
      <c r="S1857">
        <f>SUMIF(O1857:$O$2855,R1857,Q1857:$Q$2855)</f>
        <v>0</v>
      </c>
    </row>
    <row r="1858" spans="11:19" x14ac:dyDescent="0.25">
      <c r="K1858" s="4" t="s">
        <v>421</v>
      </c>
      <c r="L1858" t="s">
        <v>422</v>
      </c>
      <c r="M1858" t="s">
        <v>2393</v>
      </c>
      <c r="N1858" t="s">
        <v>119</v>
      </c>
      <c r="O1858" t="s">
        <v>1046</v>
      </c>
      <c r="P1858" t="str">
        <f t="shared" ref="P1858:P1921" si="277">VLOOKUP($K$30,$E$1:$F$26,2,FALSE)</f>
        <v>[1]</v>
      </c>
      <c r="Q1858">
        <f t="shared" si="275"/>
        <v>32</v>
      </c>
      <c r="R1858" t="str">
        <f t="shared" si="276"/>
        <v/>
      </c>
      <c r="S1858">
        <f>SUMIF(O1858:$O$2855,R1858,Q1858:$Q$2855)</f>
        <v>0</v>
      </c>
    </row>
    <row r="1859" spans="11:19" x14ac:dyDescent="0.25">
      <c r="K1859" s="4" t="s">
        <v>421</v>
      </c>
      <c r="L1859" t="s">
        <v>422</v>
      </c>
      <c r="M1859" t="s">
        <v>2394</v>
      </c>
      <c r="N1859" t="s">
        <v>119</v>
      </c>
      <c r="O1859" t="s">
        <v>1046</v>
      </c>
      <c r="P1859" t="str">
        <f t="shared" si="277"/>
        <v>[1]</v>
      </c>
      <c r="Q1859">
        <f t="shared" ref="Q1859:Q1922" si="278">HEX2DEC(MID(N1859,3,LEN(N1859)-2))</f>
        <v>32</v>
      </c>
      <c r="R1859" t="str">
        <f t="shared" si="276"/>
        <v/>
      </c>
      <c r="S1859">
        <f>SUMIF(O1859:$O$2855,R1859,Q1859:$Q$2855)</f>
        <v>0</v>
      </c>
    </row>
    <row r="1860" spans="11:19" x14ac:dyDescent="0.25">
      <c r="K1860" s="4" t="s">
        <v>421</v>
      </c>
      <c r="L1860" t="s">
        <v>422</v>
      </c>
      <c r="M1860" t="s">
        <v>2395</v>
      </c>
      <c r="N1860" t="s">
        <v>143</v>
      </c>
      <c r="O1860" t="s">
        <v>1046</v>
      </c>
      <c r="P1860" t="str">
        <f t="shared" si="277"/>
        <v>[1]</v>
      </c>
      <c r="Q1860">
        <f t="shared" si="278"/>
        <v>84</v>
      </c>
      <c r="R1860" t="str">
        <f t="shared" si="276"/>
        <v/>
      </c>
      <c r="S1860">
        <f>SUMIF(O1860:$O$2855,R1860,Q1860:$Q$2855)</f>
        <v>0</v>
      </c>
    </row>
    <row r="1861" spans="11:19" x14ac:dyDescent="0.25">
      <c r="K1861" s="4" t="s">
        <v>421</v>
      </c>
      <c r="L1861" t="s">
        <v>422</v>
      </c>
      <c r="M1861" t="s">
        <v>2396</v>
      </c>
      <c r="N1861" t="s">
        <v>119</v>
      </c>
      <c r="O1861" t="s">
        <v>1046</v>
      </c>
      <c r="P1861" t="str">
        <f t="shared" si="277"/>
        <v>[1]</v>
      </c>
      <c r="Q1861">
        <f t="shared" si="278"/>
        <v>32</v>
      </c>
      <c r="R1861" t="str">
        <f t="shared" si="276"/>
        <v/>
      </c>
      <c r="S1861">
        <f>SUMIF(O1861:$O$2855,R1861,Q1861:$Q$2855)</f>
        <v>0</v>
      </c>
    </row>
    <row r="1862" spans="11:19" x14ac:dyDescent="0.25">
      <c r="K1862" s="4" t="s">
        <v>421</v>
      </c>
      <c r="L1862" t="s">
        <v>422</v>
      </c>
      <c r="M1862" t="s">
        <v>2397</v>
      </c>
      <c r="N1862" t="s">
        <v>119</v>
      </c>
      <c r="O1862" t="s">
        <v>1046</v>
      </c>
      <c r="P1862" t="str">
        <f t="shared" si="277"/>
        <v>[1]</v>
      </c>
      <c r="Q1862">
        <f t="shared" si="278"/>
        <v>32</v>
      </c>
      <c r="R1862" t="str">
        <f t="shared" si="276"/>
        <v/>
      </c>
      <c r="S1862">
        <f>SUMIF(O1862:$O$2855,R1862,Q1862:$Q$2855)</f>
        <v>0</v>
      </c>
    </row>
    <row r="1863" spans="11:19" x14ac:dyDescent="0.25">
      <c r="K1863" s="4" t="s">
        <v>421</v>
      </c>
      <c r="L1863" t="s">
        <v>422</v>
      </c>
      <c r="M1863" t="s">
        <v>2398</v>
      </c>
      <c r="N1863" t="s">
        <v>124</v>
      </c>
      <c r="O1863" t="s">
        <v>1046</v>
      </c>
      <c r="P1863" t="str">
        <f t="shared" si="277"/>
        <v>[1]</v>
      </c>
      <c r="Q1863">
        <f t="shared" si="278"/>
        <v>68</v>
      </c>
      <c r="R1863" t="str">
        <f t="shared" si="276"/>
        <v/>
      </c>
      <c r="S1863">
        <f>SUMIF(O1863:$O$2855,R1863,Q1863:$Q$2855)</f>
        <v>0</v>
      </c>
    </row>
    <row r="1864" spans="11:19" x14ac:dyDescent="0.25">
      <c r="K1864" s="4" t="s">
        <v>421</v>
      </c>
      <c r="L1864" t="s">
        <v>422</v>
      </c>
      <c r="M1864" t="s">
        <v>2399</v>
      </c>
      <c r="N1864" t="s">
        <v>124</v>
      </c>
      <c r="O1864" t="s">
        <v>1046</v>
      </c>
      <c r="P1864" t="str">
        <f t="shared" si="277"/>
        <v>[1]</v>
      </c>
      <c r="Q1864">
        <f t="shared" si="278"/>
        <v>68</v>
      </c>
      <c r="R1864" t="str">
        <f t="shared" si="276"/>
        <v/>
      </c>
      <c r="S1864">
        <f>SUMIF(O1864:$O$2855,R1864,Q1864:$Q$2855)</f>
        <v>0</v>
      </c>
    </row>
    <row r="1865" spans="11:19" x14ac:dyDescent="0.25">
      <c r="K1865" s="4" t="s">
        <v>421</v>
      </c>
      <c r="L1865" t="s">
        <v>422</v>
      </c>
      <c r="M1865" t="s">
        <v>2400</v>
      </c>
      <c r="N1865" t="s">
        <v>126</v>
      </c>
      <c r="O1865" t="s">
        <v>1046</v>
      </c>
      <c r="P1865" t="str">
        <f t="shared" si="277"/>
        <v>[1]</v>
      </c>
      <c r="Q1865">
        <f t="shared" si="278"/>
        <v>8</v>
      </c>
      <c r="R1865" t="str">
        <f t="shared" si="276"/>
        <v/>
      </c>
      <c r="S1865">
        <f>SUMIF(O1865:$O$2855,R1865,Q1865:$Q$2855)</f>
        <v>0</v>
      </c>
    </row>
    <row r="1866" spans="11:19" x14ac:dyDescent="0.25">
      <c r="K1866" s="4" t="s">
        <v>421</v>
      </c>
      <c r="L1866" t="s">
        <v>422</v>
      </c>
      <c r="M1866" t="s">
        <v>2759</v>
      </c>
      <c r="N1866" t="s">
        <v>65</v>
      </c>
      <c r="O1866" t="s">
        <v>117</v>
      </c>
      <c r="P1866" t="str">
        <f t="shared" si="277"/>
        <v>[1]</v>
      </c>
      <c r="Q1866">
        <f t="shared" si="278"/>
        <v>40</v>
      </c>
      <c r="R1866" t="str">
        <f t="shared" si="276"/>
        <v>Mutex.o</v>
      </c>
      <c r="S1866">
        <f>SUMIF(O1866:$O$2855,R1866,Q1866:$Q$2855)</f>
        <v>244</v>
      </c>
    </row>
    <row r="1867" spans="11:19" x14ac:dyDescent="0.25">
      <c r="K1867" s="4" t="s">
        <v>421</v>
      </c>
      <c r="L1867" t="s">
        <v>422</v>
      </c>
      <c r="M1867" t="s">
        <v>2760</v>
      </c>
      <c r="N1867" t="s">
        <v>65</v>
      </c>
      <c r="O1867" t="s">
        <v>117</v>
      </c>
      <c r="P1867" t="str">
        <f t="shared" si="277"/>
        <v>[1]</v>
      </c>
      <c r="Q1867">
        <f t="shared" si="278"/>
        <v>40</v>
      </c>
      <c r="R1867" t="str">
        <f t="shared" si="276"/>
        <v/>
      </c>
      <c r="S1867">
        <f>SUMIF(O1867:$O$2855,R1867,Q1867:$Q$2855)</f>
        <v>0</v>
      </c>
    </row>
    <row r="1868" spans="11:19" x14ac:dyDescent="0.25">
      <c r="K1868" s="4" t="s">
        <v>421</v>
      </c>
      <c r="L1868" t="s">
        <v>422</v>
      </c>
      <c r="M1868" t="s">
        <v>2761</v>
      </c>
      <c r="N1868" t="s">
        <v>6</v>
      </c>
      <c r="O1868" t="s">
        <v>117</v>
      </c>
      <c r="P1868" t="str">
        <f t="shared" si="277"/>
        <v>[1]</v>
      </c>
      <c r="Q1868">
        <f t="shared" si="278"/>
        <v>28</v>
      </c>
      <c r="R1868" t="str">
        <f t="shared" si="276"/>
        <v/>
      </c>
      <c r="S1868">
        <f>SUMIF(O1868:$O$2855,R1868,Q1868:$Q$2855)</f>
        <v>0</v>
      </c>
    </row>
    <row r="1869" spans="11:19" x14ac:dyDescent="0.25">
      <c r="K1869" s="4" t="s">
        <v>421</v>
      </c>
      <c r="L1869" t="s">
        <v>422</v>
      </c>
      <c r="M1869" t="s">
        <v>2762</v>
      </c>
      <c r="N1869" t="s">
        <v>76</v>
      </c>
      <c r="O1869" t="s">
        <v>117</v>
      </c>
      <c r="P1869" t="str">
        <f t="shared" si="277"/>
        <v>[1]</v>
      </c>
      <c r="Q1869">
        <f t="shared" si="278"/>
        <v>36</v>
      </c>
      <c r="R1869" t="str">
        <f t="shared" si="276"/>
        <v/>
      </c>
      <c r="S1869">
        <f>SUMIF(O1869:$O$2855,R1869,Q1869:$Q$2855)</f>
        <v>0</v>
      </c>
    </row>
    <row r="1870" spans="11:19" x14ac:dyDescent="0.25">
      <c r="K1870" s="4" t="s">
        <v>421</v>
      </c>
      <c r="L1870" t="s">
        <v>422</v>
      </c>
      <c r="M1870" t="s">
        <v>2763</v>
      </c>
      <c r="N1870" t="s">
        <v>103</v>
      </c>
      <c r="O1870" t="s">
        <v>117</v>
      </c>
      <c r="P1870" t="str">
        <f t="shared" si="277"/>
        <v>[1]</v>
      </c>
      <c r="Q1870">
        <f t="shared" si="278"/>
        <v>64</v>
      </c>
      <c r="R1870" t="str">
        <f t="shared" si="276"/>
        <v/>
      </c>
      <c r="S1870">
        <f>SUMIF(O1870:$O$2855,R1870,Q1870:$Q$2855)</f>
        <v>0</v>
      </c>
    </row>
    <row r="1871" spans="11:19" x14ac:dyDescent="0.25">
      <c r="K1871" s="4" t="s">
        <v>421</v>
      </c>
      <c r="L1871" t="s">
        <v>422</v>
      </c>
      <c r="M1871" t="s">
        <v>2764</v>
      </c>
      <c r="N1871" t="s">
        <v>202</v>
      </c>
      <c r="O1871" t="s">
        <v>117</v>
      </c>
      <c r="P1871" t="str">
        <f t="shared" si="277"/>
        <v>[1]</v>
      </c>
      <c r="Q1871">
        <f t="shared" si="278"/>
        <v>16</v>
      </c>
      <c r="R1871" t="str">
        <f t="shared" si="276"/>
        <v/>
      </c>
      <c r="S1871">
        <f>SUMIF(O1871:$O$2855,R1871,Q1871:$Q$2855)</f>
        <v>0</v>
      </c>
    </row>
    <row r="1872" spans="11:19" x14ac:dyDescent="0.25">
      <c r="K1872" s="4" t="s">
        <v>421</v>
      </c>
      <c r="L1872" t="s">
        <v>422</v>
      </c>
      <c r="M1872" t="s">
        <v>1751</v>
      </c>
      <c r="N1872" t="s">
        <v>202</v>
      </c>
      <c r="O1872" t="s">
        <v>117</v>
      </c>
      <c r="P1872" t="str">
        <f t="shared" si="277"/>
        <v>[1]</v>
      </c>
      <c r="Q1872">
        <f t="shared" si="278"/>
        <v>16</v>
      </c>
      <c r="R1872" t="str">
        <f t="shared" si="276"/>
        <v/>
      </c>
      <c r="S1872">
        <f>SUMIF(O1872:$O$2855,R1872,Q1872:$Q$2855)</f>
        <v>0</v>
      </c>
    </row>
    <row r="1873" spans="11:19" x14ac:dyDescent="0.25">
      <c r="K1873" s="4" t="s">
        <v>421</v>
      </c>
      <c r="L1873" t="s">
        <v>422</v>
      </c>
      <c r="M1873" t="s">
        <v>2765</v>
      </c>
      <c r="N1873" t="s">
        <v>78</v>
      </c>
      <c r="O1873" t="s">
        <v>117</v>
      </c>
      <c r="P1873" t="str">
        <f t="shared" si="277"/>
        <v>[1]</v>
      </c>
      <c r="Q1873">
        <f t="shared" si="278"/>
        <v>4</v>
      </c>
      <c r="R1873" t="str">
        <f t="shared" si="276"/>
        <v/>
      </c>
      <c r="S1873">
        <f>SUMIF(O1873:$O$2855,R1873,Q1873:$Q$2855)</f>
        <v>0</v>
      </c>
    </row>
    <row r="1874" spans="11:19" x14ac:dyDescent="0.25">
      <c r="K1874" s="4" t="s">
        <v>421</v>
      </c>
      <c r="L1874" t="s">
        <v>422</v>
      </c>
      <c r="M1874" t="s">
        <v>4100</v>
      </c>
      <c r="N1874" t="s">
        <v>202</v>
      </c>
      <c r="O1874" t="s">
        <v>1136</v>
      </c>
      <c r="P1874" t="str">
        <f t="shared" si="277"/>
        <v>[1]</v>
      </c>
      <c r="Q1874">
        <f t="shared" si="278"/>
        <v>16</v>
      </c>
      <c r="R1874" t="str">
        <f t="shared" si="276"/>
        <v>nw_connected.o</v>
      </c>
      <c r="S1874">
        <f>SUMIF(O1874:$O$2855,R1874,Q1874:$Q$2855)</f>
        <v>16</v>
      </c>
    </row>
    <row r="1875" spans="11:19" x14ac:dyDescent="0.25">
      <c r="K1875" s="4" t="s">
        <v>421</v>
      </c>
      <c r="L1875" t="s">
        <v>422</v>
      </c>
      <c r="M1875" t="s">
        <v>1985</v>
      </c>
      <c r="N1875" t="s">
        <v>398</v>
      </c>
      <c r="O1875" t="s">
        <v>177</v>
      </c>
      <c r="P1875" t="str">
        <f t="shared" si="277"/>
        <v>[1]</v>
      </c>
      <c r="Q1875">
        <f t="shared" si="278"/>
        <v>132</v>
      </c>
      <c r="R1875" t="str">
        <f t="shared" si="276"/>
        <v>partitions.o</v>
      </c>
      <c r="S1875">
        <f>SUMIF(O1875:$O$2855,R1875,Q1875:$Q$2855)</f>
        <v>2812</v>
      </c>
    </row>
    <row r="1876" spans="11:19" x14ac:dyDescent="0.25">
      <c r="K1876" s="4" t="s">
        <v>421</v>
      </c>
      <c r="L1876" t="s">
        <v>422</v>
      </c>
      <c r="M1876" t="s">
        <v>3964</v>
      </c>
      <c r="N1876" t="s">
        <v>275</v>
      </c>
      <c r="O1876" t="s">
        <v>177</v>
      </c>
      <c r="P1876" t="str">
        <f t="shared" si="277"/>
        <v>[1]</v>
      </c>
      <c r="Q1876">
        <f t="shared" si="278"/>
        <v>80</v>
      </c>
      <c r="R1876" t="str">
        <f t="shared" si="276"/>
        <v/>
      </c>
      <c r="S1876">
        <f>SUMIF(O1876:$O$2855,R1876,Q1876:$Q$2855)</f>
        <v>0</v>
      </c>
    </row>
    <row r="1877" spans="11:19" x14ac:dyDescent="0.25">
      <c r="K1877" s="4" t="s">
        <v>421</v>
      </c>
      <c r="L1877" t="s">
        <v>422</v>
      </c>
      <c r="M1877" t="s">
        <v>3965</v>
      </c>
      <c r="N1877" t="s">
        <v>78</v>
      </c>
      <c r="O1877" t="s">
        <v>177</v>
      </c>
      <c r="P1877" t="str">
        <f t="shared" si="277"/>
        <v>[1]</v>
      </c>
      <c r="Q1877">
        <f t="shared" si="278"/>
        <v>4</v>
      </c>
      <c r="R1877" t="str">
        <f t="shared" si="276"/>
        <v/>
      </c>
      <c r="S1877">
        <f>SUMIF(O1877:$O$2855,R1877,Q1877:$Q$2855)</f>
        <v>0</v>
      </c>
    </row>
    <row r="1878" spans="11:19" x14ac:dyDescent="0.25">
      <c r="K1878" s="4" t="s">
        <v>421</v>
      </c>
      <c r="L1878" t="s">
        <v>422</v>
      </c>
      <c r="M1878" t="s">
        <v>3966</v>
      </c>
      <c r="N1878" t="s">
        <v>126</v>
      </c>
      <c r="O1878" t="s">
        <v>177</v>
      </c>
      <c r="P1878" t="str">
        <f t="shared" si="277"/>
        <v>[1]</v>
      </c>
      <c r="Q1878">
        <f t="shared" si="278"/>
        <v>8</v>
      </c>
      <c r="R1878" t="str">
        <f t="shared" si="276"/>
        <v/>
      </c>
      <c r="S1878">
        <f>SUMIF(O1878:$O$2855,R1878,Q1878:$Q$2855)</f>
        <v>0</v>
      </c>
    </row>
    <row r="1879" spans="11:19" x14ac:dyDescent="0.25">
      <c r="K1879" s="4" t="s">
        <v>421</v>
      </c>
      <c r="L1879" t="s">
        <v>422</v>
      </c>
      <c r="M1879" t="s">
        <v>3967</v>
      </c>
      <c r="N1879" t="s">
        <v>13</v>
      </c>
      <c r="O1879" t="s">
        <v>177</v>
      </c>
      <c r="P1879" t="str">
        <f t="shared" si="277"/>
        <v>[1]</v>
      </c>
      <c r="Q1879">
        <f t="shared" si="278"/>
        <v>12</v>
      </c>
      <c r="R1879" t="str">
        <f t="shared" si="276"/>
        <v/>
      </c>
      <c r="S1879">
        <f>SUMIF(O1879:$O$2855,R1879,Q1879:$Q$2855)</f>
        <v>0</v>
      </c>
    </row>
    <row r="1880" spans="11:19" x14ac:dyDescent="0.25">
      <c r="K1880" s="4" t="s">
        <v>421</v>
      </c>
      <c r="L1880" t="s">
        <v>422</v>
      </c>
      <c r="M1880" t="s">
        <v>3968</v>
      </c>
      <c r="N1880" t="s">
        <v>13</v>
      </c>
      <c r="O1880" t="s">
        <v>177</v>
      </c>
      <c r="P1880" t="str">
        <f t="shared" si="277"/>
        <v>[1]</v>
      </c>
      <c r="Q1880">
        <f t="shared" si="278"/>
        <v>12</v>
      </c>
      <c r="R1880" t="str">
        <f t="shared" si="276"/>
        <v/>
      </c>
      <c r="S1880">
        <f>SUMIF(O1880:$O$2855,R1880,Q1880:$Q$2855)</f>
        <v>0</v>
      </c>
    </row>
    <row r="1881" spans="11:19" x14ac:dyDescent="0.25">
      <c r="K1881" s="4" t="s">
        <v>421</v>
      </c>
      <c r="L1881" t="s">
        <v>422</v>
      </c>
      <c r="M1881" t="s">
        <v>3969</v>
      </c>
      <c r="N1881" t="s">
        <v>202</v>
      </c>
      <c r="O1881" t="s">
        <v>177</v>
      </c>
      <c r="P1881" t="str">
        <f t="shared" si="277"/>
        <v>[1]</v>
      </c>
      <c r="Q1881">
        <f t="shared" si="278"/>
        <v>16</v>
      </c>
      <c r="R1881" t="str">
        <f t="shared" si="276"/>
        <v/>
      </c>
      <c r="S1881">
        <f>SUMIF(O1881:$O$2855,R1881,Q1881:$Q$2855)</f>
        <v>0</v>
      </c>
    </row>
    <row r="1882" spans="11:19" x14ac:dyDescent="0.25">
      <c r="K1882" s="4" t="s">
        <v>421</v>
      </c>
      <c r="L1882" t="s">
        <v>422</v>
      </c>
      <c r="M1882" t="s">
        <v>3970</v>
      </c>
      <c r="N1882" t="s">
        <v>202</v>
      </c>
      <c r="O1882" t="s">
        <v>177</v>
      </c>
      <c r="P1882" t="str">
        <f t="shared" si="277"/>
        <v>[1]</v>
      </c>
      <c r="Q1882">
        <f t="shared" si="278"/>
        <v>16</v>
      </c>
      <c r="R1882" t="str">
        <f t="shared" si="276"/>
        <v/>
      </c>
      <c r="S1882">
        <f>SUMIF(O1882:$O$2855,R1882,Q1882:$Q$2855)</f>
        <v>0</v>
      </c>
    </row>
    <row r="1883" spans="11:19" x14ac:dyDescent="0.25">
      <c r="K1883" s="4" t="s">
        <v>421</v>
      </c>
      <c r="L1883" t="s">
        <v>422</v>
      </c>
      <c r="M1883" t="s">
        <v>3971</v>
      </c>
      <c r="N1883" t="s">
        <v>78</v>
      </c>
      <c r="O1883" t="s">
        <v>177</v>
      </c>
      <c r="P1883" t="str">
        <f t="shared" si="277"/>
        <v>[1]</v>
      </c>
      <c r="Q1883">
        <f t="shared" si="278"/>
        <v>4</v>
      </c>
      <c r="R1883" t="str">
        <f t="shared" si="276"/>
        <v/>
      </c>
      <c r="S1883">
        <f>SUMIF(O1883:$O$2855,R1883,Q1883:$Q$2855)</f>
        <v>0</v>
      </c>
    </row>
    <row r="1884" spans="11:19" x14ac:dyDescent="0.25">
      <c r="K1884" s="4" t="s">
        <v>421</v>
      </c>
      <c r="L1884" t="s">
        <v>422</v>
      </c>
      <c r="M1884" t="s">
        <v>3972</v>
      </c>
      <c r="N1884" t="s">
        <v>126</v>
      </c>
      <c r="O1884" t="s">
        <v>177</v>
      </c>
      <c r="P1884" t="str">
        <f t="shared" si="277"/>
        <v>[1]</v>
      </c>
      <c r="Q1884">
        <f t="shared" si="278"/>
        <v>8</v>
      </c>
      <c r="R1884" t="str">
        <f t="shared" si="276"/>
        <v/>
      </c>
      <c r="S1884">
        <f>SUMIF(O1884:$O$2855,R1884,Q1884:$Q$2855)</f>
        <v>0</v>
      </c>
    </row>
    <row r="1885" spans="11:19" x14ac:dyDescent="0.25">
      <c r="K1885" s="4" t="s">
        <v>421</v>
      </c>
      <c r="L1885" t="s">
        <v>422</v>
      </c>
      <c r="M1885" t="s">
        <v>3973</v>
      </c>
      <c r="N1885" t="s">
        <v>202</v>
      </c>
      <c r="O1885" t="s">
        <v>177</v>
      </c>
      <c r="P1885" t="str">
        <f t="shared" si="277"/>
        <v>[1]</v>
      </c>
      <c r="Q1885">
        <f t="shared" si="278"/>
        <v>16</v>
      </c>
      <c r="R1885" t="str">
        <f t="shared" si="276"/>
        <v/>
      </c>
      <c r="S1885">
        <f>SUMIF(O1885:$O$2855,R1885,Q1885:$Q$2855)</f>
        <v>0</v>
      </c>
    </row>
    <row r="1886" spans="11:19" x14ac:dyDescent="0.25">
      <c r="K1886" s="4" t="s">
        <v>421</v>
      </c>
      <c r="L1886" t="s">
        <v>422</v>
      </c>
      <c r="M1886" t="s">
        <v>3974</v>
      </c>
      <c r="N1886" t="s">
        <v>126</v>
      </c>
      <c r="O1886" t="s">
        <v>177</v>
      </c>
      <c r="P1886" t="str">
        <f t="shared" si="277"/>
        <v>[1]</v>
      </c>
      <c r="Q1886">
        <f t="shared" si="278"/>
        <v>8</v>
      </c>
      <c r="R1886" t="str">
        <f t="shared" si="276"/>
        <v/>
      </c>
      <c r="S1886">
        <f>SUMIF(O1886:$O$2855,R1886,Q1886:$Q$2855)</f>
        <v>0</v>
      </c>
    </row>
    <row r="1887" spans="11:19" x14ac:dyDescent="0.25">
      <c r="K1887" s="4" t="s">
        <v>421</v>
      </c>
      <c r="L1887" t="s">
        <v>422</v>
      </c>
      <c r="M1887" t="s">
        <v>3975</v>
      </c>
      <c r="N1887" t="s">
        <v>78</v>
      </c>
      <c r="O1887" t="s">
        <v>177</v>
      </c>
      <c r="P1887" t="str">
        <f t="shared" si="277"/>
        <v>[1]</v>
      </c>
      <c r="Q1887">
        <f t="shared" si="278"/>
        <v>4</v>
      </c>
      <c r="R1887" t="str">
        <f t="shared" si="276"/>
        <v/>
      </c>
      <c r="S1887">
        <f>SUMIF(O1887:$O$2855,R1887,Q1887:$Q$2855)</f>
        <v>0</v>
      </c>
    </row>
    <row r="1888" spans="11:19" x14ac:dyDescent="0.25">
      <c r="K1888" s="4" t="s">
        <v>421</v>
      </c>
      <c r="L1888" t="s">
        <v>422</v>
      </c>
      <c r="M1888" t="s">
        <v>3976</v>
      </c>
      <c r="N1888" t="s">
        <v>13</v>
      </c>
      <c r="O1888" t="s">
        <v>177</v>
      </c>
      <c r="P1888" t="str">
        <f t="shared" si="277"/>
        <v>[1]</v>
      </c>
      <c r="Q1888">
        <f t="shared" si="278"/>
        <v>12</v>
      </c>
      <c r="R1888" t="str">
        <f t="shared" ref="R1888:R1951" si="279">IF(O1888&lt;&gt;O1887,O1888,"")</f>
        <v/>
      </c>
      <c r="S1888">
        <f>SUMIF(O1888:$O$2855,R1888,Q1888:$Q$2855)</f>
        <v>0</v>
      </c>
    </row>
    <row r="1889" spans="11:19" x14ac:dyDescent="0.25">
      <c r="K1889" s="4" t="s">
        <v>421</v>
      </c>
      <c r="L1889" t="s">
        <v>422</v>
      </c>
      <c r="M1889" t="s">
        <v>3977</v>
      </c>
      <c r="N1889" t="s">
        <v>202</v>
      </c>
      <c r="O1889" t="s">
        <v>177</v>
      </c>
      <c r="P1889" t="str">
        <f t="shared" si="277"/>
        <v>[1]</v>
      </c>
      <c r="Q1889">
        <f t="shared" si="278"/>
        <v>16</v>
      </c>
      <c r="R1889" t="str">
        <f t="shared" si="279"/>
        <v/>
      </c>
      <c r="S1889">
        <f>SUMIF(O1889:$O$2855,R1889,Q1889:$Q$2855)</f>
        <v>0</v>
      </c>
    </row>
    <row r="1890" spans="11:19" x14ac:dyDescent="0.25">
      <c r="K1890" s="4" t="s">
        <v>421</v>
      </c>
      <c r="L1890" t="s">
        <v>422</v>
      </c>
      <c r="M1890" t="s">
        <v>3978</v>
      </c>
      <c r="N1890" t="s">
        <v>202</v>
      </c>
      <c r="O1890" t="s">
        <v>177</v>
      </c>
      <c r="P1890" t="str">
        <f t="shared" si="277"/>
        <v>[1]</v>
      </c>
      <c r="Q1890">
        <f t="shared" si="278"/>
        <v>16</v>
      </c>
      <c r="R1890" t="str">
        <f t="shared" si="279"/>
        <v/>
      </c>
      <c r="S1890">
        <f>SUMIF(O1890:$O$2855,R1890,Q1890:$Q$2855)</f>
        <v>0</v>
      </c>
    </row>
    <row r="1891" spans="11:19" x14ac:dyDescent="0.25">
      <c r="K1891" s="4" t="s">
        <v>421</v>
      </c>
      <c r="L1891" t="s">
        <v>422</v>
      </c>
      <c r="M1891" t="s">
        <v>3979</v>
      </c>
      <c r="N1891" t="s">
        <v>202</v>
      </c>
      <c r="O1891" t="s">
        <v>177</v>
      </c>
      <c r="P1891" t="str">
        <f t="shared" si="277"/>
        <v>[1]</v>
      </c>
      <c r="Q1891">
        <f t="shared" si="278"/>
        <v>16</v>
      </c>
      <c r="R1891" t="str">
        <f t="shared" si="279"/>
        <v/>
      </c>
      <c r="S1891">
        <f>SUMIF(O1891:$O$2855,R1891,Q1891:$Q$2855)</f>
        <v>0</v>
      </c>
    </row>
    <row r="1892" spans="11:19" x14ac:dyDescent="0.25">
      <c r="K1892" s="4" t="s">
        <v>421</v>
      </c>
      <c r="L1892" t="s">
        <v>422</v>
      </c>
      <c r="M1892" t="s">
        <v>3980</v>
      </c>
      <c r="N1892" t="s">
        <v>202</v>
      </c>
      <c r="O1892" t="s">
        <v>177</v>
      </c>
      <c r="P1892" t="str">
        <f t="shared" si="277"/>
        <v>[1]</v>
      </c>
      <c r="Q1892">
        <f t="shared" si="278"/>
        <v>16</v>
      </c>
      <c r="R1892" t="str">
        <f t="shared" si="279"/>
        <v/>
      </c>
      <c r="S1892">
        <f>SUMIF(O1892:$O$2855,R1892,Q1892:$Q$2855)</f>
        <v>0</v>
      </c>
    </row>
    <row r="1893" spans="11:19" x14ac:dyDescent="0.25">
      <c r="K1893" s="4" t="s">
        <v>421</v>
      </c>
      <c r="L1893" t="s">
        <v>422</v>
      </c>
      <c r="M1893" t="s">
        <v>3981</v>
      </c>
      <c r="N1893" t="s">
        <v>202</v>
      </c>
      <c r="O1893" t="s">
        <v>177</v>
      </c>
      <c r="P1893" t="str">
        <f t="shared" si="277"/>
        <v>[1]</v>
      </c>
      <c r="Q1893">
        <f t="shared" si="278"/>
        <v>16</v>
      </c>
      <c r="R1893" t="str">
        <f t="shared" si="279"/>
        <v/>
      </c>
      <c r="S1893">
        <f>SUMIF(O1893:$O$2855,R1893,Q1893:$Q$2855)</f>
        <v>0</v>
      </c>
    </row>
    <row r="1894" spans="11:19" x14ac:dyDescent="0.25">
      <c r="K1894" s="4" t="s">
        <v>421</v>
      </c>
      <c r="L1894" t="s">
        <v>422</v>
      </c>
      <c r="M1894" t="s">
        <v>3982</v>
      </c>
      <c r="N1894" t="s">
        <v>202</v>
      </c>
      <c r="O1894" t="s">
        <v>177</v>
      </c>
      <c r="P1894" t="str">
        <f t="shared" si="277"/>
        <v>[1]</v>
      </c>
      <c r="Q1894">
        <f t="shared" si="278"/>
        <v>16</v>
      </c>
      <c r="R1894" t="str">
        <f t="shared" si="279"/>
        <v/>
      </c>
      <c r="S1894">
        <f>SUMIF(O1894:$O$2855,R1894,Q1894:$Q$2855)</f>
        <v>0</v>
      </c>
    </row>
    <row r="1895" spans="11:19" x14ac:dyDescent="0.25">
      <c r="K1895" s="4" t="s">
        <v>421</v>
      </c>
      <c r="L1895" t="s">
        <v>422</v>
      </c>
      <c r="M1895" t="s">
        <v>3983</v>
      </c>
      <c r="N1895" t="s">
        <v>202</v>
      </c>
      <c r="O1895" t="s">
        <v>177</v>
      </c>
      <c r="P1895" t="str">
        <f t="shared" si="277"/>
        <v>[1]</v>
      </c>
      <c r="Q1895">
        <f t="shared" si="278"/>
        <v>16</v>
      </c>
      <c r="R1895" t="str">
        <f t="shared" si="279"/>
        <v/>
      </c>
      <c r="S1895">
        <f>SUMIF(O1895:$O$2855,R1895,Q1895:$Q$2855)</f>
        <v>0</v>
      </c>
    </row>
    <row r="1896" spans="11:19" x14ac:dyDescent="0.25">
      <c r="K1896" s="4" t="s">
        <v>421</v>
      </c>
      <c r="L1896" t="s">
        <v>422</v>
      </c>
      <c r="M1896" t="s">
        <v>3984</v>
      </c>
      <c r="N1896" t="s">
        <v>202</v>
      </c>
      <c r="O1896" t="s">
        <v>177</v>
      </c>
      <c r="P1896" t="str">
        <f t="shared" si="277"/>
        <v>[1]</v>
      </c>
      <c r="Q1896">
        <f t="shared" si="278"/>
        <v>16</v>
      </c>
      <c r="R1896" t="str">
        <f t="shared" si="279"/>
        <v/>
      </c>
      <c r="S1896">
        <f>SUMIF(O1896:$O$2855,R1896,Q1896:$Q$2855)</f>
        <v>0</v>
      </c>
    </row>
    <row r="1897" spans="11:19" x14ac:dyDescent="0.25">
      <c r="K1897" s="4" t="s">
        <v>421</v>
      </c>
      <c r="L1897" t="s">
        <v>422</v>
      </c>
      <c r="M1897" t="s">
        <v>3985</v>
      </c>
      <c r="N1897" t="s">
        <v>202</v>
      </c>
      <c r="O1897" t="s">
        <v>177</v>
      </c>
      <c r="P1897" t="str">
        <f t="shared" si="277"/>
        <v>[1]</v>
      </c>
      <c r="Q1897">
        <f t="shared" si="278"/>
        <v>16</v>
      </c>
      <c r="R1897" t="str">
        <f t="shared" si="279"/>
        <v/>
      </c>
      <c r="S1897">
        <f>SUMIF(O1897:$O$2855,R1897,Q1897:$Q$2855)</f>
        <v>0</v>
      </c>
    </row>
    <row r="1898" spans="11:19" x14ac:dyDescent="0.25">
      <c r="K1898" s="4" t="s">
        <v>421</v>
      </c>
      <c r="L1898" t="s">
        <v>422</v>
      </c>
      <c r="M1898" t="s">
        <v>3986</v>
      </c>
      <c r="N1898" t="s">
        <v>202</v>
      </c>
      <c r="O1898" t="s">
        <v>177</v>
      </c>
      <c r="P1898" t="str">
        <f t="shared" si="277"/>
        <v>[1]</v>
      </c>
      <c r="Q1898">
        <f t="shared" si="278"/>
        <v>16</v>
      </c>
      <c r="R1898" t="str">
        <f t="shared" si="279"/>
        <v/>
      </c>
      <c r="S1898">
        <f>SUMIF(O1898:$O$2855,R1898,Q1898:$Q$2855)</f>
        <v>0</v>
      </c>
    </row>
    <row r="1899" spans="11:19" x14ac:dyDescent="0.25">
      <c r="K1899" s="4" t="s">
        <v>421</v>
      </c>
      <c r="L1899" t="s">
        <v>422</v>
      </c>
      <c r="M1899" t="s">
        <v>3987</v>
      </c>
      <c r="N1899" t="s">
        <v>202</v>
      </c>
      <c r="O1899" t="s">
        <v>177</v>
      </c>
      <c r="P1899" t="str">
        <f t="shared" si="277"/>
        <v>[1]</v>
      </c>
      <c r="Q1899">
        <f t="shared" si="278"/>
        <v>16</v>
      </c>
      <c r="R1899" t="str">
        <f t="shared" si="279"/>
        <v/>
      </c>
      <c r="S1899">
        <f>SUMIF(O1899:$O$2855,R1899,Q1899:$Q$2855)</f>
        <v>0</v>
      </c>
    </row>
    <row r="1900" spans="11:19" x14ac:dyDescent="0.25">
      <c r="K1900" s="4" t="s">
        <v>421</v>
      </c>
      <c r="L1900" t="s">
        <v>422</v>
      </c>
      <c r="M1900" t="s">
        <v>3988</v>
      </c>
      <c r="N1900" t="s">
        <v>13</v>
      </c>
      <c r="O1900" t="s">
        <v>177</v>
      </c>
      <c r="P1900" t="str">
        <f t="shared" si="277"/>
        <v>[1]</v>
      </c>
      <c r="Q1900">
        <f t="shared" si="278"/>
        <v>12</v>
      </c>
      <c r="R1900" t="str">
        <f t="shared" si="279"/>
        <v/>
      </c>
      <c r="S1900">
        <f>SUMIF(O1900:$O$2855,R1900,Q1900:$Q$2855)</f>
        <v>0</v>
      </c>
    </row>
    <row r="1901" spans="11:19" x14ac:dyDescent="0.25">
      <c r="K1901" s="4" t="s">
        <v>421</v>
      </c>
      <c r="L1901" t="s">
        <v>422</v>
      </c>
      <c r="M1901" t="s">
        <v>3989</v>
      </c>
      <c r="N1901" t="s">
        <v>13</v>
      </c>
      <c r="O1901" t="s">
        <v>177</v>
      </c>
      <c r="P1901" t="str">
        <f t="shared" si="277"/>
        <v>[1]</v>
      </c>
      <c r="Q1901">
        <f t="shared" si="278"/>
        <v>12</v>
      </c>
      <c r="R1901" t="str">
        <f t="shared" si="279"/>
        <v/>
      </c>
      <c r="S1901">
        <f>SUMIF(O1901:$O$2855,R1901,Q1901:$Q$2855)</f>
        <v>0</v>
      </c>
    </row>
    <row r="1902" spans="11:19" x14ac:dyDescent="0.25">
      <c r="K1902" s="4" t="s">
        <v>421</v>
      </c>
      <c r="L1902" t="s">
        <v>422</v>
      </c>
      <c r="M1902" t="s">
        <v>3990</v>
      </c>
      <c r="N1902" t="s">
        <v>126</v>
      </c>
      <c r="O1902" t="s">
        <v>177</v>
      </c>
      <c r="P1902" t="str">
        <f t="shared" si="277"/>
        <v>[1]</v>
      </c>
      <c r="Q1902">
        <f t="shared" si="278"/>
        <v>8</v>
      </c>
      <c r="R1902" t="str">
        <f t="shared" si="279"/>
        <v/>
      </c>
      <c r="S1902">
        <f>SUMIF(O1902:$O$2855,R1902,Q1902:$Q$2855)</f>
        <v>0</v>
      </c>
    </row>
    <row r="1903" spans="11:19" x14ac:dyDescent="0.25">
      <c r="K1903" s="4" t="s">
        <v>421</v>
      </c>
      <c r="L1903" t="s">
        <v>422</v>
      </c>
      <c r="M1903" t="s">
        <v>3991</v>
      </c>
      <c r="N1903" t="s">
        <v>13</v>
      </c>
      <c r="O1903" t="s">
        <v>177</v>
      </c>
      <c r="P1903" t="str">
        <f t="shared" si="277"/>
        <v>[1]</v>
      </c>
      <c r="Q1903">
        <f t="shared" si="278"/>
        <v>12</v>
      </c>
      <c r="R1903" t="str">
        <f t="shared" si="279"/>
        <v/>
      </c>
      <c r="S1903">
        <f>SUMIF(O1903:$O$2855,R1903,Q1903:$Q$2855)</f>
        <v>0</v>
      </c>
    </row>
    <row r="1904" spans="11:19" x14ac:dyDescent="0.25">
      <c r="K1904" s="4" t="s">
        <v>421</v>
      </c>
      <c r="L1904" t="s">
        <v>422</v>
      </c>
      <c r="M1904" t="s">
        <v>3992</v>
      </c>
      <c r="N1904" t="s">
        <v>202</v>
      </c>
      <c r="O1904" t="s">
        <v>177</v>
      </c>
      <c r="P1904" t="str">
        <f t="shared" si="277"/>
        <v>[1]</v>
      </c>
      <c r="Q1904">
        <f t="shared" si="278"/>
        <v>16</v>
      </c>
      <c r="R1904" t="str">
        <f t="shared" si="279"/>
        <v/>
      </c>
      <c r="S1904">
        <f>SUMIF(O1904:$O$2855,R1904,Q1904:$Q$2855)</f>
        <v>0</v>
      </c>
    </row>
    <row r="1905" spans="11:19" x14ac:dyDescent="0.25">
      <c r="K1905" s="4" t="s">
        <v>421</v>
      </c>
      <c r="L1905" t="s">
        <v>422</v>
      </c>
      <c r="M1905" t="s">
        <v>3993</v>
      </c>
      <c r="N1905" t="s">
        <v>165</v>
      </c>
      <c r="O1905" t="s">
        <v>177</v>
      </c>
      <c r="P1905" t="str">
        <f t="shared" si="277"/>
        <v>[1]</v>
      </c>
      <c r="Q1905">
        <f t="shared" si="278"/>
        <v>20</v>
      </c>
      <c r="R1905" t="str">
        <f t="shared" si="279"/>
        <v/>
      </c>
      <c r="S1905">
        <f>SUMIF(O1905:$O$2855,R1905,Q1905:$Q$2855)</f>
        <v>0</v>
      </c>
    </row>
    <row r="1906" spans="11:19" x14ac:dyDescent="0.25">
      <c r="K1906" s="4" t="s">
        <v>421</v>
      </c>
      <c r="L1906" t="s">
        <v>422</v>
      </c>
      <c r="M1906" t="s">
        <v>3994</v>
      </c>
      <c r="N1906" t="s">
        <v>13</v>
      </c>
      <c r="O1906" t="s">
        <v>177</v>
      </c>
      <c r="P1906" t="str">
        <f t="shared" si="277"/>
        <v>[1]</v>
      </c>
      <c r="Q1906">
        <f t="shared" si="278"/>
        <v>12</v>
      </c>
      <c r="R1906" t="str">
        <f t="shared" si="279"/>
        <v/>
      </c>
      <c r="S1906">
        <f>SUMIF(O1906:$O$2855,R1906,Q1906:$Q$2855)</f>
        <v>0</v>
      </c>
    </row>
    <row r="1907" spans="11:19" x14ac:dyDescent="0.25">
      <c r="K1907" s="4" t="s">
        <v>421</v>
      </c>
      <c r="L1907" t="s">
        <v>422</v>
      </c>
      <c r="M1907" t="s">
        <v>3995</v>
      </c>
      <c r="N1907" t="s">
        <v>437</v>
      </c>
      <c r="O1907" t="s">
        <v>177</v>
      </c>
      <c r="P1907" t="str">
        <f t="shared" si="277"/>
        <v>[1]</v>
      </c>
      <c r="Q1907">
        <f t="shared" si="278"/>
        <v>24</v>
      </c>
      <c r="R1907" t="str">
        <f t="shared" si="279"/>
        <v/>
      </c>
      <c r="S1907">
        <f>SUMIF(O1907:$O$2855,R1907,Q1907:$Q$2855)</f>
        <v>0</v>
      </c>
    </row>
    <row r="1908" spans="11:19" x14ac:dyDescent="0.25">
      <c r="K1908" s="4" t="s">
        <v>421</v>
      </c>
      <c r="L1908" t="s">
        <v>422</v>
      </c>
      <c r="M1908" t="s">
        <v>3996</v>
      </c>
      <c r="N1908" t="s">
        <v>202</v>
      </c>
      <c r="O1908" t="s">
        <v>177</v>
      </c>
      <c r="P1908" t="str">
        <f t="shared" si="277"/>
        <v>[1]</v>
      </c>
      <c r="Q1908">
        <f t="shared" si="278"/>
        <v>16</v>
      </c>
      <c r="R1908" t="str">
        <f t="shared" si="279"/>
        <v/>
      </c>
      <c r="S1908">
        <f>SUMIF(O1908:$O$2855,R1908,Q1908:$Q$2855)</f>
        <v>0</v>
      </c>
    </row>
    <row r="1909" spans="11:19" x14ac:dyDescent="0.25">
      <c r="K1909" s="4" t="s">
        <v>421</v>
      </c>
      <c r="L1909" t="s">
        <v>422</v>
      </c>
      <c r="M1909" t="s">
        <v>3997</v>
      </c>
      <c r="N1909" t="s">
        <v>202</v>
      </c>
      <c r="O1909" t="s">
        <v>177</v>
      </c>
      <c r="P1909" t="str">
        <f t="shared" si="277"/>
        <v>[1]</v>
      </c>
      <c r="Q1909">
        <f t="shared" si="278"/>
        <v>16</v>
      </c>
      <c r="R1909" t="str">
        <f t="shared" si="279"/>
        <v/>
      </c>
      <c r="S1909">
        <f>SUMIF(O1909:$O$2855,R1909,Q1909:$Q$2855)</f>
        <v>0</v>
      </c>
    </row>
    <row r="1910" spans="11:19" x14ac:dyDescent="0.25">
      <c r="K1910" s="4" t="s">
        <v>421</v>
      </c>
      <c r="L1910" t="s">
        <v>422</v>
      </c>
      <c r="M1910" t="s">
        <v>3998</v>
      </c>
      <c r="N1910" t="s">
        <v>13</v>
      </c>
      <c r="O1910" t="s">
        <v>177</v>
      </c>
      <c r="P1910" t="str">
        <f t="shared" si="277"/>
        <v>[1]</v>
      </c>
      <c r="Q1910">
        <f t="shared" si="278"/>
        <v>12</v>
      </c>
      <c r="R1910" t="str">
        <f t="shared" si="279"/>
        <v/>
      </c>
      <c r="S1910">
        <f>SUMIF(O1910:$O$2855,R1910,Q1910:$Q$2855)</f>
        <v>0</v>
      </c>
    </row>
    <row r="1911" spans="11:19" x14ac:dyDescent="0.25">
      <c r="K1911" s="4" t="s">
        <v>421</v>
      </c>
      <c r="L1911" t="s">
        <v>422</v>
      </c>
      <c r="M1911" t="s">
        <v>3999</v>
      </c>
      <c r="N1911" t="s">
        <v>1093</v>
      </c>
      <c r="O1911" t="s">
        <v>177</v>
      </c>
      <c r="P1911" t="str">
        <f t="shared" si="277"/>
        <v>[1]</v>
      </c>
      <c r="Q1911">
        <f t="shared" si="278"/>
        <v>1980</v>
      </c>
      <c r="R1911" t="str">
        <f t="shared" si="279"/>
        <v/>
      </c>
      <c r="S1911">
        <f>SUMIF(O1911:$O$2855,R1911,Q1911:$Q$2855)</f>
        <v>0</v>
      </c>
    </row>
    <row r="1912" spans="11:19" x14ac:dyDescent="0.25">
      <c r="K1912" s="4" t="s">
        <v>421</v>
      </c>
      <c r="L1912" t="s">
        <v>422</v>
      </c>
      <c r="M1912" t="s">
        <v>4000</v>
      </c>
      <c r="N1912" t="s">
        <v>67</v>
      </c>
      <c r="O1912" t="s">
        <v>177</v>
      </c>
      <c r="P1912" t="str">
        <f t="shared" si="277"/>
        <v>[1]</v>
      </c>
      <c r="Q1912">
        <f t="shared" si="278"/>
        <v>48</v>
      </c>
      <c r="R1912" t="str">
        <f t="shared" si="279"/>
        <v/>
      </c>
      <c r="S1912">
        <f>SUMIF(O1912:$O$2855,R1912,Q1912:$Q$2855)</f>
        <v>0</v>
      </c>
    </row>
    <row r="1913" spans="11:19" x14ac:dyDescent="0.25">
      <c r="K1913" s="4" t="s">
        <v>421</v>
      </c>
      <c r="L1913" t="s">
        <v>422</v>
      </c>
      <c r="M1913" t="s">
        <v>4001</v>
      </c>
      <c r="N1913" t="s">
        <v>78</v>
      </c>
      <c r="O1913" t="s">
        <v>177</v>
      </c>
      <c r="P1913" t="str">
        <f t="shared" si="277"/>
        <v>[1]</v>
      </c>
      <c r="Q1913">
        <f t="shared" si="278"/>
        <v>4</v>
      </c>
      <c r="R1913" t="str">
        <f t="shared" si="279"/>
        <v/>
      </c>
      <c r="S1913">
        <f>SUMIF(O1913:$O$2855,R1913,Q1913:$Q$2855)</f>
        <v>0</v>
      </c>
    </row>
    <row r="1914" spans="11:19" x14ac:dyDescent="0.25">
      <c r="K1914" s="4" t="s">
        <v>421</v>
      </c>
      <c r="L1914" t="s">
        <v>422</v>
      </c>
      <c r="M1914" t="s">
        <v>4002</v>
      </c>
      <c r="N1914" t="s">
        <v>78</v>
      </c>
      <c r="O1914" t="s">
        <v>177</v>
      </c>
      <c r="P1914" t="str">
        <f t="shared" si="277"/>
        <v>[1]</v>
      </c>
      <c r="Q1914">
        <f t="shared" si="278"/>
        <v>4</v>
      </c>
      <c r="R1914" t="str">
        <f t="shared" si="279"/>
        <v/>
      </c>
      <c r="S1914">
        <f>SUMIF(O1914:$O$2855,R1914,Q1914:$Q$2855)</f>
        <v>0</v>
      </c>
    </row>
    <row r="1915" spans="11:19" x14ac:dyDescent="0.25">
      <c r="K1915" s="4" t="s">
        <v>421</v>
      </c>
      <c r="L1915" t="s">
        <v>422</v>
      </c>
      <c r="M1915" t="s">
        <v>4003</v>
      </c>
      <c r="N1915" t="s">
        <v>78</v>
      </c>
      <c r="O1915" t="s">
        <v>177</v>
      </c>
      <c r="P1915" t="str">
        <f t="shared" si="277"/>
        <v>[1]</v>
      </c>
      <c r="Q1915">
        <f t="shared" si="278"/>
        <v>4</v>
      </c>
      <c r="R1915" t="str">
        <f t="shared" si="279"/>
        <v/>
      </c>
      <c r="S1915">
        <f>SUMIF(O1915:$O$2855,R1915,Q1915:$Q$2855)</f>
        <v>0</v>
      </c>
    </row>
    <row r="1916" spans="11:19" x14ac:dyDescent="0.25">
      <c r="K1916" s="4" t="s">
        <v>421</v>
      </c>
      <c r="L1916" t="s">
        <v>422</v>
      </c>
      <c r="M1916" t="s">
        <v>4004</v>
      </c>
      <c r="N1916" t="s">
        <v>126</v>
      </c>
      <c r="O1916" t="s">
        <v>177</v>
      </c>
      <c r="P1916" t="str">
        <f t="shared" si="277"/>
        <v>[1]</v>
      </c>
      <c r="Q1916">
        <f t="shared" si="278"/>
        <v>8</v>
      </c>
      <c r="R1916" t="str">
        <f t="shared" si="279"/>
        <v/>
      </c>
      <c r="S1916">
        <f>SUMIF(O1916:$O$2855,R1916,Q1916:$Q$2855)</f>
        <v>0</v>
      </c>
    </row>
    <row r="1917" spans="11:19" x14ac:dyDescent="0.25">
      <c r="K1917" s="4" t="s">
        <v>421</v>
      </c>
      <c r="L1917" t="s">
        <v>422</v>
      </c>
      <c r="M1917" t="s">
        <v>1986</v>
      </c>
      <c r="N1917" t="s">
        <v>13</v>
      </c>
      <c r="O1917" t="s">
        <v>177</v>
      </c>
      <c r="P1917" t="str">
        <f t="shared" si="277"/>
        <v>[1]</v>
      </c>
      <c r="Q1917">
        <f t="shared" si="278"/>
        <v>12</v>
      </c>
      <c r="R1917" t="str">
        <f t="shared" si="279"/>
        <v/>
      </c>
      <c r="S1917">
        <f>SUMIF(O1917:$O$2855,R1917,Q1917:$Q$2855)</f>
        <v>0</v>
      </c>
    </row>
    <row r="1918" spans="11:19" x14ac:dyDescent="0.25">
      <c r="K1918" s="4" t="s">
        <v>421</v>
      </c>
      <c r="L1918" t="s">
        <v>422</v>
      </c>
      <c r="M1918" t="s">
        <v>4005</v>
      </c>
      <c r="N1918" t="s">
        <v>13</v>
      </c>
      <c r="O1918" t="s">
        <v>177</v>
      </c>
      <c r="P1918" t="str">
        <f t="shared" si="277"/>
        <v>[1]</v>
      </c>
      <c r="Q1918">
        <f t="shared" si="278"/>
        <v>12</v>
      </c>
      <c r="R1918" t="str">
        <f t="shared" si="279"/>
        <v/>
      </c>
      <c r="S1918">
        <f>SUMIF(O1918:$O$2855,R1918,Q1918:$Q$2855)</f>
        <v>0</v>
      </c>
    </row>
    <row r="1919" spans="11:19" x14ac:dyDescent="0.25">
      <c r="K1919" s="4" t="s">
        <v>421</v>
      </c>
      <c r="L1919" t="s">
        <v>422</v>
      </c>
      <c r="M1919" t="s">
        <v>4006</v>
      </c>
      <c r="N1919" t="s">
        <v>13</v>
      </c>
      <c r="O1919" t="s">
        <v>177</v>
      </c>
      <c r="P1919" t="str">
        <f t="shared" si="277"/>
        <v>[1]</v>
      </c>
      <c r="Q1919">
        <f t="shared" si="278"/>
        <v>12</v>
      </c>
      <c r="R1919" t="str">
        <f t="shared" si="279"/>
        <v/>
      </c>
      <c r="S1919">
        <f>SUMIF(O1919:$O$2855,R1919,Q1919:$Q$2855)</f>
        <v>0</v>
      </c>
    </row>
    <row r="1920" spans="11:19" x14ac:dyDescent="0.25">
      <c r="K1920" s="4" t="s">
        <v>421</v>
      </c>
      <c r="L1920" t="s">
        <v>422</v>
      </c>
      <c r="M1920" t="s">
        <v>4007</v>
      </c>
      <c r="N1920" t="s">
        <v>165</v>
      </c>
      <c r="O1920" t="s">
        <v>177</v>
      </c>
      <c r="P1920" t="str">
        <f t="shared" si="277"/>
        <v>[1]</v>
      </c>
      <c r="Q1920">
        <f t="shared" si="278"/>
        <v>20</v>
      </c>
      <c r="R1920" t="str">
        <f t="shared" si="279"/>
        <v/>
      </c>
      <c r="S1920">
        <f>SUMIF(O1920:$O$2855,R1920,Q1920:$Q$2855)</f>
        <v>0</v>
      </c>
    </row>
    <row r="1921" spans="11:19" x14ac:dyDescent="0.25">
      <c r="K1921" s="4" t="s">
        <v>421</v>
      </c>
      <c r="L1921" t="s">
        <v>422</v>
      </c>
      <c r="M1921" t="s">
        <v>4008</v>
      </c>
      <c r="N1921" t="s">
        <v>437</v>
      </c>
      <c r="O1921" t="s">
        <v>177</v>
      </c>
      <c r="P1921" t="str">
        <f t="shared" si="277"/>
        <v>[1]</v>
      </c>
      <c r="Q1921">
        <f t="shared" si="278"/>
        <v>24</v>
      </c>
      <c r="R1921" t="str">
        <f t="shared" si="279"/>
        <v/>
      </c>
      <c r="S1921">
        <f>SUMIF(O1921:$O$2855,R1921,Q1921:$Q$2855)</f>
        <v>0</v>
      </c>
    </row>
    <row r="1922" spans="11:19" x14ac:dyDescent="0.25">
      <c r="K1922" s="4" t="s">
        <v>421</v>
      </c>
      <c r="L1922" t="s">
        <v>422</v>
      </c>
      <c r="M1922" t="s">
        <v>4009</v>
      </c>
      <c r="N1922" t="s">
        <v>202</v>
      </c>
      <c r="O1922" t="s">
        <v>177</v>
      </c>
      <c r="P1922" t="str">
        <f t="shared" ref="P1922:P1985" si="280">VLOOKUP($K$30,$E$1:$F$26,2,FALSE)</f>
        <v>[1]</v>
      </c>
      <c r="Q1922">
        <f t="shared" si="278"/>
        <v>16</v>
      </c>
      <c r="R1922" t="str">
        <f t="shared" si="279"/>
        <v/>
      </c>
      <c r="S1922">
        <f>SUMIF(O1922:$O$2855,R1922,Q1922:$Q$2855)</f>
        <v>0</v>
      </c>
    </row>
    <row r="1923" spans="11:19" x14ac:dyDescent="0.25">
      <c r="K1923" s="4" t="s">
        <v>421</v>
      </c>
      <c r="L1923" t="s">
        <v>422</v>
      </c>
      <c r="M1923" t="s">
        <v>2668</v>
      </c>
      <c r="N1923" t="s">
        <v>407</v>
      </c>
      <c r="O1923" t="s">
        <v>159</v>
      </c>
      <c r="P1923" t="str">
        <f t="shared" si="280"/>
        <v>[1]</v>
      </c>
      <c r="Q1923">
        <f t="shared" ref="Q1923:Q1986" si="281">HEX2DEC(MID(N1923,3,LEN(N1923)-2))</f>
        <v>112</v>
      </c>
      <c r="R1923" t="str">
        <f t="shared" si="279"/>
        <v>PHY.o</v>
      </c>
      <c r="S1923">
        <f>SUMIF(O1923:$O$2855,R1923,Q1923:$Q$2855)</f>
        <v>3728</v>
      </c>
    </row>
    <row r="1924" spans="11:19" x14ac:dyDescent="0.25">
      <c r="K1924" s="4" t="s">
        <v>421</v>
      </c>
      <c r="L1924" t="s">
        <v>422</v>
      </c>
      <c r="M1924" t="s">
        <v>2669</v>
      </c>
      <c r="N1924" t="s">
        <v>44</v>
      </c>
      <c r="O1924" t="s">
        <v>159</v>
      </c>
      <c r="P1924" t="str">
        <f t="shared" si="280"/>
        <v>[1]</v>
      </c>
      <c r="Q1924">
        <f t="shared" si="281"/>
        <v>44</v>
      </c>
      <c r="R1924" t="str">
        <f t="shared" si="279"/>
        <v/>
      </c>
      <c r="S1924">
        <f>SUMIF(O1924:$O$2855,R1924,Q1924:$Q$2855)</f>
        <v>0</v>
      </c>
    </row>
    <row r="1925" spans="11:19" x14ac:dyDescent="0.25">
      <c r="K1925" s="4" t="s">
        <v>421</v>
      </c>
      <c r="L1925" t="s">
        <v>422</v>
      </c>
      <c r="M1925" t="s">
        <v>2670</v>
      </c>
      <c r="N1925" t="s">
        <v>437</v>
      </c>
      <c r="O1925" t="s">
        <v>159</v>
      </c>
      <c r="P1925" t="str">
        <f t="shared" si="280"/>
        <v>[1]</v>
      </c>
      <c r="Q1925">
        <f t="shared" si="281"/>
        <v>24</v>
      </c>
      <c r="R1925" t="str">
        <f t="shared" si="279"/>
        <v/>
      </c>
      <c r="S1925">
        <f>SUMIF(O1925:$O$2855,R1925,Q1925:$Q$2855)</f>
        <v>0</v>
      </c>
    </row>
    <row r="1926" spans="11:19" x14ac:dyDescent="0.25">
      <c r="K1926" s="4" t="s">
        <v>421</v>
      </c>
      <c r="L1926" t="s">
        <v>422</v>
      </c>
      <c r="M1926" t="s">
        <v>2671</v>
      </c>
      <c r="N1926" t="s">
        <v>103</v>
      </c>
      <c r="O1926" t="s">
        <v>159</v>
      </c>
      <c r="P1926" t="str">
        <f t="shared" si="280"/>
        <v>[1]</v>
      </c>
      <c r="Q1926">
        <f t="shared" si="281"/>
        <v>64</v>
      </c>
      <c r="R1926" t="str">
        <f t="shared" si="279"/>
        <v/>
      </c>
      <c r="S1926">
        <f>SUMIF(O1926:$O$2855,R1926,Q1926:$Q$2855)</f>
        <v>0</v>
      </c>
    </row>
    <row r="1927" spans="11:19" x14ac:dyDescent="0.25">
      <c r="K1927" s="4" t="s">
        <v>421</v>
      </c>
      <c r="L1927" t="s">
        <v>422</v>
      </c>
      <c r="M1927" t="s">
        <v>2672</v>
      </c>
      <c r="N1927" t="s">
        <v>126</v>
      </c>
      <c r="O1927" t="s">
        <v>159</v>
      </c>
      <c r="P1927" t="str">
        <f t="shared" si="280"/>
        <v>[1]</v>
      </c>
      <c r="Q1927">
        <f t="shared" si="281"/>
        <v>8</v>
      </c>
      <c r="R1927" t="str">
        <f t="shared" si="279"/>
        <v/>
      </c>
      <c r="S1927">
        <f>SUMIF(O1927:$O$2855,R1927,Q1927:$Q$2855)</f>
        <v>0</v>
      </c>
    </row>
    <row r="1928" spans="11:19" x14ac:dyDescent="0.25">
      <c r="K1928" s="4" t="s">
        <v>421</v>
      </c>
      <c r="L1928" t="s">
        <v>422</v>
      </c>
      <c r="M1928" t="s">
        <v>2673</v>
      </c>
      <c r="N1928" t="s">
        <v>165</v>
      </c>
      <c r="O1928" t="s">
        <v>159</v>
      </c>
      <c r="P1928" t="str">
        <f t="shared" si="280"/>
        <v>[1]</v>
      </c>
      <c r="Q1928">
        <f t="shared" si="281"/>
        <v>20</v>
      </c>
      <c r="R1928" t="str">
        <f t="shared" si="279"/>
        <v/>
      </c>
      <c r="S1928">
        <f>SUMIF(O1928:$O$2855,R1928,Q1928:$Q$2855)</f>
        <v>0</v>
      </c>
    </row>
    <row r="1929" spans="11:19" x14ac:dyDescent="0.25">
      <c r="K1929" s="4" t="s">
        <v>421</v>
      </c>
      <c r="L1929" t="s">
        <v>422</v>
      </c>
      <c r="M1929" t="s">
        <v>2674</v>
      </c>
      <c r="N1929" t="s">
        <v>13</v>
      </c>
      <c r="O1929" t="s">
        <v>159</v>
      </c>
      <c r="P1929" t="str">
        <f t="shared" si="280"/>
        <v>[1]</v>
      </c>
      <c r="Q1929">
        <f t="shared" si="281"/>
        <v>12</v>
      </c>
      <c r="R1929" t="str">
        <f t="shared" si="279"/>
        <v/>
      </c>
      <c r="S1929">
        <f>SUMIF(O1929:$O$2855,R1929,Q1929:$Q$2855)</f>
        <v>0</v>
      </c>
    </row>
    <row r="1930" spans="11:19" x14ac:dyDescent="0.25">
      <c r="K1930" s="4" t="s">
        <v>421</v>
      </c>
      <c r="L1930" t="s">
        <v>422</v>
      </c>
      <c r="M1930" t="s">
        <v>2675</v>
      </c>
      <c r="N1930" t="s">
        <v>165</v>
      </c>
      <c r="O1930" t="s">
        <v>159</v>
      </c>
      <c r="P1930" t="str">
        <f t="shared" si="280"/>
        <v>[1]</v>
      </c>
      <c r="Q1930">
        <f t="shared" si="281"/>
        <v>20</v>
      </c>
      <c r="R1930" t="str">
        <f t="shared" si="279"/>
        <v/>
      </c>
      <c r="S1930">
        <f>SUMIF(O1930:$O$2855,R1930,Q1930:$Q$2855)</f>
        <v>0</v>
      </c>
    </row>
    <row r="1931" spans="11:19" x14ac:dyDescent="0.25">
      <c r="K1931" s="4" t="s">
        <v>421</v>
      </c>
      <c r="L1931" t="s">
        <v>422</v>
      </c>
      <c r="M1931" t="s">
        <v>2676</v>
      </c>
      <c r="N1931" t="s">
        <v>119</v>
      </c>
      <c r="O1931" t="s">
        <v>159</v>
      </c>
      <c r="P1931" t="str">
        <f t="shared" si="280"/>
        <v>[1]</v>
      </c>
      <c r="Q1931">
        <f t="shared" si="281"/>
        <v>32</v>
      </c>
      <c r="R1931" t="str">
        <f t="shared" si="279"/>
        <v/>
      </c>
      <c r="S1931">
        <f>SUMIF(O1931:$O$2855,R1931,Q1931:$Q$2855)</f>
        <v>0</v>
      </c>
    </row>
    <row r="1932" spans="11:19" x14ac:dyDescent="0.25">
      <c r="K1932" s="4" t="s">
        <v>421</v>
      </c>
      <c r="L1932" t="s">
        <v>422</v>
      </c>
      <c r="M1932" t="s">
        <v>2677</v>
      </c>
      <c r="N1932" t="s">
        <v>165</v>
      </c>
      <c r="O1932" t="s">
        <v>159</v>
      </c>
      <c r="P1932" t="str">
        <f t="shared" si="280"/>
        <v>[1]</v>
      </c>
      <c r="Q1932">
        <f t="shared" si="281"/>
        <v>20</v>
      </c>
      <c r="R1932" t="str">
        <f t="shared" si="279"/>
        <v/>
      </c>
      <c r="S1932">
        <f>SUMIF(O1932:$O$2855,R1932,Q1932:$Q$2855)</f>
        <v>0</v>
      </c>
    </row>
    <row r="1933" spans="11:19" x14ac:dyDescent="0.25">
      <c r="K1933" s="4" t="s">
        <v>421</v>
      </c>
      <c r="L1933" t="s">
        <v>422</v>
      </c>
      <c r="M1933" t="s">
        <v>2678</v>
      </c>
      <c r="N1933" t="s">
        <v>190</v>
      </c>
      <c r="O1933" t="s">
        <v>159</v>
      </c>
      <c r="P1933" t="str">
        <f t="shared" si="280"/>
        <v>[1]</v>
      </c>
      <c r="Q1933">
        <f t="shared" si="281"/>
        <v>56</v>
      </c>
      <c r="R1933" t="str">
        <f t="shared" si="279"/>
        <v/>
      </c>
      <c r="S1933">
        <f>SUMIF(O1933:$O$2855,R1933,Q1933:$Q$2855)</f>
        <v>0</v>
      </c>
    </row>
    <row r="1934" spans="11:19" x14ac:dyDescent="0.25">
      <c r="K1934" s="4" t="s">
        <v>421</v>
      </c>
      <c r="L1934" t="s">
        <v>422</v>
      </c>
      <c r="M1934" t="s">
        <v>2679</v>
      </c>
      <c r="N1934" t="s">
        <v>65</v>
      </c>
      <c r="O1934" t="s">
        <v>159</v>
      </c>
      <c r="P1934" t="str">
        <f t="shared" si="280"/>
        <v>[1]</v>
      </c>
      <c r="Q1934">
        <f t="shared" si="281"/>
        <v>40</v>
      </c>
      <c r="R1934" t="str">
        <f t="shared" si="279"/>
        <v/>
      </c>
      <c r="S1934">
        <f>SUMIF(O1934:$O$2855,R1934,Q1934:$Q$2855)</f>
        <v>0</v>
      </c>
    </row>
    <row r="1935" spans="11:19" x14ac:dyDescent="0.25">
      <c r="K1935" s="4" t="s">
        <v>421</v>
      </c>
      <c r="L1935" t="s">
        <v>422</v>
      </c>
      <c r="M1935" t="s">
        <v>2680</v>
      </c>
      <c r="N1935" t="s">
        <v>13</v>
      </c>
      <c r="O1935" t="s">
        <v>159</v>
      </c>
      <c r="P1935" t="str">
        <f t="shared" si="280"/>
        <v>[1]</v>
      </c>
      <c r="Q1935">
        <f t="shared" si="281"/>
        <v>12</v>
      </c>
      <c r="R1935" t="str">
        <f t="shared" si="279"/>
        <v/>
      </c>
      <c r="S1935">
        <f>SUMIF(O1935:$O$2855,R1935,Q1935:$Q$2855)</f>
        <v>0</v>
      </c>
    </row>
    <row r="1936" spans="11:19" x14ac:dyDescent="0.25">
      <c r="K1936" s="4" t="s">
        <v>421</v>
      </c>
      <c r="L1936" t="s">
        <v>422</v>
      </c>
      <c r="M1936" t="s">
        <v>2681</v>
      </c>
      <c r="N1936" t="s">
        <v>126</v>
      </c>
      <c r="O1936" t="s">
        <v>159</v>
      </c>
      <c r="P1936" t="str">
        <f t="shared" si="280"/>
        <v>[1]</v>
      </c>
      <c r="Q1936">
        <f t="shared" si="281"/>
        <v>8</v>
      </c>
      <c r="R1936" t="str">
        <f t="shared" si="279"/>
        <v/>
      </c>
      <c r="S1936">
        <f>SUMIF(O1936:$O$2855,R1936,Q1936:$Q$2855)</f>
        <v>0</v>
      </c>
    </row>
    <row r="1937" spans="11:19" x14ac:dyDescent="0.25">
      <c r="K1937" s="4" t="s">
        <v>421</v>
      </c>
      <c r="L1937" t="s">
        <v>422</v>
      </c>
      <c r="M1937" t="s">
        <v>2682</v>
      </c>
      <c r="N1937" t="s">
        <v>13</v>
      </c>
      <c r="O1937" t="s">
        <v>159</v>
      </c>
      <c r="P1937" t="str">
        <f t="shared" si="280"/>
        <v>[1]</v>
      </c>
      <c r="Q1937">
        <f t="shared" si="281"/>
        <v>12</v>
      </c>
      <c r="R1937" t="str">
        <f t="shared" si="279"/>
        <v/>
      </c>
      <c r="S1937">
        <f>SUMIF(O1937:$O$2855,R1937,Q1937:$Q$2855)</f>
        <v>0</v>
      </c>
    </row>
    <row r="1938" spans="11:19" x14ac:dyDescent="0.25">
      <c r="K1938" s="4" t="s">
        <v>421</v>
      </c>
      <c r="L1938" t="s">
        <v>422</v>
      </c>
      <c r="M1938" t="s">
        <v>2683</v>
      </c>
      <c r="N1938" t="s">
        <v>200</v>
      </c>
      <c r="O1938" t="s">
        <v>159</v>
      </c>
      <c r="P1938" t="str">
        <f t="shared" si="280"/>
        <v>[1]</v>
      </c>
      <c r="Q1938">
        <f t="shared" si="281"/>
        <v>108</v>
      </c>
      <c r="R1938" t="str">
        <f t="shared" si="279"/>
        <v/>
      </c>
      <c r="S1938">
        <f>SUMIF(O1938:$O$2855,R1938,Q1938:$Q$2855)</f>
        <v>0</v>
      </c>
    </row>
    <row r="1939" spans="11:19" x14ac:dyDescent="0.25">
      <c r="K1939" s="4" t="s">
        <v>421</v>
      </c>
      <c r="L1939" t="s">
        <v>422</v>
      </c>
      <c r="M1939" t="s">
        <v>2684</v>
      </c>
      <c r="N1939" t="s">
        <v>6</v>
      </c>
      <c r="O1939" t="s">
        <v>159</v>
      </c>
      <c r="P1939" t="str">
        <f t="shared" si="280"/>
        <v>[1]</v>
      </c>
      <c r="Q1939">
        <f t="shared" si="281"/>
        <v>28</v>
      </c>
      <c r="R1939" t="str">
        <f t="shared" si="279"/>
        <v/>
      </c>
      <c r="S1939">
        <f>SUMIF(O1939:$O$2855,R1939,Q1939:$Q$2855)</f>
        <v>0</v>
      </c>
    </row>
    <row r="1940" spans="11:19" x14ac:dyDescent="0.25">
      <c r="K1940" s="4" t="s">
        <v>421</v>
      </c>
      <c r="L1940" t="s">
        <v>422</v>
      </c>
      <c r="M1940" t="s">
        <v>2685</v>
      </c>
      <c r="N1940" t="s">
        <v>65</v>
      </c>
      <c r="O1940" t="s">
        <v>159</v>
      </c>
      <c r="P1940" t="str">
        <f t="shared" si="280"/>
        <v>[1]</v>
      </c>
      <c r="Q1940">
        <f t="shared" si="281"/>
        <v>40</v>
      </c>
      <c r="R1940" t="str">
        <f t="shared" si="279"/>
        <v/>
      </c>
      <c r="S1940">
        <f>SUMIF(O1940:$O$2855,R1940,Q1940:$Q$2855)</f>
        <v>0</v>
      </c>
    </row>
    <row r="1941" spans="11:19" x14ac:dyDescent="0.25">
      <c r="K1941" s="4" t="s">
        <v>421</v>
      </c>
      <c r="L1941" t="s">
        <v>422</v>
      </c>
      <c r="M1941" t="s">
        <v>2686</v>
      </c>
      <c r="N1941" t="s">
        <v>76</v>
      </c>
      <c r="O1941" t="s">
        <v>159</v>
      </c>
      <c r="P1941" t="str">
        <f t="shared" si="280"/>
        <v>[1]</v>
      </c>
      <c r="Q1941">
        <f t="shared" si="281"/>
        <v>36</v>
      </c>
      <c r="R1941" t="str">
        <f t="shared" si="279"/>
        <v/>
      </c>
      <c r="S1941">
        <f>SUMIF(O1941:$O$2855,R1941,Q1941:$Q$2855)</f>
        <v>0</v>
      </c>
    </row>
    <row r="1942" spans="11:19" x14ac:dyDescent="0.25">
      <c r="K1942" s="4" t="s">
        <v>421</v>
      </c>
      <c r="L1942" t="s">
        <v>422</v>
      </c>
      <c r="M1942" t="s">
        <v>2687</v>
      </c>
      <c r="N1942" t="s">
        <v>76</v>
      </c>
      <c r="O1942" t="s">
        <v>159</v>
      </c>
      <c r="P1942" t="str">
        <f t="shared" si="280"/>
        <v>[1]</v>
      </c>
      <c r="Q1942">
        <f t="shared" si="281"/>
        <v>36</v>
      </c>
      <c r="R1942" t="str">
        <f t="shared" si="279"/>
        <v/>
      </c>
      <c r="S1942">
        <f>SUMIF(O1942:$O$2855,R1942,Q1942:$Q$2855)</f>
        <v>0</v>
      </c>
    </row>
    <row r="1943" spans="11:19" x14ac:dyDescent="0.25">
      <c r="K1943" s="4" t="s">
        <v>421</v>
      </c>
      <c r="L1943" t="s">
        <v>422</v>
      </c>
      <c r="M1943" t="s">
        <v>2688</v>
      </c>
      <c r="N1943" t="s">
        <v>76</v>
      </c>
      <c r="O1943" t="s">
        <v>159</v>
      </c>
      <c r="P1943" t="str">
        <f t="shared" si="280"/>
        <v>[1]</v>
      </c>
      <c r="Q1943">
        <f t="shared" si="281"/>
        <v>36</v>
      </c>
      <c r="R1943" t="str">
        <f t="shared" si="279"/>
        <v/>
      </c>
      <c r="S1943">
        <f>SUMIF(O1943:$O$2855,R1943,Q1943:$Q$2855)</f>
        <v>0</v>
      </c>
    </row>
    <row r="1944" spans="11:19" x14ac:dyDescent="0.25">
      <c r="K1944" s="4" t="s">
        <v>421</v>
      </c>
      <c r="L1944" t="s">
        <v>422</v>
      </c>
      <c r="M1944" t="s">
        <v>2689</v>
      </c>
      <c r="N1944" t="s">
        <v>126</v>
      </c>
      <c r="O1944" t="s">
        <v>159</v>
      </c>
      <c r="P1944" t="str">
        <f t="shared" si="280"/>
        <v>[1]</v>
      </c>
      <c r="Q1944">
        <f t="shared" si="281"/>
        <v>8</v>
      </c>
      <c r="R1944" t="str">
        <f t="shared" si="279"/>
        <v/>
      </c>
      <c r="S1944">
        <f>SUMIF(O1944:$O$2855,R1944,Q1944:$Q$2855)</f>
        <v>0</v>
      </c>
    </row>
    <row r="1945" spans="11:19" x14ac:dyDescent="0.25">
      <c r="K1945" s="4" t="s">
        <v>421</v>
      </c>
      <c r="L1945" t="s">
        <v>422</v>
      </c>
      <c r="M1945" t="s">
        <v>2690</v>
      </c>
      <c r="N1945" t="s">
        <v>13</v>
      </c>
      <c r="O1945" t="s">
        <v>159</v>
      </c>
      <c r="P1945" t="str">
        <f t="shared" si="280"/>
        <v>[1]</v>
      </c>
      <c r="Q1945">
        <f t="shared" si="281"/>
        <v>12</v>
      </c>
      <c r="R1945" t="str">
        <f t="shared" si="279"/>
        <v/>
      </c>
      <c r="S1945">
        <f>SUMIF(O1945:$O$2855,R1945,Q1945:$Q$2855)</f>
        <v>0</v>
      </c>
    </row>
    <row r="1946" spans="11:19" x14ac:dyDescent="0.25">
      <c r="K1946" s="4" t="s">
        <v>421</v>
      </c>
      <c r="L1946" t="s">
        <v>422</v>
      </c>
      <c r="M1946" t="s">
        <v>2691</v>
      </c>
      <c r="N1946" t="s">
        <v>437</v>
      </c>
      <c r="O1946" t="s">
        <v>159</v>
      </c>
      <c r="P1946" t="str">
        <f t="shared" si="280"/>
        <v>[1]</v>
      </c>
      <c r="Q1946">
        <f t="shared" si="281"/>
        <v>24</v>
      </c>
      <c r="R1946" t="str">
        <f t="shared" si="279"/>
        <v/>
      </c>
      <c r="S1946">
        <f>SUMIF(O1946:$O$2855,R1946,Q1946:$Q$2855)</f>
        <v>0</v>
      </c>
    </row>
    <row r="1947" spans="11:19" x14ac:dyDescent="0.25">
      <c r="K1947" s="4" t="s">
        <v>421</v>
      </c>
      <c r="L1947" t="s">
        <v>422</v>
      </c>
      <c r="M1947" t="s">
        <v>2692</v>
      </c>
      <c r="N1947" t="s">
        <v>437</v>
      </c>
      <c r="O1947" t="s">
        <v>159</v>
      </c>
      <c r="P1947" t="str">
        <f t="shared" si="280"/>
        <v>[1]</v>
      </c>
      <c r="Q1947">
        <f t="shared" si="281"/>
        <v>24</v>
      </c>
      <c r="R1947" t="str">
        <f t="shared" si="279"/>
        <v/>
      </c>
      <c r="S1947">
        <f>SUMIF(O1947:$O$2855,R1947,Q1947:$Q$2855)</f>
        <v>0</v>
      </c>
    </row>
    <row r="1948" spans="11:19" x14ac:dyDescent="0.25">
      <c r="K1948" s="4" t="s">
        <v>421</v>
      </c>
      <c r="L1948" t="s">
        <v>422</v>
      </c>
      <c r="M1948" t="s">
        <v>2693</v>
      </c>
      <c r="N1948" t="s">
        <v>237</v>
      </c>
      <c r="O1948" t="s">
        <v>159</v>
      </c>
      <c r="P1948" t="str">
        <f t="shared" si="280"/>
        <v>[1]</v>
      </c>
      <c r="Q1948">
        <f t="shared" si="281"/>
        <v>52</v>
      </c>
      <c r="R1948" t="str">
        <f t="shared" si="279"/>
        <v/>
      </c>
      <c r="S1948">
        <f>SUMIF(O1948:$O$2855,R1948,Q1948:$Q$2855)</f>
        <v>0</v>
      </c>
    </row>
    <row r="1949" spans="11:19" x14ac:dyDescent="0.25">
      <c r="K1949" s="4" t="s">
        <v>421</v>
      </c>
      <c r="L1949" t="s">
        <v>422</v>
      </c>
      <c r="M1949" t="s">
        <v>2694</v>
      </c>
      <c r="N1949" t="s">
        <v>165</v>
      </c>
      <c r="O1949" t="s">
        <v>159</v>
      </c>
      <c r="P1949" t="str">
        <f t="shared" si="280"/>
        <v>[1]</v>
      </c>
      <c r="Q1949">
        <f t="shared" si="281"/>
        <v>20</v>
      </c>
      <c r="R1949" t="str">
        <f t="shared" si="279"/>
        <v/>
      </c>
      <c r="S1949">
        <f>SUMIF(O1949:$O$2855,R1949,Q1949:$Q$2855)</f>
        <v>0</v>
      </c>
    </row>
    <row r="1950" spans="11:19" x14ac:dyDescent="0.25">
      <c r="K1950" s="4" t="s">
        <v>421</v>
      </c>
      <c r="L1950" t="s">
        <v>422</v>
      </c>
      <c r="M1950" t="s">
        <v>2695</v>
      </c>
      <c r="N1950" t="s">
        <v>165</v>
      </c>
      <c r="O1950" t="s">
        <v>159</v>
      </c>
      <c r="P1950" t="str">
        <f t="shared" si="280"/>
        <v>[1]</v>
      </c>
      <c r="Q1950">
        <f t="shared" si="281"/>
        <v>20</v>
      </c>
      <c r="R1950" t="str">
        <f t="shared" si="279"/>
        <v/>
      </c>
      <c r="S1950">
        <f>SUMIF(O1950:$O$2855,R1950,Q1950:$Q$2855)</f>
        <v>0</v>
      </c>
    </row>
    <row r="1951" spans="11:19" x14ac:dyDescent="0.25">
      <c r="K1951" s="4" t="s">
        <v>421</v>
      </c>
      <c r="L1951" t="s">
        <v>422</v>
      </c>
      <c r="M1951" t="s">
        <v>2696</v>
      </c>
      <c r="N1951" t="s">
        <v>165</v>
      </c>
      <c r="O1951" t="s">
        <v>159</v>
      </c>
      <c r="P1951" t="str">
        <f t="shared" si="280"/>
        <v>[1]</v>
      </c>
      <c r="Q1951">
        <f t="shared" si="281"/>
        <v>20</v>
      </c>
      <c r="R1951" t="str">
        <f t="shared" si="279"/>
        <v/>
      </c>
      <c r="S1951">
        <f>SUMIF(O1951:$O$2855,R1951,Q1951:$Q$2855)</f>
        <v>0</v>
      </c>
    </row>
    <row r="1952" spans="11:19" x14ac:dyDescent="0.25">
      <c r="K1952" s="4" t="s">
        <v>421</v>
      </c>
      <c r="L1952" t="s">
        <v>422</v>
      </c>
      <c r="M1952" t="s">
        <v>2697</v>
      </c>
      <c r="N1952" t="s">
        <v>437</v>
      </c>
      <c r="O1952" t="s">
        <v>159</v>
      </c>
      <c r="P1952" t="str">
        <f t="shared" si="280"/>
        <v>[1]</v>
      </c>
      <c r="Q1952">
        <f t="shared" si="281"/>
        <v>24</v>
      </c>
      <c r="R1952" t="str">
        <f t="shared" ref="R1952:R2015" si="282">IF(O1952&lt;&gt;O1951,O1952,"")</f>
        <v/>
      </c>
      <c r="S1952">
        <f>SUMIF(O1952:$O$2855,R1952,Q1952:$Q$2855)</f>
        <v>0</v>
      </c>
    </row>
    <row r="1953" spans="11:19" x14ac:dyDescent="0.25">
      <c r="K1953" s="4" t="s">
        <v>421</v>
      </c>
      <c r="L1953" t="s">
        <v>422</v>
      </c>
      <c r="M1953" t="s">
        <v>2698</v>
      </c>
      <c r="N1953" t="s">
        <v>44</v>
      </c>
      <c r="O1953" t="s">
        <v>159</v>
      </c>
      <c r="P1953" t="str">
        <f t="shared" si="280"/>
        <v>[1]</v>
      </c>
      <c r="Q1953">
        <f t="shared" si="281"/>
        <v>44</v>
      </c>
      <c r="R1953" t="str">
        <f t="shared" si="282"/>
        <v/>
      </c>
      <c r="S1953">
        <f>SUMIF(O1953:$O$2855,R1953,Q1953:$Q$2855)</f>
        <v>0</v>
      </c>
    </row>
    <row r="1954" spans="11:19" x14ac:dyDescent="0.25">
      <c r="K1954" s="4" t="s">
        <v>421</v>
      </c>
      <c r="L1954" t="s">
        <v>422</v>
      </c>
      <c r="M1954" t="s">
        <v>2699</v>
      </c>
      <c r="N1954" t="s">
        <v>202</v>
      </c>
      <c r="O1954" t="s">
        <v>159</v>
      </c>
      <c r="P1954" t="str">
        <f t="shared" si="280"/>
        <v>[1]</v>
      </c>
      <c r="Q1954">
        <f t="shared" si="281"/>
        <v>16</v>
      </c>
      <c r="R1954" t="str">
        <f t="shared" si="282"/>
        <v/>
      </c>
      <c r="S1954">
        <f>SUMIF(O1954:$O$2855,R1954,Q1954:$Q$2855)</f>
        <v>0</v>
      </c>
    </row>
    <row r="1955" spans="11:19" x14ac:dyDescent="0.25">
      <c r="K1955" s="4" t="s">
        <v>421</v>
      </c>
      <c r="L1955" t="s">
        <v>422</v>
      </c>
      <c r="M1955" t="s">
        <v>2700</v>
      </c>
      <c r="N1955" t="s">
        <v>202</v>
      </c>
      <c r="O1955" t="s">
        <v>159</v>
      </c>
      <c r="P1955" t="str">
        <f t="shared" si="280"/>
        <v>[1]</v>
      </c>
      <c r="Q1955">
        <f t="shared" si="281"/>
        <v>16</v>
      </c>
      <c r="R1955" t="str">
        <f t="shared" si="282"/>
        <v/>
      </c>
      <c r="S1955">
        <f>SUMIF(O1955:$O$2855,R1955,Q1955:$Q$2855)</f>
        <v>0</v>
      </c>
    </row>
    <row r="1956" spans="11:19" x14ac:dyDescent="0.25">
      <c r="K1956" s="4" t="s">
        <v>421</v>
      </c>
      <c r="L1956" t="s">
        <v>422</v>
      </c>
      <c r="M1956" t="s">
        <v>2701</v>
      </c>
      <c r="N1956" t="s">
        <v>437</v>
      </c>
      <c r="O1956" t="s">
        <v>159</v>
      </c>
      <c r="P1956" t="str">
        <f t="shared" si="280"/>
        <v>[1]</v>
      </c>
      <c r="Q1956">
        <f t="shared" si="281"/>
        <v>24</v>
      </c>
      <c r="R1956" t="str">
        <f t="shared" si="282"/>
        <v/>
      </c>
      <c r="S1956">
        <f>SUMIF(O1956:$O$2855,R1956,Q1956:$Q$2855)</f>
        <v>0</v>
      </c>
    </row>
    <row r="1957" spans="11:19" x14ac:dyDescent="0.25">
      <c r="K1957" s="4" t="s">
        <v>421</v>
      </c>
      <c r="L1957" t="s">
        <v>422</v>
      </c>
      <c r="M1957" t="s">
        <v>2702</v>
      </c>
      <c r="N1957" t="s">
        <v>202</v>
      </c>
      <c r="O1957" t="s">
        <v>159</v>
      </c>
      <c r="P1957" t="str">
        <f t="shared" si="280"/>
        <v>[1]</v>
      </c>
      <c r="Q1957">
        <f t="shared" si="281"/>
        <v>16</v>
      </c>
      <c r="R1957" t="str">
        <f t="shared" si="282"/>
        <v/>
      </c>
      <c r="S1957">
        <f>SUMIF(O1957:$O$2855,R1957,Q1957:$Q$2855)</f>
        <v>0</v>
      </c>
    </row>
    <row r="1958" spans="11:19" x14ac:dyDescent="0.25">
      <c r="K1958" s="4" t="s">
        <v>421</v>
      </c>
      <c r="L1958" t="s">
        <v>422</v>
      </c>
      <c r="M1958" t="s">
        <v>2703</v>
      </c>
      <c r="N1958" t="s">
        <v>6</v>
      </c>
      <c r="O1958" t="s">
        <v>159</v>
      </c>
      <c r="P1958" t="str">
        <f t="shared" si="280"/>
        <v>[1]</v>
      </c>
      <c r="Q1958">
        <f t="shared" si="281"/>
        <v>28</v>
      </c>
      <c r="R1958" t="str">
        <f t="shared" si="282"/>
        <v/>
      </c>
      <c r="S1958">
        <f>SUMIF(O1958:$O$2855,R1958,Q1958:$Q$2855)</f>
        <v>0</v>
      </c>
    </row>
    <row r="1959" spans="11:19" x14ac:dyDescent="0.25">
      <c r="K1959" s="4" t="s">
        <v>421</v>
      </c>
      <c r="L1959" t="s">
        <v>422</v>
      </c>
      <c r="M1959" t="s">
        <v>2704</v>
      </c>
      <c r="N1959" t="s">
        <v>202</v>
      </c>
      <c r="O1959" t="s">
        <v>159</v>
      </c>
      <c r="P1959" t="str">
        <f t="shared" si="280"/>
        <v>[1]</v>
      </c>
      <c r="Q1959">
        <f t="shared" si="281"/>
        <v>16</v>
      </c>
      <c r="R1959" t="str">
        <f t="shared" si="282"/>
        <v/>
      </c>
      <c r="S1959">
        <f>SUMIF(O1959:$O$2855,R1959,Q1959:$Q$2855)</f>
        <v>0</v>
      </c>
    </row>
    <row r="1960" spans="11:19" x14ac:dyDescent="0.25">
      <c r="K1960" s="4" t="s">
        <v>421</v>
      </c>
      <c r="L1960" t="s">
        <v>422</v>
      </c>
      <c r="M1960" t="s">
        <v>2705</v>
      </c>
      <c r="N1960" t="s">
        <v>437</v>
      </c>
      <c r="O1960" t="s">
        <v>159</v>
      </c>
      <c r="P1960" t="str">
        <f t="shared" si="280"/>
        <v>[1]</v>
      </c>
      <c r="Q1960">
        <f t="shared" si="281"/>
        <v>24</v>
      </c>
      <c r="R1960" t="str">
        <f t="shared" si="282"/>
        <v/>
      </c>
      <c r="S1960">
        <f>SUMIF(O1960:$O$2855,R1960,Q1960:$Q$2855)</f>
        <v>0</v>
      </c>
    </row>
    <row r="1961" spans="11:19" x14ac:dyDescent="0.25">
      <c r="K1961" s="4" t="s">
        <v>421</v>
      </c>
      <c r="L1961" t="s">
        <v>422</v>
      </c>
      <c r="M1961" t="s">
        <v>2706</v>
      </c>
      <c r="N1961" t="s">
        <v>6</v>
      </c>
      <c r="O1961" t="s">
        <v>159</v>
      </c>
      <c r="P1961" t="str">
        <f t="shared" si="280"/>
        <v>[1]</v>
      </c>
      <c r="Q1961">
        <f t="shared" si="281"/>
        <v>28</v>
      </c>
      <c r="R1961" t="str">
        <f t="shared" si="282"/>
        <v/>
      </c>
      <c r="S1961">
        <f>SUMIF(O1961:$O$2855,R1961,Q1961:$Q$2855)</f>
        <v>0</v>
      </c>
    </row>
    <row r="1962" spans="11:19" x14ac:dyDescent="0.25">
      <c r="K1962" s="4" t="s">
        <v>421</v>
      </c>
      <c r="L1962" t="s">
        <v>422</v>
      </c>
      <c r="M1962" t="s">
        <v>2707</v>
      </c>
      <c r="N1962" t="s">
        <v>202</v>
      </c>
      <c r="O1962" t="s">
        <v>159</v>
      </c>
      <c r="P1962" t="str">
        <f t="shared" si="280"/>
        <v>[1]</v>
      </c>
      <c r="Q1962">
        <f t="shared" si="281"/>
        <v>16</v>
      </c>
      <c r="R1962" t="str">
        <f t="shared" si="282"/>
        <v/>
      </c>
      <c r="S1962">
        <f>SUMIF(O1962:$O$2855,R1962,Q1962:$Q$2855)</f>
        <v>0</v>
      </c>
    </row>
    <row r="1963" spans="11:19" x14ac:dyDescent="0.25">
      <c r="K1963" s="4" t="s">
        <v>421</v>
      </c>
      <c r="L1963" t="s">
        <v>422</v>
      </c>
      <c r="M1963" t="s">
        <v>2708</v>
      </c>
      <c r="N1963" t="s">
        <v>119</v>
      </c>
      <c r="O1963" t="s">
        <v>159</v>
      </c>
      <c r="P1963" t="str">
        <f t="shared" si="280"/>
        <v>[1]</v>
      </c>
      <c r="Q1963">
        <f t="shared" si="281"/>
        <v>32</v>
      </c>
      <c r="R1963" t="str">
        <f t="shared" si="282"/>
        <v/>
      </c>
      <c r="S1963">
        <f>SUMIF(O1963:$O$2855,R1963,Q1963:$Q$2855)</f>
        <v>0</v>
      </c>
    </row>
    <row r="1964" spans="11:19" x14ac:dyDescent="0.25">
      <c r="K1964" s="4" t="s">
        <v>421</v>
      </c>
      <c r="L1964" t="s">
        <v>422</v>
      </c>
      <c r="M1964" t="s">
        <v>2709</v>
      </c>
      <c r="N1964" t="s">
        <v>6</v>
      </c>
      <c r="O1964" t="s">
        <v>159</v>
      </c>
      <c r="P1964" t="str">
        <f t="shared" si="280"/>
        <v>[1]</v>
      </c>
      <c r="Q1964">
        <f t="shared" si="281"/>
        <v>28</v>
      </c>
      <c r="R1964" t="str">
        <f t="shared" si="282"/>
        <v/>
      </c>
      <c r="S1964">
        <f>SUMIF(O1964:$O$2855,R1964,Q1964:$Q$2855)</f>
        <v>0</v>
      </c>
    </row>
    <row r="1965" spans="11:19" x14ac:dyDescent="0.25">
      <c r="K1965" s="4" t="s">
        <v>421</v>
      </c>
      <c r="L1965" t="s">
        <v>422</v>
      </c>
      <c r="M1965" t="s">
        <v>2710</v>
      </c>
      <c r="N1965" t="s">
        <v>202</v>
      </c>
      <c r="O1965" t="s">
        <v>159</v>
      </c>
      <c r="P1965" t="str">
        <f t="shared" si="280"/>
        <v>[1]</v>
      </c>
      <c r="Q1965">
        <f t="shared" si="281"/>
        <v>16</v>
      </c>
      <c r="R1965" t="str">
        <f t="shared" si="282"/>
        <v/>
      </c>
      <c r="S1965">
        <f>SUMIF(O1965:$O$2855,R1965,Q1965:$Q$2855)</f>
        <v>0</v>
      </c>
    </row>
    <row r="1966" spans="11:19" x14ac:dyDescent="0.25">
      <c r="K1966" s="4" t="s">
        <v>421</v>
      </c>
      <c r="L1966" t="s">
        <v>422</v>
      </c>
      <c r="M1966" t="s">
        <v>2711</v>
      </c>
      <c r="N1966" t="s">
        <v>165</v>
      </c>
      <c r="O1966" t="s">
        <v>159</v>
      </c>
      <c r="P1966" t="str">
        <f t="shared" si="280"/>
        <v>[1]</v>
      </c>
      <c r="Q1966">
        <f t="shared" si="281"/>
        <v>20</v>
      </c>
      <c r="R1966" t="str">
        <f t="shared" si="282"/>
        <v/>
      </c>
      <c r="S1966">
        <f>SUMIF(O1966:$O$2855,R1966,Q1966:$Q$2855)</f>
        <v>0</v>
      </c>
    </row>
    <row r="1967" spans="11:19" x14ac:dyDescent="0.25">
      <c r="K1967" s="4" t="s">
        <v>421</v>
      </c>
      <c r="L1967" t="s">
        <v>422</v>
      </c>
      <c r="M1967" t="s">
        <v>2712</v>
      </c>
      <c r="N1967" t="s">
        <v>165</v>
      </c>
      <c r="O1967" t="s">
        <v>159</v>
      </c>
      <c r="P1967" t="str">
        <f t="shared" si="280"/>
        <v>[1]</v>
      </c>
      <c r="Q1967">
        <f t="shared" si="281"/>
        <v>20</v>
      </c>
      <c r="R1967" t="str">
        <f t="shared" si="282"/>
        <v/>
      </c>
      <c r="S1967">
        <f>SUMIF(O1967:$O$2855,R1967,Q1967:$Q$2855)</f>
        <v>0</v>
      </c>
    </row>
    <row r="1968" spans="11:19" x14ac:dyDescent="0.25">
      <c r="K1968" s="4" t="s">
        <v>421</v>
      </c>
      <c r="L1968" t="s">
        <v>422</v>
      </c>
      <c r="M1968" t="s">
        <v>2713</v>
      </c>
      <c r="N1968" t="s">
        <v>6</v>
      </c>
      <c r="O1968" t="s">
        <v>159</v>
      </c>
      <c r="P1968" t="str">
        <f t="shared" si="280"/>
        <v>[1]</v>
      </c>
      <c r="Q1968">
        <f t="shared" si="281"/>
        <v>28</v>
      </c>
      <c r="R1968" t="str">
        <f t="shared" si="282"/>
        <v/>
      </c>
      <c r="S1968">
        <f>SUMIF(O1968:$O$2855,R1968,Q1968:$Q$2855)</f>
        <v>0</v>
      </c>
    </row>
    <row r="1969" spans="11:19" x14ac:dyDescent="0.25">
      <c r="K1969" s="4" t="s">
        <v>421</v>
      </c>
      <c r="L1969" t="s">
        <v>422</v>
      </c>
      <c r="M1969" t="s">
        <v>2714</v>
      </c>
      <c r="N1969" t="s">
        <v>6</v>
      </c>
      <c r="O1969" t="s">
        <v>159</v>
      </c>
      <c r="P1969" t="str">
        <f t="shared" si="280"/>
        <v>[1]</v>
      </c>
      <c r="Q1969">
        <f t="shared" si="281"/>
        <v>28</v>
      </c>
      <c r="R1969" t="str">
        <f t="shared" si="282"/>
        <v/>
      </c>
      <c r="S1969">
        <f>SUMIF(O1969:$O$2855,R1969,Q1969:$Q$2855)</f>
        <v>0</v>
      </c>
    </row>
    <row r="1970" spans="11:19" x14ac:dyDescent="0.25">
      <c r="K1970" s="4" t="s">
        <v>421</v>
      </c>
      <c r="L1970" t="s">
        <v>422</v>
      </c>
      <c r="M1970" t="s">
        <v>2715</v>
      </c>
      <c r="N1970" t="s">
        <v>165</v>
      </c>
      <c r="O1970" t="s">
        <v>159</v>
      </c>
      <c r="P1970" t="str">
        <f t="shared" si="280"/>
        <v>[1]</v>
      </c>
      <c r="Q1970">
        <f t="shared" si="281"/>
        <v>20</v>
      </c>
      <c r="R1970" t="str">
        <f t="shared" si="282"/>
        <v/>
      </c>
      <c r="S1970">
        <f>SUMIF(O1970:$O$2855,R1970,Q1970:$Q$2855)</f>
        <v>0</v>
      </c>
    </row>
    <row r="1971" spans="11:19" x14ac:dyDescent="0.25">
      <c r="K1971" s="4" t="s">
        <v>421</v>
      </c>
      <c r="L1971" t="s">
        <v>422</v>
      </c>
      <c r="M1971" t="s">
        <v>2716</v>
      </c>
      <c r="N1971" t="s">
        <v>165</v>
      </c>
      <c r="O1971" t="s">
        <v>159</v>
      </c>
      <c r="P1971" t="str">
        <f t="shared" si="280"/>
        <v>[1]</v>
      </c>
      <c r="Q1971">
        <f t="shared" si="281"/>
        <v>20</v>
      </c>
      <c r="R1971" t="str">
        <f t="shared" si="282"/>
        <v/>
      </c>
      <c r="S1971">
        <f>SUMIF(O1971:$O$2855,R1971,Q1971:$Q$2855)</f>
        <v>0</v>
      </c>
    </row>
    <row r="1972" spans="11:19" x14ac:dyDescent="0.25">
      <c r="K1972" s="4" t="s">
        <v>421</v>
      </c>
      <c r="L1972" t="s">
        <v>422</v>
      </c>
      <c r="M1972" t="s">
        <v>2717</v>
      </c>
      <c r="N1972" t="s">
        <v>6</v>
      </c>
      <c r="O1972" t="s">
        <v>159</v>
      </c>
      <c r="P1972" t="str">
        <f t="shared" si="280"/>
        <v>[1]</v>
      </c>
      <c r="Q1972">
        <f t="shared" si="281"/>
        <v>28</v>
      </c>
      <c r="R1972" t="str">
        <f t="shared" si="282"/>
        <v/>
      </c>
      <c r="S1972">
        <f>SUMIF(O1972:$O$2855,R1972,Q1972:$Q$2855)</f>
        <v>0</v>
      </c>
    </row>
    <row r="1973" spans="11:19" x14ac:dyDescent="0.25">
      <c r="K1973" s="4" t="s">
        <v>421</v>
      </c>
      <c r="L1973" t="s">
        <v>422</v>
      </c>
      <c r="M1973" t="s">
        <v>2718</v>
      </c>
      <c r="N1973" t="s">
        <v>165</v>
      </c>
      <c r="O1973" t="s">
        <v>159</v>
      </c>
      <c r="P1973" t="str">
        <f t="shared" si="280"/>
        <v>[1]</v>
      </c>
      <c r="Q1973">
        <f t="shared" si="281"/>
        <v>20</v>
      </c>
      <c r="R1973" t="str">
        <f t="shared" si="282"/>
        <v/>
      </c>
      <c r="S1973">
        <f>SUMIF(O1973:$O$2855,R1973,Q1973:$Q$2855)</f>
        <v>0</v>
      </c>
    </row>
    <row r="1974" spans="11:19" x14ac:dyDescent="0.25">
      <c r="K1974" s="4" t="s">
        <v>421</v>
      </c>
      <c r="L1974" t="s">
        <v>422</v>
      </c>
      <c r="M1974" t="s">
        <v>2719</v>
      </c>
      <c r="N1974" t="s">
        <v>165</v>
      </c>
      <c r="O1974" t="s">
        <v>159</v>
      </c>
      <c r="P1974" t="str">
        <f t="shared" si="280"/>
        <v>[1]</v>
      </c>
      <c r="Q1974">
        <f t="shared" si="281"/>
        <v>20</v>
      </c>
      <c r="R1974" t="str">
        <f t="shared" si="282"/>
        <v/>
      </c>
      <c r="S1974">
        <f>SUMIF(O1974:$O$2855,R1974,Q1974:$Q$2855)</f>
        <v>0</v>
      </c>
    </row>
    <row r="1975" spans="11:19" x14ac:dyDescent="0.25">
      <c r="K1975" s="4" t="s">
        <v>421</v>
      </c>
      <c r="L1975" t="s">
        <v>422</v>
      </c>
      <c r="M1975" t="s">
        <v>2720</v>
      </c>
      <c r="N1975" t="s">
        <v>119</v>
      </c>
      <c r="O1975" t="s">
        <v>159</v>
      </c>
      <c r="P1975" t="str">
        <f t="shared" si="280"/>
        <v>[1]</v>
      </c>
      <c r="Q1975">
        <f t="shared" si="281"/>
        <v>32</v>
      </c>
      <c r="R1975" t="str">
        <f t="shared" si="282"/>
        <v/>
      </c>
      <c r="S1975">
        <f>SUMIF(O1975:$O$2855,R1975,Q1975:$Q$2855)</f>
        <v>0</v>
      </c>
    </row>
    <row r="1976" spans="11:19" x14ac:dyDescent="0.25">
      <c r="K1976" s="4" t="s">
        <v>421</v>
      </c>
      <c r="L1976" t="s">
        <v>422</v>
      </c>
      <c r="M1976" t="s">
        <v>2721</v>
      </c>
      <c r="N1976" t="s">
        <v>165</v>
      </c>
      <c r="O1976" t="s">
        <v>159</v>
      </c>
      <c r="P1976" t="str">
        <f t="shared" si="280"/>
        <v>[1]</v>
      </c>
      <c r="Q1976">
        <f t="shared" si="281"/>
        <v>20</v>
      </c>
      <c r="R1976" t="str">
        <f t="shared" si="282"/>
        <v/>
      </c>
      <c r="S1976">
        <f>SUMIF(O1976:$O$2855,R1976,Q1976:$Q$2855)</f>
        <v>0</v>
      </c>
    </row>
    <row r="1977" spans="11:19" x14ac:dyDescent="0.25">
      <c r="K1977" s="4" t="s">
        <v>421</v>
      </c>
      <c r="L1977" t="s">
        <v>422</v>
      </c>
      <c r="M1977" t="s">
        <v>2722</v>
      </c>
      <c r="N1977" t="s">
        <v>165</v>
      </c>
      <c r="O1977" t="s">
        <v>159</v>
      </c>
      <c r="P1977" t="str">
        <f t="shared" si="280"/>
        <v>[1]</v>
      </c>
      <c r="Q1977">
        <f t="shared" si="281"/>
        <v>20</v>
      </c>
      <c r="R1977" t="str">
        <f t="shared" si="282"/>
        <v/>
      </c>
      <c r="S1977">
        <f>SUMIF(O1977:$O$2855,R1977,Q1977:$Q$2855)</f>
        <v>0</v>
      </c>
    </row>
    <row r="1978" spans="11:19" x14ac:dyDescent="0.25">
      <c r="K1978" s="4" t="s">
        <v>421</v>
      </c>
      <c r="L1978" t="s">
        <v>422</v>
      </c>
      <c r="M1978" t="s">
        <v>2723</v>
      </c>
      <c r="N1978" t="s">
        <v>119</v>
      </c>
      <c r="O1978" t="s">
        <v>159</v>
      </c>
      <c r="P1978" t="str">
        <f t="shared" si="280"/>
        <v>[1]</v>
      </c>
      <c r="Q1978">
        <f t="shared" si="281"/>
        <v>32</v>
      </c>
      <c r="R1978" t="str">
        <f t="shared" si="282"/>
        <v/>
      </c>
      <c r="S1978">
        <f>SUMIF(O1978:$O$2855,R1978,Q1978:$Q$2855)</f>
        <v>0</v>
      </c>
    </row>
    <row r="1979" spans="11:19" x14ac:dyDescent="0.25">
      <c r="K1979" s="4" t="s">
        <v>421</v>
      </c>
      <c r="L1979" t="s">
        <v>422</v>
      </c>
      <c r="M1979" t="s">
        <v>2724</v>
      </c>
      <c r="N1979" t="s">
        <v>6</v>
      </c>
      <c r="O1979" t="s">
        <v>159</v>
      </c>
      <c r="P1979" t="str">
        <f t="shared" si="280"/>
        <v>[1]</v>
      </c>
      <c r="Q1979">
        <f t="shared" si="281"/>
        <v>28</v>
      </c>
      <c r="R1979" t="str">
        <f t="shared" si="282"/>
        <v/>
      </c>
      <c r="S1979">
        <f>SUMIF(O1979:$O$2855,R1979,Q1979:$Q$2855)</f>
        <v>0</v>
      </c>
    </row>
    <row r="1980" spans="11:19" x14ac:dyDescent="0.25">
      <c r="K1980" s="4" t="s">
        <v>421</v>
      </c>
      <c r="L1980" t="s">
        <v>422</v>
      </c>
      <c r="M1980" t="s">
        <v>2725</v>
      </c>
      <c r="N1980" t="s">
        <v>165</v>
      </c>
      <c r="O1980" t="s">
        <v>159</v>
      </c>
      <c r="P1980" t="str">
        <f t="shared" si="280"/>
        <v>[1]</v>
      </c>
      <c r="Q1980">
        <f t="shared" si="281"/>
        <v>20</v>
      </c>
      <c r="R1980" t="str">
        <f t="shared" si="282"/>
        <v/>
      </c>
      <c r="S1980">
        <f>SUMIF(O1980:$O$2855,R1980,Q1980:$Q$2855)</f>
        <v>0</v>
      </c>
    </row>
    <row r="1981" spans="11:19" x14ac:dyDescent="0.25">
      <c r="K1981" s="4" t="s">
        <v>421</v>
      </c>
      <c r="L1981" t="s">
        <v>422</v>
      </c>
      <c r="M1981" t="s">
        <v>2726</v>
      </c>
      <c r="N1981" t="s">
        <v>119</v>
      </c>
      <c r="O1981" t="s">
        <v>159</v>
      </c>
      <c r="P1981" t="str">
        <f t="shared" si="280"/>
        <v>[1]</v>
      </c>
      <c r="Q1981">
        <f t="shared" si="281"/>
        <v>32</v>
      </c>
      <c r="R1981" t="str">
        <f t="shared" si="282"/>
        <v/>
      </c>
      <c r="S1981">
        <f>SUMIF(O1981:$O$2855,R1981,Q1981:$Q$2855)</f>
        <v>0</v>
      </c>
    </row>
    <row r="1982" spans="11:19" x14ac:dyDescent="0.25">
      <c r="K1982" s="4" t="s">
        <v>421</v>
      </c>
      <c r="L1982" t="s">
        <v>422</v>
      </c>
      <c r="M1982" t="s">
        <v>2727</v>
      </c>
      <c r="N1982" t="s">
        <v>119</v>
      </c>
      <c r="O1982" t="s">
        <v>159</v>
      </c>
      <c r="P1982" t="str">
        <f t="shared" si="280"/>
        <v>[1]</v>
      </c>
      <c r="Q1982">
        <f t="shared" si="281"/>
        <v>32</v>
      </c>
      <c r="R1982" t="str">
        <f t="shared" si="282"/>
        <v/>
      </c>
      <c r="S1982">
        <f>SUMIF(O1982:$O$2855,R1982,Q1982:$Q$2855)</f>
        <v>0</v>
      </c>
    </row>
    <row r="1983" spans="11:19" x14ac:dyDescent="0.25">
      <c r="K1983" s="4" t="s">
        <v>421</v>
      </c>
      <c r="L1983" t="s">
        <v>422</v>
      </c>
      <c r="M1983" t="s">
        <v>2728</v>
      </c>
      <c r="N1983" t="s">
        <v>6</v>
      </c>
      <c r="O1983" t="s">
        <v>159</v>
      </c>
      <c r="P1983" t="str">
        <f t="shared" si="280"/>
        <v>[1]</v>
      </c>
      <c r="Q1983">
        <f t="shared" si="281"/>
        <v>28</v>
      </c>
      <c r="R1983" t="str">
        <f t="shared" si="282"/>
        <v/>
      </c>
      <c r="S1983">
        <f>SUMIF(O1983:$O$2855,R1983,Q1983:$Q$2855)</f>
        <v>0</v>
      </c>
    </row>
    <row r="1984" spans="11:19" x14ac:dyDescent="0.25">
      <c r="K1984" s="4" t="s">
        <v>421</v>
      </c>
      <c r="L1984" t="s">
        <v>422</v>
      </c>
      <c r="M1984" t="s">
        <v>2729</v>
      </c>
      <c r="N1984" t="s">
        <v>202</v>
      </c>
      <c r="O1984" t="s">
        <v>159</v>
      </c>
      <c r="P1984" t="str">
        <f t="shared" si="280"/>
        <v>[1]</v>
      </c>
      <c r="Q1984">
        <f t="shared" si="281"/>
        <v>16</v>
      </c>
      <c r="R1984" t="str">
        <f t="shared" si="282"/>
        <v/>
      </c>
      <c r="S1984">
        <f>SUMIF(O1984:$O$2855,R1984,Q1984:$Q$2855)</f>
        <v>0</v>
      </c>
    </row>
    <row r="1985" spans="11:19" x14ac:dyDescent="0.25">
      <c r="K1985" s="4" t="s">
        <v>421</v>
      </c>
      <c r="L1985" t="s">
        <v>422</v>
      </c>
      <c r="M1985" t="s">
        <v>2730</v>
      </c>
      <c r="N1985" t="s">
        <v>6</v>
      </c>
      <c r="O1985" t="s">
        <v>159</v>
      </c>
      <c r="P1985" t="str">
        <f t="shared" si="280"/>
        <v>[1]</v>
      </c>
      <c r="Q1985">
        <f t="shared" si="281"/>
        <v>28</v>
      </c>
      <c r="R1985" t="str">
        <f t="shared" si="282"/>
        <v/>
      </c>
      <c r="S1985">
        <f>SUMIF(O1985:$O$2855,R1985,Q1985:$Q$2855)</f>
        <v>0</v>
      </c>
    </row>
    <row r="1986" spans="11:19" x14ac:dyDescent="0.25">
      <c r="K1986" s="4" t="s">
        <v>421</v>
      </c>
      <c r="L1986" t="s">
        <v>422</v>
      </c>
      <c r="M1986" t="s">
        <v>2731</v>
      </c>
      <c r="N1986" t="s">
        <v>165</v>
      </c>
      <c r="O1986" t="s">
        <v>159</v>
      </c>
      <c r="P1986" t="str">
        <f t="shared" ref="P1986:P2049" si="283">VLOOKUP($K$30,$E$1:$F$26,2,FALSE)</f>
        <v>[1]</v>
      </c>
      <c r="Q1986">
        <f t="shared" si="281"/>
        <v>20</v>
      </c>
      <c r="R1986" t="str">
        <f t="shared" si="282"/>
        <v/>
      </c>
      <c r="S1986">
        <f>SUMIF(O1986:$O$2855,R1986,Q1986:$Q$2855)</f>
        <v>0</v>
      </c>
    </row>
    <row r="1987" spans="11:19" x14ac:dyDescent="0.25">
      <c r="K1987" s="4" t="s">
        <v>421</v>
      </c>
      <c r="L1987" t="s">
        <v>422</v>
      </c>
      <c r="M1987" t="s">
        <v>2732</v>
      </c>
      <c r="N1987" t="s">
        <v>165</v>
      </c>
      <c r="O1987" t="s">
        <v>159</v>
      </c>
      <c r="P1987" t="str">
        <f t="shared" si="283"/>
        <v>[1]</v>
      </c>
      <c r="Q1987">
        <f t="shared" ref="Q1987:Q2050" si="284">HEX2DEC(MID(N1987,3,LEN(N1987)-2))</f>
        <v>20</v>
      </c>
      <c r="R1987" t="str">
        <f t="shared" si="282"/>
        <v/>
      </c>
      <c r="S1987">
        <f>SUMIF(O1987:$O$2855,R1987,Q1987:$Q$2855)</f>
        <v>0</v>
      </c>
    </row>
    <row r="1988" spans="11:19" x14ac:dyDescent="0.25">
      <c r="K1988" s="4" t="s">
        <v>421</v>
      </c>
      <c r="L1988" t="s">
        <v>422</v>
      </c>
      <c r="M1988" t="s">
        <v>2733</v>
      </c>
      <c r="N1988" t="s">
        <v>165</v>
      </c>
      <c r="O1988" t="s">
        <v>159</v>
      </c>
      <c r="P1988" t="str">
        <f t="shared" si="283"/>
        <v>[1]</v>
      </c>
      <c r="Q1988">
        <f t="shared" si="284"/>
        <v>20</v>
      </c>
      <c r="R1988" t="str">
        <f t="shared" si="282"/>
        <v/>
      </c>
      <c r="S1988">
        <f>SUMIF(O1988:$O$2855,R1988,Q1988:$Q$2855)</f>
        <v>0</v>
      </c>
    </row>
    <row r="1989" spans="11:19" x14ac:dyDescent="0.25">
      <c r="K1989" s="4" t="s">
        <v>421</v>
      </c>
      <c r="L1989" t="s">
        <v>422</v>
      </c>
      <c r="M1989" t="s">
        <v>2734</v>
      </c>
      <c r="N1989" t="s">
        <v>165</v>
      </c>
      <c r="O1989" t="s">
        <v>159</v>
      </c>
      <c r="P1989" t="str">
        <f t="shared" si="283"/>
        <v>[1]</v>
      </c>
      <c r="Q1989">
        <f t="shared" si="284"/>
        <v>20</v>
      </c>
      <c r="R1989" t="str">
        <f t="shared" si="282"/>
        <v/>
      </c>
      <c r="S1989">
        <f>SUMIF(O1989:$O$2855,R1989,Q1989:$Q$2855)</f>
        <v>0</v>
      </c>
    </row>
    <row r="1990" spans="11:19" x14ac:dyDescent="0.25">
      <c r="K1990" s="4" t="s">
        <v>421</v>
      </c>
      <c r="L1990" t="s">
        <v>422</v>
      </c>
      <c r="M1990" t="s">
        <v>2735</v>
      </c>
      <c r="N1990" t="s">
        <v>165</v>
      </c>
      <c r="O1990" t="s">
        <v>159</v>
      </c>
      <c r="P1990" t="str">
        <f t="shared" si="283"/>
        <v>[1]</v>
      </c>
      <c r="Q1990">
        <f t="shared" si="284"/>
        <v>20</v>
      </c>
      <c r="R1990" t="str">
        <f t="shared" si="282"/>
        <v/>
      </c>
      <c r="S1990">
        <f>SUMIF(O1990:$O$2855,R1990,Q1990:$Q$2855)</f>
        <v>0</v>
      </c>
    </row>
    <row r="1991" spans="11:19" x14ac:dyDescent="0.25">
      <c r="K1991" s="4" t="s">
        <v>421</v>
      </c>
      <c r="L1991" t="s">
        <v>422</v>
      </c>
      <c r="M1991" t="s">
        <v>2736</v>
      </c>
      <c r="N1991" t="s">
        <v>165</v>
      </c>
      <c r="O1991" t="s">
        <v>159</v>
      </c>
      <c r="P1991" t="str">
        <f t="shared" si="283"/>
        <v>[1]</v>
      </c>
      <c r="Q1991">
        <f t="shared" si="284"/>
        <v>20</v>
      </c>
      <c r="R1991" t="str">
        <f t="shared" si="282"/>
        <v/>
      </c>
      <c r="S1991">
        <f>SUMIF(O1991:$O$2855,R1991,Q1991:$Q$2855)</f>
        <v>0</v>
      </c>
    </row>
    <row r="1992" spans="11:19" x14ac:dyDescent="0.25">
      <c r="K1992" s="4" t="s">
        <v>421</v>
      </c>
      <c r="L1992" t="s">
        <v>422</v>
      </c>
      <c r="M1992" t="s">
        <v>2737</v>
      </c>
      <c r="N1992" t="s">
        <v>165</v>
      </c>
      <c r="O1992" t="s">
        <v>159</v>
      </c>
      <c r="P1992" t="str">
        <f t="shared" si="283"/>
        <v>[1]</v>
      </c>
      <c r="Q1992">
        <f t="shared" si="284"/>
        <v>20</v>
      </c>
      <c r="R1992" t="str">
        <f t="shared" si="282"/>
        <v/>
      </c>
      <c r="S1992">
        <f>SUMIF(O1992:$O$2855,R1992,Q1992:$Q$2855)</f>
        <v>0</v>
      </c>
    </row>
    <row r="1993" spans="11:19" x14ac:dyDescent="0.25">
      <c r="K1993" s="4" t="s">
        <v>421</v>
      </c>
      <c r="L1993" t="s">
        <v>422</v>
      </c>
      <c r="M1993" t="s">
        <v>2738</v>
      </c>
      <c r="N1993" t="s">
        <v>165</v>
      </c>
      <c r="O1993" t="s">
        <v>159</v>
      </c>
      <c r="P1993" t="str">
        <f t="shared" si="283"/>
        <v>[1]</v>
      </c>
      <c r="Q1993">
        <f t="shared" si="284"/>
        <v>20</v>
      </c>
      <c r="R1993" t="str">
        <f t="shared" si="282"/>
        <v/>
      </c>
      <c r="S1993">
        <f>SUMIF(O1993:$O$2855,R1993,Q1993:$Q$2855)</f>
        <v>0</v>
      </c>
    </row>
    <row r="1994" spans="11:19" x14ac:dyDescent="0.25">
      <c r="K1994" s="4" t="s">
        <v>421</v>
      </c>
      <c r="L1994" t="s">
        <v>422</v>
      </c>
      <c r="M1994" t="s">
        <v>2739</v>
      </c>
      <c r="N1994" t="s">
        <v>165</v>
      </c>
      <c r="O1994" t="s">
        <v>159</v>
      </c>
      <c r="P1994" t="str">
        <f t="shared" si="283"/>
        <v>[1]</v>
      </c>
      <c r="Q1994">
        <f t="shared" si="284"/>
        <v>20</v>
      </c>
      <c r="R1994" t="str">
        <f t="shared" si="282"/>
        <v/>
      </c>
      <c r="S1994">
        <f>SUMIF(O1994:$O$2855,R1994,Q1994:$Q$2855)</f>
        <v>0</v>
      </c>
    </row>
    <row r="1995" spans="11:19" x14ac:dyDescent="0.25">
      <c r="K1995" s="4" t="s">
        <v>421</v>
      </c>
      <c r="L1995" t="s">
        <v>422</v>
      </c>
      <c r="M1995" t="s">
        <v>2740</v>
      </c>
      <c r="N1995" t="s">
        <v>67</v>
      </c>
      <c r="O1995" t="s">
        <v>159</v>
      </c>
      <c r="P1995" t="str">
        <f t="shared" si="283"/>
        <v>[1]</v>
      </c>
      <c r="Q1995">
        <f t="shared" si="284"/>
        <v>48</v>
      </c>
      <c r="R1995" t="str">
        <f t="shared" si="282"/>
        <v/>
      </c>
      <c r="S1995">
        <f>SUMIF(O1995:$O$2855,R1995,Q1995:$Q$2855)</f>
        <v>0</v>
      </c>
    </row>
    <row r="1996" spans="11:19" x14ac:dyDescent="0.25">
      <c r="K1996" s="4" t="s">
        <v>421</v>
      </c>
      <c r="L1996" t="s">
        <v>422</v>
      </c>
      <c r="M1996" t="s">
        <v>2741</v>
      </c>
      <c r="N1996" t="s">
        <v>67</v>
      </c>
      <c r="O1996" t="s">
        <v>159</v>
      </c>
      <c r="P1996" t="str">
        <f t="shared" si="283"/>
        <v>[1]</v>
      </c>
      <c r="Q1996">
        <f t="shared" si="284"/>
        <v>48</v>
      </c>
      <c r="R1996" t="str">
        <f t="shared" si="282"/>
        <v/>
      </c>
      <c r="S1996">
        <f>SUMIF(O1996:$O$2855,R1996,Q1996:$Q$2855)</f>
        <v>0</v>
      </c>
    </row>
    <row r="1997" spans="11:19" x14ac:dyDescent="0.25">
      <c r="K1997" s="4" t="s">
        <v>421</v>
      </c>
      <c r="L1997" t="s">
        <v>422</v>
      </c>
      <c r="M1997" t="s">
        <v>2742</v>
      </c>
      <c r="N1997" t="s">
        <v>67</v>
      </c>
      <c r="O1997" t="s">
        <v>159</v>
      </c>
      <c r="P1997" t="str">
        <f t="shared" si="283"/>
        <v>[1]</v>
      </c>
      <c r="Q1997">
        <f t="shared" si="284"/>
        <v>48</v>
      </c>
      <c r="R1997" t="str">
        <f t="shared" si="282"/>
        <v/>
      </c>
      <c r="S1997">
        <f>SUMIF(O1997:$O$2855,R1997,Q1997:$Q$2855)</f>
        <v>0</v>
      </c>
    </row>
    <row r="1998" spans="11:19" x14ac:dyDescent="0.25">
      <c r="K1998" s="4" t="s">
        <v>421</v>
      </c>
      <c r="L1998" t="s">
        <v>422</v>
      </c>
      <c r="M1998" t="s">
        <v>2743</v>
      </c>
      <c r="N1998" t="s">
        <v>1269</v>
      </c>
      <c r="O1998" t="s">
        <v>159</v>
      </c>
      <c r="P1998" t="str">
        <f t="shared" si="283"/>
        <v>[1]</v>
      </c>
      <c r="Q1998">
        <f t="shared" si="284"/>
        <v>1380</v>
      </c>
      <c r="R1998" t="str">
        <f t="shared" si="282"/>
        <v/>
      </c>
      <c r="S1998">
        <f>SUMIF(O1998:$O$2855,R1998,Q1998:$Q$2855)</f>
        <v>0</v>
      </c>
    </row>
    <row r="1999" spans="11:19" x14ac:dyDescent="0.25">
      <c r="K1999" s="4" t="s">
        <v>421</v>
      </c>
      <c r="L1999" t="s">
        <v>422</v>
      </c>
      <c r="M1999" t="s">
        <v>2744</v>
      </c>
      <c r="N1999" t="s">
        <v>1076</v>
      </c>
      <c r="O1999" t="s">
        <v>159</v>
      </c>
      <c r="P1999" t="str">
        <f t="shared" si="283"/>
        <v>[1]</v>
      </c>
      <c r="Q1999">
        <f t="shared" si="284"/>
        <v>256</v>
      </c>
      <c r="R1999" t="str">
        <f t="shared" si="282"/>
        <v/>
      </c>
      <c r="S1999">
        <f>SUMIF(O1999:$O$2855,R1999,Q1999:$Q$2855)</f>
        <v>0</v>
      </c>
    </row>
    <row r="2000" spans="11:19" x14ac:dyDescent="0.25">
      <c r="K2000" s="4" t="s">
        <v>421</v>
      </c>
      <c r="L2000" t="s">
        <v>422</v>
      </c>
      <c r="M2000" t="s">
        <v>4119</v>
      </c>
      <c r="N2000" t="s">
        <v>202</v>
      </c>
      <c r="O2000" t="s">
        <v>98</v>
      </c>
      <c r="P2000" t="str">
        <f t="shared" si="283"/>
        <v>[1]</v>
      </c>
      <c r="Q2000">
        <f t="shared" si="284"/>
        <v>16</v>
      </c>
      <c r="R2000" t="str">
        <f t="shared" si="282"/>
        <v>pwr_config.o</v>
      </c>
      <c r="S2000">
        <f>SUMIF(O2000:$O$2855,R2000,Q2000:$Q$2855)</f>
        <v>164</v>
      </c>
    </row>
    <row r="2001" spans="11:19" x14ac:dyDescent="0.25">
      <c r="K2001" s="4" t="s">
        <v>421</v>
      </c>
      <c r="L2001" t="s">
        <v>422</v>
      </c>
      <c r="M2001" t="s">
        <v>1789</v>
      </c>
      <c r="N2001" t="s">
        <v>6</v>
      </c>
      <c r="O2001" t="s">
        <v>98</v>
      </c>
      <c r="P2001" t="str">
        <f t="shared" si="283"/>
        <v>[1]</v>
      </c>
      <c r="Q2001">
        <f t="shared" si="284"/>
        <v>28</v>
      </c>
      <c r="R2001" t="str">
        <f t="shared" si="282"/>
        <v/>
      </c>
      <c r="S2001">
        <f>SUMIF(O2001:$O$2855,R2001,Q2001:$Q$2855)</f>
        <v>0</v>
      </c>
    </row>
    <row r="2002" spans="11:19" x14ac:dyDescent="0.25">
      <c r="K2002" s="4" t="s">
        <v>421</v>
      </c>
      <c r="L2002" t="s">
        <v>422</v>
      </c>
      <c r="M2002" t="s">
        <v>4120</v>
      </c>
      <c r="N2002" t="s">
        <v>437</v>
      </c>
      <c r="O2002" t="s">
        <v>98</v>
      </c>
      <c r="P2002" t="str">
        <f t="shared" si="283"/>
        <v>[1]</v>
      </c>
      <c r="Q2002">
        <f t="shared" si="284"/>
        <v>24</v>
      </c>
      <c r="R2002" t="str">
        <f t="shared" si="282"/>
        <v/>
      </c>
      <c r="S2002">
        <f>SUMIF(O2002:$O$2855,R2002,Q2002:$Q$2855)</f>
        <v>0</v>
      </c>
    </row>
    <row r="2003" spans="11:19" x14ac:dyDescent="0.25">
      <c r="K2003" s="4" t="s">
        <v>421</v>
      </c>
      <c r="L2003" t="s">
        <v>422</v>
      </c>
      <c r="M2003" t="s">
        <v>1998</v>
      </c>
      <c r="N2003" t="s">
        <v>44</v>
      </c>
      <c r="O2003" t="s">
        <v>98</v>
      </c>
      <c r="P2003" t="str">
        <f t="shared" si="283"/>
        <v>[1]</v>
      </c>
      <c r="Q2003">
        <f t="shared" si="284"/>
        <v>44</v>
      </c>
      <c r="R2003" t="str">
        <f t="shared" si="282"/>
        <v/>
      </c>
      <c r="S2003">
        <f>SUMIF(O2003:$O$2855,R2003,Q2003:$Q$2855)</f>
        <v>0</v>
      </c>
    </row>
    <row r="2004" spans="11:19" x14ac:dyDescent="0.25">
      <c r="K2004" s="4" t="s">
        <v>421</v>
      </c>
      <c r="L2004" t="s">
        <v>422</v>
      </c>
      <c r="M2004" t="s">
        <v>4121</v>
      </c>
      <c r="N2004" t="s">
        <v>237</v>
      </c>
      <c r="O2004" t="s">
        <v>98</v>
      </c>
      <c r="P2004" t="str">
        <f t="shared" si="283"/>
        <v>[1]</v>
      </c>
      <c r="Q2004">
        <f t="shared" si="284"/>
        <v>52</v>
      </c>
      <c r="R2004" t="str">
        <f t="shared" si="282"/>
        <v/>
      </c>
      <c r="S2004">
        <f>SUMIF(O2004:$O$2855,R2004,Q2004:$Q$2855)</f>
        <v>0</v>
      </c>
    </row>
    <row r="2005" spans="11:19" x14ac:dyDescent="0.25">
      <c r="K2005" s="4" t="s">
        <v>421</v>
      </c>
      <c r="L2005" t="s">
        <v>422</v>
      </c>
      <c r="M2005" t="s">
        <v>4122</v>
      </c>
      <c r="N2005" t="s">
        <v>165</v>
      </c>
      <c r="O2005" t="s">
        <v>36</v>
      </c>
      <c r="P2005" t="str">
        <f t="shared" si="283"/>
        <v>[1]</v>
      </c>
      <c r="Q2005">
        <f t="shared" si="284"/>
        <v>20</v>
      </c>
      <c r="R2005" t="str">
        <f t="shared" si="282"/>
        <v>pwr_last_gasp.o</v>
      </c>
      <c r="S2005">
        <f>SUMIF(O2005:$O$2855,R2005,Q2005:$Q$2855)</f>
        <v>672</v>
      </c>
    </row>
    <row r="2006" spans="11:19" x14ac:dyDescent="0.25">
      <c r="K2006" s="4" t="s">
        <v>421</v>
      </c>
      <c r="L2006" t="s">
        <v>422</v>
      </c>
      <c r="M2006" t="s">
        <v>4123</v>
      </c>
      <c r="N2006" t="s">
        <v>202</v>
      </c>
      <c r="O2006" t="s">
        <v>36</v>
      </c>
      <c r="P2006" t="str">
        <f t="shared" si="283"/>
        <v>[1]</v>
      </c>
      <c r="Q2006">
        <f t="shared" si="284"/>
        <v>16</v>
      </c>
      <c r="R2006" t="str">
        <f t="shared" si="282"/>
        <v/>
      </c>
      <c r="S2006">
        <f>SUMIF(O2006:$O$2855,R2006,Q2006:$Q$2855)</f>
        <v>0</v>
      </c>
    </row>
    <row r="2007" spans="11:19" x14ac:dyDescent="0.25">
      <c r="K2007" s="4" t="s">
        <v>421</v>
      </c>
      <c r="L2007" t="s">
        <v>422</v>
      </c>
      <c r="M2007" t="s">
        <v>4124</v>
      </c>
      <c r="N2007" t="s">
        <v>437</v>
      </c>
      <c r="O2007" t="s">
        <v>36</v>
      </c>
      <c r="P2007" t="str">
        <f t="shared" si="283"/>
        <v>[1]</v>
      </c>
      <c r="Q2007">
        <f t="shared" si="284"/>
        <v>24</v>
      </c>
      <c r="R2007" t="str">
        <f t="shared" si="282"/>
        <v/>
      </c>
      <c r="S2007">
        <f>SUMIF(O2007:$O$2855,R2007,Q2007:$Q$2855)</f>
        <v>0</v>
      </c>
    </row>
    <row r="2008" spans="11:19" x14ac:dyDescent="0.25">
      <c r="K2008" s="4" t="s">
        <v>421</v>
      </c>
      <c r="L2008" t="s">
        <v>422</v>
      </c>
      <c r="M2008" t="s">
        <v>4125</v>
      </c>
      <c r="N2008" t="s">
        <v>165</v>
      </c>
      <c r="O2008" t="s">
        <v>36</v>
      </c>
      <c r="P2008" t="str">
        <f t="shared" si="283"/>
        <v>[1]</v>
      </c>
      <c r="Q2008">
        <f t="shared" si="284"/>
        <v>20</v>
      </c>
      <c r="R2008" t="str">
        <f t="shared" si="282"/>
        <v/>
      </c>
      <c r="S2008">
        <f>SUMIF(O2008:$O$2855,R2008,Q2008:$Q$2855)</f>
        <v>0</v>
      </c>
    </row>
    <row r="2009" spans="11:19" x14ac:dyDescent="0.25">
      <c r="K2009" s="4" t="s">
        <v>421</v>
      </c>
      <c r="L2009" t="s">
        <v>422</v>
      </c>
      <c r="M2009" t="s">
        <v>1999</v>
      </c>
      <c r="N2009" t="s">
        <v>119</v>
      </c>
      <c r="O2009" t="s">
        <v>36</v>
      </c>
      <c r="P2009" t="str">
        <f t="shared" si="283"/>
        <v>[1]</v>
      </c>
      <c r="Q2009">
        <f t="shared" si="284"/>
        <v>32</v>
      </c>
      <c r="R2009" t="str">
        <f t="shared" si="282"/>
        <v/>
      </c>
      <c r="S2009">
        <f>SUMIF(O2009:$O$2855,R2009,Q2009:$Q$2855)</f>
        <v>0</v>
      </c>
    </row>
    <row r="2010" spans="11:19" x14ac:dyDescent="0.25">
      <c r="K2010" s="4" t="s">
        <v>421</v>
      </c>
      <c r="L2010" t="s">
        <v>422</v>
      </c>
      <c r="M2010" t="s">
        <v>4126</v>
      </c>
      <c r="N2010" t="s">
        <v>165</v>
      </c>
      <c r="O2010" t="s">
        <v>36</v>
      </c>
      <c r="P2010" t="str">
        <f t="shared" si="283"/>
        <v>[1]</v>
      </c>
      <c r="Q2010">
        <f t="shared" si="284"/>
        <v>20</v>
      </c>
      <c r="R2010" t="str">
        <f t="shared" si="282"/>
        <v/>
      </c>
      <c r="S2010">
        <f>SUMIF(O2010:$O$2855,R2010,Q2010:$Q$2855)</f>
        <v>0</v>
      </c>
    </row>
    <row r="2011" spans="11:19" x14ac:dyDescent="0.25">
      <c r="K2011" s="4" t="s">
        <v>421</v>
      </c>
      <c r="L2011" t="s">
        <v>422</v>
      </c>
      <c r="M2011" t="s">
        <v>4127</v>
      </c>
      <c r="N2011" t="s">
        <v>437</v>
      </c>
      <c r="O2011" t="s">
        <v>36</v>
      </c>
      <c r="P2011" t="str">
        <f t="shared" si="283"/>
        <v>[1]</v>
      </c>
      <c r="Q2011">
        <f t="shared" si="284"/>
        <v>24</v>
      </c>
      <c r="R2011" t="str">
        <f t="shared" si="282"/>
        <v/>
      </c>
      <c r="S2011">
        <f>SUMIF(O2011:$O$2855,R2011,Q2011:$Q$2855)</f>
        <v>0</v>
      </c>
    </row>
    <row r="2012" spans="11:19" x14ac:dyDescent="0.25">
      <c r="K2012" s="4" t="s">
        <v>421</v>
      </c>
      <c r="L2012" t="s">
        <v>422</v>
      </c>
      <c r="M2012" t="s">
        <v>4128</v>
      </c>
      <c r="N2012" t="s">
        <v>437</v>
      </c>
      <c r="O2012" t="s">
        <v>36</v>
      </c>
      <c r="P2012" t="str">
        <f t="shared" si="283"/>
        <v>[1]</v>
      </c>
      <c r="Q2012">
        <f t="shared" si="284"/>
        <v>24</v>
      </c>
      <c r="R2012" t="str">
        <f t="shared" si="282"/>
        <v/>
      </c>
      <c r="S2012">
        <f>SUMIF(O2012:$O$2855,R2012,Q2012:$Q$2855)</f>
        <v>0</v>
      </c>
    </row>
    <row r="2013" spans="11:19" x14ac:dyDescent="0.25">
      <c r="K2013" s="4" t="s">
        <v>421</v>
      </c>
      <c r="L2013" t="s">
        <v>422</v>
      </c>
      <c r="M2013" t="s">
        <v>4129</v>
      </c>
      <c r="N2013" t="s">
        <v>65</v>
      </c>
      <c r="O2013" t="s">
        <v>36</v>
      </c>
      <c r="P2013" t="str">
        <f t="shared" si="283"/>
        <v>[1]</v>
      </c>
      <c r="Q2013">
        <f t="shared" si="284"/>
        <v>40</v>
      </c>
      <c r="R2013" t="str">
        <f t="shared" si="282"/>
        <v/>
      </c>
      <c r="S2013">
        <f>SUMIF(O2013:$O$2855,R2013,Q2013:$Q$2855)</f>
        <v>0</v>
      </c>
    </row>
    <row r="2014" spans="11:19" x14ac:dyDescent="0.25">
      <c r="K2014" s="4" t="s">
        <v>421</v>
      </c>
      <c r="L2014" t="s">
        <v>422</v>
      </c>
      <c r="M2014" t="s">
        <v>4130</v>
      </c>
      <c r="N2014" t="s">
        <v>202</v>
      </c>
      <c r="O2014" t="s">
        <v>36</v>
      </c>
      <c r="P2014" t="str">
        <f t="shared" si="283"/>
        <v>[1]</v>
      </c>
      <c r="Q2014">
        <f t="shared" si="284"/>
        <v>16</v>
      </c>
      <c r="R2014" t="str">
        <f t="shared" si="282"/>
        <v/>
      </c>
      <c r="S2014">
        <f>SUMIF(O2014:$O$2855,R2014,Q2014:$Q$2855)</f>
        <v>0</v>
      </c>
    </row>
    <row r="2015" spans="11:19" x14ac:dyDescent="0.25">
      <c r="K2015" s="4" t="s">
        <v>421</v>
      </c>
      <c r="L2015" t="s">
        <v>422</v>
      </c>
      <c r="M2015" t="s">
        <v>4131</v>
      </c>
      <c r="N2015" t="s">
        <v>190</v>
      </c>
      <c r="O2015" t="s">
        <v>36</v>
      </c>
      <c r="P2015" t="str">
        <f t="shared" si="283"/>
        <v>[1]</v>
      </c>
      <c r="Q2015">
        <f t="shared" si="284"/>
        <v>56</v>
      </c>
      <c r="R2015" t="str">
        <f t="shared" si="282"/>
        <v/>
      </c>
      <c r="S2015">
        <f>SUMIF(O2015:$O$2855,R2015,Q2015:$Q$2855)</f>
        <v>0</v>
      </c>
    </row>
    <row r="2016" spans="11:19" x14ac:dyDescent="0.25">
      <c r="K2016" s="4" t="s">
        <v>421</v>
      </c>
      <c r="L2016" t="s">
        <v>422</v>
      </c>
      <c r="M2016" t="s">
        <v>4132</v>
      </c>
      <c r="N2016" t="s">
        <v>202</v>
      </c>
      <c r="O2016" t="s">
        <v>36</v>
      </c>
      <c r="P2016" t="str">
        <f t="shared" si="283"/>
        <v>[1]</v>
      </c>
      <c r="Q2016">
        <f t="shared" si="284"/>
        <v>16</v>
      </c>
      <c r="R2016" t="str">
        <f t="shared" ref="R2016:R2079" si="285">IF(O2016&lt;&gt;O2015,O2016,"")</f>
        <v/>
      </c>
      <c r="S2016">
        <f>SUMIF(O2016:$O$2855,R2016,Q2016:$Q$2855)</f>
        <v>0</v>
      </c>
    </row>
    <row r="2017" spans="11:19" x14ac:dyDescent="0.25">
      <c r="K2017" s="4" t="s">
        <v>421</v>
      </c>
      <c r="L2017" t="s">
        <v>422</v>
      </c>
      <c r="M2017" t="s">
        <v>4133</v>
      </c>
      <c r="N2017" t="s">
        <v>13</v>
      </c>
      <c r="O2017" t="s">
        <v>36</v>
      </c>
      <c r="P2017" t="str">
        <f t="shared" si="283"/>
        <v>[1]</v>
      </c>
      <c r="Q2017">
        <f t="shared" si="284"/>
        <v>12</v>
      </c>
      <c r="R2017" t="str">
        <f t="shared" si="285"/>
        <v/>
      </c>
      <c r="S2017">
        <f>SUMIF(O2017:$O$2855,R2017,Q2017:$Q$2855)</f>
        <v>0</v>
      </c>
    </row>
    <row r="2018" spans="11:19" x14ac:dyDescent="0.25">
      <c r="K2018" s="4" t="s">
        <v>421</v>
      </c>
      <c r="L2018" t="s">
        <v>422</v>
      </c>
      <c r="M2018" t="s">
        <v>4134</v>
      </c>
      <c r="N2018" t="s">
        <v>13</v>
      </c>
      <c r="O2018" t="s">
        <v>36</v>
      </c>
      <c r="P2018" t="str">
        <f t="shared" si="283"/>
        <v>[1]</v>
      </c>
      <c r="Q2018">
        <f t="shared" si="284"/>
        <v>12</v>
      </c>
      <c r="R2018" t="str">
        <f t="shared" si="285"/>
        <v/>
      </c>
      <c r="S2018">
        <f>SUMIF(O2018:$O$2855,R2018,Q2018:$Q$2855)</f>
        <v>0</v>
      </c>
    </row>
    <row r="2019" spans="11:19" x14ac:dyDescent="0.25">
      <c r="K2019" s="4" t="s">
        <v>421</v>
      </c>
      <c r="L2019" t="s">
        <v>422</v>
      </c>
      <c r="M2019" t="s">
        <v>4135</v>
      </c>
      <c r="N2019" t="s">
        <v>13</v>
      </c>
      <c r="O2019" t="s">
        <v>36</v>
      </c>
      <c r="P2019" t="str">
        <f t="shared" si="283"/>
        <v>[1]</v>
      </c>
      <c r="Q2019">
        <f t="shared" si="284"/>
        <v>12</v>
      </c>
      <c r="R2019" t="str">
        <f t="shared" si="285"/>
        <v/>
      </c>
      <c r="S2019">
        <f>SUMIF(O2019:$O$2855,R2019,Q2019:$Q$2855)</f>
        <v>0</v>
      </c>
    </row>
    <row r="2020" spans="11:19" x14ac:dyDescent="0.25">
      <c r="K2020" s="4" t="s">
        <v>421</v>
      </c>
      <c r="L2020" t="s">
        <v>422</v>
      </c>
      <c r="M2020" t="s">
        <v>4136</v>
      </c>
      <c r="N2020" t="s">
        <v>13</v>
      </c>
      <c r="O2020" t="s">
        <v>36</v>
      </c>
      <c r="P2020" t="str">
        <f t="shared" si="283"/>
        <v>[1]</v>
      </c>
      <c r="Q2020">
        <f t="shared" si="284"/>
        <v>12</v>
      </c>
      <c r="R2020" t="str">
        <f t="shared" si="285"/>
        <v/>
      </c>
      <c r="S2020">
        <f>SUMIF(O2020:$O$2855,R2020,Q2020:$Q$2855)</f>
        <v>0</v>
      </c>
    </row>
    <row r="2021" spans="11:19" x14ac:dyDescent="0.25">
      <c r="K2021" s="4" t="s">
        <v>421</v>
      </c>
      <c r="L2021" t="s">
        <v>422</v>
      </c>
      <c r="M2021" t="s">
        <v>4137</v>
      </c>
      <c r="N2021" t="s">
        <v>44</v>
      </c>
      <c r="O2021" t="s">
        <v>36</v>
      </c>
      <c r="P2021" t="str">
        <f t="shared" si="283"/>
        <v>[1]</v>
      </c>
      <c r="Q2021">
        <f t="shared" si="284"/>
        <v>44</v>
      </c>
      <c r="R2021" t="str">
        <f t="shared" si="285"/>
        <v/>
      </c>
      <c r="S2021">
        <f>SUMIF(O2021:$O$2855,R2021,Q2021:$Q$2855)</f>
        <v>0</v>
      </c>
    </row>
    <row r="2022" spans="11:19" x14ac:dyDescent="0.25">
      <c r="K2022" s="4" t="s">
        <v>421</v>
      </c>
      <c r="L2022" t="s">
        <v>422</v>
      </c>
      <c r="M2022" t="s">
        <v>4138</v>
      </c>
      <c r="N2022" t="s">
        <v>13</v>
      </c>
      <c r="O2022" t="s">
        <v>36</v>
      </c>
      <c r="P2022" t="str">
        <f t="shared" si="283"/>
        <v>[1]</v>
      </c>
      <c r="Q2022">
        <f t="shared" si="284"/>
        <v>12</v>
      </c>
      <c r="R2022" t="str">
        <f t="shared" si="285"/>
        <v/>
      </c>
      <c r="S2022">
        <f>SUMIF(O2022:$O$2855,R2022,Q2022:$Q$2855)</f>
        <v>0</v>
      </c>
    </row>
    <row r="2023" spans="11:19" x14ac:dyDescent="0.25">
      <c r="K2023" s="4" t="s">
        <v>421</v>
      </c>
      <c r="L2023" t="s">
        <v>422</v>
      </c>
      <c r="M2023" t="s">
        <v>2000</v>
      </c>
      <c r="N2023" t="s">
        <v>435</v>
      </c>
      <c r="O2023" t="s">
        <v>36</v>
      </c>
      <c r="P2023" t="str">
        <f t="shared" si="283"/>
        <v>[1]</v>
      </c>
      <c r="Q2023">
        <f t="shared" si="284"/>
        <v>60</v>
      </c>
      <c r="R2023" t="str">
        <f t="shared" si="285"/>
        <v/>
      </c>
      <c r="S2023">
        <f>SUMIF(O2023:$O$2855,R2023,Q2023:$Q$2855)</f>
        <v>0</v>
      </c>
    </row>
    <row r="2024" spans="11:19" x14ac:dyDescent="0.25">
      <c r="K2024" s="4" t="s">
        <v>421</v>
      </c>
      <c r="L2024" t="s">
        <v>422</v>
      </c>
      <c r="M2024" t="s">
        <v>4139</v>
      </c>
      <c r="N2024" t="s">
        <v>76</v>
      </c>
      <c r="O2024" t="s">
        <v>36</v>
      </c>
      <c r="P2024" t="str">
        <f t="shared" si="283"/>
        <v>[1]</v>
      </c>
      <c r="Q2024">
        <f t="shared" si="284"/>
        <v>36</v>
      </c>
      <c r="R2024" t="str">
        <f t="shared" si="285"/>
        <v/>
      </c>
      <c r="S2024">
        <f>SUMIF(O2024:$O$2855,R2024,Q2024:$Q$2855)</f>
        <v>0</v>
      </c>
    </row>
    <row r="2025" spans="11:19" x14ac:dyDescent="0.25">
      <c r="K2025" s="4" t="s">
        <v>421</v>
      </c>
      <c r="L2025" t="s">
        <v>422</v>
      </c>
      <c r="M2025" t="s">
        <v>4140</v>
      </c>
      <c r="N2025" t="s">
        <v>78</v>
      </c>
      <c r="O2025" t="s">
        <v>36</v>
      </c>
      <c r="P2025" t="str">
        <f t="shared" si="283"/>
        <v>[1]</v>
      </c>
      <c r="Q2025">
        <f t="shared" si="284"/>
        <v>4</v>
      </c>
      <c r="R2025" t="str">
        <f t="shared" si="285"/>
        <v/>
      </c>
      <c r="S2025">
        <f>SUMIF(O2025:$O$2855,R2025,Q2025:$Q$2855)</f>
        <v>0</v>
      </c>
    </row>
    <row r="2026" spans="11:19" x14ac:dyDescent="0.25">
      <c r="K2026" s="4" t="s">
        <v>421</v>
      </c>
      <c r="L2026" t="s">
        <v>422</v>
      </c>
      <c r="M2026" t="s">
        <v>4141</v>
      </c>
      <c r="N2026" t="s">
        <v>119</v>
      </c>
      <c r="O2026" t="s">
        <v>36</v>
      </c>
      <c r="P2026" t="str">
        <f t="shared" si="283"/>
        <v>[1]</v>
      </c>
      <c r="Q2026">
        <f t="shared" si="284"/>
        <v>32</v>
      </c>
      <c r="R2026" t="str">
        <f t="shared" si="285"/>
        <v/>
      </c>
      <c r="S2026">
        <f>SUMIF(O2026:$O$2855,R2026,Q2026:$Q$2855)</f>
        <v>0</v>
      </c>
    </row>
    <row r="2027" spans="11:19" x14ac:dyDescent="0.25">
      <c r="K2027" s="4" t="s">
        <v>421</v>
      </c>
      <c r="L2027" t="s">
        <v>422</v>
      </c>
      <c r="M2027" t="s">
        <v>4142</v>
      </c>
      <c r="N2027" t="s">
        <v>119</v>
      </c>
      <c r="O2027" t="s">
        <v>36</v>
      </c>
      <c r="P2027" t="str">
        <f t="shared" si="283"/>
        <v>[1]</v>
      </c>
      <c r="Q2027">
        <f t="shared" si="284"/>
        <v>32</v>
      </c>
      <c r="R2027" t="str">
        <f t="shared" si="285"/>
        <v/>
      </c>
      <c r="S2027">
        <f>SUMIF(O2027:$O$2855,R2027,Q2027:$Q$2855)</f>
        <v>0</v>
      </c>
    </row>
    <row r="2028" spans="11:19" x14ac:dyDescent="0.25">
      <c r="K2028" s="4" t="s">
        <v>421</v>
      </c>
      <c r="L2028" t="s">
        <v>422</v>
      </c>
      <c r="M2028" t="s">
        <v>4143</v>
      </c>
      <c r="N2028" t="s">
        <v>119</v>
      </c>
      <c r="O2028" t="s">
        <v>36</v>
      </c>
      <c r="P2028" t="str">
        <f t="shared" si="283"/>
        <v>[1]</v>
      </c>
      <c r="Q2028">
        <f t="shared" si="284"/>
        <v>32</v>
      </c>
      <c r="R2028" t="str">
        <f t="shared" si="285"/>
        <v/>
      </c>
      <c r="S2028">
        <f>SUMIF(O2028:$O$2855,R2028,Q2028:$Q$2855)</f>
        <v>0</v>
      </c>
    </row>
    <row r="2029" spans="11:19" x14ac:dyDescent="0.25">
      <c r="K2029" s="4" t="s">
        <v>421</v>
      </c>
      <c r="L2029" t="s">
        <v>422</v>
      </c>
      <c r="M2029" t="s">
        <v>4144</v>
      </c>
      <c r="N2029" t="s">
        <v>119</v>
      </c>
      <c r="O2029" t="s">
        <v>36</v>
      </c>
      <c r="P2029" t="str">
        <f t="shared" si="283"/>
        <v>[1]</v>
      </c>
      <c r="Q2029">
        <f t="shared" si="284"/>
        <v>32</v>
      </c>
      <c r="R2029" t="str">
        <f t="shared" si="285"/>
        <v/>
      </c>
      <c r="S2029">
        <f>SUMIF(O2029:$O$2855,R2029,Q2029:$Q$2855)</f>
        <v>0</v>
      </c>
    </row>
    <row r="2030" spans="11:19" x14ac:dyDescent="0.25">
      <c r="K2030" s="4" t="s">
        <v>421</v>
      </c>
      <c r="L2030" t="s">
        <v>422</v>
      </c>
      <c r="M2030" t="s">
        <v>4145</v>
      </c>
      <c r="N2030" t="s">
        <v>119</v>
      </c>
      <c r="O2030" t="s">
        <v>36</v>
      </c>
      <c r="P2030" t="str">
        <f t="shared" si="283"/>
        <v>[1]</v>
      </c>
      <c r="Q2030">
        <f t="shared" si="284"/>
        <v>32</v>
      </c>
      <c r="R2030" t="str">
        <f t="shared" si="285"/>
        <v/>
      </c>
      <c r="S2030">
        <f>SUMIF(O2030:$O$2855,R2030,Q2030:$Q$2855)</f>
        <v>0</v>
      </c>
    </row>
    <row r="2031" spans="11:19" x14ac:dyDescent="0.25">
      <c r="K2031" s="4" t="s">
        <v>421</v>
      </c>
      <c r="L2031" t="s">
        <v>422</v>
      </c>
      <c r="M2031" t="s">
        <v>4146</v>
      </c>
      <c r="N2031" t="s">
        <v>126</v>
      </c>
      <c r="O2031" t="s">
        <v>312</v>
      </c>
      <c r="P2031" t="str">
        <f t="shared" si="283"/>
        <v>[1]</v>
      </c>
      <c r="Q2031">
        <f t="shared" si="284"/>
        <v>8</v>
      </c>
      <c r="R2031" t="str">
        <f t="shared" si="285"/>
        <v>pwr_restore.o</v>
      </c>
      <c r="S2031">
        <f>SUMIF(O2031:$O$2855,R2031,Q2031:$Q$2855)</f>
        <v>374</v>
      </c>
    </row>
    <row r="2032" spans="11:19" x14ac:dyDescent="0.25">
      <c r="K2032" s="4" t="s">
        <v>421</v>
      </c>
      <c r="L2032" t="s">
        <v>422</v>
      </c>
      <c r="M2032" t="s">
        <v>2001</v>
      </c>
      <c r="N2032" t="s">
        <v>437</v>
      </c>
      <c r="O2032" t="s">
        <v>312</v>
      </c>
      <c r="P2032" t="str">
        <f t="shared" si="283"/>
        <v>[1]</v>
      </c>
      <c r="Q2032">
        <f t="shared" si="284"/>
        <v>24</v>
      </c>
      <c r="R2032" t="str">
        <f t="shared" si="285"/>
        <v/>
      </c>
      <c r="S2032">
        <f>SUMIF(O2032:$O$2855,R2032,Q2032:$Q$2855)</f>
        <v>0</v>
      </c>
    </row>
    <row r="2033" spans="11:19" x14ac:dyDescent="0.25">
      <c r="K2033" s="4" t="s">
        <v>421</v>
      </c>
      <c r="L2033" t="s">
        <v>422</v>
      </c>
      <c r="M2033" t="s">
        <v>4147</v>
      </c>
      <c r="N2033" t="s">
        <v>202</v>
      </c>
      <c r="O2033" t="s">
        <v>312</v>
      </c>
      <c r="P2033" t="str">
        <f t="shared" si="283"/>
        <v>[1]</v>
      </c>
      <c r="Q2033">
        <f t="shared" si="284"/>
        <v>16</v>
      </c>
      <c r="R2033" t="str">
        <f t="shared" si="285"/>
        <v/>
      </c>
      <c r="S2033">
        <f>SUMIF(O2033:$O$2855,R2033,Q2033:$Q$2855)</f>
        <v>0</v>
      </c>
    </row>
    <row r="2034" spans="11:19" x14ac:dyDescent="0.25">
      <c r="K2034" s="4" t="s">
        <v>421</v>
      </c>
      <c r="L2034" t="s">
        <v>422</v>
      </c>
      <c r="M2034" t="s">
        <v>4148</v>
      </c>
      <c r="N2034" t="s">
        <v>67</v>
      </c>
      <c r="O2034" t="s">
        <v>312</v>
      </c>
      <c r="P2034" t="str">
        <f t="shared" si="283"/>
        <v>[1]</v>
      </c>
      <c r="Q2034">
        <f t="shared" si="284"/>
        <v>48</v>
      </c>
      <c r="R2034" t="str">
        <f t="shared" si="285"/>
        <v/>
      </c>
      <c r="S2034">
        <f>SUMIF(O2034:$O$2855,R2034,Q2034:$Q$2855)</f>
        <v>0</v>
      </c>
    </row>
    <row r="2035" spans="11:19" x14ac:dyDescent="0.25">
      <c r="K2035" s="4" t="s">
        <v>421</v>
      </c>
      <c r="L2035" t="s">
        <v>422</v>
      </c>
      <c r="M2035" t="s">
        <v>4149</v>
      </c>
      <c r="N2035" t="s">
        <v>202</v>
      </c>
      <c r="O2035" t="s">
        <v>312</v>
      </c>
      <c r="P2035" t="str">
        <f t="shared" si="283"/>
        <v>[1]</v>
      </c>
      <c r="Q2035">
        <f t="shared" si="284"/>
        <v>16</v>
      </c>
      <c r="R2035" t="str">
        <f t="shared" si="285"/>
        <v/>
      </c>
      <c r="S2035">
        <f>SUMIF(O2035:$O$2855,R2035,Q2035:$Q$2855)</f>
        <v>0</v>
      </c>
    </row>
    <row r="2036" spans="11:19" x14ac:dyDescent="0.25">
      <c r="K2036" s="4" t="s">
        <v>421</v>
      </c>
      <c r="L2036" t="s">
        <v>422</v>
      </c>
      <c r="M2036" t="s">
        <v>4150</v>
      </c>
      <c r="N2036" t="s">
        <v>44</v>
      </c>
      <c r="O2036" t="s">
        <v>312</v>
      </c>
      <c r="P2036" t="str">
        <f t="shared" si="283"/>
        <v>[1]</v>
      </c>
      <c r="Q2036">
        <f t="shared" si="284"/>
        <v>44</v>
      </c>
      <c r="R2036" t="str">
        <f t="shared" si="285"/>
        <v/>
      </c>
      <c r="S2036">
        <f>SUMIF(O2036:$O$2855,R2036,Q2036:$Q$2855)</f>
        <v>0</v>
      </c>
    </row>
    <row r="2037" spans="11:19" x14ac:dyDescent="0.25">
      <c r="K2037" s="4" t="s">
        <v>421</v>
      </c>
      <c r="L2037" t="s">
        <v>422</v>
      </c>
      <c r="M2037" t="s">
        <v>4151</v>
      </c>
      <c r="N2037" t="s">
        <v>202</v>
      </c>
      <c r="O2037" t="s">
        <v>312</v>
      </c>
      <c r="P2037" t="str">
        <f t="shared" si="283"/>
        <v>[1]</v>
      </c>
      <c r="Q2037">
        <f t="shared" si="284"/>
        <v>16</v>
      </c>
      <c r="R2037" t="str">
        <f t="shared" si="285"/>
        <v/>
      </c>
      <c r="S2037">
        <f>SUMIF(O2037:$O$2855,R2037,Q2037:$Q$2855)</f>
        <v>0</v>
      </c>
    </row>
    <row r="2038" spans="11:19" x14ac:dyDescent="0.25">
      <c r="K2038" s="4" t="s">
        <v>421</v>
      </c>
      <c r="L2038" t="s">
        <v>422</v>
      </c>
      <c r="M2038" t="s">
        <v>4152</v>
      </c>
      <c r="N2038" t="s">
        <v>6</v>
      </c>
      <c r="O2038" t="s">
        <v>312</v>
      </c>
      <c r="P2038" t="str">
        <f t="shared" si="283"/>
        <v>[1]</v>
      </c>
      <c r="Q2038">
        <f t="shared" si="284"/>
        <v>28</v>
      </c>
      <c r="R2038" t="str">
        <f t="shared" si="285"/>
        <v/>
      </c>
      <c r="S2038">
        <f>SUMIF(O2038:$O$2855,R2038,Q2038:$Q$2855)</f>
        <v>0</v>
      </c>
    </row>
    <row r="2039" spans="11:19" x14ac:dyDescent="0.25">
      <c r="K2039" s="4" t="s">
        <v>421</v>
      </c>
      <c r="L2039" t="s">
        <v>422</v>
      </c>
      <c r="M2039" t="s">
        <v>4153</v>
      </c>
      <c r="N2039" t="s">
        <v>437</v>
      </c>
      <c r="O2039" t="s">
        <v>312</v>
      </c>
      <c r="P2039" t="str">
        <f t="shared" si="283"/>
        <v>[1]</v>
      </c>
      <c r="Q2039">
        <f t="shared" si="284"/>
        <v>24</v>
      </c>
      <c r="R2039" t="str">
        <f t="shared" si="285"/>
        <v/>
      </c>
      <c r="S2039">
        <f>SUMIF(O2039:$O$2855,R2039,Q2039:$Q$2855)</f>
        <v>0</v>
      </c>
    </row>
    <row r="2040" spans="11:19" x14ac:dyDescent="0.25">
      <c r="K2040" s="4" t="s">
        <v>421</v>
      </c>
      <c r="L2040" t="s">
        <v>422</v>
      </c>
      <c r="M2040" t="s">
        <v>4154</v>
      </c>
      <c r="N2040" t="s">
        <v>13</v>
      </c>
      <c r="O2040" t="s">
        <v>312</v>
      </c>
      <c r="P2040" t="str">
        <f t="shared" si="283"/>
        <v>[1]</v>
      </c>
      <c r="Q2040">
        <f t="shared" si="284"/>
        <v>12</v>
      </c>
      <c r="R2040" t="str">
        <f t="shared" si="285"/>
        <v/>
      </c>
      <c r="S2040">
        <f>SUMIF(O2040:$O$2855,R2040,Q2040:$Q$2855)</f>
        <v>0</v>
      </c>
    </row>
    <row r="2041" spans="11:19" x14ac:dyDescent="0.25">
      <c r="K2041" s="4" t="s">
        <v>421</v>
      </c>
      <c r="L2041" t="s">
        <v>422</v>
      </c>
      <c r="M2041" t="s">
        <v>4155</v>
      </c>
      <c r="N2041" t="s">
        <v>67</v>
      </c>
      <c r="O2041" t="s">
        <v>312</v>
      </c>
      <c r="P2041" t="str">
        <f t="shared" si="283"/>
        <v>[1]</v>
      </c>
      <c r="Q2041">
        <f t="shared" si="284"/>
        <v>48</v>
      </c>
      <c r="R2041" t="str">
        <f t="shared" si="285"/>
        <v/>
      </c>
      <c r="S2041">
        <f>SUMIF(O2041:$O$2855,R2041,Q2041:$Q$2855)</f>
        <v>0</v>
      </c>
    </row>
    <row r="2042" spans="11:19" x14ac:dyDescent="0.25">
      <c r="K2042" s="4" t="s">
        <v>421</v>
      </c>
      <c r="L2042" t="s">
        <v>422</v>
      </c>
      <c r="M2042" t="s">
        <v>4156</v>
      </c>
      <c r="N2042" t="s">
        <v>67</v>
      </c>
      <c r="O2042" t="s">
        <v>312</v>
      </c>
      <c r="P2042" t="str">
        <f t="shared" si="283"/>
        <v>[1]</v>
      </c>
      <c r="Q2042">
        <f t="shared" si="284"/>
        <v>48</v>
      </c>
      <c r="R2042" t="str">
        <f t="shared" si="285"/>
        <v/>
      </c>
      <c r="S2042">
        <f>SUMIF(O2042:$O$2855,R2042,Q2042:$Q$2855)</f>
        <v>0</v>
      </c>
    </row>
    <row r="2043" spans="11:19" x14ac:dyDescent="0.25">
      <c r="K2043" s="4" t="s">
        <v>421</v>
      </c>
      <c r="L2043" t="s">
        <v>422</v>
      </c>
      <c r="M2043" t="s">
        <v>4157</v>
      </c>
      <c r="N2043" t="s">
        <v>65</v>
      </c>
      <c r="O2043" t="s">
        <v>312</v>
      </c>
      <c r="P2043" t="str">
        <f t="shared" si="283"/>
        <v>[1]</v>
      </c>
      <c r="Q2043">
        <f t="shared" si="284"/>
        <v>40</v>
      </c>
      <c r="R2043" t="str">
        <f t="shared" si="285"/>
        <v/>
      </c>
      <c r="S2043">
        <f>SUMIF(O2043:$O$2855,R2043,Q2043:$Q$2855)</f>
        <v>0</v>
      </c>
    </row>
    <row r="2044" spans="11:19" x14ac:dyDescent="0.25">
      <c r="K2044" s="4" t="s">
        <v>421</v>
      </c>
      <c r="L2044" t="s">
        <v>422</v>
      </c>
      <c r="M2044" t="s">
        <v>4158</v>
      </c>
      <c r="N2044" t="s">
        <v>46</v>
      </c>
      <c r="O2044" t="s">
        <v>312</v>
      </c>
      <c r="P2044" t="str">
        <f t="shared" si="283"/>
        <v>[1]</v>
      </c>
      <c r="Q2044">
        <f t="shared" si="284"/>
        <v>2</v>
      </c>
      <c r="R2044" t="str">
        <f t="shared" si="285"/>
        <v/>
      </c>
      <c r="S2044">
        <f>SUMIF(O2044:$O$2855,R2044,Q2044:$Q$2855)</f>
        <v>0</v>
      </c>
    </row>
    <row r="2045" spans="11:19" x14ac:dyDescent="0.25">
      <c r="K2045" s="4" t="s">
        <v>421</v>
      </c>
      <c r="L2045" t="s">
        <v>422</v>
      </c>
      <c r="M2045" t="s">
        <v>4159</v>
      </c>
      <c r="N2045" t="s">
        <v>165</v>
      </c>
      <c r="O2045" t="s">
        <v>220</v>
      </c>
      <c r="P2045" t="str">
        <f t="shared" si="283"/>
        <v>[1]</v>
      </c>
      <c r="Q2045">
        <f t="shared" si="284"/>
        <v>20</v>
      </c>
      <c r="R2045" t="str">
        <f t="shared" si="285"/>
        <v>pwr_task.o</v>
      </c>
      <c r="S2045">
        <f>SUMIF(O2045:$O$2855,R2045,Q2045:$Q$2855)</f>
        <v>764</v>
      </c>
    </row>
    <row r="2046" spans="11:19" x14ac:dyDescent="0.25">
      <c r="K2046" s="4" t="s">
        <v>421</v>
      </c>
      <c r="L2046" t="s">
        <v>422</v>
      </c>
      <c r="M2046" t="s">
        <v>4160</v>
      </c>
      <c r="N2046" t="s">
        <v>13</v>
      </c>
      <c r="O2046" t="s">
        <v>220</v>
      </c>
      <c r="P2046" t="str">
        <f t="shared" si="283"/>
        <v>[1]</v>
      </c>
      <c r="Q2046">
        <f t="shared" si="284"/>
        <v>12</v>
      </c>
      <c r="R2046" t="str">
        <f t="shared" si="285"/>
        <v/>
      </c>
      <c r="S2046">
        <f>SUMIF(O2046:$O$2855,R2046,Q2046:$Q$2855)</f>
        <v>0</v>
      </c>
    </row>
    <row r="2047" spans="11:19" x14ac:dyDescent="0.25">
      <c r="K2047" s="4" t="s">
        <v>421</v>
      </c>
      <c r="L2047" t="s">
        <v>422</v>
      </c>
      <c r="M2047" t="s">
        <v>4161</v>
      </c>
      <c r="N2047" t="s">
        <v>13</v>
      </c>
      <c r="O2047" t="s">
        <v>220</v>
      </c>
      <c r="P2047" t="str">
        <f t="shared" si="283"/>
        <v>[1]</v>
      </c>
      <c r="Q2047">
        <f t="shared" si="284"/>
        <v>12</v>
      </c>
      <c r="R2047" t="str">
        <f t="shared" si="285"/>
        <v/>
      </c>
      <c r="S2047">
        <f>SUMIF(O2047:$O$2855,R2047,Q2047:$Q$2855)</f>
        <v>0</v>
      </c>
    </row>
    <row r="2048" spans="11:19" x14ac:dyDescent="0.25">
      <c r="K2048" s="4" t="s">
        <v>421</v>
      </c>
      <c r="L2048" t="s">
        <v>422</v>
      </c>
      <c r="M2048" t="s">
        <v>4162</v>
      </c>
      <c r="N2048" t="s">
        <v>13</v>
      </c>
      <c r="O2048" t="s">
        <v>220</v>
      </c>
      <c r="P2048" t="str">
        <f t="shared" si="283"/>
        <v>[1]</v>
      </c>
      <c r="Q2048">
        <f t="shared" si="284"/>
        <v>12</v>
      </c>
      <c r="R2048" t="str">
        <f t="shared" si="285"/>
        <v/>
      </c>
      <c r="S2048">
        <f>SUMIF(O2048:$O$2855,R2048,Q2048:$Q$2855)</f>
        <v>0</v>
      </c>
    </row>
    <row r="2049" spans="11:19" x14ac:dyDescent="0.25">
      <c r="K2049" s="4" t="s">
        <v>421</v>
      </c>
      <c r="L2049" t="s">
        <v>422</v>
      </c>
      <c r="M2049" t="s">
        <v>4163</v>
      </c>
      <c r="N2049" t="s">
        <v>190</v>
      </c>
      <c r="O2049" t="s">
        <v>220</v>
      </c>
      <c r="P2049" t="str">
        <f t="shared" si="283"/>
        <v>[1]</v>
      </c>
      <c r="Q2049">
        <f t="shared" si="284"/>
        <v>56</v>
      </c>
      <c r="R2049" t="str">
        <f t="shared" si="285"/>
        <v/>
      </c>
      <c r="S2049">
        <f>SUMIF(O2049:$O$2855,R2049,Q2049:$Q$2855)</f>
        <v>0</v>
      </c>
    </row>
    <row r="2050" spans="11:19" x14ac:dyDescent="0.25">
      <c r="K2050" s="4" t="s">
        <v>421</v>
      </c>
      <c r="L2050" t="s">
        <v>422</v>
      </c>
      <c r="M2050" t="s">
        <v>4164</v>
      </c>
      <c r="N2050" t="s">
        <v>237</v>
      </c>
      <c r="O2050" t="s">
        <v>220</v>
      </c>
      <c r="P2050" t="str">
        <f t="shared" ref="P2050:P2113" si="286">VLOOKUP($K$30,$E$1:$F$26,2,FALSE)</f>
        <v>[1]</v>
      </c>
      <c r="Q2050">
        <f t="shared" si="284"/>
        <v>52</v>
      </c>
      <c r="R2050" t="str">
        <f t="shared" si="285"/>
        <v/>
      </c>
      <c r="S2050">
        <f>SUMIF(O2050:$O$2855,R2050,Q2050:$Q$2855)</f>
        <v>0</v>
      </c>
    </row>
    <row r="2051" spans="11:19" x14ac:dyDescent="0.25">
      <c r="K2051" s="4" t="s">
        <v>421</v>
      </c>
      <c r="L2051" t="s">
        <v>422</v>
      </c>
      <c r="M2051" t="s">
        <v>4165</v>
      </c>
      <c r="N2051" t="s">
        <v>437</v>
      </c>
      <c r="O2051" t="s">
        <v>220</v>
      </c>
      <c r="P2051" t="str">
        <f t="shared" si="286"/>
        <v>[1]</v>
      </c>
      <c r="Q2051">
        <f t="shared" ref="Q2051:Q2114" si="287">HEX2DEC(MID(N2051,3,LEN(N2051)-2))</f>
        <v>24</v>
      </c>
      <c r="R2051" t="str">
        <f t="shared" si="285"/>
        <v/>
      </c>
      <c r="S2051">
        <f>SUMIF(O2051:$O$2855,R2051,Q2051:$Q$2855)</f>
        <v>0</v>
      </c>
    </row>
    <row r="2052" spans="11:19" x14ac:dyDescent="0.25">
      <c r="K2052" s="4" t="s">
        <v>421</v>
      </c>
      <c r="L2052" t="s">
        <v>422</v>
      </c>
      <c r="M2052" t="s">
        <v>4166</v>
      </c>
      <c r="N2052" t="s">
        <v>437</v>
      </c>
      <c r="O2052" t="s">
        <v>220</v>
      </c>
      <c r="P2052" t="str">
        <f t="shared" si="286"/>
        <v>[1]</v>
      </c>
      <c r="Q2052">
        <f t="shared" si="287"/>
        <v>24</v>
      </c>
      <c r="R2052" t="str">
        <f t="shared" si="285"/>
        <v/>
      </c>
      <c r="S2052">
        <f>SUMIF(O2052:$O$2855,R2052,Q2052:$Q$2855)</f>
        <v>0</v>
      </c>
    </row>
    <row r="2053" spans="11:19" x14ac:dyDescent="0.25">
      <c r="K2053" s="4" t="s">
        <v>421</v>
      </c>
      <c r="L2053" t="s">
        <v>422</v>
      </c>
      <c r="M2053" t="s">
        <v>4167</v>
      </c>
      <c r="N2053" t="s">
        <v>237</v>
      </c>
      <c r="O2053" t="s">
        <v>220</v>
      </c>
      <c r="P2053" t="str">
        <f t="shared" si="286"/>
        <v>[1]</v>
      </c>
      <c r="Q2053">
        <f t="shared" si="287"/>
        <v>52</v>
      </c>
      <c r="R2053" t="str">
        <f t="shared" si="285"/>
        <v/>
      </c>
      <c r="S2053">
        <f>SUMIF(O2053:$O$2855,R2053,Q2053:$Q$2855)</f>
        <v>0</v>
      </c>
    </row>
    <row r="2054" spans="11:19" x14ac:dyDescent="0.25">
      <c r="K2054" s="4" t="s">
        <v>421</v>
      </c>
      <c r="L2054" t="s">
        <v>422</v>
      </c>
      <c r="M2054" t="s">
        <v>4168</v>
      </c>
      <c r="N2054" t="s">
        <v>237</v>
      </c>
      <c r="O2054" t="s">
        <v>220</v>
      </c>
      <c r="P2054" t="str">
        <f t="shared" si="286"/>
        <v>[1]</v>
      </c>
      <c r="Q2054">
        <f t="shared" si="287"/>
        <v>52</v>
      </c>
      <c r="R2054" t="str">
        <f t="shared" si="285"/>
        <v/>
      </c>
      <c r="S2054">
        <f>SUMIF(O2054:$O$2855,R2054,Q2054:$Q$2855)</f>
        <v>0</v>
      </c>
    </row>
    <row r="2055" spans="11:19" x14ac:dyDescent="0.25">
      <c r="K2055" s="4" t="s">
        <v>421</v>
      </c>
      <c r="L2055" t="s">
        <v>422</v>
      </c>
      <c r="M2055" t="s">
        <v>4169</v>
      </c>
      <c r="N2055" t="s">
        <v>119</v>
      </c>
      <c r="O2055" t="s">
        <v>220</v>
      </c>
      <c r="P2055" t="str">
        <f t="shared" si="286"/>
        <v>[1]</v>
      </c>
      <c r="Q2055">
        <f t="shared" si="287"/>
        <v>32</v>
      </c>
      <c r="R2055" t="str">
        <f t="shared" si="285"/>
        <v/>
      </c>
      <c r="S2055">
        <f>SUMIF(O2055:$O$2855,R2055,Q2055:$Q$2855)</f>
        <v>0</v>
      </c>
    </row>
    <row r="2056" spans="11:19" x14ac:dyDescent="0.25">
      <c r="K2056" s="4" t="s">
        <v>421</v>
      </c>
      <c r="L2056" t="s">
        <v>422</v>
      </c>
      <c r="M2056" t="s">
        <v>2002</v>
      </c>
      <c r="N2056" t="s">
        <v>76</v>
      </c>
      <c r="O2056" t="s">
        <v>220</v>
      </c>
      <c r="P2056" t="str">
        <f t="shared" si="286"/>
        <v>[1]</v>
      </c>
      <c r="Q2056">
        <f t="shared" si="287"/>
        <v>36</v>
      </c>
      <c r="R2056" t="str">
        <f t="shared" si="285"/>
        <v/>
      </c>
      <c r="S2056">
        <f>SUMIF(O2056:$O$2855,R2056,Q2056:$Q$2855)</f>
        <v>0</v>
      </c>
    </row>
    <row r="2057" spans="11:19" x14ac:dyDescent="0.25">
      <c r="K2057" s="4" t="s">
        <v>421</v>
      </c>
      <c r="L2057" t="s">
        <v>422</v>
      </c>
      <c r="M2057" t="s">
        <v>4170</v>
      </c>
      <c r="N2057" t="s">
        <v>437</v>
      </c>
      <c r="O2057" t="s">
        <v>220</v>
      </c>
      <c r="P2057" t="str">
        <f t="shared" si="286"/>
        <v>[1]</v>
      </c>
      <c r="Q2057">
        <f t="shared" si="287"/>
        <v>24</v>
      </c>
      <c r="R2057" t="str">
        <f t="shared" si="285"/>
        <v/>
      </c>
      <c r="S2057">
        <f>SUMIF(O2057:$O$2855,R2057,Q2057:$Q$2855)</f>
        <v>0</v>
      </c>
    </row>
    <row r="2058" spans="11:19" x14ac:dyDescent="0.25">
      <c r="K2058" s="4" t="s">
        <v>421</v>
      </c>
      <c r="L2058" t="s">
        <v>422</v>
      </c>
      <c r="M2058" t="s">
        <v>4171</v>
      </c>
      <c r="N2058" t="s">
        <v>65</v>
      </c>
      <c r="O2058" t="s">
        <v>220</v>
      </c>
      <c r="P2058" t="str">
        <f t="shared" si="286"/>
        <v>[1]</v>
      </c>
      <c r="Q2058">
        <f t="shared" si="287"/>
        <v>40</v>
      </c>
      <c r="R2058" t="str">
        <f t="shared" si="285"/>
        <v/>
      </c>
      <c r="S2058">
        <f>SUMIF(O2058:$O$2855,R2058,Q2058:$Q$2855)</f>
        <v>0</v>
      </c>
    </row>
    <row r="2059" spans="11:19" x14ac:dyDescent="0.25">
      <c r="K2059" s="4" t="s">
        <v>421</v>
      </c>
      <c r="L2059" t="s">
        <v>422</v>
      </c>
      <c r="M2059" t="s">
        <v>4172</v>
      </c>
      <c r="N2059" t="s">
        <v>6</v>
      </c>
      <c r="O2059" t="s">
        <v>220</v>
      </c>
      <c r="P2059" t="str">
        <f t="shared" si="286"/>
        <v>[1]</v>
      </c>
      <c r="Q2059">
        <f t="shared" si="287"/>
        <v>28</v>
      </c>
      <c r="R2059" t="str">
        <f t="shared" si="285"/>
        <v/>
      </c>
      <c r="S2059">
        <f>SUMIF(O2059:$O$2855,R2059,Q2059:$Q$2855)</f>
        <v>0</v>
      </c>
    </row>
    <row r="2060" spans="11:19" x14ac:dyDescent="0.25">
      <c r="K2060" s="4" t="s">
        <v>421</v>
      </c>
      <c r="L2060" t="s">
        <v>422</v>
      </c>
      <c r="M2060" t="s">
        <v>4173</v>
      </c>
      <c r="N2060" t="s">
        <v>76</v>
      </c>
      <c r="O2060" t="s">
        <v>220</v>
      </c>
      <c r="P2060" t="str">
        <f t="shared" si="286"/>
        <v>[1]</v>
      </c>
      <c r="Q2060">
        <f t="shared" si="287"/>
        <v>36</v>
      </c>
      <c r="R2060" t="str">
        <f t="shared" si="285"/>
        <v/>
      </c>
      <c r="S2060">
        <f>SUMIF(O2060:$O$2855,R2060,Q2060:$Q$2855)</f>
        <v>0</v>
      </c>
    </row>
    <row r="2061" spans="11:19" x14ac:dyDescent="0.25">
      <c r="K2061" s="4" t="s">
        <v>421</v>
      </c>
      <c r="L2061" t="s">
        <v>422</v>
      </c>
      <c r="M2061" t="s">
        <v>4174</v>
      </c>
      <c r="N2061" t="s">
        <v>76</v>
      </c>
      <c r="O2061" t="s">
        <v>220</v>
      </c>
      <c r="P2061" t="str">
        <f t="shared" si="286"/>
        <v>[1]</v>
      </c>
      <c r="Q2061">
        <f t="shared" si="287"/>
        <v>36</v>
      </c>
      <c r="R2061" t="str">
        <f t="shared" si="285"/>
        <v/>
      </c>
      <c r="S2061">
        <f>SUMIF(O2061:$O$2855,R2061,Q2061:$Q$2855)</f>
        <v>0</v>
      </c>
    </row>
    <row r="2062" spans="11:19" x14ac:dyDescent="0.25">
      <c r="K2062" s="4" t="s">
        <v>421</v>
      </c>
      <c r="L2062" t="s">
        <v>422</v>
      </c>
      <c r="M2062" t="s">
        <v>4175</v>
      </c>
      <c r="N2062" t="s">
        <v>6</v>
      </c>
      <c r="O2062" t="s">
        <v>220</v>
      </c>
      <c r="P2062" t="str">
        <f t="shared" si="286"/>
        <v>[1]</v>
      </c>
      <c r="Q2062">
        <f t="shared" si="287"/>
        <v>28</v>
      </c>
      <c r="R2062" t="str">
        <f t="shared" si="285"/>
        <v/>
      </c>
      <c r="S2062">
        <f>SUMIF(O2062:$O$2855,R2062,Q2062:$Q$2855)</f>
        <v>0</v>
      </c>
    </row>
    <row r="2063" spans="11:19" x14ac:dyDescent="0.25">
      <c r="K2063" s="4" t="s">
        <v>421</v>
      </c>
      <c r="L2063" t="s">
        <v>422</v>
      </c>
      <c r="M2063" t="s">
        <v>4176</v>
      </c>
      <c r="N2063" t="s">
        <v>437</v>
      </c>
      <c r="O2063" t="s">
        <v>220</v>
      </c>
      <c r="P2063" t="str">
        <f t="shared" si="286"/>
        <v>[1]</v>
      </c>
      <c r="Q2063">
        <f t="shared" si="287"/>
        <v>24</v>
      </c>
      <c r="R2063" t="str">
        <f t="shared" si="285"/>
        <v/>
      </c>
      <c r="S2063">
        <f>SUMIF(O2063:$O$2855,R2063,Q2063:$Q$2855)</f>
        <v>0</v>
      </c>
    </row>
    <row r="2064" spans="11:19" x14ac:dyDescent="0.25">
      <c r="K2064" s="4" t="s">
        <v>421</v>
      </c>
      <c r="L2064" t="s">
        <v>422</v>
      </c>
      <c r="M2064" t="s">
        <v>4177</v>
      </c>
      <c r="N2064" t="s">
        <v>119</v>
      </c>
      <c r="O2064" t="s">
        <v>220</v>
      </c>
      <c r="P2064" t="str">
        <f t="shared" si="286"/>
        <v>[1]</v>
      </c>
      <c r="Q2064">
        <f t="shared" si="287"/>
        <v>32</v>
      </c>
      <c r="R2064" t="str">
        <f t="shared" si="285"/>
        <v/>
      </c>
      <c r="S2064">
        <f>SUMIF(O2064:$O$2855,R2064,Q2064:$Q$2855)</f>
        <v>0</v>
      </c>
    </row>
    <row r="2065" spans="11:19" x14ac:dyDescent="0.25">
      <c r="K2065" s="4" t="s">
        <v>421</v>
      </c>
      <c r="L2065" t="s">
        <v>422</v>
      </c>
      <c r="M2065" t="s">
        <v>2003</v>
      </c>
      <c r="N2065" t="s">
        <v>76</v>
      </c>
      <c r="O2065" t="s">
        <v>220</v>
      </c>
      <c r="P2065" t="str">
        <f t="shared" si="286"/>
        <v>[1]</v>
      </c>
      <c r="Q2065">
        <f t="shared" si="287"/>
        <v>36</v>
      </c>
      <c r="R2065" t="str">
        <f t="shared" si="285"/>
        <v/>
      </c>
      <c r="S2065">
        <f>SUMIF(O2065:$O$2855,R2065,Q2065:$Q$2855)</f>
        <v>0</v>
      </c>
    </row>
    <row r="2066" spans="11:19" x14ac:dyDescent="0.25">
      <c r="K2066" s="4" t="s">
        <v>421</v>
      </c>
      <c r="L2066" t="s">
        <v>422</v>
      </c>
      <c r="M2066" t="s">
        <v>1790</v>
      </c>
      <c r="N2066" t="s">
        <v>6</v>
      </c>
      <c r="O2066" t="s">
        <v>220</v>
      </c>
      <c r="P2066" t="str">
        <f t="shared" si="286"/>
        <v>[1]</v>
      </c>
      <c r="Q2066">
        <f t="shared" si="287"/>
        <v>28</v>
      </c>
      <c r="R2066" t="str">
        <f t="shared" si="285"/>
        <v/>
      </c>
      <c r="S2066">
        <f>SUMIF(O2066:$O$2855,R2066,Q2066:$Q$2855)</f>
        <v>0</v>
      </c>
    </row>
    <row r="2067" spans="11:19" x14ac:dyDescent="0.25">
      <c r="K2067" s="4" t="s">
        <v>421</v>
      </c>
      <c r="L2067" t="s">
        <v>422</v>
      </c>
      <c r="M2067" t="s">
        <v>4178</v>
      </c>
      <c r="N2067" t="s">
        <v>124</v>
      </c>
      <c r="O2067" t="s">
        <v>220</v>
      </c>
      <c r="P2067" t="str">
        <f t="shared" si="286"/>
        <v>[1]</v>
      </c>
      <c r="Q2067">
        <f t="shared" si="287"/>
        <v>68</v>
      </c>
      <c r="R2067" t="str">
        <f t="shared" si="285"/>
        <v/>
      </c>
      <c r="S2067">
        <f>SUMIF(O2067:$O$2855,R2067,Q2067:$Q$2855)</f>
        <v>0</v>
      </c>
    </row>
    <row r="2068" spans="11:19" x14ac:dyDescent="0.25">
      <c r="K2068" s="4" t="s">
        <v>421</v>
      </c>
      <c r="L2068" t="s">
        <v>422</v>
      </c>
      <c r="M2068" t="s">
        <v>1828</v>
      </c>
      <c r="N2068" t="s">
        <v>165</v>
      </c>
      <c r="O2068" t="s">
        <v>175</v>
      </c>
      <c r="P2068" t="str">
        <f t="shared" si="286"/>
        <v>[1]</v>
      </c>
      <c r="Q2068">
        <f t="shared" si="287"/>
        <v>20</v>
      </c>
      <c r="R2068" t="str">
        <f t="shared" si="285"/>
        <v>Queue.o</v>
      </c>
      <c r="S2068">
        <f>SUMIF(O2068:$O$2855,R2068,Q2068:$Q$2855)</f>
        <v>20</v>
      </c>
    </row>
    <row r="2069" spans="11:19" x14ac:dyDescent="0.25">
      <c r="K2069" s="4" t="s">
        <v>421</v>
      </c>
      <c r="L2069" t="s">
        <v>422</v>
      </c>
      <c r="M2069" t="s">
        <v>2767</v>
      </c>
      <c r="N2069" t="s">
        <v>119</v>
      </c>
      <c r="O2069" t="s">
        <v>235</v>
      </c>
      <c r="P2069" t="str">
        <f t="shared" si="286"/>
        <v>[1]</v>
      </c>
      <c r="Q2069">
        <f t="shared" si="287"/>
        <v>32</v>
      </c>
      <c r="R2069" t="str">
        <f t="shared" si="285"/>
        <v>radio.o</v>
      </c>
      <c r="S2069">
        <f>SUMIF(O2069:$O$2855,R2069,Q2069:$Q$2855)</f>
        <v>2676</v>
      </c>
    </row>
    <row r="2070" spans="11:19" x14ac:dyDescent="0.25">
      <c r="K2070" s="4" t="s">
        <v>421</v>
      </c>
      <c r="L2070" t="s">
        <v>422</v>
      </c>
      <c r="M2070" t="s">
        <v>2768</v>
      </c>
      <c r="N2070" t="s">
        <v>437</v>
      </c>
      <c r="O2070" t="s">
        <v>235</v>
      </c>
      <c r="P2070" t="str">
        <f t="shared" si="286"/>
        <v>[1]</v>
      </c>
      <c r="Q2070">
        <f t="shared" si="287"/>
        <v>24</v>
      </c>
      <c r="R2070" t="str">
        <f t="shared" si="285"/>
        <v/>
      </c>
      <c r="S2070">
        <f>SUMIF(O2070:$O$2855,R2070,Q2070:$Q$2855)</f>
        <v>0</v>
      </c>
    </row>
    <row r="2071" spans="11:19" x14ac:dyDescent="0.25">
      <c r="K2071" s="4" t="s">
        <v>421</v>
      </c>
      <c r="L2071" t="s">
        <v>422</v>
      </c>
      <c r="M2071" t="s">
        <v>2769</v>
      </c>
      <c r="N2071" t="s">
        <v>65</v>
      </c>
      <c r="O2071" t="s">
        <v>235</v>
      </c>
      <c r="P2071" t="str">
        <f t="shared" si="286"/>
        <v>[1]</v>
      </c>
      <c r="Q2071">
        <f t="shared" si="287"/>
        <v>40</v>
      </c>
      <c r="R2071" t="str">
        <f t="shared" si="285"/>
        <v/>
      </c>
      <c r="S2071">
        <f>SUMIF(O2071:$O$2855,R2071,Q2071:$Q$2855)</f>
        <v>0</v>
      </c>
    </row>
    <row r="2072" spans="11:19" x14ac:dyDescent="0.25">
      <c r="K2072" s="4" t="s">
        <v>421</v>
      </c>
      <c r="L2072" t="s">
        <v>422</v>
      </c>
      <c r="M2072" t="s">
        <v>2770</v>
      </c>
      <c r="N2072" t="s">
        <v>126</v>
      </c>
      <c r="O2072" t="s">
        <v>235</v>
      </c>
      <c r="P2072" t="str">
        <f t="shared" si="286"/>
        <v>[1]</v>
      </c>
      <c r="Q2072">
        <f t="shared" si="287"/>
        <v>8</v>
      </c>
      <c r="R2072" t="str">
        <f t="shared" si="285"/>
        <v/>
      </c>
      <c r="S2072">
        <f>SUMIF(O2072:$O$2855,R2072,Q2072:$Q$2855)</f>
        <v>0</v>
      </c>
    </row>
    <row r="2073" spans="11:19" x14ac:dyDescent="0.25">
      <c r="K2073" s="4" t="s">
        <v>421</v>
      </c>
      <c r="L2073" t="s">
        <v>422</v>
      </c>
      <c r="M2073" t="s">
        <v>2771</v>
      </c>
      <c r="N2073" t="s">
        <v>65</v>
      </c>
      <c r="O2073" t="s">
        <v>235</v>
      </c>
      <c r="P2073" t="str">
        <f t="shared" si="286"/>
        <v>[1]</v>
      </c>
      <c r="Q2073">
        <f t="shared" si="287"/>
        <v>40</v>
      </c>
      <c r="R2073" t="str">
        <f t="shared" si="285"/>
        <v/>
      </c>
      <c r="S2073">
        <f>SUMIF(O2073:$O$2855,R2073,Q2073:$Q$2855)</f>
        <v>0</v>
      </c>
    </row>
    <row r="2074" spans="11:19" x14ac:dyDescent="0.25">
      <c r="K2074" s="4" t="s">
        <v>421</v>
      </c>
      <c r="L2074" t="s">
        <v>422</v>
      </c>
      <c r="M2074" t="s">
        <v>1830</v>
      </c>
      <c r="N2074" t="s">
        <v>165</v>
      </c>
      <c r="O2074" t="s">
        <v>235</v>
      </c>
      <c r="P2074" t="str">
        <f t="shared" si="286"/>
        <v>[1]</v>
      </c>
      <c r="Q2074">
        <f t="shared" si="287"/>
        <v>20</v>
      </c>
      <c r="R2074" t="str">
        <f t="shared" si="285"/>
        <v/>
      </c>
      <c r="S2074">
        <f>SUMIF(O2074:$O$2855,R2074,Q2074:$Q$2855)</f>
        <v>0</v>
      </c>
    </row>
    <row r="2075" spans="11:19" x14ac:dyDescent="0.25">
      <c r="K2075" s="4" t="s">
        <v>421</v>
      </c>
      <c r="L2075" t="s">
        <v>422</v>
      </c>
      <c r="M2075" t="s">
        <v>2772</v>
      </c>
      <c r="N2075" t="s">
        <v>67</v>
      </c>
      <c r="O2075" t="s">
        <v>235</v>
      </c>
      <c r="P2075" t="str">
        <f t="shared" si="286"/>
        <v>[1]</v>
      </c>
      <c r="Q2075">
        <f t="shared" si="287"/>
        <v>48</v>
      </c>
      <c r="R2075" t="str">
        <f t="shared" si="285"/>
        <v/>
      </c>
      <c r="S2075">
        <f>SUMIF(O2075:$O$2855,R2075,Q2075:$Q$2855)</f>
        <v>0</v>
      </c>
    </row>
    <row r="2076" spans="11:19" x14ac:dyDescent="0.25">
      <c r="K2076" s="4" t="s">
        <v>421</v>
      </c>
      <c r="L2076" t="s">
        <v>422</v>
      </c>
      <c r="M2076" t="s">
        <v>2773</v>
      </c>
      <c r="N2076" t="s">
        <v>126</v>
      </c>
      <c r="O2076" t="s">
        <v>235</v>
      </c>
      <c r="P2076" t="str">
        <f t="shared" si="286"/>
        <v>[1]</v>
      </c>
      <c r="Q2076">
        <f t="shared" si="287"/>
        <v>8</v>
      </c>
      <c r="R2076" t="str">
        <f t="shared" si="285"/>
        <v/>
      </c>
      <c r="S2076">
        <f>SUMIF(O2076:$O$2855,R2076,Q2076:$Q$2855)</f>
        <v>0</v>
      </c>
    </row>
    <row r="2077" spans="11:19" x14ac:dyDescent="0.25">
      <c r="K2077" s="4" t="s">
        <v>421</v>
      </c>
      <c r="L2077" t="s">
        <v>422</v>
      </c>
      <c r="M2077" t="s">
        <v>1831</v>
      </c>
      <c r="N2077" t="s">
        <v>126</v>
      </c>
      <c r="O2077" t="s">
        <v>235</v>
      </c>
      <c r="P2077" t="str">
        <f t="shared" si="286"/>
        <v>[1]</v>
      </c>
      <c r="Q2077">
        <f t="shared" si="287"/>
        <v>8</v>
      </c>
      <c r="R2077" t="str">
        <f t="shared" si="285"/>
        <v/>
      </c>
      <c r="S2077">
        <f>SUMIF(O2077:$O$2855,R2077,Q2077:$Q$2855)</f>
        <v>0</v>
      </c>
    </row>
    <row r="2078" spans="11:19" x14ac:dyDescent="0.25">
      <c r="K2078" s="4" t="s">
        <v>421</v>
      </c>
      <c r="L2078" t="s">
        <v>422</v>
      </c>
      <c r="M2078" t="s">
        <v>2774</v>
      </c>
      <c r="N2078" t="s">
        <v>13</v>
      </c>
      <c r="O2078" t="s">
        <v>235</v>
      </c>
      <c r="P2078" t="str">
        <f t="shared" si="286"/>
        <v>[1]</v>
      </c>
      <c r="Q2078">
        <f t="shared" si="287"/>
        <v>12</v>
      </c>
      <c r="R2078" t="str">
        <f t="shared" si="285"/>
        <v/>
      </c>
      <c r="S2078">
        <f>SUMIF(O2078:$O$2855,R2078,Q2078:$Q$2855)</f>
        <v>0</v>
      </c>
    </row>
    <row r="2079" spans="11:19" x14ac:dyDescent="0.25">
      <c r="K2079" s="4" t="s">
        <v>421</v>
      </c>
      <c r="L2079" t="s">
        <v>422</v>
      </c>
      <c r="M2079" t="s">
        <v>2775</v>
      </c>
      <c r="N2079" t="s">
        <v>44</v>
      </c>
      <c r="O2079" t="s">
        <v>235</v>
      </c>
      <c r="P2079" t="str">
        <f t="shared" si="286"/>
        <v>[1]</v>
      </c>
      <c r="Q2079">
        <f t="shared" si="287"/>
        <v>44</v>
      </c>
      <c r="R2079" t="str">
        <f t="shared" si="285"/>
        <v/>
      </c>
      <c r="S2079">
        <f>SUMIF(O2079:$O$2855,R2079,Q2079:$Q$2855)</f>
        <v>0</v>
      </c>
    </row>
    <row r="2080" spans="11:19" x14ac:dyDescent="0.25">
      <c r="K2080" s="4" t="s">
        <v>421</v>
      </c>
      <c r="L2080" t="s">
        <v>422</v>
      </c>
      <c r="M2080" t="s">
        <v>2776</v>
      </c>
      <c r="N2080" t="s">
        <v>44</v>
      </c>
      <c r="O2080" t="s">
        <v>235</v>
      </c>
      <c r="P2080" t="str">
        <f t="shared" si="286"/>
        <v>[1]</v>
      </c>
      <c r="Q2080">
        <f t="shared" si="287"/>
        <v>44</v>
      </c>
      <c r="R2080" t="str">
        <f t="shared" ref="R2080:R2143" si="288">IF(O2080&lt;&gt;O2079,O2080,"")</f>
        <v/>
      </c>
      <c r="S2080">
        <f>SUMIF(O2080:$O$2855,R2080,Q2080:$Q$2855)</f>
        <v>0</v>
      </c>
    </row>
    <row r="2081" spans="11:19" x14ac:dyDescent="0.25">
      <c r="K2081" s="4" t="s">
        <v>421</v>
      </c>
      <c r="L2081" t="s">
        <v>422</v>
      </c>
      <c r="M2081" t="s">
        <v>2777</v>
      </c>
      <c r="N2081" t="s">
        <v>237</v>
      </c>
      <c r="O2081" t="s">
        <v>235</v>
      </c>
      <c r="P2081" t="str">
        <f t="shared" si="286"/>
        <v>[1]</v>
      </c>
      <c r="Q2081">
        <f t="shared" si="287"/>
        <v>52</v>
      </c>
      <c r="R2081" t="str">
        <f t="shared" si="288"/>
        <v/>
      </c>
      <c r="S2081">
        <f>SUMIF(O2081:$O$2855,R2081,Q2081:$Q$2855)</f>
        <v>0</v>
      </c>
    </row>
    <row r="2082" spans="11:19" x14ac:dyDescent="0.25">
      <c r="K2082" s="4" t="s">
        <v>421</v>
      </c>
      <c r="L2082" t="s">
        <v>422</v>
      </c>
      <c r="M2082" t="s">
        <v>1832</v>
      </c>
      <c r="N2082" t="s">
        <v>165</v>
      </c>
      <c r="O2082" t="s">
        <v>235</v>
      </c>
      <c r="P2082" t="str">
        <f t="shared" si="286"/>
        <v>[1]</v>
      </c>
      <c r="Q2082">
        <f t="shared" si="287"/>
        <v>20</v>
      </c>
      <c r="R2082" t="str">
        <f t="shared" si="288"/>
        <v/>
      </c>
      <c r="S2082">
        <f>SUMIF(O2082:$O$2855,R2082,Q2082:$Q$2855)</f>
        <v>0</v>
      </c>
    </row>
    <row r="2083" spans="11:19" x14ac:dyDescent="0.25">
      <c r="K2083" s="4" t="s">
        <v>421</v>
      </c>
      <c r="L2083" t="s">
        <v>422</v>
      </c>
      <c r="M2083" t="s">
        <v>2778</v>
      </c>
      <c r="N2083" t="s">
        <v>124</v>
      </c>
      <c r="O2083" t="s">
        <v>235</v>
      </c>
      <c r="P2083" t="str">
        <f t="shared" si="286"/>
        <v>[1]</v>
      </c>
      <c r="Q2083">
        <f t="shared" si="287"/>
        <v>68</v>
      </c>
      <c r="R2083" t="str">
        <f t="shared" si="288"/>
        <v/>
      </c>
      <c r="S2083">
        <f>SUMIF(O2083:$O$2855,R2083,Q2083:$Q$2855)</f>
        <v>0</v>
      </c>
    </row>
    <row r="2084" spans="11:19" x14ac:dyDescent="0.25">
      <c r="K2084" s="4" t="s">
        <v>421</v>
      </c>
      <c r="L2084" t="s">
        <v>422</v>
      </c>
      <c r="M2084" t="s">
        <v>1833</v>
      </c>
      <c r="N2084" t="s">
        <v>126</v>
      </c>
      <c r="O2084" t="s">
        <v>235</v>
      </c>
      <c r="P2084" t="str">
        <f t="shared" si="286"/>
        <v>[1]</v>
      </c>
      <c r="Q2084">
        <f t="shared" si="287"/>
        <v>8</v>
      </c>
      <c r="R2084" t="str">
        <f t="shared" si="288"/>
        <v/>
      </c>
      <c r="S2084">
        <f>SUMIF(O2084:$O$2855,R2084,Q2084:$Q$2855)</f>
        <v>0</v>
      </c>
    </row>
    <row r="2085" spans="11:19" x14ac:dyDescent="0.25">
      <c r="K2085" s="4" t="s">
        <v>421</v>
      </c>
      <c r="L2085" t="s">
        <v>422</v>
      </c>
      <c r="M2085" t="s">
        <v>2779</v>
      </c>
      <c r="N2085" t="s">
        <v>13</v>
      </c>
      <c r="O2085" t="s">
        <v>235</v>
      </c>
      <c r="P2085" t="str">
        <f t="shared" si="286"/>
        <v>[1]</v>
      </c>
      <c r="Q2085">
        <f t="shared" si="287"/>
        <v>12</v>
      </c>
      <c r="R2085" t="str">
        <f t="shared" si="288"/>
        <v/>
      </c>
      <c r="S2085">
        <f>SUMIF(O2085:$O$2855,R2085,Q2085:$Q$2855)</f>
        <v>0</v>
      </c>
    </row>
    <row r="2086" spans="11:19" x14ac:dyDescent="0.25">
      <c r="K2086" s="4" t="s">
        <v>421</v>
      </c>
      <c r="L2086" t="s">
        <v>422</v>
      </c>
      <c r="M2086" t="s">
        <v>2780</v>
      </c>
      <c r="N2086" t="s">
        <v>124</v>
      </c>
      <c r="O2086" t="s">
        <v>235</v>
      </c>
      <c r="P2086" t="str">
        <f t="shared" si="286"/>
        <v>[1]</v>
      </c>
      <c r="Q2086">
        <f t="shared" si="287"/>
        <v>68</v>
      </c>
      <c r="R2086" t="str">
        <f t="shared" si="288"/>
        <v/>
      </c>
      <c r="S2086">
        <f>SUMIF(O2086:$O$2855,R2086,Q2086:$Q$2855)</f>
        <v>0</v>
      </c>
    </row>
    <row r="2087" spans="11:19" x14ac:dyDescent="0.25">
      <c r="K2087" s="4" t="s">
        <v>421</v>
      </c>
      <c r="L2087" t="s">
        <v>422</v>
      </c>
      <c r="M2087" t="s">
        <v>2781</v>
      </c>
      <c r="N2087" t="s">
        <v>275</v>
      </c>
      <c r="O2087" t="s">
        <v>235</v>
      </c>
      <c r="P2087" t="str">
        <f t="shared" si="286"/>
        <v>[1]</v>
      </c>
      <c r="Q2087">
        <f t="shared" si="287"/>
        <v>80</v>
      </c>
      <c r="R2087" t="str">
        <f t="shared" si="288"/>
        <v/>
      </c>
      <c r="S2087">
        <f>SUMIF(O2087:$O$2855,R2087,Q2087:$Q$2855)</f>
        <v>0</v>
      </c>
    </row>
    <row r="2088" spans="11:19" x14ac:dyDescent="0.25">
      <c r="K2088" s="4" t="s">
        <v>421</v>
      </c>
      <c r="L2088" t="s">
        <v>422</v>
      </c>
      <c r="M2088" t="s">
        <v>2782</v>
      </c>
      <c r="N2088" t="s">
        <v>237</v>
      </c>
      <c r="O2088" t="s">
        <v>235</v>
      </c>
      <c r="P2088" t="str">
        <f t="shared" si="286"/>
        <v>[1]</v>
      </c>
      <c r="Q2088">
        <f t="shared" si="287"/>
        <v>52</v>
      </c>
      <c r="R2088" t="str">
        <f t="shared" si="288"/>
        <v/>
      </c>
      <c r="S2088">
        <f>SUMIF(O2088:$O$2855,R2088,Q2088:$Q$2855)</f>
        <v>0</v>
      </c>
    </row>
    <row r="2089" spans="11:19" x14ac:dyDescent="0.25">
      <c r="K2089" s="4" t="s">
        <v>421</v>
      </c>
      <c r="L2089" t="s">
        <v>422</v>
      </c>
      <c r="M2089" t="s">
        <v>2783</v>
      </c>
      <c r="N2089" t="s">
        <v>67</v>
      </c>
      <c r="O2089" t="s">
        <v>235</v>
      </c>
      <c r="P2089" t="str">
        <f t="shared" si="286"/>
        <v>[1]</v>
      </c>
      <c r="Q2089">
        <f t="shared" si="287"/>
        <v>48</v>
      </c>
      <c r="R2089" t="str">
        <f t="shared" si="288"/>
        <v/>
      </c>
      <c r="S2089">
        <f>SUMIF(O2089:$O$2855,R2089,Q2089:$Q$2855)</f>
        <v>0</v>
      </c>
    </row>
    <row r="2090" spans="11:19" x14ac:dyDescent="0.25">
      <c r="K2090" s="4" t="s">
        <v>421</v>
      </c>
      <c r="L2090" t="s">
        <v>422</v>
      </c>
      <c r="M2090" t="s">
        <v>2784</v>
      </c>
      <c r="N2090" t="s">
        <v>190</v>
      </c>
      <c r="O2090" t="s">
        <v>235</v>
      </c>
      <c r="P2090" t="str">
        <f t="shared" si="286"/>
        <v>[1]</v>
      </c>
      <c r="Q2090">
        <f t="shared" si="287"/>
        <v>56</v>
      </c>
      <c r="R2090" t="str">
        <f t="shared" si="288"/>
        <v/>
      </c>
      <c r="S2090">
        <f>SUMIF(O2090:$O$2855,R2090,Q2090:$Q$2855)</f>
        <v>0</v>
      </c>
    </row>
    <row r="2091" spans="11:19" x14ac:dyDescent="0.25">
      <c r="K2091" s="4" t="s">
        <v>421</v>
      </c>
      <c r="L2091" t="s">
        <v>422</v>
      </c>
      <c r="M2091" t="s">
        <v>2785</v>
      </c>
      <c r="N2091" t="s">
        <v>67</v>
      </c>
      <c r="O2091" t="s">
        <v>235</v>
      </c>
      <c r="P2091" t="str">
        <f t="shared" si="286"/>
        <v>[1]</v>
      </c>
      <c r="Q2091">
        <f t="shared" si="287"/>
        <v>48</v>
      </c>
      <c r="R2091" t="str">
        <f t="shared" si="288"/>
        <v/>
      </c>
      <c r="S2091">
        <f>SUMIF(O2091:$O$2855,R2091,Q2091:$Q$2855)</f>
        <v>0</v>
      </c>
    </row>
    <row r="2092" spans="11:19" x14ac:dyDescent="0.25">
      <c r="K2092" s="4" t="s">
        <v>421</v>
      </c>
      <c r="L2092" t="s">
        <v>422</v>
      </c>
      <c r="M2092" t="s">
        <v>2786</v>
      </c>
      <c r="N2092" t="s">
        <v>67</v>
      </c>
      <c r="O2092" t="s">
        <v>235</v>
      </c>
      <c r="P2092" t="str">
        <f t="shared" si="286"/>
        <v>[1]</v>
      </c>
      <c r="Q2092">
        <f t="shared" si="287"/>
        <v>48</v>
      </c>
      <c r="R2092" t="str">
        <f t="shared" si="288"/>
        <v/>
      </c>
      <c r="S2092">
        <f>SUMIF(O2092:$O$2855,R2092,Q2092:$Q$2855)</f>
        <v>0</v>
      </c>
    </row>
    <row r="2093" spans="11:19" x14ac:dyDescent="0.25">
      <c r="K2093" s="4" t="s">
        <v>421</v>
      </c>
      <c r="L2093" t="s">
        <v>422</v>
      </c>
      <c r="M2093" t="s">
        <v>2787</v>
      </c>
      <c r="N2093" t="s">
        <v>435</v>
      </c>
      <c r="O2093" t="s">
        <v>235</v>
      </c>
      <c r="P2093" t="str">
        <f t="shared" si="286"/>
        <v>[1]</v>
      </c>
      <c r="Q2093">
        <f t="shared" si="287"/>
        <v>60</v>
      </c>
      <c r="R2093" t="str">
        <f t="shared" si="288"/>
        <v/>
      </c>
      <c r="S2093">
        <f>SUMIF(O2093:$O$2855,R2093,Q2093:$Q$2855)</f>
        <v>0</v>
      </c>
    </row>
    <row r="2094" spans="11:19" x14ac:dyDescent="0.25">
      <c r="K2094" s="4" t="s">
        <v>421</v>
      </c>
      <c r="L2094" t="s">
        <v>422</v>
      </c>
      <c r="M2094" t="s">
        <v>2788</v>
      </c>
      <c r="N2094" t="s">
        <v>437</v>
      </c>
      <c r="O2094" t="s">
        <v>235</v>
      </c>
      <c r="P2094" t="str">
        <f t="shared" si="286"/>
        <v>[1]</v>
      </c>
      <c r="Q2094">
        <f t="shared" si="287"/>
        <v>24</v>
      </c>
      <c r="R2094" t="str">
        <f t="shared" si="288"/>
        <v/>
      </c>
      <c r="S2094">
        <f>SUMIF(O2094:$O$2855,R2094,Q2094:$Q$2855)</f>
        <v>0</v>
      </c>
    </row>
    <row r="2095" spans="11:19" x14ac:dyDescent="0.25">
      <c r="K2095" s="4" t="s">
        <v>421</v>
      </c>
      <c r="L2095" t="s">
        <v>422</v>
      </c>
      <c r="M2095" t="s">
        <v>2789</v>
      </c>
      <c r="N2095" t="s">
        <v>63</v>
      </c>
      <c r="O2095" t="s">
        <v>235</v>
      </c>
      <c r="P2095" t="str">
        <f t="shared" si="286"/>
        <v>[1]</v>
      </c>
      <c r="Q2095">
        <f t="shared" si="287"/>
        <v>88</v>
      </c>
      <c r="R2095" t="str">
        <f t="shared" si="288"/>
        <v/>
      </c>
      <c r="S2095">
        <f>SUMIF(O2095:$O$2855,R2095,Q2095:$Q$2855)</f>
        <v>0</v>
      </c>
    </row>
    <row r="2096" spans="11:19" x14ac:dyDescent="0.25">
      <c r="K2096" s="4" t="s">
        <v>421</v>
      </c>
      <c r="L2096" t="s">
        <v>422</v>
      </c>
      <c r="M2096" t="s">
        <v>2790</v>
      </c>
      <c r="N2096" t="s">
        <v>147</v>
      </c>
      <c r="O2096" t="s">
        <v>235</v>
      </c>
      <c r="P2096" t="str">
        <f t="shared" si="286"/>
        <v>[1]</v>
      </c>
      <c r="Q2096">
        <f t="shared" si="287"/>
        <v>72</v>
      </c>
      <c r="R2096" t="str">
        <f t="shared" si="288"/>
        <v/>
      </c>
      <c r="S2096">
        <f>SUMIF(O2096:$O$2855,R2096,Q2096:$Q$2855)</f>
        <v>0</v>
      </c>
    </row>
    <row r="2097" spans="11:19" x14ac:dyDescent="0.25">
      <c r="K2097" s="4" t="s">
        <v>421</v>
      </c>
      <c r="L2097" t="s">
        <v>422</v>
      </c>
      <c r="M2097" t="s">
        <v>2791</v>
      </c>
      <c r="N2097" t="s">
        <v>190</v>
      </c>
      <c r="O2097" t="s">
        <v>235</v>
      </c>
      <c r="P2097" t="str">
        <f t="shared" si="286"/>
        <v>[1]</v>
      </c>
      <c r="Q2097">
        <f t="shared" si="287"/>
        <v>56</v>
      </c>
      <c r="R2097" t="str">
        <f t="shared" si="288"/>
        <v/>
      </c>
      <c r="S2097">
        <f>SUMIF(O2097:$O$2855,R2097,Q2097:$Q$2855)</f>
        <v>0</v>
      </c>
    </row>
    <row r="2098" spans="11:19" x14ac:dyDescent="0.25">
      <c r="K2098" s="4" t="s">
        <v>421</v>
      </c>
      <c r="L2098" t="s">
        <v>422</v>
      </c>
      <c r="M2098" t="s">
        <v>2792</v>
      </c>
      <c r="N2098" t="s">
        <v>44</v>
      </c>
      <c r="O2098" t="s">
        <v>235</v>
      </c>
      <c r="P2098" t="str">
        <f t="shared" si="286"/>
        <v>[1]</v>
      </c>
      <c r="Q2098">
        <f t="shared" si="287"/>
        <v>44</v>
      </c>
      <c r="R2098" t="str">
        <f t="shared" si="288"/>
        <v/>
      </c>
      <c r="S2098">
        <f>SUMIF(O2098:$O$2855,R2098,Q2098:$Q$2855)</f>
        <v>0</v>
      </c>
    </row>
    <row r="2099" spans="11:19" x14ac:dyDescent="0.25">
      <c r="K2099" s="4" t="s">
        <v>421</v>
      </c>
      <c r="L2099" t="s">
        <v>422</v>
      </c>
      <c r="M2099" t="s">
        <v>2793</v>
      </c>
      <c r="N2099" t="s">
        <v>190</v>
      </c>
      <c r="O2099" t="s">
        <v>235</v>
      </c>
      <c r="P2099" t="str">
        <f t="shared" si="286"/>
        <v>[1]</v>
      </c>
      <c r="Q2099">
        <f t="shared" si="287"/>
        <v>56</v>
      </c>
      <c r="R2099" t="str">
        <f t="shared" si="288"/>
        <v/>
      </c>
      <c r="S2099">
        <f>SUMIF(O2099:$O$2855,R2099,Q2099:$Q$2855)</f>
        <v>0</v>
      </c>
    </row>
    <row r="2100" spans="11:19" x14ac:dyDescent="0.25">
      <c r="K2100" s="4" t="s">
        <v>421</v>
      </c>
      <c r="L2100" t="s">
        <v>422</v>
      </c>
      <c r="M2100" t="s">
        <v>2794</v>
      </c>
      <c r="N2100" t="s">
        <v>126</v>
      </c>
      <c r="O2100" t="s">
        <v>235</v>
      </c>
      <c r="P2100" t="str">
        <f t="shared" si="286"/>
        <v>[1]</v>
      </c>
      <c r="Q2100">
        <f t="shared" si="287"/>
        <v>8</v>
      </c>
      <c r="R2100" t="str">
        <f t="shared" si="288"/>
        <v/>
      </c>
      <c r="S2100">
        <f>SUMIF(O2100:$O$2855,R2100,Q2100:$Q$2855)</f>
        <v>0</v>
      </c>
    </row>
    <row r="2101" spans="11:19" x14ac:dyDescent="0.25">
      <c r="K2101" s="4" t="s">
        <v>421</v>
      </c>
      <c r="L2101" t="s">
        <v>422</v>
      </c>
      <c r="M2101" t="s">
        <v>2795</v>
      </c>
      <c r="N2101" t="s">
        <v>44</v>
      </c>
      <c r="O2101" t="s">
        <v>235</v>
      </c>
      <c r="P2101" t="str">
        <f t="shared" si="286"/>
        <v>[1]</v>
      </c>
      <c r="Q2101">
        <f t="shared" si="287"/>
        <v>44</v>
      </c>
      <c r="R2101" t="str">
        <f t="shared" si="288"/>
        <v/>
      </c>
      <c r="S2101">
        <f>SUMIF(O2101:$O$2855,R2101,Q2101:$Q$2855)</f>
        <v>0</v>
      </c>
    </row>
    <row r="2102" spans="11:19" x14ac:dyDescent="0.25">
      <c r="K2102" s="4" t="s">
        <v>421</v>
      </c>
      <c r="L2102" t="s">
        <v>422</v>
      </c>
      <c r="M2102" t="s">
        <v>2796</v>
      </c>
      <c r="N2102" t="s">
        <v>67</v>
      </c>
      <c r="O2102" t="s">
        <v>235</v>
      </c>
      <c r="P2102" t="str">
        <f t="shared" si="286"/>
        <v>[1]</v>
      </c>
      <c r="Q2102">
        <f t="shared" si="287"/>
        <v>48</v>
      </c>
      <c r="R2102" t="str">
        <f t="shared" si="288"/>
        <v/>
      </c>
      <c r="S2102">
        <f>SUMIF(O2102:$O$2855,R2102,Q2102:$Q$2855)</f>
        <v>0</v>
      </c>
    </row>
    <row r="2103" spans="11:19" x14ac:dyDescent="0.25">
      <c r="K2103" s="4" t="s">
        <v>421</v>
      </c>
      <c r="L2103" t="s">
        <v>422</v>
      </c>
      <c r="M2103" t="s">
        <v>2797</v>
      </c>
      <c r="N2103" t="s">
        <v>237</v>
      </c>
      <c r="O2103" t="s">
        <v>235</v>
      </c>
      <c r="P2103" t="str">
        <f t="shared" si="286"/>
        <v>[1]</v>
      </c>
      <c r="Q2103">
        <f t="shared" si="287"/>
        <v>52</v>
      </c>
      <c r="R2103" t="str">
        <f t="shared" si="288"/>
        <v/>
      </c>
      <c r="S2103">
        <f>SUMIF(O2103:$O$2855,R2103,Q2103:$Q$2855)</f>
        <v>0</v>
      </c>
    </row>
    <row r="2104" spans="11:19" x14ac:dyDescent="0.25">
      <c r="K2104" s="4" t="s">
        <v>421</v>
      </c>
      <c r="L2104" t="s">
        <v>422</v>
      </c>
      <c r="M2104" t="s">
        <v>2798</v>
      </c>
      <c r="N2104" t="s">
        <v>44</v>
      </c>
      <c r="O2104" t="s">
        <v>235</v>
      </c>
      <c r="P2104" t="str">
        <f t="shared" si="286"/>
        <v>[1]</v>
      </c>
      <c r="Q2104">
        <f t="shared" si="287"/>
        <v>44</v>
      </c>
      <c r="R2104" t="str">
        <f t="shared" si="288"/>
        <v/>
      </c>
      <c r="S2104">
        <f>SUMIF(O2104:$O$2855,R2104,Q2104:$Q$2855)</f>
        <v>0</v>
      </c>
    </row>
    <row r="2105" spans="11:19" x14ac:dyDescent="0.25">
      <c r="K2105" s="4" t="s">
        <v>421</v>
      </c>
      <c r="L2105" t="s">
        <v>422</v>
      </c>
      <c r="M2105" t="s">
        <v>2799</v>
      </c>
      <c r="N2105" t="s">
        <v>119</v>
      </c>
      <c r="O2105" t="s">
        <v>235</v>
      </c>
      <c r="P2105" t="str">
        <f t="shared" si="286"/>
        <v>[1]</v>
      </c>
      <c r="Q2105">
        <f t="shared" si="287"/>
        <v>32</v>
      </c>
      <c r="R2105" t="str">
        <f t="shared" si="288"/>
        <v/>
      </c>
      <c r="S2105">
        <f>SUMIF(O2105:$O$2855,R2105,Q2105:$Q$2855)</f>
        <v>0</v>
      </c>
    </row>
    <row r="2106" spans="11:19" x14ac:dyDescent="0.25">
      <c r="K2106" s="4" t="s">
        <v>421</v>
      </c>
      <c r="L2106" t="s">
        <v>422</v>
      </c>
      <c r="M2106" t="s">
        <v>2800</v>
      </c>
      <c r="N2106" t="s">
        <v>437</v>
      </c>
      <c r="O2106" t="s">
        <v>235</v>
      </c>
      <c r="P2106" t="str">
        <f t="shared" si="286"/>
        <v>[1]</v>
      </c>
      <c r="Q2106">
        <f t="shared" si="287"/>
        <v>24</v>
      </c>
      <c r="R2106" t="str">
        <f t="shared" si="288"/>
        <v/>
      </c>
      <c r="S2106">
        <f>SUMIF(O2106:$O$2855,R2106,Q2106:$Q$2855)</f>
        <v>0</v>
      </c>
    </row>
    <row r="2107" spans="11:19" x14ac:dyDescent="0.25">
      <c r="K2107" s="4" t="s">
        <v>421</v>
      </c>
      <c r="L2107" t="s">
        <v>422</v>
      </c>
      <c r="M2107" t="s">
        <v>2801</v>
      </c>
      <c r="N2107" t="s">
        <v>65</v>
      </c>
      <c r="O2107" t="s">
        <v>235</v>
      </c>
      <c r="P2107" t="str">
        <f t="shared" si="286"/>
        <v>[1]</v>
      </c>
      <c r="Q2107">
        <f t="shared" si="287"/>
        <v>40</v>
      </c>
      <c r="R2107" t="str">
        <f t="shared" si="288"/>
        <v/>
      </c>
      <c r="S2107">
        <f>SUMIF(O2107:$O$2855,R2107,Q2107:$Q$2855)</f>
        <v>0</v>
      </c>
    </row>
    <row r="2108" spans="11:19" x14ac:dyDescent="0.25">
      <c r="K2108" s="4" t="s">
        <v>421</v>
      </c>
      <c r="L2108" t="s">
        <v>422</v>
      </c>
      <c r="M2108" t="s">
        <v>2802</v>
      </c>
      <c r="N2108" t="s">
        <v>6</v>
      </c>
      <c r="O2108" t="s">
        <v>235</v>
      </c>
      <c r="P2108" t="str">
        <f t="shared" si="286"/>
        <v>[1]</v>
      </c>
      <c r="Q2108">
        <f t="shared" si="287"/>
        <v>28</v>
      </c>
      <c r="R2108" t="str">
        <f t="shared" si="288"/>
        <v/>
      </c>
      <c r="S2108">
        <f>SUMIF(O2108:$O$2855,R2108,Q2108:$Q$2855)</f>
        <v>0</v>
      </c>
    </row>
    <row r="2109" spans="11:19" x14ac:dyDescent="0.25">
      <c r="K2109" s="4" t="s">
        <v>421</v>
      </c>
      <c r="L2109" t="s">
        <v>422</v>
      </c>
      <c r="M2109" t="s">
        <v>2803</v>
      </c>
      <c r="N2109" t="s">
        <v>89</v>
      </c>
      <c r="O2109" t="s">
        <v>235</v>
      </c>
      <c r="P2109" t="str">
        <f t="shared" si="286"/>
        <v>[1]</v>
      </c>
      <c r="Q2109">
        <f t="shared" si="287"/>
        <v>76</v>
      </c>
      <c r="R2109" t="str">
        <f t="shared" si="288"/>
        <v/>
      </c>
      <c r="S2109">
        <f>SUMIF(O2109:$O$2855,R2109,Q2109:$Q$2855)</f>
        <v>0</v>
      </c>
    </row>
    <row r="2110" spans="11:19" x14ac:dyDescent="0.25">
      <c r="K2110" s="4" t="s">
        <v>421</v>
      </c>
      <c r="L2110" t="s">
        <v>422</v>
      </c>
      <c r="M2110" t="s">
        <v>2804</v>
      </c>
      <c r="N2110" t="s">
        <v>6</v>
      </c>
      <c r="O2110" t="s">
        <v>235</v>
      </c>
      <c r="P2110" t="str">
        <f t="shared" si="286"/>
        <v>[1]</v>
      </c>
      <c r="Q2110">
        <f t="shared" si="287"/>
        <v>28</v>
      </c>
      <c r="R2110" t="str">
        <f t="shared" si="288"/>
        <v/>
      </c>
      <c r="S2110">
        <f>SUMIF(O2110:$O$2855,R2110,Q2110:$Q$2855)</f>
        <v>0</v>
      </c>
    </row>
    <row r="2111" spans="11:19" x14ac:dyDescent="0.25">
      <c r="K2111" s="4" t="s">
        <v>421</v>
      </c>
      <c r="L2111" t="s">
        <v>422</v>
      </c>
      <c r="M2111" t="s">
        <v>2805</v>
      </c>
      <c r="N2111" t="s">
        <v>65</v>
      </c>
      <c r="O2111" t="s">
        <v>235</v>
      </c>
      <c r="P2111" t="str">
        <f t="shared" si="286"/>
        <v>[1]</v>
      </c>
      <c r="Q2111">
        <f t="shared" si="287"/>
        <v>40</v>
      </c>
      <c r="R2111" t="str">
        <f t="shared" si="288"/>
        <v/>
      </c>
      <c r="S2111">
        <f>SUMIF(O2111:$O$2855,R2111,Q2111:$Q$2855)</f>
        <v>0</v>
      </c>
    </row>
    <row r="2112" spans="11:19" x14ac:dyDescent="0.25">
      <c r="K2112" s="4" t="s">
        <v>421</v>
      </c>
      <c r="L2112" t="s">
        <v>422</v>
      </c>
      <c r="M2112" t="s">
        <v>2806</v>
      </c>
      <c r="N2112" t="s">
        <v>190</v>
      </c>
      <c r="O2112" t="s">
        <v>235</v>
      </c>
      <c r="P2112" t="str">
        <f t="shared" si="286"/>
        <v>[1]</v>
      </c>
      <c r="Q2112">
        <f t="shared" si="287"/>
        <v>56</v>
      </c>
      <c r="R2112" t="str">
        <f t="shared" si="288"/>
        <v/>
      </c>
      <c r="S2112">
        <f>SUMIF(O2112:$O$2855,R2112,Q2112:$Q$2855)</f>
        <v>0</v>
      </c>
    </row>
    <row r="2113" spans="11:19" x14ac:dyDescent="0.25">
      <c r="K2113" s="4" t="s">
        <v>421</v>
      </c>
      <c r="L2113" t="s">
        <v>422</v>
      </c>
      <c r="M2113" t="s">
        <v>2807</v>
      </c>
      <c r="N2113" t="s">
        <v>65</v>
      </c>
      <c r="O2113" t="s">
        <v>235</v>
      </c>
      <c r="P2113" t="str">
        <f t="shared" si="286"/>
        <v>[1]</v>
      </c>
      <c r="Q2113">
        <f t="shared" si="287"/>
        <v>40</v>
      </c>
      <c r="R2113" t="str">
        <f t="shared" si="288"/>
        <v/>
      </c>
      <c r="S2113">
        <f>SUMIF(O2113:$O$2855,R2113,Q2113:$Q$2855)</f>
        <v>0</v>
      </c>
    </row>
    <row r="2114" spans="11:19" x14ac:dyDescent="0.25">
      <c r="K2114" s="4" t="s">
        <v>421</v>
      </c>
      <c r="L2114" t="s">
        <v>422</v>
      </c>
      <c r="M2114" t="s">
        <v>2808</v>
      </c>
      <c r="N2114" t="s">
        <v>126</v>
      </c>
      <c r="O2114" t="s">
        <v>235</v>
      </c>
      <c r="P2114" t="str">
        <f t="shared" ref="P2114:P2177" si="289">VLOOKUP($K$30,$E$1:$F$26,2,FALSE)</f>
        <v>[1]</v>
      </c>
      <c r="Q2114">
        <f t="shared" si="287"/>
        <v>8</v>
      </c>
      <c r="R2114" t="str">
        <f t="shared" si="288"/>
        <v/>
      </c>
      <c r="S2114">
        <f>SUMIF(O2114:$O$2855,R2114,Q2114:$Q$2855)</f>
        <v>0</v>
      </c>
    </row>
    <row r="2115" spans="11:19" x14ac:dyDescent="0.25">
      <c r="K2115" s="4" t="s">
        <v>421</v>
      </c>
      <c r="L2115" t="s">
        <v>422</v>
      </c>
      <c r="M2115" t="s">
        <v>2809</v>
      </c>
      <c r="N2115" t="s">
        <v>119</v>
      </c>
      <c r="O2115" t="s">
        <v>235</v>
      </c>
      <c r="P2115" t="str">
        <f t="shared" si="289"/>
        <v>[1]</v>
      </c>
      <c r="Q2115">
        <f t="shared" ref="Q2115:Q2178" si="290">HEX2DEC(MID(N2115,3,LEN(N2115)-2))</f>
        <v>32</v>
      </c>
      <c r="R2115" t="str">
        <f t="shared" si="288"/>
        <v/>
      </c>
      <c r="S2115">
        <f>SUMIF(O2115:$O$2855,R2115,Q2115:$Q$2855)</f>
        <v>0</v>
      </c>
    </row>
    <row r="2116" spans="11:19" x14ac:dyDescent="0.25">
      <c r="K2116" s="4" t="s">
        <v>421</v>
      </c>
      <c r="L2116" t="s">
        <v>422</v>
      </c>
      <c r="M2116" t="s">
        <v>2810</v>
      </c>
      <c r="N2116" t="s">
        <v>190</v>
      </c>
      <c r="O2116" t="s">
        <v>235</v>
      </c>
      <c r="P2116" t="str">
        <f t="shared" si="289"/>
        <v>[1]</v>
      </c>
      <c r="Q2116">
        <f t="shared" si="290"/>
        <v>56</v>
      </c>
      <c r="R2116" t="str">
        <f t="shared" si="288"/>
        <v/>
      </c>
      <c r="S2116">
        <f>SUMIF(O2116:$O$2855,R2116,Q2116:$Q$2855)</f>
        <v>0</v>
      </c>
    </row>
    <row r="2117" spans="11:19" x14ac:dyDescent="0.25">
      <c r="K2117" s="4" t="s">
        <v>421</v>
      </c>
      <c r="L2117" t="s">
        <v>422</v>
      </c>
      <c r="M2117" t="s">
        <v>2811</v>
      </c>
      <c r="N2117" t="s">
        <v>124</v>
      </c>
      <c r="O2117" t="s">
        <v>235</v>
      </c>
      <c r="P2117" t="str">
        <f t="shared" si="289"/>
        <v>[1]</v>
      </c>
      <c r="Q2117">
        <f t="shared" si="290"/>
        <v>68</v>
      </c>
      <c r="R2117" t="str">
        <f t="shared" si="288"/>
        <v/>
      </c>
      <c r="S2117">
        <f>SUMIF(O2117:$O$2855,R2117,Q2117:$Q$2855)</f>
        <v>0</v>
      </c>
    </row>
    <row r="2118" spans="11:19" x14ac:dyDescent="0.25">
      <c r="K2118" s="4" t="s">
        <v>421</v>
      </c>
      <c r="L2118" t="s">
        <v>422</v>
      </c>
      <c r="M2118" t="s">
        <v>2812</v>
      </c>
      <c r="N2118" t="s">
        <v>119</v>
      </c>
      <c r="O2118" t="s">
        <v>235</v>
      </c>
      <c r="P2118" t="str">
        <f t="shared" si="289"/>
        <v>[1]</v>
      </c>
      <c r="Q2118">
        <f t="shared" si="290"/>
        <v>32</v>
      </c>
      <c r="R2118" t="str">
        <f t="shared" si="288"/>
        <v/>
      </c>
      <c r="S2118">
        <f>SUMIF(O2118:$O$2855,R2118,Q2118:$Q$2855)</f>
        <v>0</v>
      </c>
    </row>
    <row r="2119" spans="11:19" x14ac:dyDescent="0.25">
      <c r="K2119" s="4" t="s">
        <v>421</v>
      </c>
      <c r="L2119" t="s">
        <v>422</v>
      </c>
      <c r="M2119" t="s">
        <v>2813</v>
      </c>
      <c r="N2119" t="s">
        <v>13</v>
      </c>
      <c r="O2119" t="s">
        <v>235</v>
      </c>
      <c r="P2119" t="str">
        <f t="shared" si="289"/>
        <v>[1]</v>
      </c>
      <c r="Q2119">
        <f t="shared" si="290"/>
        <v>12</v>
      </c>
      <c r="R2119" t="str">
        <f t="shared" si="288"/>
        <v/>
      </c>
      <c r="S2119">
        <f>SUMIF(O2119:$O$2855,R2119,Q2119:$Q$2855)</f>
        <v>0</v>
      </c>
    </row>
    <row r="2120" spans="11:19" x14ac:dyDescent="0.25">
      <c r="K2120" s="4" t="s">
        <v>421</v>
      </c>
      <c r="L2120" t="s">
        <v>422</v>
      </c>
      <c r="M2120" t="s">
        <v>1834</v>
      </c>
      <c r="N2120" t="s">
        <v>13</v>
      </c>
      <c r="O2120" t="s">
        <v>235</v>
      </c>
      <c r="P2120" t="str">
        <f t="shared" si="289"/>
        <v>[1]</v>
      </c>
      <c r="Q2120">
        <f t="shared" si="290"/>
        <v>12</v>
      </c>
      <c r="R2120" t="str">
        <f t="shared" si="288"/>
        <v/>
      </c>
      <c r="S2120">
        <f>SUMIF(O2120:$O$2855,R2120,Q2120:$Q$2855)</f>
        <v>0</v>
      </c>
    </row>
    <row r="2121" spans="11:19" x14ac:dyDescent="0.25">
      <c r="K2121" s="4" t="s">
        <v>421</v>
      </c>
      <c r="L2121" t="s">
        <v>422</v>
      </c>
      <c r="M2121" t="s">
        <v>2814</v>
      </c>
      <c r="N2121" t="s">
        <v>126</v>
      </c>
      <c r="O2121" t="s">
        <v>235</v>
      </c>
      <c r="P2121" t="str">
        <f t="shared" si="289"/>
        <v>[1]</v>
      </c>
      <c r="Q2121">
        <f t="shared" si="290"/>
        <v>8</v>
      </c>
      <c r="R2121" t="str">
        <f t="shared" si="288"/>
        <v/>
      </c>
      <c r="S2121">
        <f>SUMIF(O2121:$O$2855,R2121,Q2121:$Q$2855)</f>
        <v>0</v>
      </c>
    </row>
    <row r="2122" spans="11:19" x14ac:dyDescent="0.25">
      <c r="K2122" s="4" t="s">
        <v>421</v>
      </c>
      <c r="L2122" t="s">
        <v>422</v>
      </c>
      <c r="M2122" t="s">
        <v>2815</v>
      </c>
      <c r="N2122" t="s">
        <v>126</v>
      </c>
      <c r="O2122" t="s">
        <v>235</v>
      </c>
      <c r="P2122" t="str">
        <f t="shared" si="289"/>
        <v>[1]</v>
      </c>
      <c r="Q2122">
        <f t="shared" si="290"/>
        <v>8</v>
      </c>
      <c r="R2122" t="str">
        <f t="shared" si="288"/>
        <v/>
      </c>
      <c r="S2122">
        <f>SUMIF(O2122:$O$2855,R2122,Q2122:$Q$2855)</f>
        <v>0</v>
      </c>
    </row>
    <row r="2123" spans="11:19" x14ac:dyDescent="0.25">
      <c r="K2123" s="4" t="s">
        <v>421</v>
      </c>
      <c r="L2123" t="s">
        <v>422</v>
      </c>
      <c r="M2123" t="s">
        <v>2816</v>
      </c>
      <c r="N2123" t="s">
        <v>119</v>
      </c>
      <c r="O2123" t="s">
        <v>235</v>
      </c>
      <c r="P2123" t="str">
        <f t="shared" si="289"/>
        <v>[1]</v>
      </c>
      <c r="Q2123">
        <f t="shared" si="290"/>
        <v>32</v>
      </c>
      <c r="R2123" t="str">
        <f t="shared" si="288"/>
        <v/>
      </c>
      <c r="S2123">
        <f>SUMIF(O2123:$O$2855,R2123,Q2123:$Q$2855)</f>
        <v>0</v>
      </c>
    </row>
    <row r="2124" spans="11:19" x14ac:dyDescent="0.25">
      <c r="K2124" s="4" t="s">
        <v>421</v>
      </c>
      <c r="L2124" t="s">
        <v>422</v>
      </c>
      <c r="M2124" t="s">
        <v>2817</v>
      </c>
      <c r="N2124" t="s">
        <v>437</v>
      </c>
      <c r="O2124" t="s">
        <v>235</v>
      </c>
      <c r="P2124" t="str">
        <f t="shared" si="289"/>
        <v>[1]</v>
      </c>
      <c r="Q2124">
        <f t="shared" si="290"/>
        <v>24</v>
      </c>
      <c r="R2124" t="str">
        <f t="shared" si="288"/>
        <v/>
      </c>
      <c r="S2124">
        <f>SUMIF(O2124:$O$2855,R2124,Q2124:$Q$2855)</f>
        <v>0</v>
      </c>
    </row>
    <row r="2125" spans="11:19" x14ac:dyDescent="0.25">
      <c r="K2125" s="4" t="s">
        <v>421</v>
      </c>
      <c r="L2125" t="s">
        <v>422</v>
      </c>
      <c r="M2125" t="s">
        <v>2818</v>
      </c>
      <c r="N2125" t="s">
        <v>435</v>
      </c>
      <c r="O2125" t="s">
        <v>235</v>
      </c>
      <c r="P2125" t="str">
        <f t="shared" si="289"/>
        <v>[1]</v>
      </c>
      <c r="Q2125">
        <f t="shared" si="290"/>
        <v>60</v>
      </c>
      <c r="R2125" t="str">
        <f t="shared" si="288"/>
        <v/>
      </c>
      <c r="S2125">
        <f>SUMIF(O2125:$O$2855,R2125,Q2125:$Q$2855)</f>
        <v>0</v>
      </c>
    </row>
    <row r="2126" spans="11:19" x14ac:dyDescent="0.25">
      <c r="K2126" s="4" t="s">
        <v>421</v>
      </c>
      <c r="L2126" t="s">
        <v>422</v>
      </c>
      <c r="M2126" t="s">
        <v>1835</v>
      </c>
      <c r="N2126" t="s">
        <v>165</v>
      </c>
      <c r="O2126" t="s">
        <v>235</v>
      </c>
      <c r="P2126" t="str">
        <f t="shared" si="289"/>
        <v>[1]</v>
      </c>
      <c r="Q2126">
        <f t="shared" si="290"/>
        <v>20</v>
      </c>
      <c r="R2126" t="str">
        <f t="shared" si="288"/>
        <v/>
      </c>
      <c r="S2126">
        <f>SUMIF(O2126:$O$2855,R2126,Q2126:$Q$2855)</f>
        <v>0</v>
      </c>
    </row>
    <row r="2127" spans="11:19" x14ac:dyDescent="0.25">
      <c r="K2127" s="4" t="s">
        <v>421</v>
      </c>
      <c r="L2127" t="s">
        <v>422</v>
      </c>
      <c r="M2127" t="s">
        <v>2819</v>
      </c>
      <c r="N2127" t="s">
        <v>1836</v>
      </c>
      <c r="O2127" t="s">
        <v>235</v>
      </c>
      <c r="P2127" t="str">
        <f t="shared" si="289"/>
        <v>[1]</v>
      </c>
      <c r="Q2127">
        <f t="shared" si="290"/>
        <v>392</v>
      </c>
      <c r="R2127" t="str">
        <f t="shared" si="288"/>
        <v/>
      </c>
      <c r="S2127">
        <f>SUMIF(O2127:$O$2855,R2127,Q2127:$Q$2855)</f>
        <v>0</v>
      </c>
    </row>
    <row r="2128" spans="11:19" x14ac:dyDescent="0.25">
      <c r="K2128" s="4" t="s">
        <v>421</v>
      </c>
      <c r="L2128" t="s">
        <v>422</v>
      </c>
      <c r="M2128" t="s">
        <v>2820</v>
      </c>
      <c r="N2128" t="s">
        <v>119</v>
      </c>
      <c r="O2128" t="s">
        <v>235</v>
      </c>
      <c r="P2128" t="str">
        <f t="shared" si="289"/>
        <v>[1]</v>
      </c>
      <c r="Q2128">
        <f t="shared" si="290"/>
        <v>32</v>
      </c>
      <c r="R2128" t="str">
        <f t="shared" si="288"/>
        <v/>
      </c>
      <c r="S2128">
        <f>SUMIF(O2128:$O$2855,R2128,Q2128:$Q$2855)</f>
        <v>0</v>
      </c>
    </row>
    <row r="2129" spans="11:19" x14ac:dyDescent="0.25">
      <c r="K2129" s="4" t="s">
        <v>421</v>
      </c>
      <c r="L2129" t="s">
        <v>422</v>
      </c>
      <c r="M2129" t="s">
        <v>2821</v>
      </c>
      <c r="N2129" t="s">
        <v>202</v>
      </c>
      <c r="O2129" t="s">
        <v>235</v>
      </c>
      <c r="P2129" t="str">
        <f t="shared" si="289"/>
        <v>[1]</v>
      </c>
      <c r="Q2129">
        <f t="shared" si="290"/>
        <v>16</v>
      </c>
      <c r="R2129" t="str">
        <f t="shared" si="288"/>
        <v/>
      </c>
      <c r="S2129">
        <f>SUMIF(O2129:$O$2855,R2129,Q2129:$Q$2855)</f>
        <v>0</v>
      </c>
    </row>
    <row r="2130" spans="11:19" x14ac:dyDescent="0.25">
      <c r="K2130" s="4" t="s">
        <v>421</v>
      </c>
      <c r="L2130" t="s">
        <v>422</v>
      </c>
      <c r="M2130" t="s">
        <v>2822</v>
      </c>
      <c r="N2130" t="s">
        <v>202</v>
      </c>
      <c r="O2130" t="s">
        <v>235</v>
      </c>
      <c r="P2130" t="str">
        <f t="shared" si="289"/>
        <v>[1]</v>
      </c>
      <c r="Q2130">
        <f t="shared" si="290"/>
        <v>16</v>
      </c>
      <c r="R2130" t="str">
        <f t="shared" si="288"/>
        <v/>
      </c>
      <c r="S2130">
        <f>SUMIF(O2130:$O$2855,R2130,Q2130:$Q$2855)</f>
        <v>0</v>
      </c>
    </row>
    <row r="2131" spans="11:19" x14ac:dyDescent="0.25">
      <c r="K2131" s="4" t="s">
        <v>421</v>
      </c>
      <c r="L2131" t="s">
        <v>422</v>
      </c>
      <c r="M2131" t="s">
        <v>2823</v>
      </c>
      <c r="N2131" t="s">
        <v>1102</v>
      </c>
      <c r="O2131" t="s">
        <v>423</v>
      </c>
      <c r="P2131" t="str">
        <f t="shared" si="289"/>
        <v>[1]</v>
      </c>
      <c r="Q2131">
        <f t="shared" si="290"/>
        <v>1236</v>
      </c>
      <c r="R2131" t="str">
        <f t="shared" si="288"/>
        <v>radio_config_normal.o</v>
      </c>
      <c r="S2131">
        <f>SUMIF(O2131:$O$2855,R2131,Q2131:$Q$2855)</f>
        <v>1248</v>
      </c>
    </row>
    <row r="2132" spans="11:19" x14ac:dyDescent="0.25">
      <c r="K2132" s="4" t="s">
        <v>421</v>
      </c>
      <c r="L2132" t="s">
        <v>422</v>
      </c>
      <c r="M2132" t="s">
        <v>2824</v>
      </c>
      <c r="N2132" t="s">
        <v>13</v>
      </c>
      <c r="O2132" t="s">
        <v>423</v>
      </c>
      <c r="P2132" t="str">
        <f t="shared" si="289"/>
        <v>[1]</v>
      </c>
      <c r="Q2132">
        <f t="shared" si="290"/>
        <v>12</v>
      </c>
      <c r="R2132" t="str">
        <f t="shared" si="288"/>
        <v/>
      </c>
      <c r="S2132">
        <f>SUMIF(O2132:$O$2855,R2132,Q2132:$Q$2855)</f>
        <v>0</v>
      </c>
    </row>
    <row r="2133" spans="11:19" x14ac:dyDescent="0.25">
      <c r="K2133" s="4" t="s">
        <v>421</v>
      </c>
      <c r="L2133" t="s">
        <v>422</v>
      </c>
      <c r="M2133" t="s">
        <v>2868</v>
      </c>
      <c r="N2133" t="s">
        <v>165</v>
      </c>
      <c r="O2133" t="s">
        <v>315</v>
      </c>
      <c r="P2133" t="str">
        <f t="shared" si="289"/>
        <v>[1]</v>
      </c>
      <c r="Q2133">
        <f t="shared" si="290"/>
        <v>20</v>
      </c>
      <c r="R2133" t="str">
        <f t="shared" si="288"/>
        <v>radio_hal.o</v>
      </c>
      <c r="S2133">
        <f>SUMIF(O2133:$O$2855,R2133,Q2133:$Q$2855)</f>
        <v>504</v>
      </c>
    </row>
    <row r="2134" spans="11:19" x14ac:dyDescent="0.25">
      <c r="K2134" s="4" t="s">
        <v>421</v>
      </c>
      <c r="L2134" t="s">
        <v>422</v>
      </c>
      <c r="M2134" t="s">
        <v>2869</v>
      </c>
      <c r="N2134" t="s">
        <v>237</v>
      </c>
      <c r="O2134" t="s">
        <v>315</v>
      </c>
      <c r="P2134" t="str">
        <f t="shared" si="289"/>
        <v>[1]</v>
      </c>
      <c r="Q2134">
        <f t="shared" si="290"/>
        <v>52</v>
      </c>
      <c r="R2134" t="str">
        <f t="shared" si="288"/>
        <v/>
      </c>
      <c r="S2134">
        <f>SUMIF(O2134:$O$2855,R2134,Q2134:$Q$2855)</f>
        <v>0</v>
      </c>
    </row>
    <row r="2135" spans="11:19" x14ac:dyDescent="0.25">
      <c r="K2135" s="4" t="s">
        <v>421</v>
      </c>
      <c r="L2135" t="s">
        <v>422</v>
      </c>
      <c r="M2135" t="s">
        <v>2870</v>
      </c>
      <c r="N2135" t="s">
        <v>13</v>
      </c>
      <c r="O2135" t="s">
        <v>315</v>
      </c>
      <c r="P2135" t="str">
        <f t="shared" si="289"/>
        <v>[1]</v>
      </c>
      <c r="Q2135">
        <f t="shared" si="290"/>
        <v>12</v>
      </c>
      <c r="R2135" t="str">
        <f t="shared" si="288"/>
        <v/>
      </c>
      <c r="S2135">
        <f>SUMIF(O2135:$O$2855,R2135,Q2135:$Q$2855)</f>
        <v>0</v>
      </c>
    </row>
    <row r="2136" spans="11:19" x14ac:dyDescent="0.25">
      <c r="K2136" s="4" t="s">
        <v>421</v>
      </c>
      <c r="L2136" t="s">
        <v>422</v>
      </c>
      <c r="M2136" t="s">
        <v>2871</v>
      </c>
      <c r="N2136" t="s">
        <v>275</v>
      </c>
      <c r="O2136" t="s">
        <v>315</v>
      </c>
      <c r="P2136" t="str">
        <f t="shared" si="289"/>
        <v>[1]</v>
      </c>
      <c r="Q2136">
        <f t="shared" si="290"/>
        <v>80</v>
      </c>
      <c r="R2136" t="str">
        <f t="shared" si="288"/>
        <v/>
      </c>
      <c r="S2136">
        <f>SUMIF(O2136:$O$2855,R2136,Q2136:$Q$2855)</f>
        <v>0</v>
      </c>
    </row>
    <row r="2137" spans="11:19" x14ac:dyDescent="0.25">
      <c r="K2137" s="4" t="s">
        <v>421</v>
      </c>
      <c r="L2137" t="s">
        <v>422</v>
      </c>
      <c r="M2137" t="s">
        <v>2872</v>
      </c>
      <c r="N2137" t="s">
        <v>437</v>
      </c>
      <c r="O2137" t="s">
        <v>315</v>
      </c>
      <c r="P2137" t="str">
        <f t="shared" si="289"/>
        <v>[1]</v>
      </c>
      <c r="Q2137">
        <f t="shared" si="290"/>
        <v>24</v>
      </c>
      <c r="R2137" t="str">
        <f t="shared" si="288"/>
        <v/>
      </c>
      <c r="S2137">
        <f>SUMIF(O2137:$O$2855,R2137,Q2137:$Q$2855)</f>
        <v>0</v>
      </c>
    </row>
    <row r="2138" spans="11:19" x14ac:dyDescent="0.25">
      <c r="K2138" s="4" t="s">
        <v>421</v>
      </c>
      <c r="L2138" t="s">
        <v>422</v>
      </c>
      <c r="M2138" t="s">
        <v>2873</v>
      </c>
      <c r="N2138" t="s">
        <v>147</v>
      </c>
      <c r="O2138" t="s">
        <v>315</v>
      </c>
      <c r="P2138" t="str">
        <f t="shared" si="289"/>
        <v>[1]</v>
      </c>
      <c r="Q2138">
        <f t="shared" si="290"/>
        <v>72</v>
      </c>
      <c r="R2138" t="str">
        <f t="shared" si="288"/>
        <v/>
      </c>
      <c r="S2138">
        <f>SUMIF(O2138:$O$2855,R2138,Q2138:$Q$2855)</f>
        <v>0</v>
      </c>
    </row>
    <row r="2139" spans="11:19" x14ac:dyDescent="0.25">
      <c r="K2139" s="4" t="s">
        <v>421</v>
      </c>
      <c r="L2139" t="s">
        <v>422</v>
      </c>
      <c r="M2139" t="s">
        <v>2874</v>
      </c>
      <c r="N2139" t="s">
        <v>437</v>
      </c>
      <c r="O2139" t="s">
        <v>315</v>
      </c>
      <c r="P2139" t="str">
        <f t="shared" si="289"/>
        <v>[1]</v>
      </c>
      <c r="Q2139">
        <f t="shared" si="290"/>
        <v>24</v>
      </c>
      <c r="R2139" t="str">
        <f t="shared" si="288"/>
        <v/>
      </c>
      <c r="S2139">
        <f>SUMIF(O2139:$O$2855,R2139,Q2139:$Q$2855)</f>
        <v>0</v>
      </c>
    </row>
    <row r="2140" spans="11:19" x14ac:dyDescent="0.25">
      <c r="K2140" s="4" t="s">
        <v>421</v>
      </c>
      <c r="L2140" t="s">
        <v>422</v>
      </c>
      <c r="M2140" t="s">
        <v>2875</v>
      </c>
      <c r="N2140" t="s">
        <v>124</v>
      </c>
      <c r="O2140" t="s">
        <v>315</v>
      </c>
      <c r="P2140" t="str">
        <f t="shared" si="289"/>
        <v>[1]</v>
      </c>
      <c r="Q2140">
        <f t="shared" si="290"/>
        <v>68</v>
      </c>
      <c r="R2140" t="str">
        <f t="shared" si="288"/>
        <v/>
      </c>
      <c r="S2140">
        <f>SUMIF(O2140:$O$2855,R2140,Q2140:$Q$2855)</f>
        <v>0</v>
      </c>
    </row>
    <row r="2141" spans="11:19" x14ac:dyDescent="0.25">
      <c r="K2141" s="4" t="s">
        <v>421</v>
      </c>
      <c r="L2141" t="s">
        <v>422</v>
      </c>
      <c r="M2141" t="s">
        <v>2876</v>
      </c>
      <c r="N2141" t="s">
        <v>437</v>
      </c>
      <c r="O2141" t="s">
        <v>315</v>
      </c>
      <c r="P2141" t="str">
        <f t="shared" si="289"/>
        <v>[1]</v>
      </c>
      <c r="Q2141">
        <f t="shared" si="290"/>
        <v>24</v>
      </c>
      <c r="R2141" t="str">
        <f t="shared" si="288"/>
        <v/>
      </c>
      <c r="S2141">
        <f>SUMIF(O2141:$O$2855,R2141,Q2141:$Q$2855)</f>
        <v>0</v>
      </c>
    </row>
    <row r="2142" spans="11:19" x14ac:dyDescent="0.25">
      <c r="K2142" s="4" t="s">
        <v>421</v>
      </c>
      <c r="L2142" t="s">
        <v>422</v>
      </c>
      <c r="M2142" t="s">
        <v>2877</v>
      </c>
      <c r="N2142" t="s">
        <v>237</v>
      </c>
      <c r="O2142" t="s">
        <v>315</v>
      </c>
      <c r="P2142" t="str">
        <f t="shared" si="289"/>
        <v>[1]</v>
      </c>
      <c r="Q2142">
        <f t="shared" si="290"/>
        <v>52</v>
      </c>
      <c r="R2142" t="str">
        <f t="shared" si="288"/>
        <v/>
      </c>
      <c r="S2142">
        <f>SUMIF(O2142:$O$2855,R2142,Q2142:$Q$2855)</f>
        <v>0</v>
      </c>
    </row>
    <row r="2143" spans="11:19" x14ac:dyDescent="0.25">
      <c r="K2143" s="4" t="s">
        <v>421</v>
      </c>
      <c r="L2143" t="s">
        <v>422</v>
      </c>
      <c r="M2143" t="s">
        <v>2878</v>
      </c>
      <c r="N2143" t="s">
        <v>437</v>
      </c>
      <c r="O2143" t="s">
        <v>315</v>
      </c>
      <c r="P2143" t="str">
        <f t="shared" si="289"/>
        <v>[1]</v>
      </c>
      <c r="Q2143">
        <f t="shared" si="290"/>
        <v>24</v>
      </c>
      <c r="R2143" t="str">
        <f t="shared" si="288"/>
        <v/>
      </c>
      <c r="S2143">
        <f>SUMIF(O2143:$O$2855,R2143,Q2143:$Q$2855)</f>
        <v>0</v>
      </c>
    </row>
    <row r="2144" spans="11:19" x14ac:dyDescent="0.25">
      <c r="K2144" s="4" t="s">
        <v>421</v>
      </c>
      <c r="L2144" t="s">
        <v>422</v>
      </c>
      <c r="M2144" t="s">
        <v>2879</v>
      </c>
      <c r="N2144" t="s">
        <v>237</v>
      </c>
      <c r="O2144" t="s">
        <v>315</v>
      </c>
      <c r="P2144" t="str">
        <f t="shared" si="289"/>
        <v>[1]</v>
      </c>
      <c r="Q2144">
        <f t="shared" si="290"/>
        <v>52</v>
      </c>
      <c r="R2144" t="str">
        <f t="shared" ref="R2144:R2207" si="291">IF(O2144&lt;&gt;O2143,O2144,"")</f>
        <v/>
      </c>
      <c r="S2144">
        <f>SUMIF(O2144:$O$2855,R2144,Q2144:$Q$2855)</f>
        <v>0</v>
      </c>
    </row>
    <row r="2145" spans="11:19" x14ac:dyDescent="0.25">
      <c r="K2145" s="4" t="s">
        <v>421</v>
      </c>
      <c r="L2145" t="s">
        <v>422</v>
      </c>
      <c r="M2145" t="s">
        <v>4179</v>
      </c>
      <c r="N2145" t="s">
        <v>202</v>
      </c>
      <c r="O2145" t="s">
        <v>313</v>
      </c>
      <c r="P2145" t="str">
        <f t="shared" si="289"/>
        <v>[1]</v>
      </c>
      <c r="Q2145">
        <f t="shared" si="290"/>
        <v>16</v>
      </c>
      <c r="R2145" t="str">
        <f t="shared" si="291"/>
        <v>RG_MD_Handler.o</v>
      </c>
      <c r="S2145">
        <f>SUMIF(O2145:$O$2855,R2145,Q2145:$Q$2855)</f>
        <v>328</v>
      </c>
    </row>
    <row r="2146" spans="11:19" x14ac:dyDescent="0.25">
      <c r="K2146" s="4" t="s">
        <v>421</v>
      </c>
      <c r="L2146" t="s">
        <v>422</v>
      </c>
      <c r="M2146" t="s">
        <v>2004</v>
      </c>
      <c r="N2146" t="s">
        <v>44</v>
      </c>
      <c r="O2146" t="s">
        <v>313</v>
      </c>
      <c r="P2146" t="str">
        <f t="shared" si="289"/>
        <v>[1]</v>
      </c>
      <c r="Q2146">
        <f t="shared" si="290"/>
        <v>44</v>
      </c>
      <c r="R2146" t="str">
        <f t="shared" si="291"/>
        <v/>
      </c>
      <c r="S2146">
        <f>SUMIF(O2146:$O$2855,R2146,Q2146:$Q$2855)</f>
        <v>0</v>
      </c>
    </row>
    <row r="2147" spans="11:19" x14ac:dyDescent="0.25">
      <c r="K2147" s="4" t="s">
        <v>421</v>
      </c>
      <c r="L2147" t="s">
        <v>422</v>
      </c>
      <c r="M2147" t="s">
        <v>4180</v>
      </c>
      <c r="N2147" t="s">
        <v>76</v>
      </c>
      <c r="O2147" t="s">
        <v>313</v>
      </c>
      <c r="P2147" t="str">
        <f t="shared" si="289"/>
        <v>[1]</v>
      </c>
      <c r="Q2147">
        <f t="shared" si="290"/>
        <v>36</v>
      </c>
      <c r="R2147" t="str">
        <f t="shared" si="291"/>
        <v/>
      </c>
      <c r="S2147">
        <f>SUMIF(O2147:$O$2855,R2147,Q2147:$Q$2855)</f>
        <v>0</v>
      </c>
    </row>
    <row r="2148" spans="11:19" x14ac:dyDescent="0.25">
      <c r="K2148" s="4" t="s">
        <v>421</v>
      </c>
      <c r="L2148" t="s">
        <v>422</v>
      </c>
      <c r="M2148" t="s">
        <v>4181</v>
      </c>
      <c r="N2148" t="s">
        <v>165</v>
      </c>
      <c r="O2148" t="s">
        <v>313</v>
      </c>
      <c r="P2148" t="str">
        <f t="shared" si="289"/>
        <v>[1]</v>
      </c>
      <c r="Q2148">
        <f t="shared" si="290"/>
        <v>20</v>
      </c>
      <c r="R2148" t="str">
        <f t="shared" si="291"/>
        <v/>
      </c>
      <c r="S2148">
        <f>SUMIF(O2148:$O$2855,R2148,Q2148:$Q$2855)</f>
        <v>0</v>
      </c>
    </row>
    <row r="2149" spans="11:19" x14ac:dyDescent="0.25">
      <c r="K2149" s="4" t="s">
        <v>421</v>
      </c>
      <c r="L2149" t="s">
        <v>422</v>
      </c>
      <c r="M2149" t="s">
        <v>4182</v>
      </c>
      <c r="N2149" t="s">
        <v>126</v>
      </c>
      <c r="O2149" t="s">
        <v>313</v>
      </c>
      <c r="P2149" t="str">
        <f t="shared" si="289"/>
        <v>[1]</v>
      </c>
      <c r="Q2149">
        <f t="shared" si="290"/>
        <v>8</v>
      </c>
      <c r="R2149" t="str">
        <f t="shared" si="291"/>
        <v/>
      </c>
      <c r="S2149">
        <f>SUMIF(O2149:$O$2855,R2149,Q2149:$Q$2855)</f>
        <v>0</v>
      </c>
    </row>
    <row r="2150" spans="11:19" x14ac:dyDescent="0.25">
      <c r="K2150" s="4" t="s">
        <v>421</v>
      </c>
      <c r="L2150" t="s">
        <v>422</v>
      </c>
      <c r="M2150" t="s">
        <v>4183</v>
      </c>
      <c r="N2150" t="s">
        <v>126</v>
      </c>
      <c r="O2150" t="s">
        <v>313</v>
      </c>
      <c r="P2150" t="str">
        <f t="shared" si="289"/>
        <v>[1]</v>
      </c>
      <c r="Q2150">
        <f t="shared" si="290"/>
        <v>8</v>
      </c>
      <c r="R2150" t="str">
        <f t="shared" si="291"/>
        <v/>
      </c>
      <c r="S2150">
        <f>SUMIF(O2150:$O$2855,R2150,Q2150:$Q$2855)</f>
        <v>0</v>
      </c>
    </row>
    <row r="2151" spans="11:19" x14ac:dyDescent="0.25">
      <c r="K2151" s="4" t="s">
        <v>421</v>
      </c>
      <c r="L2151" t="s">
        <v>422</v>
      </c>
      <c r="M2151" t="s">
        <v>4184</v>
      </c>
      <c r="N2151" t="s">
        <v>437</v>
      </c>
      <c r="O2151" t="s">
        <v>313</v>
      </c>
      <c r="P2151" t="str">
        <f t="shared" si="289"/>
        <v>[1]</v>
      </c>
      <c r="Q2151">
        <f t="shared" si="290"/>
        <v>24</v>
      </c>
      <c r="R2151" t="str">
        <f t="shared" si="291"/>
        <v/>
      </c>
      <c r="S2151">
        <f>SUMIF(O2151:$O$2855,R2151,Q2151:$Q$2855)</f>
        <v>0</v>
      </c>
    </row>
    <row r="2152" spans="11:19" x14ac:dyDescent="0.25">
      <c r="K2152" s="4" t="s">
        <v>421</v>
      </c>
      <c r="L2152" t="s">
        <v>422</v>
      </c>
      <c r="M2152" t="s">
        <v>4185</v>
      </c>
      <c r="N2152" t="s">
        <v>165</v>
      </c>
      <c r="O2152" t="s">
        <v>313</v>
      </c>
      <c r="P2152" t="str">
        <f t="shared" si="289"/>
        <v>[1]</v>
      </c>
      <c r="Q2152">
        <f t="shared" si="290"/>
        <v>20</v>
      </c>
      <c r="R2152" t="str">
        <f t="shared" si="291"/>
        <v/>
      </c>
      <c r="S2152">
        <f>SUMIF(O2152:$O$2855,R2152,Q2152:$Q$2855)</f>
        <v>0</v>
      </c>
    </row>
    <row r="2153" spans="11:19" x14ac:dyDescent="0.25">
      <c r="K2153" s="4" t="s">
        <v>421</v>
      </c>
      <c r="L2153" t="s">
        <v>422</v>
      </c>
      <c r="M2153" t="s">
        <v>1791</v>
      </c>
      <c r="N2153" t="s">
        <v>126</v>
      </c>
      <c r="O2153" t="s">
        <v>313</v>
      </c>
      <c r="P2153" t="str">
        <f t="shared" si="289"/>
        <v>[1]</v>
      </c>
      <c r="Q2153">
        <f t="shared" si="290"/>
        <v>8</v>
      </c>
      <c r="R2153" t="str">
        <f t="shared" si="291"/>
        <v/>
      </c>
      <c r="S2153">
        <f>SUMIF(O2153:$O$2855,R2153,Q2153:$Q$2855)</f>
        <v>0</v>
      </c>
    </row>
    <row r="2154" spans="11:19" x14ac:dyDescent="0.25">
      <c r="K2154" s="4" t="s">
        <v>421</v>
      </c>
      <c r="L2154" t="s">
        <v>422</v>
      </c>
      <c r="M2154" t="s">
        <v>2005</v>
      </c>
      <c r="N2154" t="s">
        <v>202</v>
      </c>
      <c r="O2154" t="s">
        <v>313</v>
      </c>
      <c r="P2154" t="str">
        <f t="shared" si="289"/>
        <v>[1]</v>
      </c>
      <c r="Q2154">
        <f t="shared" si="290"/>
        <v>16</v>
      </c>
      <c r="R2154" t="str">
        <f t="shared" si="291"/>
        <v/>
      </c>
      <c r="S2154">
        <f>SUMIF(O2154:$O$2855,R2154,Q2154:$Q$2855)</f>
        <v>0</v>
      </c>
    </row>
    <row r="2155" spans="11:19" x14ac:dyDescent="0.25">
      <c r="K2155" s="4" t="s">
        <v>421</v>
      </c>
      <c r="L2155" t="s">
        <v>422</v>
      </c>
      <c r="M2155" t="s">
        <v>4186</v>
      </c>
      <c r="N2155" t="s">
        <v>44</v>
      </c>
      <c r="O2155" t="s">
        <v>313</v>
      </c>
      <c r="P2155" t="str">
        <f t="shared" si="289"/>
        <v>[1]</v>
      </c>
      <c r="Q2155">
        <f t="shared" si="290"/>
        <v>44</v>
      </c>
      <c r="R2155" t="str">
        <f t="shared" si="291"/>
        <v/>
      </c>
      <c r="S2155">
        <f>SUMIF(O2155:$O$2855,R2155,Q2155:$Q$2855)</f>
        <v>0</v>
      </c>
    </row>
    <row r="2156" spans="11:19" x14ac:dyDescent="0.25">
      <c r="K2156" s="4" t="s">
        <v>421</v>
      </c>
      <c r="L2156" t="s">
        <v>422</v>
      </c>
      <c r="M2156" t="s">
        <v>1792</v>
      </c>
      <c r="N2156" t="s">
        <v>76</v>
      </c>
      <c r="O2156" t="s">
        <v>313</v>
      </c>
      <c r="P2156" t="str">
        <f t="shared" si="289"/>
        <v>[1]</v>
      </c>
      <c r="Q2156">
        <f t="shared" si="290"/>
        <v>36</v>
      </c>
      <c r="R2156" t="str">
        <f t="shared" si="291"/>
        <v/>
      </c>
      <c r="S2156">
        <f>SUMIF(O2156:$O$2855,R2156,Q2156:$Q$2855)</f>
        <v>0</v>
      </c>
    </row>
    <row r="2157" spans="11:19" x14ac:dyDescent="0.25">
      <c r="K2157" s="4" t="s">
        <v>421</v>
      </c>
      <c r="L2157" t="s">
        <v>422</v>
      </c>
      <c r="M2157" t="s">
        <v>4187</v>
      </c>
      <c r="N2157" t="s">
        <v>67</v>
      </c>
      <c r="O2157" t="s">
        <v>313</v>
      </c>
      <c r="P2157" t="str">
        <f t="shared" si="289"/>
        <v>[1]</v>
      </c>
      <c r="Q2157">
        <f t="shared" si="290"/>
        <v>48</v>
      </c>
      <c r="R2157" t="str">
        <f t="shared" si="291"/>
        <v/>
      </c>
      <c r="S2157">
        <f>SUMIF(O2157:$O$2855,R2157,Q2157:$Q$2855)</f>
        <v>0</v>
      </c>
    </row>
    <row r="2158" spans="11:19" x14ac:dyDescent="0.25">
      <c r="K2158" s="4" t="s">
        <v>421</v>
      </c>
      <c r="L2158" t="s">
        <v>422</v>
      </c>
      <c r="M2158" t="s">
        <v>2746</v>
      </c>
      <c r="N2158" t="s">
        <v>1070</v>
      </c>
      <c r="O2158" t="s">
        <v>259</v>
      </c>
      <c r="P2158" t="str">
        <f t="shared" si="289"/>
        <v>[1]</v>
      </c>
      <c r="Q2158">
        <f t="shared" si="290"/>
        <v>3252</v>
      </c>
      <c r="R2158" t="str">
        <f t="shared" si="291"/>
        <v>rs.o</v>
      </c>
      <c r="S2158">
        <f>SUMIF(O2158:$O$2855,R2158,Q2158:$Q$2855)</f>
        <v>3252</v>
      </c>
    </row>
    <row r="2159" spans="11:19" x14ac:dyDescent="0.25">
      <c r="K2159" s="4" t="s">
        <v>421</v>
      </c>
      <c r="L2159" t="s">
        <v>422</v>
      </c>
      <c r="M2159" t="s">
        <v>2880</v>
      </c>
      <c r="N2159" t="s">
        <v>126</v>
      </c>
      <c r="O2159" t="s">
        <v>163</v>
      </c>
      <c r="P2159" t="str">
        <f t="shared" si="289"/>
        <v>[1]</v>
      </c>
      <c r="Q2159">
        <f t="shared" si="290"/>
        <v>8</v>
      </c>
      <c r="R2159" t="str">
        <f t="shared" si="291"/>
        <v>RTC.o</v>
      </c>
      <c r="S2159">
        <f>SUMIF(O2159:$O$2855,R2159,Q2159:$Q$2855)</f>
        <v>72</v>
      </c>
    </row>
    <row r="2160" spans="11:19" x14ac:dyDescent="0.25">
      <c r="K2160" s="4" t="s">
        <v>421</v>
      </c>
      <c r="L2160" t="s">
        <v>422</v>
      </c>
      <c r="M2160" t="s">
        <v>2881</v>
      </c>
      <c r="N2160" t="s">
        <v>103</v>
      </c>
      <c r="O2160" t="s">
        <v>163</v>
      </c>
      <c r="P2160" t="str">
        <f t="shared" si="289"/>
        <v>[1]</v>
      </c>
      <c r="Q2160">
        <f t="shared" si="290"/>
        <v>64</v>
      </c>
      <c r="R2160" t="str">
        <f t="shared" si="291"/>
        <v/>
      </c>
      <c r="S2160">
        <f>SUMIF(O2160:$O$2855,R2160,Q2160:$Q$2855)</f>
        <v>0</v>
      </c>
    </row>
    <row r="2161" spans="11:19" x14ac:dyDescent="0.25">
      <c r="K2161" s="4" t="s">
        <v>421</v>
      </c>
      <c r="L2161" t="s">
        <v>422</v>
      </c>
      <c r="M2161" t="s">
        <v>4010</v>
      </c>
      <c r="N2161" t="s">
        <v>13</v>
      </c>
      <c r="O2161" t="s">
        <v>223</v>
      </c>
      <c r="P2161" t="str">
        <f t="shared" si="289"/>
        <v>[1]</v>
      </c>
      <c r="Q2161">
        <f t="shared" si="290"/>
        <v>12</v>
      </c>
      <c r="R2161" t="str">
        <f t="shared" si="291"/>
        <v>SELF_test.o</v>
      </c>
      <c r="S2161">
        <f>SUMIF(O2161:$O$2855,R2161,Q2161:$Q$2855)</f>
        <v>252</v>
      </c>
    </row>
    <row r="2162" spans="11:19" x14ac:dyDescent="0.25">
      <c r="K2162" s="4" t="s">
        <v>421</v>
      </c>
      <c r="L2162" t="s">
        <v>422</v>
      </c>
      <c r="M2162" t="s">
        <v>4011</v>
      </c>
      <c r="N2162" t="s">
        <v>119</v>
      </c>
      <c r="O2162" t="s">
        <v>223</v>
      </c>
      <c r="P2162" t="str">
        <f t="shared" si="289"/>
        <v>[1]</v>
      </c>
      <c r="Q2162">
        <f t="shared" si="290"/>
        <v>32</v>
      </c>
      <c r="R2162" t="str">
        <f t="shared" si="291"/>
        <v/>
      </c>
      <c r="S2162">
        <f>SUMIF(O2162:$O$2855,R2162,Q2162:$Q$2855)</f>
        <v>0</v>
      </c>
    </row>
    <row r="2163" spans="11:19" x14ac:dyDescent="0.25">
      <c r="K2163" s="4" t="s">
        <v>421</v>
      </c>
      <c r="L2163" t="s">
        <v>422</v>
      </c>
      <c r="M2163" t="s">
        <v>4012</v>
      </c>
      <c r="N2163" t="s">
        <v>126</v>
      </c>
      <c r="O2163" t="s">
        <v>223</v>
      </c>
      <c r="P2163" t="str">
        <f t="shared" si="289"/>
        <v>[1]</v>
      </c>
      <c r="Q2163">
        <f t="shared" si="290"/>
        <v>8</v>
      </c>
      <c r="R2163" t="str">
        <f t="shared" si="291"/>
        <v/>
      </c>
      <c r="S2163">
        <f>SUMIF(O2163:$O$2855,R2163,Q2163:$Q$2855)</f>
        <v>0</v>
      </c>
    </row>
    <row r="2164" spans="11:19" x14ac:dyDescent="0.25">
      <c r="K2164" s="4" t="s">
        <v>421</v>
      </c>
      <c r="L2164" t="s">
        <v>422</v>
      </c>
      <c r="M2164" t="s">
        <v>4013</v>
      </c>
      <c r="N2164" t="s">
        <v>13</v>
      </c>
      <c r="O2164" t="s">
        <v>223</v>
      </c>
      <c r="P2164" t="str">
        <f t="shared" si="289"/>
        <v>[1]</v>
      </c>
      <c r="Q2164">
        <f t="shared" si="290"/>
        <v>12</v>
      </c>
      <c r="R2164" t="str">
        <f t="shared" si="291"/>
        <v/>
      </c>
      <c r="S2164">
        <f>SUMIF(O2164:$O$2855,R2164,Q2164:$Q$2855)</f>
        <v>0</v>
      </c>
    </row>
    <row r="2165" spans="11:19" x14ac:dyDescent="0.25">
      <c r="K2165" s="4" t="s">
        <v>421</v>
      </c>
      <c r="L2165" t="s">
        <v>422</v>
      </c>
      <c r="M2165" t="s">
        <v>4014</v>
      </c>
      <c r="N2165" t="s">
        <v>13</v>
      </c>
      <c r="O2165" t="s">
        <v>223</v>
      </c>
      <c r="P2165" t="str">
        <f t="shared" si="289"/>
        <v>[1]</v>
      </c>
      <c r="Q2165">
        <f t="shared" si="290"/>
        <v>12</v>
      </c>
      <c r="R2165" t="str">
        <f t="shared" si="291"/>
        <v/>
      </c>
      <c r="S2165">
        <f>SUMIF(O2165:$O$2855,R2165,Q2165:$Q$2855)</f>
        <v>0</v>
      </c>
    </row>
    <row r="2166" spans="11:19" x14ac:dyDescent="0.25">
      <c r="K2166" s="4" t="s">
        <v>421</v>
      </c>
      <c r="L2166" t="s">
        <v>422</v>
      </c>
      <c r="M2166" t="s">
        <v>4015</v>
      </c>
      <c r="N2166" t="s">
        <v>13</v>
      </c>
      <c r="O2166" t="s">
        <v>223</v>
      </c>
      <c r="P2166" t="str">
        <f t="shared" si="289"/>
        <v>[1]</v>
      </c>
      <c r="Q2166">
        <f t="shared" si="290"/>
        <v>12</v>
      </c>
      <c r="R2166" t="str">
        <f t="shared" si="291"/>
        <v/>
      </c>
      <c r="S2166">
        <f>SUMIF(O2166:$O$2855,R2166,Q2166:$Q$2855)</f>
        <v>0</v>
      </c>
    </row>
    <row r="2167" spans="11:19" x14ac:dyDescent="0.25">
      <c r="K2167" s="4" t="s">
        <v>421</v>
      </c>
      <c r="L2167" t="s">
        <v>422</v>
      </c>
      <c r="M2167" t="s">
        <v>4016</v>
      </c>
      <c r="N2167" t="s">
        <v>65</v>
      </c>
      <c r="O2167" t="s">
        <v>223</v>
      </c>
      <c r="P2167" t="str">
        <f t="shared" si="289"/>
        <v>[1]</v>
      </c>
      <c r="Q2167">
        <f t="shared" si="290"/>
        <v>40</v>
      </c>
      <c r="R2167" t="str">
        <f t="shared" si="291"/>
        <v/>
      </c>
      <c r="S2167">
        <f>SUMIF(O2167:$O$2855,R2167,Q2167:$Q$2855)</f>
        <v>0</v>
      </c>
    </row>
    <row r="2168" spans="11:19" x14ac:dyDescent="0.25">
      <c r="K2168" s="4" t="s">
        <v>421</v>
      </c>
      <c r="L2168" t="s">
        <v>422</v>
      </c>
      <c r="M2168" t="s">
        <v>4017</v>
      </c>
      <c r="N2168" t="s">
        <v>190</v>
      </c>
      <c r="O2168" t="s">
        <v>223</v>
      </c>
      <c r="P2168" t="str">
        <f t="shared" si="289"/>
        <v>[1]</v>
      </c>
      <c r="Q2168">
        <f t="shared" si="290"/>
        <v>56</v>
      </c>
      <c r="R2168" t="str">
        <f t="shared" si="291"/>
        <v/>
      </c>
      <c r="S2168">
        <f>SUMIF(O2168:$O$2855,R2168,Q2168:$Q$2855)</f>
        <v>0</v>
      </c>
    </row>
    <row r="2169" spans="11:19" x14ac:dyDescent="0.25">
      <c r="K2169" s="4" t="s">
        <v>421</v>
      </c>
      <c r="L2169" t="s">
        <v>422</v>
      </c>
      <c r="M2169" t="s">
        <v>4018</v>
      </c>
      <c r="N2169" t="s">
        <v>76</v>
      </c>
      <c r="O2169" t="s">
        <v>223</v>
      </c>
      <c r="P2169" t="str">
        <f t="shared" si="289"/>
        <v>[1]</v>
      </c>
      <c r="Q2169">
        <f t="shared" si="290"/>
        <v>36</v>
      </c>
      <c r="R2169" t="str">
        <f t="shared" si="291"/>
        <v/>
      </c>
      <c r="S2169">
        <f>SUMIF(O2169:$O$2855,R2169,Q2169:$Q$2855)</f>
        <v>0</v>
      </c>
    </row>
    <row r="2170" spans="11:19" x14ac:dyDescent="0.25">
      <c r="K2170" s="4" t="s">
        <v>421</v>
      </c>
      <c r="L2170" t="s">
        <v>422</v>
      </c>
      <c r="M2170" t="s">
        <v>4019</v>
      </c>
      <c r="N2170" t="s">
        <v>119</v>
      </c>
      <c r="O2170" t="s">
        <v>223</v>
      </c>
      <c r="P2170" t="str">
        <f t="shared" si="289"/>
        <v>[1]</v>
      </c>
      <c r="Q2170">
        <f t="shared" si="290"/>
        <v>32</v>
      </c>
      <c r="R2170" t="str">
        <f t="shared" si="291"/>
        <v/>
      </c>
      <c r="S2170">
        <f>SUMIF(O2170:$O$2855,R2170,Q2170:$Q$2855)</f>
        <v>0</v>
      </c>
    </row>
    <row r="2171" spans="11:19" x14ac:dyDescent="0.25">
      <c r="K2171" s="4" t="s">
        <v>421</v>
      </c>
      <c r="L2171" t="s">
        <v>422</v>
      </c>
      <c r="M2171" t="s">
        <v>2766</v>
      </c>
      <c r="N2171" t="s">
        <v>13</v>
      </c>
      <c r="O2171" t="s">
        <v>80</v>
      </c>
      <c r="P2171" t="str">
        <f t="shared" si="289"/>
        <v>[1]</v>
      </c>
      <c r="Q2171">
        <f t="shared" si="290"/>
        <v>12</v>
      </c>
      <c r="R2171" t="str">
        <f t="shared" si="291"/>
        <v>Semaphore.o</v>
      </c>
      <c r="S2171">
        <f>SUMIF(O2171:$O$2855,R2171,Q2171:$Q$2855)</f>
        <v>24</v>
      </c>
    </row>
    <row r="2172" spans="11:19" x14ac:dyDescent="0.25">
      <c r="K2172" s="4" t="s">
        <v>421</v>
      </c>
      <c r="L2172" t="s">
        <v>422</v>
      </c>
      <c r="M2172" t="s">
        <v>1829</v>
      </c>
      <c r="N2172" t="s">
        <v>13</v>
      </c>
      <c r="O2172" t="s">
        <v>80</v>
      </c>
      <c r="P2172" t="str">
        <f t="shared" si="289"/>
        <v>[1]</v>
      </c>
      <c r="Q2172">
        <f t="shared" si="290"/>
        <v>12</v>
      </c>
      <c r="R2172" t="str">
        <f t="shared" si="291"/>
        <v/>
      </c>
      <c r="S2172">
        <f>SUMIF(O2172:$O$2855,R2172,Q2172:$Q$2855)</f>
        <v>0</v>
      </c>
    </row>
    <row r="2173" spans="11:19" x14ac:dyDescent="0.25">
      <c r="K2173" s="4" t="s">
        <v>421</v>
      </c>
      <c r="L2173" t="s">
        <v>422</v>
      </c>
      <c r="M2173" t="s">
        <v>2231</v>
      </c>
      <c r="N2173" t="s">
        <v>165</v>
      </c>
      <c r="O2173" t="s">
        <v>233</v>
      </c>
      <c r="P2173" t="str">
        <f t="shared" si="289"/>
        <v>[1]</v>
      </c>
      <c r="Q2173">
        <f t="shared" si="290"/>
        <v>20</v>
      </c>
      <c r="R2173" t="str">
        <f t="shared" si="291"/>
        <v>SM.o</v>
      </c>
      <c r="S2173">
        <f>SUMIF(O2173:$O$2855,R2173,Q2173:$Q$2855)</f>
        <v>1060</v>
      </c>
    </row>
    <row r="2174" spans="11:19" x14ac:dyDescent="0.25">
      <c r="K2174" s="4" t="s">
        <v>421</v>
      </c>
      <c r="L2174" t="s">
        <v>422</v>
      </c>
      <c r="M2174" t="s">
        <v>2232</v>
      </c>
      <c r="N2174" t="s">
        <v>126</v>
      </c>
      <c r="O2174" t="s">
        <v>233</v>
      </c>
      <c r="P2174" t="str">
        <f t="shared" si="289"/>
        <v>[1]</v>
      </c>
      <c r="Q2174">
        <f t="shared" si="290"/>
        <v>8</v>
      </c>
      <c r="R2174" t="str">
        <f t="shared" si="291"/>
        <v/>
      </c>
      <c r="S2174">
        <f>SUMIF(O2174:$O$2855,R2174,Q2174:$Q$2855)</f>
        <v>0</v>
      </c>
    </row>
    <row r="2175" spans="11:19" x14ac:dyDescent="0.25">
      <c r="K2175" s="4" t="s">
        <v>421</v>
      </c>
      <c r="L2175" t="s">
        <v>422</v>
      </c>
      <c r="M2175" t="s">
        <v>2233</v>
      </c>
      <c r="N2175" t="s">
        <v>13</v>
      </c>
      <c r="O2175" t="s">
        <v>233</v>
      </c>
      <c r="P2175" t="str">
        <f t="shared" si="289"/>
        <v>[1]</v>
      </c>
      <c r="Q2175">
        <f t="shared" si="290"/>
        <v>12</v>
      </c>
      <c r="R2175" t="str">
        <f t="shared" si="291"/>
        <v/>
      </c>
      <c r="S2175">
        <f>SUMIF(O2175:$O$2855,R2175,Q2175:$Q$2855)</f>
        <v>0</v>
      </c>
    </row>
    <row r="2176" spans="11:19" x14ac:dyDescent="0.25">
      <c r="K2176" s="4" t="s">
        <v>421</v>
      </c>
      <c r="L2176" t="s">
        <v>422</v>
      </c>
      <c r="M2176" t="s">
        <v>2234</v>
      </c>
      <c r="N2176" t="s">
        <v>165</v>
      </c>
      <c r="O2176" t="s">
        <v>233</v>
      </c>
      <c r="P2176" t="str">
        <f t="shared" si="289"/>
        <v>[1]</v>
      </c>
      <c r="Q2176">
        <f t="shared" si="290"/>
        <v>20</v>
      </c>
      <c r="R2176" t="str">
        <f t="shared" si="291"/>
        <v/>
      </c>
      <c r="S2176">
        <f>SUMIF(O2176:$O$2855,R2176,Q2176:$Q$2855)</f>
        <v>0</v>
      </c>
    </row>
    <row r="2177" spans="11:19" x14ac:dyDescent="0.25">
      <c r="K2177" s="4" t="s">
        <v>421</v>
      </c>
      <c r="L2177" t="s">
        <v>422</v>
      </c>
      <c r="M2177" t="s">
        <v>2235</v>
      </c>
      <c r="N2177" t="s">
        <v>165</v>
      </c>
      <c r="O2177" t="s">
        <v>233</v>
      </c>
      <c r="P2177" t="str">
        <f t="shared" si="289"/>
        <v>[1]</v>
      </c>
      <c r="Q2177">
        <f t="shared" si="290"/>
        <v>20</v>
      </c>
      <c r="R2177" t="str">
        <f t="shared" si="291"/>
        <v/>
      </c>
      <c r="S2177">
        <f>SUMIF(O2177:$O$2855,R2177,Q2177:$Q$2855)</f>
        <v>0</v>
      </c>
    </row>
    <row r="2178" spans="11:19" x14ac:dyDescent="0.25">
      <c r="K2178" s="4" t="s">
        <v>421</v>
      </c>
      <c r="L2178" t="s">
        <v>422</v>
      </c>
      <c r="M2178" t="s">
        <v>2236</v>
      </c>
      <c r="N2178" t="s">
        <v>126</v>
      </c>
      <c r="O2178" t="s">
        <v>233</v>
      </c>
      <c r="P2178" t="str">
        <f t="shared" ref="P2178:P2241" si="292">VLOOKUP($K$30,$E$1:$F$26,2,FALSE)</f>
        <v>[1]</v>
      </c>
      <c r="Q2178">
        <f t="shared" si="290"/>
        <v>8</v>
      </c>
      <c r="R2178" t="str">
        <f t="shared" si="291"/>
        <v/>
      </c>
      <c r="S2178">
        <f>SUMIF(O2178:$O$2855,R2178,Q2178:$Q$2855)</f>
        <v>0</v>
      </c>
    </row>
    <row r="2179" spans="11:19" x14ac:dyDescent="0.25">
      <c r="K2179" s="4" t="s">
        <v>421</v>
      </c>
      <c r="L2179" t="s">
        <v>422</v>
      </c>
      <c r="M2179" t="s">
        <v>2237</v>
      </c>
      <c r="N2179" t="s">
        <v>437</v>
      </c>
      <c r="O2179" t="s">
        <v>233</v>
      </c>
      <c r="P2179" t="str">
        <f t="shared" si="292"/>
        <v>[1]</v>
      </c>
      <c r="Q2179">
        <f t="shared" ref="Q2179:Q2242" si="293">HEX2DEC(MID(N2179,3,LEN(N2179)-2))</f>
        <v>24</v>
      </c>
      <c r="R2179" t="str">
        <f t="shared" si="291"/>
        <v/>
      </c>
      <c r="S2179">
        <f>SUMIF(O2179:$O$2855,R2179,Q2179:$Q$2855)</f>
        <v>0</v>
      </c>
    </row>
    <row r="2180" spans="11:19" x14ac:dyDescent="0.25">
      <c r="K2180" s="4" t="s">
        <v>421</v>
      </c>
      <c r="L2180" t="s">
        <v>422</v>
      </c>
      <c r="M2180" t="s">
        <v>2238</v>
      </c>
      <c r="N2180" t="s">
        <v>13</v>
      </c>
      <c r="O2180" t="s">
        <v>233</v>
      </c>
      <c r="P2180" t="str">
        <f t="shared" si="292"/>
        <v>[1]</v>
      </c>
      <c r="Q2180">
        <f t="shared" si="293"/>
        <v>12</v>
      </c>
      <c r="R2180" t="str">
        <f t="shared" si="291"/>
        <v/>
      </c>
      <c r="S2180">
        <f>SUMIF(O2180:$O$2855,R2180,Q2180:$Q$2855)</f>
        <v>0</v>
      </c>
    </row>
    <row r="2181" spans="11:19" x14ac:dyDescent="0.25">
      <c r="K2181" s="4" t="s">
        <v>421</v>
      </c>
      <c r="L2181" t="s">
        <v>422</v>
      </c>
      <c r="M2181" t="s">
        <v>2239</v>
      </c>
      <c r="N2181" t="s">
        <v>202</v>
      </c>
      <c r="O2181" t="s">
        <v>233</v>
      </c>
      <c r="P2181" t="str">
        <f t="shared" si="292"/>
        <v>[1]</v>
      </c>
      <c r="Q2181">
        <f t="shared" si="293"/>
        <v>16</v>
      </c>
      <c r="R2181" t="str">
        <f t="shared" si="291"/>
        <v/>
      </c>
      <c r="S2181">
        <f>SUMIF(O2181:$O$2855,R2181,Q2181:$Q$2855)</f>
        <v>0</v>
      </c>
    </row>
    <row r="2182" spans="11:19" x14ac:dyDescent="0.25">
      <c r="K2182" s="4" t="s">
        <v>421</v>
      </c>
      <c r="L2182" t="s">
        <v>422</v>
      </c>
      <c r="M2182" t="s">
        <v>2240</v>
      </c>
      <c r="N2182" t="s">
        <v>126</v>
      </c>
      <c r="O2182" t="s">
        <v>233</v>
      </c>
      <c r="P2182" t="str">
        <f t="shared" si="292"/>
        <v>[1]</v>
      </c>
      <c r="Q2182">
        <f t="shared" si="293"/>
        <v>8</v>
      </c>
      <c r="R2182" t="str">
        <f t="shared" si="291"/>
        <v/>
      </c>
      <c r="S2182">
        <f>SUMIF(O2182:$O$2855,R2182,Q2182:$Q$2855)</f>
        <v>0</v>
      </c>
    </row>
    <row r="2183" spans="11:19" x14ac:dyDescent="0.25">
      <c r="K2183" s="4" t="s">
        <v>421</v>
      </c>
      <c r="L2183" t="s">
        <v>422</v>
      </c>
      <c r="M2183" t="s">
        <v>2241</v>
      </c>
      <c r="N2183" t="s">
        <v>76</v>
      </c>
      <c r="O2183" t="s">
        <v>233</v>
      </c>
      <c r="P2183" t="str">
        <f t="shared" si="292"/>
        <v>[1]</v>
      </c>
      <c r="Q2183">
        <f t="shared" si="293"/>
        <v>36</v>
      </c>
      <c r="R2183" t="str">
        <f t="shared" si="291"/>
        <v/>
      </c>
      <c r="S2183">
        <f>SUMIF(O2183:$O$2855,R2183,Q2183:$Q$2855)</f>
        <v>0</v>
      </c>
    </row>
    <row r="2184" spans="11:19" x14ac:dyDescent="0.25">
      <c r="K2184" s="4" t="s">
        <v>421</v>
      </c>
      <c r="L2184" t="s">
        <v>422</v>
      </c>
      <c r="M2184" t="s">
        <v>2242</v>
      </c>
      <c r="N2184" t="s">
        <v>76</v>
      </c>
      <c r="O2184" t="s">
        <v>233</v>
      </c>
      <c r="P2184" t="str">
        <f t="shared" si="292"/>
        <v>[1]</v>
      </c>
      <c r="Q2184">
        <f t="shared" si="293"/>
        <v>36</v>
      </c>
      <c r="R2184" t="str">
        <f t="shared" si="291"/>
        <v/>
      </c>
      <c r="S2184">
        <f>SUMIF(O2184:$O$2855,R2184,Q2184:$Q$2855)</f>
        <v>0</v>
      </c>
    </row>
    <row r="2185" spans="11:19" x14ac:dyDescent="0.25">
      <c r="K2185" s="4" t="s">
        <v>421</v>
      </c>
      <c r="L2185" t="s">
        <v>422</v>
      </c>
      <c r="M2185" t="s">
        <v>2243</v>
      </c>
      <c r="N2185" t="s">
        <v>202</v>
      </c>
      <c r="O2185" t="s">
        <v>233</v>
      </c>
      <c r="P2185" t="str">
        <f t="shared" si="292"/>
        <v>[1]</v>
      </c>
      <c r="Q2185">
        <f t="shared" si="293"/>
        <v>16</v>
      </c>
      <c r="R2185" t="str">
        <f t="shared" si="291"/>
        <v/>
      </c>
      <c r="S2185">
        <f>SUMIF(O2185:$O$2855,R2185,Q2185:$Q$2855)</f>
        <v>0</v>
      </c>
    </row>
    <row r="2186" spans="11:19" x14ac:dyDescent="0.25">
      <c r="K2186" s="4" t="s">
        <v>421</v>
      </c>
      <c r="L2186" t="s">
        <v>422</v>
      </c>
      <c r="M2186" t="s">
        <v>2244</v>
      </c>
      <c r="N2186" t="s">
        <v>165</v>
      </c>
      <c r="O2186" t="s">
        <v>233</v>
      </c>
      <c r="P2186" t="str">
        <f t="shared" si="292"/>
        <v>[1]</v>
      </c>
      <c r="Q2186">
        <f t="shared" si="293"/>
        <v>20</v>
      </c>
      <c r="R2186" t="str">
        <f t="shared" si="291"/>
        <v/>
      </c>
      <c r="S2186">
        <f>SUMIF(O2186:$O$2855,R2186,Q2186:$Q$2855)</f>
        <v>0</v>
      </c>
    </row>
    <row r="2187" spans="11:19" x14ac:dyDescent="0.25">
      <c r="K2187" s="4" t="s">
        <v>421</v>
      </c>
      <c r="L2187" t="s">
        <v>422</v>
      </c>
      <c r="M2187" t="s">
        <v>2245</v>
      </c>
      <c r="N2187" t="s">
        <v>13</v>
      </c>
      <c r="O2187" t="s">
        <v>233</v>
      </c>
      <c r="P2187" t="str">
        <f t="shared" si="292"/>
        <v>[1]</v>
      </c>
      <c r="Q2187">
        <f t="shared" si="293"/>
        <v>12</v>
      </c>
      <c r="R2187" t="str">
        <f t="shared" si="291"/>
        <v/>
      </c>
      <c r="S2187">
        <f>SUMIF(O2187:$O$2855,R2187,Q2187:$Q$2855)</f>
        <v>0</v>
      </c>
    </row>
    <row r="2188" spans="11:19" x14ac:dyDescent="0.25">
      <c r="K2188" s="4" t="s">
        <v>421</v>
      </c>
      <c r="L2188" t="s">
        <v>422</v>
      </c>
      <c r="M2188" t="s">
        <v>2246</v>
      </c>
      <c r="N2188" t="s">
        <v>202</v>
      </c>
      <c r="O2188" t="s">
        <v>233</v>
      </c>
      <c r="P2188" t="str">
        <f t="shared" si="292"/>
        <v>[1]</v>
      </c>
      <c r="Q2188">
        <f t="shared" si="293"/>
        <v>16</v>
      </c>
      <c r="R2188" t="str">
        <f t="shared" si="291"/>
        <v/>
      </c>
      <c r="S2188">
        <f>SUMIF(O2188:$O$2855,R2188,Q2188:$Q$2855)</f>
        <v>0</v>
      </c>
    </row>
    <row r="2189" spans="11:19" x14ac:dyDescent="0.25">
      <c r="K2189" s="4" t="s">
        <v>421</v>
      </c>
      <c r="L2189" t="s">
        <v>422</v>
      </c>
      <c r="M2189" t="s">
        <v>2247</v>
      </c>
      <c r="N2189" t="s">
        <v>119</v>
      </c>
      <c r="O2189" t="s">
        <v>233</v>
      </c>
      <c r="P2189" t="str">
        <f t="shared" si="292"/>
        <v>[1]</v>
      </c>
      <c r="Q2189">
        <f t="shared" si="293"/>
        <v>32</v>
      </c>
      <c r="R2189" t="str">
        <f t="shared" si="291"/>
        <v/>
      </c>
      <c r="S2189">
        <f>SUMIF(O2189:$O$2855,R2189,Q2189:$Q$2855)</f>
        <v>0</v>
      </c>
    </row>
    <row r="2190" spans="11:19" x14ac:dyDescent="0.25">
      <c r="K2190" s="4" t="s">
        <v>421</v>
      </c>
      <c r="L2190" t="s">
        <v>422</v>
      </c>
      <c r="M2190" t="s">
        <v>2248</v>
      </c>
      <c r="N2190" t="s">
        <v>6</v>
      </c>
      <c r="O2190" t="s">
        <v>233</v>
      </c>
      <c r="P2190" t="str">
        <f t="shared" si="292"/>
        <v>[1]</v>
      </c>
      <c r="Q2190">
        <f t="shared" si="293"/>
        <v>28</v>
      </c>
      <c r="R2190" t="str">
        <f t="shared" si="291"/>
        <v/>
      </c>
      <c r="S2190">
        <f>SUMIF(O2190:$O$2855,R2190,Q2190:$Q$2855)</f>
        <v>0</v>
      </c>
    </row>
    <row r="2191" spans="11:19" x14ac:dyDescent="0.25">
      <c r="K2191" s="4" t="s">
        <v>421</v>
      </c>
      <c r="L2191" t="s">
        <v>422</v>
      </c>
      <c r="M2191" t="s">
        <v>2249</v>
      </c>
      <c r="N2191" t="s">
        <v>202</v>
      </c>
      <c r="O2191" t="s">
        <v>233</v>
      </c>
      <c r="P2191" t="str">
        <f t="shared" si="292"/>
        <v>[1]</v>
      </c>
      <c r="Q2191">
        <f t="shared" si="293"/>
        <v>16</v>
      </c>
      <c r="R2191" t="str">
        <f t="shared" si="291"/>
        <v/>
      </c>
      <c r="S2191">
        <f>SUMIF(O2191:$O$2855,R2191,Q2191:$Q$2855)</f>
        <v>0</v>
      </c>
    </row>
    <row r="2192" spans="11:19" x14ac:dyDescent="0.25">
      <c r="K2192" s="4" t="s">
        <v>421</v>
      </c>
      <c r="L2192" t="s">
        <v>422</v>
      </c>
      <c r="M2192" t="s">
        <v>2250</v>
      </c>
      <c r="N2192" t="s">
        <v>202</v>
      </c>
      <c r="O2192" t="s">
        <v>233</v>
      </c>
      <c r="P2192" t="str">
        <f t="shared" si="292"/>
        <v>[1]</v>
      </c>
      <c r="Q2192">
        <f t="shared" si="293"/>
        <v>16</v>
      </c>
      <c r="R2192" t="str">
        <f t="shared" si="291"/>
        <v/>
      </c>
      <c r="S2192">
        <f>SUMIF(O2192:$O$2855,R2192,Q2192:$Q$2855)</f>
        <v>0</v>
      </c>
    </row>
    <row r="2193" spans="11:19" x14ac:dyDescent="0.25">
      <c r="K2193" s="4" t="s">
        <v>421</v>
      </c>
      <c r="L2193" t="s">
        <v>422</v>
      </c>
      <c r="M2193" t="s">
        <v>2251</v>
      </c>
      <c r="N2193" t="s">
        <v>165</v>
      </c>
      <c r="O2193" t="s">
        <v>233</v>
      </c>
      <c r="P2193" t="str">
        <f t="shared" si="292"/>
        <v>[1]</v>
      </c>
      <c r="Q2193">
        <f t="shared" si="293"/>
        <v>20</v>
      </c>
      <c r="R2193" t="str">
        <f t="shared" si="291"/>
        <v/>
      </c>
      <c r="S2193">
        <f>SUMIF(O2193:$O$2855,R2193,Q2193:$Q$2855)</f>
        <v>0</v>
      </c>
    </row>
    <row r="2194" spans="11:19" x14ac:dyDescent="0.25">
      <c r="K2194" s="4" t="s">
        <v>421</v>
      </c>
      <c r="L2194" t="s">
        <v>422</v>
      </c>
      <c r="M2194" t="s">
        <v>2252</v>
      </c>
      <c r="N2194" t="s">
        <v>6</v>
      </c>
      <c r="O2194" t="s">
        <v>233</v>
      </c>
      <c r="P2194" t="str">
        <f t="shared" si="292"/>
        <v>[1]</v>
      </c>
      <c r="Q2194">
        <f t="shared" si="293"/>
        <v>28</v>
      </c>
      <c r="R2194" t="str">
        <f t="shared" si="291"/>
        <v/>
      </c>
      <c r="S2194">
        <f>SUMIF(O2194:$O$2855,R2194,Q2194:$Q$2855)</f>
        <v>0</v>
      </c>
    </row>
    <row r="2195" spans="11:19" x14ac:dyDescent="0.25">
      <c r="K2195" s="4" t="s">
        <v>421</v>
      </c>
      <c r="L2195" t="s">
        <v>422</v>
      </c>
      <c r="M2195" t="s">
        <v>2253</v>
      </c>
      <c r="N2195" t="s">
        <v>6</v>
      </c>
      <c r="O2195" t="s">
        <v>233</v>
      </c>
      <c r="P2195" t="str">
        <f t="shared" si="292"/>
        <v>[1]</v>
      </c>
      <c r="Q2195">
        <f t="shared" si="293"/>
        <v>28</v>
      </c>
      <c r="R2195" t="str">
        <f t="shared" si="291"/>
        <v/>
      </c>
      <c r="S2195">
        <f>SUMIF(O2195:$O$2855,R2195,Q2195:$Q$2855)</f>
        <v>0</v>
      </c>
    </row>
    <row r="2196" spans="11:19" x14ac:dyDescent="0.25">
      <c r="K2196" s="4" t="s">
        <v>421</v>
      </c>
      <c r="L2196" t="s">
        <v>422</v>
      </c>
      <c r="M2196" t="s">
        <v>2254</v>
      </c>
      <c r="N2196" t="s">
        <v>165</v>
      </c>
      <c r="O2196" t="s">
        <v>233</v>
      </c>
      <c r="P2196" t="str">
        <f t="shared" si="292"/>
        <v>[1]</v>
      </c>
      <c r="Q2196">
        <f t="shared" si="293"/>
        <v>20</v>
      </c>
      <c r="R2196" t="str">
        <f t="shared" si="291"/>
        <v/>
      </c>
      <c r="S2196">
        <f>SUMIF(O2196:$O$2855,R2196,Q2196:$Q$2855)</f>
        <v>0</v>
      </c>
    </row>
    <row r="2197" spans="11:19" x14ac:dyDescent="0.25">
      <c r="K2197" s="4" t="s">
        <v>421</v>
      </c>
      <c r="L2197" t="s">
        <v>422</v>
      </c>
      <c r="M2197" t="s">
        <v>2255</v>
      </c>
      <c r="N2197" t="s">
        <v>165</v>
      </c>
      <c r="O2197" t="s">
        <v>233</v>
      </c>
      <c r="P2197" t="str">
        <f t="shared" si="292"/>
        <v>[1]</v>
      </c>
      <c r="Q2197">
        <f t="shared" si="293"/>
        <v>20</v>
      </c>
      <c r="R2197" t="str">
        <f t="shared" si="291"/>
        <v/>
      </c>
      <c r="S2197">
        <f>SUMIF(O2197:$O$2855,R2197,Q2197:$Q$2855)</f>
        <v>0</v>
      </c>
    </row>
    <row r="2198" spans="11:19" x14ac:dyDescent="0.25">
      <c r="K2198" s="4" t="s">
        <v>421</v>
      </c>
      <c r="L2198" t="s">
        <v>422</v>
      </c>
      <c r="M2198" t="s">
        <v>2256</v>
      </c>
      <c r="N2198" t="s">
        <v>6</v>
      </c>
      <c r="O2198" t="s">
        <v>233</v>
      </c>
      <c r="P2198" t="str">
        <f t="shared" si="292"/>
        <v>[1]</v>
      </c>
      <c r="Q2198">
        <f t="shared" si="293"/>
        <v>28</v>
      </c>
      <c r="R2198" t="str">
        <f t="shared" si="291"/>
        <v/>
      </c>
      <c r="S2198">
        <f>SUMIF(O2198:$O$2855,R2198,Q2198:$Q$2855)</f>
        <v>0</v>
      </c>
    </row>
    <row r="2199" spans="11:19" x14ac:dyDescent="0.25">
      <c r="K2199" s="4" t="s">
        <v>421</v>
      </c>
      <c r="L2199" t="s">
        <v>422</v>
      </c>
      <c r="M2199" t="s">
        <v>2257</v>
      </c>
      <c r="N2199" t="s">
        <v>202</v>
      </c>
      <c r="O2199" t="s">
        <v>233</v>
      </c>
      <c r="P2199" t="str">
        <f t="shared" si="292"/>
        <v>[1]</v>
      </c>
      <c r="Q2199">
        <f t="shared" si="293"/>
        <v>16</v>
      </c>
      <c r="R2199" t="str">
        <f t="shared" si="291"/>
        <v/>
      </c>
      <c r="S2199">
        <f>SUMIF(O2199:$O$2855,R2199,Q2199:$Q$2855)</f>
        <v>0</v>
      </c>
    </row>
    <row r="2200" spans="11:19" x14ac:dyDescent="0.25">
      <c r="K2200" s="4" t="s">
        <v>421</v>
      </c>
      <c r="L2200" t="s">
        <v>422</v>
      </c>
      <c r="M2200" t="s">
        <v>2258</v>
      </c>
      <c r="N2200" t="s">
        <v>202</v>
      </c>
      <c r="O2200" t="s">
        <v>233</v>
      </c>
      <c r="P2200" t="str">
        <f t="shared" si="292"/>
        <v>[1]</v>
      </c>
      <c r="Q2200">
        <f t="shared" si="293"/>
        <v>16</v>
      </c>
      <c r="R2200" t="str">
        <f t="shared" si="291"/>
        <v/>
      </c>
      <c r="S2200">
        <f>SUMIF(O2200:$O$2855,R2200,Q2200:$Q$2855)</f>
        <v>0</v>
      </c>
    </row>
    <row r="2201" spans="11:19" x14ac:dyDescent="0.25">
      <c r="K2201" s="4" t="s">
        <v>421</v>
      </c>
      <c r="L2201" t="s">
        <v>422</v>
      </c>
      <c r="M2201" t="s">
        <v>2259</v>
      </c>
      <c r="N2201" t="s">
        <v>6</v>
      </c>
      <c r="O2201" t="s">
        <v>233</v>
      </c>
      <c r="P2201" t="str">
        <f t="shared" si="292"/>
        <v>[1]</v>
      </c>
      <c r="Q2201">
        <f t="shared" si="293"/>
        <v>28</v>
      </c>
      <c r="R2201" t="str">
        <f t="shared" si="291"/>
        <v/>
      </c>
      <c r="S2201">
        <f>SUMIF(O2201:$O$2855,R2201,Q2201:$Q$2855)</f>
        <v>0</v>
      </c>
    </row>
    <row r="2202" spans="11:19" x14ac:dyDescent="0.25">
      <c r="K2202" s="4" t="s">
        <v>421</v>
      </c>
      <c r="L2202" t="s">
        <v>422</v>
      </c>
      <c r="M2202" t="s">
        <v>2260</v>
      </c>
      <c r="N2202" t="s">
        <v>165</v>
      </c>
      <c r="O2202" t="s">
        <v>233</v>
      </c>
      <c r="P2202" t="str">
        <f t="shared" si="292"/>
        <v>[1]</v>
      </c>
      <c r="Q2202">
        <f t="shared" si="293"/>
        <v>20</v>
      </c>
      <c r="R2202" t="str">
        <f t="shared" si="291"/>
        <v/>
      </c>
      <c r="S2202">
        <f>SUMIF(O2202:$O$2855,R2202,Q2202:$Q$2855)</f>
        <v>0</v>
      </c>
    </row>
    <row r="2203" spans="11:19" x14ac:dyDescent="0.25">
      <c r="K2203" s="4" t="s">
        <v>421</v>
      </c>
      <c r="L2203" t="s">
        <v>422</v>
      </c>
      <c r="M2203" t="s">
        <v>2261</v>
      </c>
      <c r="N2203" t="s">
        <v>165</v>
      </c>
      <c r="O2203" t="s">
        <v>233</v>
      </c>
      <c r="P2203" t="str">
        <f t="shared" si="292"/>
        <v>[1]</v>
      </c>
      <c r="Q2203">
        <f t="shared" si="293"/>
        <v>20</v>
      </c>
      <c r="R2203" t="str">
        <f t="shared" si="291"/>
        <v/>
      </c>
      <c r="S2203">
        <f>SUMIF(O2203:$O$2855,R2203,Q2203:$Q$2855)</f>
        <v>0</v>
      </c>
    </row>
    <row r="2204" spans="11:19" x14ac:dyDescent="0.25">
      <c r="K2204" s="4" t="s">
        <v>421</v>
      </c>
      <c r="L2204" t="s">
        <v>422</v>
      </c>
      <c r="M2204" t="s">
        <v>2262</v>
      </c>
      <c r="N2204" t="s">
        <v>67</v>
      </c>
      <c r="O2204" t="s">
        <v>233</v>
      </c>
      <c r="P2204" t="str">
        <f t="shared" si="292"/>
        <v>[1]</v>
      </c>
      <c r="Q2204">
        <f t="shared" si="293"/>
        <v>48</v>
      </c>
      <c r="R2204" t="str">
        <f t="shared" si="291"/>
        <v/>
      </c>
      <c r="S2204">
        <f>SUMIF(O2204:$O$2855,R2204,Q2204:$Q$2855)</f>
        <v>0</v>
      </c>
    </row>
    <row r="2205" spans="11:19" x14ac:dyDescent="0.25">
      <c r="K2205" s="4" t="s">
        <v>421</v>
      </c>
      <c r="L2205" t="s">
        <v>422</v>
      </c>
      <c r="M2205" t="s">
        <v>2263</v>
      </c>
      <c r="N2205" t="s">
        <v>67</v>
      </c>
      <c r="O2205" t="s">
        <v>233</v>
      </c>
      <c r="P2205" t="str">
        <f t="shared" si="292"/>
        <v>[1]</v>
      </c>
      <c r="Q2205">
        <f t="shared" si="293"/>
        <v>48</v>
      </c>
      <c r="R2205" t="str">
        <f t="shared" si="291"/>
        <v/>
      </c>
      <c r="S2205">
        <f>SUMIF(O2205:$O$2855,R2205,Q2205:$Q$2855)</f>
        <v>0</v>
      </c>
    </row>
    <row r="2206" spans="11:19" x14ac:dyDescent="0.25">
      <c r="K2206" s="4" t="s">
        <v>421</v>
      </c>
      <c r="L2206" t="s">
        <v>422</v>
      </c>
      <c r="M2206" t="s">
        <v>2264</v>
      </c>
      <c r="N2206" t="s">
        <v>1088</v>
      </c>
      <c r="O2206" t="s">
        <v>233</v>
      </c>
      <c r="P2206" t="str">
        <f t="shared" si="292"/>
        <v>[1]</v>
      </c>
      <c r="Q2206">
        <f t="shared" si="293"/>
        <v>344</v>
      </c>
      <c r="R2206" t="str">
        <f t="shared" si="291"/>
        <v/>
      </c>
      <c r="S2206">
        <f>SUMIF(O2206:$O$2855,R2206,Q2206:$Q$2855)</f>
        <v>0</v>
      </c>
    </row>
    <row r="2207" spans="11:19" x14ac:dyDescent="0.25">
      <c r="K2207" s="4" t="s">
        <v>421</v>
      </c>
      <c r="L2207" t="s">
        <v>422</v>
      </c>
      <c r="M2207" t="s">
        <v>2265</v>
      </c>
      <c r="N2207" t="s">
        <v>202</v>
      </c>
      <c r="O2207" t="s">
        <v>226</v>
      </c>
      <c r="P2207" t="str">
        <f t="shared" si="292"/>
        <v>[1]</v>
      </c>
      <c r="Q2207">
        <f t="shared" si="293"/>
        <v>16</v>
      </c>
      <c r="R2207" t="str">
        <f t="shared" si="291"/>
        <v>smtd_config.o</v>
      </c>
      <c r="S2207">
        <f>SUMIF(O2207:$O$2855,R2207,Q2207:$Q$2855)</f>
        <v>76</v>
      </c>
    </row>
    <row r="2208" spans="11:19" x14ac:dyDescent="0.25">
      <c r="K2208" s="4" t="s">
        <v>421</v>
      </c>
      <c r="L2208" t="s">
        <v>422</v>
      </c>
      <c r="M2208" t="s">
        <v>2266</v>
      </c>
      <c r="N2208" t="s">
        <v>119</v>
      </c>
      <c r="O2208" t="s">
        <v>226</v>
      </c>
      <c r="P2208" t="str">
        <f t="shared" si="292"/>
        <v>[1]</v>
      </c>
      <c r="Q2208">
        <f t="shared" si="293"/>
        <v>32</v>
      </c>
      <c r="R2208" t="str">
        <f t="shared" ref="R2208:R2271" si="294">IF(O2208&lt;&gt;O2207,O2208,"")</f>
        <v/>
      </c>
      <c r="S2208">
        <f>SUMIF(O2208:$O$2855,R2208,Q2208:$Q$2855)</f>
        <v>0</v>
      </c>
    </row>
    <row r="2209" spans="11:19" x14ac:dyDescent="0.25">
      <c r="K2209" s="4" t="s">
        <v>421</v>
      </c>
      <c r="L2209" t="s">
        <v>422</v>
      </c>
      <c r="M2209" t="s">
        <v>2267</v>
      </c>
      <c r="N2209" t="s">
        <v>6</v>
      </c>
      <c r="O2209" t="s">
        <v>226</v>
      </c>
      <c r="P2209" t="str">
        <f t="shared" si="292"/>
        <v>[1]</v>
      </c>
      <c r="Q2209">
        <f t="shared" si="293"/>
        <v>28</v>
      </c>
      <c r="R2209" t="str">
        <f t="shared" si="294"/>
        <v/>
      </c>
      <c r="S2209">
        <f>SUMIF(O2209:$O$2855,R2209,Q2209:$Q$2855)</f>
        <v>0</v>
      </c>
    </row>
    <row r="2210" spans="11:19" x14ac:dyDescent="0.25">
      <c r="K2210" s="4" t="s">
        <v>421</v>
      </c>
      <c r="L2210" t="s">
        <v>422</v>
      </c>
      <c r="M2210" t="s">
        <v>2225</v>
      </c>
      <c r="N2210" t="s">
        <v>13</v>
      </c>
      <c r="O2210" t="s">
        <v>294</v>
      </c>
      <c r="P2210" t="str">
        <f t="shared" si="292"/>
        <v>[1]</v>
      </c>
      <c r="Q2210">
        <f t="shared" si="293"/>
        <v>12</v>
      </c>
      <c r="R2210" t="str">
        <f t="shared" si="294"/>
        <v>spi_mstr.o</v>
      </c>
      <c r="S2210">
        <f>SUMIF(O2210:$O$2855,R2210,Q2210:$Q$2855)</f>
        <v>232</v>
      </c>
    </row>
    <row r="2211" spans="11:19" x14ac:dyDescent="0.25">
      <c r="K2211" s="4" t="s">
        <v>421</v>
      </c>
      <c r="L2211" t="s">
        <v>422</v>
      </c>
      <c r="M2211" t="s">
        <v>2226</v>
      </c>
      <c r="N2211" t="s">
        <v>13</v>
      </c>
      <c r="O2211" t="s">
        <v>294</v>
      </c>
      <c r="P2211" t="str">
        <f t="shared" si="292"/>
        <v>[1]</v>
      </c>
      <c r="Q2211">
        <f t="shared" si="293"/>
        <v>12</v>
      </c>
      <c r="R2211" t="str">
        <f t="shared" si="294"/>
        <v/>
      </c>
      <c r="S2211">
        <f>SUMIF(O2211:$O$2855,R2211,Q2211:$Q$2855)</f>
        <v>0</v>
      </c>
    </row>
    <row r="2212" spans="11:19" x14ac:dyDescent="0.25">
      <c r="K2212" s="4" t="s">
        <v>421</v>
      </c>
      <c r="L2212" t="s">
        <v>422</v>
      </c>
      <c r="M2212" t="s">
        <v>1822</v>
      </c>
      <c r="N2212" t="s">
        <v>78</v>
      </c>
      <c r="O2212" t="s">
        <v>294</v>
      </c>
      <c r="P2212" t="str">
        <f t="shared" si="292"/>
        <v>[1]</v>
      </c>
      <c r="Q2212">
        <f t="shared" si="293"/>
        <v>4</v>
      </c>
      <c r="R2212" t="str">
        <f t="shared" si="294"/>
        <v/>
      </c>
      <c r="S2212">
        <f>SUMIF(O2212:$O$2855,R2212,Q2212:$Q$2855)</f>
        <v>0</v>
      </c>
    </row>
    <row r="2213" spans="11:19" x14ac:dyDescent="0.25">
      <c r="K2213" s="4" t="s">
        <v>421</v>
      </c>
      <c r="L2213" t="s">
        <v>422</v>
      </c>
      <c r="M2213" t="s">
        <v>2227</v>
      </c>
      <c r="N2213" t="s">
        <v>119</v>
      </c>
      <c r="O2213" t="s">
        <v>294</v>
      </c>
      <c r="P2213" t="str">
        <f t="shared" si="292"/>
        <v>[1]</v>
      </c>
      <c r="Q2213">
        <f t="shared" si="293"/>
        <v>32</v>
      </c>
      <c r="R2213" t="str">
        <f t="shared" si="294"/>
        <v/>
      </c>
      <c r="S2213">
        <f>SUMIF(O2213:$O$2855,R2213,Q2213:$Q$2855)</f>
        <v>0</v>
      </c>
    </row>
    <row r="2214" spans="11:19" x14ac:dyDescent="0.25">
      <c r="K2214" s="4" t="s">
        <v>421</v>
      </c>
      <c r="L2214" t="s">
        <v>422</v>
      </c>
      <c r="M2214" t="s">
        <v>1823</v>
      </c>
      <c r="N2214" t="s">
        <v>437</v>
      </c>
      <c r="O2214" t="s">
        <v>294</v>
      </c>
      <c r="P2214" t="str">
        <f t="shared" si="292"/>
        <v>[1]</v>
      </c>
      <c r="Q2214">
        <f t="shared" si="293"/>
        <v>24</v>
      </c>
      <c r="R2214" t="str">
        <f t="shared" si="294"/>
        <v/>
      </c>
      <c r="S2214">
        <f>SUMIF(O2214:$O$2855,R2214,Q2214:$Q$2855)</f>
        <v>0</v>
      </c>
    </row>
    <row r="2215" spans="11:19" x14ac:dyDescent="0.25">
      <c r="K2215" s="4" t="s">
        <v>421</v>
      </c>
      <c r="L2215" t="s">
        <v>422</v>
      </c>
      <c r="M2215" t="s">
        <v>2228</v>
      </c>
      <c r="N2215" t="s">
        <v>139</v>
      </c>
      <c r="O2215" t="s">
        <v>294</v>
      </c>
      <c r="P2215" t="str">
        <f t="shared" si="292"/>
        <v>[1]</v>
      </c>
      <c r="Q2215">
        <f t="shared" si="293"/>
        <v>96</v>
      </c>
      <c r="R2215" t="str">
        <f t="shared" si="294"/>
        <v/>
      </c>
      <c r="S2215">
        <f>SUMIF(O2215:$O$2855,R2215,Q2215:$Q$2855)</f>
        <v>0</v>
      </c>
    </row>
    <row r="2216" spans="11:19" x14ac:dyDescent="0.25">
      <c r="K2216" s="4" t="s">
        <v>421</v>
      </c>
      <c r="L2216" t="s">
        <v>422</v>
      </c>
      <c r="M2216" t="s">
        <v>2229</v>
      </c>
      <c r="N2216" t="s">
        <v>67</v>
      </c>
      <c r="O2216" t="s">
        <v>294</v>
      </c>
      <c r="P2216" t="str">
        <f t="shared" si="292"/>
        <v>[1]</v>
      </c>
      <c r="Q2216">
        <f t="shared" si="293"/>
        <v>48</v>
      </c>
      <c r="R2216" t="str">
        <f t="shared" si="294"/>
        <v/>
      </c>
      <c r="S2216">
        <f>SUMIF(O2216:$O$2855,R2216,Q2216:$Q$2855)</f>
        <v>0</v>
      </c>
    </row>
    <row r="2217" spans="11:19" x14ac:dyDescent="0.25">
      <c r="K2217" s="4" t="s">
        <v>421</v>
      </c>
      <c r="L2217" t="s">
        <v>422</v>
      </c>
      <c r="M2217" t="s">
        <v>2230</v>
      </c>
      <c r="N2217" t="s">
        <v>78</v>
      </c>
      <c r="O2217" t="s">
        <v>294</v>
      </c>
      <c r="P2217" t="str">
        <f t="shared" si="292"/>
        <v>[1]</v>
      </c>
      <c r="Q2217">
        <f t="shared" si="293"/>
        <v>4</v>
      </c>
      <c r="R2217" t="str">
        <f t="shared" si="294"/>
        <v/>
      </c>
      <c r="S2217">
        <f>SUMIF(O2217:$O$2855,R2217,Q2217:$Q$2855)</f>
        <v>0</v>
      </c>
    </row>
    <row r="2218" spans="11:19" x14ac:dyDescent="0.25">
      <c r="K2218" s="4" t="s">
        <v>421</v>
      </c>
      <c r="L2218" t="s">
        <v>422</v>
      </c>
      <c r="M2218" t="s">
        <v>2401</v>
      </c>
      <c r="N2218" t="s">
        <v>202</v>
      </c>
      <c r="O2218" t="s">
        <v>138</v>
      </c>
      <c r="P2218" t="str">
        <f t="shared" si="292"/>
        <v>[1]</v>
      </c>
      <c r="Q2218">
        <f t="shared" si="293"/>
        <v>16</v>
      </c>
      <c r="R2218" t="str">
        <f t="shared" si="294"/>
        <v>STACK.o</v>
      </c>
      <c r="S2218">
        <f>SUMIF(O2218:$O$2855,R2218,Q2218:$Q$2855)</f>
        <v>2364</v>
      </c>
    </row>
    <row r="2219" spans="11:19" x14ac:dyDescent="0.25">
      <c r="K2219" s="4" t="s">
        <v>421</v>
      </c>
      <c r="L2219" t="s">
        <v>422</v>
      </c>
      <c r="M2219" t="s">
        <v>2402</v>
      </c>
      <c r="N2219" t="s">
        <v>202</v>
      </c>
      <c r="O2219" t="s">
        <v>138</v>
      </c>
      <c r="P2219" t="str">
        <f t="shared" si="292"/>
        <v>[1]</v>
      </c>
      <c r="Q2219">
        <f t="shared" si="293"/>
        <v>16</v>
      </c>
      <c r="R2219" t="str">
        <f t="shared" si="294"/>
        <v/>
      </c>
      <c r="S2219">
        <f>SUMIF(O2219:$O$2855,R2219,Q2219:$Q$2855)</f>
        <v>0</v>
      </c>
    </row>
    <row r="2220" spans="11:19" x14ac:dyDescent="0.25">
      <c r="K2220" s="4" t="s">
        <v>421</v>
      </c>
      <c r="L2220" t="s">
        <v>422</v>
      </c>
      <c r="M2220" t="s">
        <v>2403</v>
      </c>
      <c r="N2220" t="s">
        <v>165</v>
      </c>
      <c r="O2220" t="s">
        <v>138</v>
      </c>
      <c r="P2220" t="str">
        <f t="shared" si="292"/>
        <v>[1]</v>
      </c>
      <c r="Q2220">
        <f t="shared" si="293"/>
        <v>20</v>
      </c>
      <c r="R2220" t="str">
        <f t="shared" si="294"/>
        <v/>
      </c>
      <c r="S2220">
        <f>SUMIF(O2220:$O$2855,R2220,Q2220:$Q$2855)</f>
        <v>0</v>
      </c>
    </row>
    <row r="2221" spans="11:19" x14ac:dyDescent="0.25">
      <c r="K2221" s="4" t="s">
        <v>421</v>
      </c>
      <c r="L2221" t="s">
        <v>422</v>
      </c>
      <c r="M2221" t="s">
        <v>2404</v>
      </c>
      <c r="N2221" t="s">
        <v>202</v>
      </c>
      <c r="O2221" t="s">
        <v>138</v>
      </c>
      <c r="P2221" t="str">
        <f t="shared" si="292"/>
        <v>[1]</v>
      </c>
      <c r="Q2221">
        <f t="shared" si="293"/>
        <v>16</v>
      </c>
      <c r="R2221" t="str">
        <f t="shared" si="294"/>
        <v/>
      </c>
      <c r="S2221">
        <f>SUMIF(O2221:$O$2855,R2221,Q2221:$Q$2855)</f>
        <v>0</v>
      </c>
    </row>
    <row r="2222" spans="11:19" x14ac:dyDescent="0.25">
      <c r="K2222" s="4" t="s">
        <v>421</v>
      </c>
      <c r="L2222" t="s">
        <v>422</v>
      </c>
      <c r="M2222" t="s">
        <v>2405</v>
      </c>
      <c r="N2222" t="s">
        <v>202</v>
      </c>
      <c r="O2222" t="s">
        <v>138</v>
      </c>
      <c r="P2222" t="str">
        <f t="shared" si="292"/>
        <v>[1]</v>
      </c>
      <c r="Q2222">
        <f t="shared" si="293"/>
        <v>16</v>
      </c>
      <c r="R2222" t="str">
        <f t="shared" si="294"/>
        <v/>
      </c>
      <c r="S2222">
        <f>SUMIF(O2222:$O$2855,R2222,Q2222:$Q$2855)</f>
        <v>0</v>
      </c>
    </row>
    <row r="2223" spans="11:19" x14ac:dyDescent="0.25">
      <c r="K2223" s="4" t="s">
        <v>421</v>
      </c>
      <c r="L2223" t="s">
        <v>422</v>
      </c>
      <c r="M2223" t="s">
        <v>2406</v>
      </c>
      <c r="N2223" t="s">
        <v>202</v>
      </c>
      <c r="O2223" t="s">
        <v>138</v>
      </c>
      <c r="P2223" t="str">
        <f t="shared" si="292"/>
        <v>[1]</v>
      </c>
      <c r="Q2223">
        <f t="shared" si="293"/>
        <v>16</v>
      </c>
      <c r="R2223" t="str">
        <f t="shared" si="294"/>
        <v/>
      </c>
      <c r="S2223">
        <f>SUMIF(O2223:$O$2855,R2223,Q2223:$Q$2855)</f>
        <v>0</v>
      </c>
    </row>
    <row r="2224" spans="11:19" x14ac:dyDescent="0.25">
      <c r="K2224" s="4" t="s">
        <v>421</v>
      </c>
      <c r="L2224" t="s">
        <v>422</v>
      </c>
      <c r="M2224" t="s">
        <v>2407</v>
      </c>
      <c r="N2224" t="s">
        <v>165</v>
      </c>
      <c r="O2224" t="s">
        <v>138</v>
      </c>
      <c r="P2224" t="str">
        <f t="shared" si="292"/>
        <v>[1]</v>
      </c>
      <c r="Q2224">
        <f t="shared" si="293"/>
        <v>20</v>
      </c>
      <c r="R2224" t="str">
        <f t="shared" si="294"/>
        <v/>
      </c>
      <c r="S2224">
        <f>SUMIF(O2224:$O$2855,R2224,Q2224:$Q$2855)</f>
        <v>0</v>
      </c>
    </row>
    <row r="2225" spans="11:19" x14ac:dyDescent="0.25">
      <c r="K2225" s="4" t="s">
        <v>421</v>
      </c>
      <c r="L2225" t="s">
        <v>422</v>
      </c>
      <c r="M2225" t="s">
        <v>2408</v>
      </c>
      <c r="N2225" t="s">
        <v>165</v>
      </c>
      <c r="O2225" t="s">
        <v>138</v>
      </c>
      <c r="P2225" t="str">
        <f t="shared" si="292"/>
        <v>[1]</v>
      </c>
      <c r="Q2225">
        <f t="shared" si="293"/>
        <v>20</v>
      </c>
      <c r="R2225" t="str">
        <f t="shared" si="294"/>
        <v/>
      </c>
      <c r="S2225">
        <f>SUMIF(O2225:$O$2855,R2225,Q2225:$Q$2855)</f>
        <v>0</v>
      </c>
    </row>
    <row r="2226" spans="11:19" x14ac:dyDescent="0.25">
      <c r="K2226" s="4" t="s">
        <v>421</v>
      </c>
      <c r="L2226" t="s">
        <v>422</v>
      </c>
      <c r="M2226" t="s">
        <v>2409</v>
      </c>
      <c r="N2226" t="s">
        <v>202</v>
      </c>
      <c r="O2226" t="s">
        <v>138</v>
      </c>
      <c r="P2226" t="str">
        <f t="shared" si="292"/>
        <v>[1]</v>
      </c>
      <c r="Q2226">
        <f t="shared" si="293"/>
        <v>16</v>
      </c>
      <c r="R2226" t="str">
        <f t="shared" si="294"/>
        <v/>
      </c>
      <c r="S2226">
        <f>SUMIF(O2226:$O$2855,R2226,Q2226:$Q$2855)</f>
        <v>0</v>
      </c>
    </row>
    <row r="2227" spans="11:19" x14ac:dyDescent="0.25">
      <c r="K2227" s="4" t="s">
        <v>421</v>
      </c>
      <c r="L2227" t="s">
        <v>422</v>
      </c>
      <c r="M2227" t="s">
        <v>2410</v>
      </c>
      <c r="N2227" t="s">
        <v>202</v>
      </c>
      <c r="O2227" t="s">
        <v>138</v>
      </c>
      <c r="P2227" t="str">
        <f t="shared" si="292"/>
        <v>[1]</v>
      </c>
      <c r="Q2227">
        <f t="shared" si="293"/>
        <v>16</v>
      </c>
      <c r="R2227" t="str">
        <f t="shared" si="294"/>
        <v/>
      </c>
      <c r="S2227">
        <f>SUMIF(O2227:$O$2855,R2227,Q2227:$Q$2855)</f>
        <v>0</v>
      </c>
    </row>
    <row r="2228" spans="11:19" x14ac:dyDescent="0.25">
      <c r="K2228" s="4" t="s">
        <v>421</v>
      </c>
      <c r="L2228" t="s">
        <v>422</v>
      </c>
      <c r="M2228" t="s">
        <v>2411</v>
      </c>
      <c r="N2228" t="s">
        <v>437</v>
      </c>
      <c r="O2228" t="s">
        <v>138</v>
      </c>
      <c r="P2228" t="str">
        <f t="shared" si="292"/>
        <v>[1]</v>
      </c>
      <c r="Q2228">
        <f t="shared" si="293"/>
        <v>24</v>
      </c>
      <c r="R2228" t="str">
        <f t="shared" si="294"/>
        <v/>
      </c>
      <c r="S2228">
        <f>SUMIF(O2228:$O$2855,R2228,Q2228:$Q$2855)</f>
        <v>0</v>
      </c>
    </row>
    <row r="2229" spans="11:19" x14ac:dyDescent="0.25">
      <c r="K2229" s="4" t="s">
        <v>421</v>
      </c>
      <c r="L2229" t="s">
        <v>422</v>
      </c>
      <c r="M2229" t="s">
        <v>2412</v>
      </c>
      <c r="N2229" t="s">
        <v>202</v>
      </c>
      <c r="O2229" t="s">
        <v>138</v>
      </c>
      <c r="P2229" t="str">
        <f t="shared" si="292"/>
        <v>[1]</v>
      </c>
      <c r="Q2229">
        <f t="shared" si="293"/>
        <v>16</v>
      </c>
      <c r="R2229" t="str">
        <f t="shared" si="294"/>
        <v/>
      </c>
      <c r="S2229">
        <f>SUMIF(O2229:$O$2855,R2229,Q2229:$Q$2855)</f>
        <v>0</v>
      </c>
    </row>
    <row r="2230" spans="11:19" x14ac:dyDescent="0.25">
      <c r="K2230" s="4" t="s">
        <v>421</v>
      </c>
      <c r="L2230" t="s">
        <v>422</v>
      </c>
      <c r="M2230" t="s">
        <v>2413</v>
      </c>
      <c r="N2230" t="s">
        <v>202</v>
      </c>
      <c r="O2230" t="s">
        <v>138</v>
      </c>
      <c r="P2230" t="str">
        <f t="shared" si="292"/>
        <v>[1]</v>
      </c>
      <c r="Q2230">
        <f t="shared" si="293"/>
        <v>16</v>
      </c>
      <c r="R2230" t="str">
        <f t="shared" si="294"/>
        <v/>
      </c>
      <c r="S2230">
        <f>SUMIF(O2230:$O$2855,R2230,Q2230:$Q$2855)</f>
        <v>0</v>
      </c>
    </row>
    <row r="2231" spans="11:19" x14ac:dyDescent="0.25">
      <c r="K2231" s="4" t="s">
        <v>421</v>
      </c>
      <c r="L2231" t="s">
        <v>422</v>
      </c>
      <c r="M2231" t="s">
        <v>2414</v>
      </c>
      <c r="N2231" t="s">
        <v>165</v>
      </c>
      <c r="O2231" t="s">
        <v>138</v>
      </c>
      <c r="P2231" t="str">
        <f t="shared" si="292"/>
        <v>[1]</v>
      </c>
      <c r="Q2231">
        <f t="shared" si="293"/>
        <v>20</v>
      </c>
      <c r="R2231" t="str">
        <f t="shared" si="294"/>
        <v/>
      </c>
      <c r="S2231">
        <f>SUMIF(O2231:$O$2855,R2231,Q2231:$Q$2855)</f>
        <v>0</v>
      </c>
    </row>
    <row r="2232" spans="11:19" x14ac:dyDescent="0.25">
      <c r="K2232" s="4" t="s">
        <v>421</v>
      </c>
      <c r="L2232" t="s">
        <v>422</v>
      </c>
      <c r="M2232" t="s">
        <v>2415</v>
      </c>
      <c r="N2232" t="s">
        <v>165</v>
      </c>
      <c r="O2232" t="s">
        <v>138</v>
      </c>
      <c r="P2232" t="str">
        <f t="shared" si="292"/>
        <v>[1]</v>
      </c>
      <c r="Q2232">
        <f t="shared" si="293"/>
        <v>20</v>
      </c>
      <c r="R2232" t="str">
        <f t="shared" si="294"/>
        <v/>
      </c>
      <c r="S2232">
        <f>SUMIF(O2232:$O$2855,R2232,Q2232:$Q$2855)</f>
        <v>0</v>
      </c>
    </row>
    <row r="2233" spans="11:19" x14ac:dyDescent="0.25">
      <c r="K2233" s="4" t="s">
        <v>421</v>
      </c>
      <c r="L2233" t="s">
        <v>422</v>
      </c>
      <c r="M2233" t="s">
        <v>2416</v>
      </c>
      <c r="N2233" t="s">
        <v>165</v>
      </c>
      <c r="O2233" t="s">
        <v>138</v>
      </c>
      <c r="P2233" t="str">
        <f t="shared" si="292"/>
        <v>[1]</v>
      </c>
      <c r="Q2233">
        <f t="shared" si="293"/>
        <v>20</v>
      </c>
      <c r="R2233" t="str">
        <f t="shared" si="294"/>
        <v/>
      </c>
      <c r="S2233">
        <f>SUMIF(O2233:$O$2855,R2233,Q2233:$Q$2855)</f>
        <v>0</v>
      </c>
    </row>
    <row r="2234" spans="11:19" x14ac:dyDescent="0.25">
      <c r="K2234" s="4" t="s">
        <v>421</v>
      </c>
      <c r="L2234" t="s">
        <v>422</v>
      </c>
      <c r="M2234" t="s">
        <v>2417</v>
      </c>
      <c r="N2234" t="s">
        <v>437</v>
      </c>
      <c r="O2234" t="s">
        <v>138</v>
      </c>
      <c r="P2234" t="str">
        <f t="shared" si="292"/>
        <v>[1]</v>
      </c>
      <c r="Q2234">
        <f t="shared" si="293"/>
        <v>24</v>
      </c>
      <c r="R2234" t="str">
        <f t="shared" si="294"/>
        <v/>
      </c>
      <c r="S2234">
        <f>SUMIF(O2234:$O$2855,R2234,Q2234:$Q$2855)</f>
        <v>0</v>
      </c>
    </row>
    <row r="2235" spans="11:19" x14ac:dyDescent="0.25">
      <c r="K2235" s="4" t="s">
        <v>421</v>
      </c>
      <c r="L2235" t="s">
        <v>422</v>
      </c>
      <c r="M2235" t="s">
        <v>2418</v>
      </c>
      <c r="N2235" t="s">
        <v>76</v>
      </c>
      <c r="O2235" t="s">
        <v>138</v>
      </c>
      <c r="P2235" t="str">
        <f t="shared" si="292"/>
        <v>[1]</v>
      </c>
      <c r="Q2235">
        <f t="shared" si="293"/>
        <v>36</v>
      </c>
      <c r="R2235" t="str">
        <f t="shared" si="294"/>
        <v/>
      </c>
      <c r="S2235">
        <f>SUMIF(O2235:$O$2855,R2235,Q2235:$Q$2855)</f>
        <v>0</v>
      </c>
    </row>
    <row r="2236" spans="11:19" x14ac:dyDescent="0.25">
      <c r="K2236" s="4" t="s">
        <v>421</v>
      </c>
      <c r="L2236" t="s">
        <v>422</v>
      </c>
      <c r="M2236" t="s">
        <v>2419</v>
      </c>
      <c r="N2236" t="s">
        <v>437</v>
      </c>
      <c r="O2236" t="s">
        <v>138</v>
      </c>
      <c r="P2236" t="str">
        <f t="shared" si="292"/>
        <v>[1]</v>
      </c>
      <c r="Q2236">
        <f t="shared" si="293"/>
        <v>24</v>
      </c>
      <c r="R2236" t="str">
        <f t="shared" si="294"/>
        <v/>
      </c>
      <c r="S2236">
        <f>SUMIF(O2236:$O$2855,R2236,Q2236:$Q$2855)</f>
        <v>0</v>
      </c>
    </row>
    <row r="2237" spans="11:19" x14ac:dyDescent="0.25">
      <c r="K2237" s="4" t="s">
        <v>421</v>
      </c>
      <c r="L2237" t="s">
        <v>422</v>
      </c>
      <c r="M2237" t="s">
        <v>2420</v>
      </c>
      <c r="N2237" t="s">
        <v>13</v>
      </c>
      <c r="O2237" t="s">
        <v>138</v>
      </c>
      <c r="P2237" t="str">
        <f t="shared" si="292"/>
        <v>[1]</v>
      </c>
      <c r="Q2237">
        <f t="shared" si="293"/>
        <v>12</v>
      </c>
      <c r="R2237" t="str">
        <f t="shared" si="294"/>
        <v/>
      </c>
      <c r="S2237">
        <f>SUMIF(O2237:$O$2855,R2237,Q2237:$Q$2855)</f>
        <v>0</v>
      </c>
    </row>
    <row r="2238" spans="11:19" x14ac:dyDescent="0.25">
      <c r="K2238" s="4" t="s">
        <v>421</v>
      </c>
      <c r="L2238" t="s">
        <v>422</v>
      </c>
      <c r="M2238" t="s">
        <v>2421</v>
      </c>
      <c r="N2238" t="s">
        <v>126</v>
      </c>
      <c r="O2238" t="s">
        <v>138</v>
      </c>
      <c r="P2238" t="str">
        <f t="shared" si="292"/>
        <v>[1]</v>
      </c>
      <c r="Q2238">
        <f t="shared" si="293"/>
        <v>8</v>
      </c>
      <c r="R2238" t="str">
        <f t="shared" si="294"/>
        <v/>
      </c>
      <c r="S2238">
        <f>SUMIF(O2238:$O$2855,R2238,Q2238:$Q$2855)</f>
        <v>0</v>
      </c>
    </row>
    <row r="2239" spans="11:19" x14ac:dyDescent="0.25">
      <c r="K2239" s="4" t="s">
        <v>421</v>
      </c>
      <c r="L2239" t="s">
        <v>422</v>
      </c>
      <c r="M2239" t="s">
        <v>2422</v>
      </c>
      <c r="N2239" t="s">
        <v>13</v>
      </c>
      <c r="O2239" t="s">
        <v>138</v>
      </c>
      <c r="P2239" t="str">
        <f t="shared" si="292"/>
        <v>[1]</v>
      </c>
      <c r="Q2239">
        <f t="shared" si="293"/>
        <v>12</v>
      </c>
      <c r="R2239" t="str">
        <f t="shared" si="294"/>
        <v/>
      </c>
      <c r="S2239">
        <f>SUMIF(O2239:$O$2855,R2239,Q2239:$Q$2855)</f>
        <v>0</v>
      </c>
    </row>
    <row r="2240" spans="11:19" x14ac:dyDescent="0.25">
      <c r="K2240" s="4" t="s">
        <v>421</v>
      </c>
      <c r="L2240" t="s">
        <v>422</v>
      </c>
      <c r="M2240" t="s">
        <v>2423</v>
      </c>
      <c r="N2240" t="s">
        <v>13</v>
      </c>
      <c r="O2240" t="s">
        <v>138</v>
      </c>
      <c r="P2240" t="str">
        <f t="shared" si="292"/>
        <v>[1]</v>
      </c>
      <c r="Q2240">
        <f t="shared" si="293"/>
        <v>12</v>
      </c>
      <c r="R2240" t="str">
        <f t="shared" si="294"/>
        <v/>
      </c>
      <c r="S2240">
        <f>SUMIF(O2240:$O$2855,R2240,Q2240:$Q$2855)</f>
        <v>0</v>
      </c>
    </row>
    <row r="2241" spans="11:19" x14ac:dyDescent="0.25">
      <c r="K2241" s="4" t="s">
        <v>421</v>
      </c>
      <c r="L2241" t="s">
        <v>422</v>
      </c>
      <c r="M2241" t="s">
        <v>2424</v>
      </c>
      <c r="N2241" t="s">
        <v>126</v>
      </c>
      <c r="O2241" t="s">
        <v>138</v>
      </c>
      <c r="P2241" t="str">
        <f t="shared" si="292"/>
        <v>[1]</v>
      </c>
      <c r="Q2241">
        <f t="shared" si="293"/>
        <v>8</v>
      </c>
      <c r="R2241" t="str">
        <f t="shared" si="294"/>
        <v/>
      </c>
      <c r="S2241">
        <f>SUMIF(O2241:$O$2855,R2241,Q2241:$Q$2855)</f>
        <v>0</v>
      </c>
    </row>
    <row r="2242" spans="11:19" x14ac:dyDescent="0.25">
      <c r="K2242" s="4" t="s">
        <v>421</v>
      </c>
      <c r="L2242" t="s">
        <v>422</v>
      </c>
      <c r="M2242" t="s">
        <v>2425</v>
      </c>
      <c r="N2242" t="s">
        <v>202</v>
      </c>
      <c r="O2242" t="s">
        <v>138</v>
      </c>
      <c r="P2242" t="str">
        <f t="shared" ref="P2242:P2305" si="295">VLOOKUP($K$30,$E$1:$F$26,2,FALSE)</f>
        <v>[1]</v>
      </c>
      <c r="Q2242">
        <f t="shared" si="293"/>
        <v>16</v>
      </c>
      <c r="R2242" t="str">
        <f t="shared" si="294"/>
        <v/>
      </c>
      <c r="S2242">
        <f>SUMIF(O2242:$O$2855,R2242,Q2242:$Q$2855)</f>
        <v>0</v>
      </c>
    </row>
    <row r="2243" spans="11:19" x14ac:dyDescent="0.25">
      <c r="K2243" s="4" t="s">
        <v>421</v>
      </c>
      <c r="L2243" t="s">
        <v>422</v>
      </c>
      <c r="M2243" t="s">
        <v>2426</v>
      </c>
      <c r="N2243" t="s">
        <v>202</v>
      </c>
      <c r="O2243" t="s">
        <v>138</v>
      </c>
      <c r="P2243" t="str">
        <f t="shared" si="295"/>
        <v>[1]</v>
      </c>
      <c r="Q2243">
        <f t="shared" ref="Q2243:Q2306" si="296">HEX2DEC(MID(N2243,3,LEN(N2243)-2))</f>
        <v>16</v>
      </c>
      <c r="R2243" t="str">
        <f t="shared" si="294"/>
        <v/>
      </c>
      <c r="S2243">
        <f>SUMIF(O2243:$O$2855,R2243,Q2243:$Q$2855)</f>
        <v>0</v>
      </c>
    </row>
    <row r="2244" spans="11:19" x14ac:dyDescent="0.25">
      <c r="K2244" s="4" t="s">
        <v>421</v>
      </c>
      <c r="L2244" t="s">
        <v>422</v>
      </c>
      <c r="M2244" t="s">
        <v>2427</v>
      </c>
      <c r="N2244" t="s">
        <v>202</v>
      </c>
      <c r="O2244" t="s">
        <v>138</v>
      </c>
      <c r="P2244" t="str">
        <f t="shared" si="295"/>
        <v>[1]</v>
      </c>
      <c r="Q2244">
        <f t="shared" si="296"/>
        <v>16</v>
      </c>
      <c r="R2244" t="str">
        <f t="shared" si="294"/>
        <v/>
      </c>
      <c r="S2244">
        <f>SUMIF(O2244:$O$2855,R2244,Q2244:$Q$2855)</f>
        <v>0</v>
      </c>
    </row>
    <row r="2245" spans="11:19" x14ac:dyDescent="0.25">
      <c r="K2245" s="4" t="s">
        <v>421</v>
      </c>
      <c r="L2245" t="s">
        <v>422</v>
      </c>
      <c r="M2245" t="s">
        <v>2428</v>
      </c>
      <c r="N2245" t="s">
        <v>437</v>
      </c>
      <c r="O2245" t="s">
        <v>138</v>
      </c>
      <c r="P2245" t="str">
        <f t="shared" si="295"/>
        <v>[1]</v>
      </c>
      <c r="Q2245">
        <f t="shared" si="296"/>
        <v>24</v>
      </c>
      <c r="R2245" t="str">
        <f t="shared" si="294"/>
        <v/>
      </c>
      <c r="S2245">
        <f>SUMIF(O2245:$O$2855,R2245,Q2245:$Q$2855)</f>
        <v>0</v>
      </c>
    </row>
    <row r="2246" spans="11:19" x14ac:dyDescent="0.25">
      <c r="K2246" s="4" t="s">
        <v>421</v>
      </c>
      <c r="L2246" t="s">
        <v>422</v>
      </c>
      <c r="M2246" t="s">
        <v>2429</v>
      </c>
      <c r="N2246" t="s">
        <v>6</v>
      </c>
      <c r="O2246" t="s">
        <v>138</v>
      </c>
      <c r="P2246" t="str">
        <f t="shared" si="295"/>
        <v>[1]</v>
      </c>
      <c r="Q2246">
        <f t="shared" si="296"/>
        <v>28</v>
      </c>
      <c r="R2246" t="str">
        <f t="shared" si="294"/>
        <v/>
      </c>
      <c r="S2246">
        <f>SUMIF(O2246:$O$2855,R2246,Q2246:$Q$2855)</f>
        <v>0</v>
      </c>
    </row>
    <row r="2247" spans="11:19" x14ac:dyDescent="0.25">
      <c r="K2247" s="4" t="s">
        <v>421</v>
      </c>
      <c r="L2247" t="s">
        <v>422</v>
      </c>
      <c r="M2247" t="s">
        <v>2430</v>
      </c>
      <c r="N2247" t="s">
        <v>202</v>
      </c>
      <c r="O2247" t="s">
        <v>138</v>
      </c>
      <c r="P2247" t="str">
        <f t="shared" si="295"/>
        <v>[1]</v>
      </c>
      <c r="Q2247">
        <f t="shared" si="296"/>
        <v>16</v>
      </c>
      <c r="R2247" t="str">
        <f t="shared" si="294"/>
        <v/>
      </c>
      <c r="S2247">
        <f>SUMIF(O2247:$O$2855,R2247,Q2247:$Q$2855)</f>
        <v>0</v>
      </c>
    </row>
    <row r="2248" spans="11:19" x14ac:dyDescent="0.25">
      <c r="K2248" s="4" t="s">
        <v>421</v>
      </c>
      <c r="L2248" t="s">
        <v>422</v>
      </c>
      <c r="M2248" t="s">
        <v>2431</v>
      </c>
      <c r="N2248" t="s">
        <v>202</v>
      </c>
      <c r="O2248" t="s">
        <v>138</v>
      </c>
      <c r="P2248" t="str">
        <f t="shared" si="295"/>
        <v>[1]</v>
      </c>
      <c r="Q2248">
        <f t="shared" si="296"/>
        <v>16</v>
      </c>
      <c r="R2248" t="str">
        <f t="shared" si="294"/>
        <v/>
      </c>
      <c r="S2248">
        <f>SUMIF(O2248:$O$2855,R2248,Q2248:$Q$2855)</f>
        <v>0</v>
      </c>
    </row>
    <row r="2249" spans="11:19" x14ac:dyDescent="0.25">
      <c r="K2249" s="4" t="s">
        <v>421</v>
      </c>
      <c r="L2249" t="s">
        <v>422</v>
      </c>
      <c r="M2249" t="s">
        <v>2432</v>
      </c>
      <c r="N2249" t="s">
        <v>202</v>
      </c>
      <c r="O2249" t="s">
        <v>138</v>
      </c>
      <c r="P2249" t="str">
        <f t="shared" si="295"/>
        <v>[1]</v>
      </c>
      <c r="Q2249">
        <f t="shared" si="296"/>
        <v>16</v>
      </c>
      <c r="R2249" t="str">
        <f t="shared" si="294"/>
        <v/>
      </c>
      <c r="S2249">
        <f>SUMIF(O2249:$O$2855,R2249,Q2249:$Q$2855)</f>
        <v>0</v>
      </c>
    </row>
    <row r="2250" spans="11:19" x14ac:dyDescent="0.25">
      <c r="K2250" s="4" t="s">
        <v>421</v>
      </c>
      <c r="L2250" t="s">
        <v>422</v>
      </c>
      <c r="M2250" t="s">
        <v>2433</v>
      </c>
      <c r="N2250" t="s">
        <v>126</v>
      </c>
      <c r="O2250" t="s">
        <v>138</v>
      </c>
      <c r="P2250" t="str">
        <f t="shared" si="295"/>
        <v>[1]</v>
      </c>
      <c r="Q2250">
        <f t="shared" si="296"/>
        <v>8</v>
      </c>
      <c r="R2250" t="str">
        <f t="shared" si="294"/>
        <v/>
      </c>
      <c r="S2250">
        <f>SUMIF(O2250:$O$2855,R2250,Q2250:$Q$2855)</f>
        <v>0</v>
      </c>
    </row>
    <row r="2251" spans="11:19" x14ac:dyDescent="0.25">
      <c r="K2251" s="4" t="s">
        <v>421</v>
      </c>
      <c r="L2251" t="s">
        <v>422</v>
      </c>
      <c r="M2251" t="s">
        <v>2434</v>
      </c>
      <c r="N2251" t="s">
        <v>437</v>
      </c>
      <c r="O2251" t="s">
        <v>138</v>
      </c>
      <c r="P2251" t="str">
        <f t="shared" si="295"/>
        <v>[1]</v>
      </c>
      <c r="Q2251">
        <f t="shared" si="296"/>
        <v>24</v>
      </c>
      <c r="R2251" t="str">
        <f t="shared" si="294"/>
        <v/>
      </c>
      <c r="S2251">
        <f>SUMIF(O2251:$O$2855,R2251,Q2251:$Q$2855)</f>
        <v>0</v>
      </c>
    </row>
    <row r="2252" spans="11:19" x14ac:dyDescent="0.25">
      <c r="K2252" s="4" t="s">
        <v>421</v>
      </c>
      <c r="L2252" t="s">
        <v>422</v>
      </c>
      <c r="M2252" t="s">
        <v>2435</v>
      </c>
      <c r="N2252" t="s">
        <v>13</v>
      </c>
      <c r="O2252" t="s">
        <v>138</v>
      </c>
      <c r="P2252" t="str">
        <f t="shared" si="295"/>
        <v>[1]</v>
      </c>
      <c r="Q2252">
        <f t="shared" si="296"/>
        <v>12</v>
      </c>
      <c r="R2252" t="str">
        <f t="shared" si="294"/>
        <v/>
      </c>
      <c r="S2252">
        <f>SUMIF(O2252:$O$2855,R2252,Q2252:$Q$2855)</f>
        <v>0</v>
      </c>
    </row>
    <row r="2253" spans="11:19" x14ac:dyDescent="0.25">
      <c r="K2253" s="4" t="s">
        <v>421</v>
      </c>
      <c r="L2253" t="s">
        <v>422</v>
      </c>
      <c r="M2253" t="s">
        <v>2436</v>
      </c>
      <c r="N2253" t="s">
        <v>63</v>
      </c>
      <c r="O2253" t="s">
        <v>138</v>
      </c>
      <c r="P2253" t="str">
        <f t="shared" si="295"/>
        <v>[1]</v>
      </c>
      <c r="Q2253">
        <f t="shared" si="296"/>
        <v>88</v>
      </c>
      <c r="R2253" t="str">
        <f t="shared" si="294"/>
        <v/>
      </c>
      <c r="S2253">
        <f>SUMIF(O2253:$O$2855,R2253,Q2253:$Q$2855)</f>
        <v>0</v>
      </c>
    </row>
    <row r="2254" spans="11:19" x14ac:dyDescent="0.25">
      <c r="K2254" s="4" t="s">
        <v>421</v>
      </c>
      <c r="L2254" t="s">
        <v>422</v>
      </c>
      <c r="M2254" t="s">
        <v>2437</v>
      </c>
      <c r="N2254" t="s">
        <v>190</v>
      </c>
      <c r="O2254" t="s">
        <v>138</v>
      </c>
      <c r="P2254" t="str">
        <f t="shared" si="295"/>
        <v>[1]</v>
      </c>
      <c r="Q2254">
        <f t="shared" si="296"/>
        <v>56</v>
      </c>
      <c r="R2254" t="str">
        <f t="shared" si="294"/>
        <v/>
      </c>
      <c r="S2254">
        <f>SUMIF(O2254:$O$2855,R2254,Q2254:$Q$2855)</f>
        <v>0</v>
      </c>
    </row>
    <row r="2255" spans="11:19" x14ac:dyDescent="0.25">
      <c r="K2255" s="4" t="s">
        <v>421</v>
      </c>
      <c r="L2255" t="s">
        <v>422</v>
      </c>
      <c r="M2255" t="s">
        <v>2438</v>
      </c>
      <c r="N2255" t="s">
        <v>103</v>
      </c>
      <c r="O2255" t="s">
        <v>138</v>
      </c>
      <c r="P2255" t="str">
        <f t="shared" si="295"/>
        <v>[1]</v>
      </c>
      <c r="Q2255">
        <f t="shared" si="296"/>
        <v>64</v>
      </c>
      <c r="R2255" t="str">
        <f t="shared" si="294"/>
        <v/>
      </c>
      <c r="S2255">
        <f>SUMIF(O2255:$O$2855,R2255,Q2255:$Q$2855)</f>
        <v>0</v>
      </c>
    </row>
    <row r="2256" spans="11:19" x14ac:dyDescent="0.25">
      <c r="K2256" s="4" t="s">
        <v>421</v>
      </c>
      <c r="L2256" t="s">
        <v>422</v>
      </c>
      <c r="M2256" t="s">
        <v>2439</v>
      </c>
      <c r="N2256" t="s">
        <v>67</v>
      </c>
      <c r="O2256" t="s">
        <v>138</v>
      </c>
      <c r="P2256" t="str">
        <f t="shared" si="295"/>
        <v>[1]</v>
      </c>
      <c r="Q2256">
        <f t="shared" si="296"/>
        <v>48</v>
      </c>
      <c r="R2256" t="str">
        <f t="shared" si="294"/>
        <v/>
      </c>
      <c r="S2256">
        <f>SUMIF(O2256:$O$2855,R2256,Q2256:$Q$2855)</f>
        <v>0</v>
      </c>
    </row>
    <row r="2257" spans="11:19" x14ac:dyDescent="0.25">
      <c r="K2257" s="4" t="s">
        <v>421</v>
      </c>
      <c r="L2257" t="s">
        <v>422</v>
      </c>
      <c r="M2257" t="s">
        <v>2440</v>
      </c>
      <c r="N2257" t="s">
        <v>6</v>
      </c>
      <c r="O2257" t="s">
        <v>138</v>
      </c>
      <c r="P2257" t="str">
        <f t="shared" si="295"/>
        <v>[1]</v>
      </c>
      <c r="Q2257">
        <f t="shared" si="296"/>
        <v>28</v>
      </c>
      <c r="R2257" t="str">
        <f t="shared" si="294"/>
        <v/>
      </c>
      <c r="S2257">
        <f>SUMIF(O2257:$O$2855,R2257,Q2257:$Q$2855)</f>
        <v>0</v>
      </c>
    </row>
    <row r="2258" spans="11:19" x14ac:dyDescent="0.25">
      <c r="K2258" s="4" t="s">
        <v>421</v>
      </c>
      <c r="L2258" t="s">
        <v>422</v>
      </c>
      <c r="M2258" t="s">
        <v>2441</v>
      </c>
      <c r="N2258" t="s">
        <v>119</v>
      </c>
      <c r="O2258" t="s">
        <v>138</v>
      </c>
      <c r="P2258" t="str">
        <f t="shared" si="295"/>
        <v>[1]</v>
      </c>
      <c r="Q2258">
        <f t="shared" si="296"/>
        <v>32</v>
      </c>
      <c r="R2258" t="str">
        <f t="shared" si="294"/>
        <v/>
      </c>
      <c r="S2258">
        <f>SUMIF(O2258:$O$2855,R2258,Q2258:$Q$2855)</f>
        <v>0</v>
      </c>
    </row>
    <row r="2259" spans="11:19" x14ac:dyDescent="0.25">
      <c r="K2259" s="4" t="s">
        <v>421</v>
      </c>
      <c r="L2259" t="s">
        <v>422</v>
      </c>
      <c r="M2259" t="s">
        <v>2442</v>
      </c>
      <c r="N2259" t="s">
        <v>437</v>
      </c>
      <c r="O2259" t="s">
        <v>138</v>
      </c>
      <c r="P2259" t="str">
        <f t="shared" si="295"/>
        <v>[1]</v>
      </c>
      <c r="Q2259">
        <f t="shared" si="296"/>
        <v>24</v>
      </c>
      <c r="R2259" t="str">
        <f t="shared" si="294"/>
        <v/>
      </c>
      <c r="S2259">
        <f>SUMIF(O2259:$O$2855,R2259,Q2259:$Q$2855)</f>
        <v>0</v>
      </c>
    </row>
    <row r="2260" spans="11:19" x14ac:dyDescent="0.25">
      <c r="K2260" s="4" t="s">
        <v>421</v>
      </c>
      <c r="L2260" t="s">
        <v>422</v>
      </c>
      <c r="M2260" t="s">
        <v>2443</v>
      </c>
      <c r="N2260" t="s">
        <v>126</v>
      </c>
      <c r="O2260" t="s">
        <v>138</v>
      </c>
      <c r="P2260" t="str">
        <f t="shared" si="295"/>
        <v>[1]</v>
      </c>
      <c r="Q2260">
        <f t="shared" si="296"/>
        <v>8</v>
      </c>
      <c r="R2260" t="str">
        <f t="shared" si="294"/>
        <v/>
      </c>
      <c r="S2260">
        <f>SUMIF(O2260:$O$2855,R2260,Q2260:$Q$2855)</f>
        <v>0</v>
      </c>
    </row>
    <row r="2261" spans="11:19" x14ac:dyDescent="0.25">
      <c r="K2261" s="4" t="s">
        <v>421</v>
      </c>
      <c r="L2261" t="s">
        <v>422</v>
      </c>
      <c r="M2261" t="s">
        <v>2444</v>
      </c>
      <c r="N2261" t="s">
        <v>435</v>
      </c>
      <c r="O2261" t="s">
        <v>138</v>
      </c>
      <c r="P2261" t="str">
        <f t="shared" si="295"/>
        <v>[1]</v>
      </c>
      <c r="Q2261">
        <f t="shared" si="296"/>
        <v>60</v>
      </c>
      <c r="R2261" t="str">
        <f t="shared" si="294"/>
        <v/>
      </c>
      <c r="S2261">
        <f>SUMIF(O2261:$O$2855,R2261,Q2261:$Q$2855)</f>
        <v>0</v>
      </c>
    </row>
    <row r="2262" spans="11:19" x14ac:dyDescent="0.25">
      <c r="K2262" s="4" t="s">
        <v>421</v>
      </c>
      <c r="L2262" t="s">
        <v>422</v>
      </c>
      <c r="M2262" t="s">
        <v>2445</v>
      </c>
      <c r="N2262" t="s">
        <v>6</v>
      </c>
      <c r="O2262" t="s">
        <v>138</v>
      </c>
      <c r="P2262" t="str">
        <f t="shared" si="295"/>
        <v>[1]</v>
      </c>
      <c r="Q2262">
        <f t="shared" si="296"/>
        <v>28</v>
      </c>
      <c r="R2262" t="str">
        <f t="shared" si="294"/>
        <v/>
      </c>
      <c r="S2262">
        <f>SUMIF(O2262:$O$2855,R2262,Q2262:$Q$2855)</f>
        <v>0</v>
      </c>
    </row>
    <row r="2263" spans="11:19" x14ac:dyDescent="0.25">
      <c r="K2263" s="4" t="s">
        <v>421</v>
      </c>
      <c r="L2263" t="s">
        <v>422</v>
      </c>
      <c r="M2263" t="s">
        <v>2446</v>
      </c>
      <c r="N2263" t="s">
        <v>126</v>
      </c>
      <c r="O2263" t="s">
        <v>138</v>
      </c>
      <c r="P2263" t="str">
        <f t="shared" si="295"/>
        <v>[1]</v>
      </c>
      <c r="Q2263">
        <f t="shared" si="296"/>
        <v>8</v>
      </c>
      <c r="R2263" t="str">
        <f t="shared" si="294"/>
        <v/>
      </c>
      <c r="S2263">
        <f>SUMIF(O2263:$O$2855,R2263,Q2263:$Q$2855)</f>
        <v>0</v>
      </c>
    </row>
    <row r="2264" spans="11:19" x14ac:dyDescent="0.25">
      <c r="K2264" s="4" t="s">
        <v>421</v>
      </c>
      <c r="L2264" t="s">
        <v>422</v>
      </c>
      <c r="M2264" t="s">
        <v>2447</v>
      </c>
      <c r="N2264" t="s">
        <v>13</v>
      </c>
      <c r="O2264" t="s">
        <v>138</v>
      </c>
      <c r="P2264" t="str">
        <f t="shared" si="295"/>
        <v>[1]</v>
      </c>
      <c r="Q2264">
        <f t="shared" si="296"/>
        <v>12</v>
      </c>
      <c r="R2264" t="str">
        <f t="shared" si="294"/>
        <v/>
      </c>
      <c r="S2264">
        <f>SUMIF(O2264:$O$2855,R2264,Q2264:$Q$2855)</f>
        <v>0</v>
      </c>
    </row>
    <row r="2265" spans="11:19" x14ac:dyDescent="0.25">
      <c r="K2265" s="4" t="s">
        <v>421</v>
      </c>
      <c r="L2265" t="s">
        <v>422</v>
      </c>
      <c r="M2265" t="s">
        <v>2448</v>
      </c>
      <c r="N2265" t="s">
        <v>13</v>
      </c>
      <c r="O2265" t="s">
        <v>138</v>
      </c>
      <c r="P2265" t="str">
        <f t="shared" si="295"/>
        <v>[1]</v>
      </c>
      <c r="Q2265">
        <f t="shared" si="296"/>
        <v>12</v>
      </c>
      <c r="R2265" t="str">
        <f t="shared" si="294"/>
        <v/>
      </c>
      <c r="S2265">
        <f>SUMIF(O2265:$O$2855,R2265,Q2265:$Q$2855)</f>
        <v>0</v>
      </c>
    </row>
    <row r="2266" spans="11:19" x14ac:dyDescent="0.25">
      <c r="K2266" s="4" t="s">
        <v>421</v>
      </c>
      <c r="L2266" t="s">
        <v>422</v>
      </c>
      <c r="M2266" t="s">
        <v>2449</v>
      </c>
      <c r="N2266" t="s">
        <v>165</v>
      </c>
      <c r="O2266" t="s">
        <v>138</v>
      </c>
      <c r="P2266" t="str">
        <f t="shared" si="295"/>
        <v>[1]</v>
      </c>
      <c r="Q2266">
        <f t="shared" si="296"/>
        <v>20</v>
      </c>
      <c r="R2266" t="str">
        <f t="shared" si="294"/>
        <v/>
      </c>
      <c r="S2266">
        <f>SUMIF(O2266:$O$2855,R2266,Q2266:$Q$2855)</f>
        <v>0</v>
      </c>
    </row>
    <row r="2267" spans="11:19" x14ac:dyDescent="0.25">
      <c r="K2267" s="4" t="s">
        <v>421</v>
      </c>
      <c r="L2267" t="s">
        <v>422</v>
      </c>
      <c r="M2267" t="s">
        <v>2450</v>
      </c>
      <c r="N2267" t="s">
        <v>165</v>
      </c>
      <c r="O2267" t="s">
        <v>138</v>
      </c>
      <c r="P2267" t="str">
        <f t="shared" si="295"/>
        <v>[1]</v>
      </c>
      <c r="Q2267">
        <f t="shared" si="296"/>
        <v>20</v>
      </c>
      <c r="R2267" t="str">
        <f t="shared" si="294"/>
        <v/>
      </c>
      <c r="S2267">
        <f>SUMIF(O2267:$O$2855,R2267,Q2267:$Q$2855)</f>
        <v>0</v>
      </c>
    </row>
    <row r="2268" spans="11:19" x14ac:dyDescent="0.25">
      <c r="K2268" s="4" t="s">
        <v>421</v>
      </c>
      <c r="L2268" t="s">
        <v>422</v>
      </c>
      <c r="M2268" t="s">
        <v>2451</v>
      </c>
      <c r="N2268" t="s">
        <v>126</v>
      </c>
      <c r="O2268" t="s">
        <v>138</v>
      </c>
      <c r="P2268" t="str">
        <f t="shared" si="295"/>
        <v>[1]</v>
      </c>
      <c r="Q2268">
        <f t="shared" si="296"/>
        <v>8</v>
      </c>
      <c r="R2268" t="str">
        <f t="shared" si="294"/>
        <v/>
      </c>
      <c r="S2268">
        <f>SUMIF(O2268:$O$2855,R2268,Q2268:$Q$2855)</f>
        <v>0</v>
      </c>
    </row>
    <row r="2269" spans="11:19" x14ac:dyDescent="0.25">
      <c r="K2269" s="4" t="s">
        <v>421</v>
      </c>
      <c r="L2269" t="s">
        <v>422</v>
      </c>
      <c r="M2269" t="s">
        <v>2452</v>
      </c>
      <c r="N2269" t="s">
        <v>65</v>
      </c>
      <c r="O2269" t="s">
        <v>138</v>
      </c>
      <c r="P2269" t="str">
        <f t="shared" si="295"/>
        <v>[1]</v>
      </c>
      <c r="Q2269">
        <f t="shared" si="296"/>
        <v>40</v>
      </c>
      <c r="R2269" t="str">
        <f t="shared" si="294"/>
        <v/>
      </c>
      <c r="S2269">
        <f>SUMIF(O2269:$O$2855,R2269,Q2269:$Q$2855)</f>
        <v>0</v>
      </c>
    </row>
    <row r="2270" spans="11:19" x14ac:dyDescent="0.25">
      <c r="K2270" s="4" t="s">
        <v>421</v>
      </c>
      <c r="L2270" t="s">
        <v>422</v>
      </c>
      <c r="M2270" t="s">
        <v>2453</v>
      </c>
      <c r="N2270" t="s">
        <v>65</v>
      </c>
      <c r="O2270" t="s">
        <v>138</v>
      </c>
      <c r="P2270" t="str">
        <f t="shared" si="295"/>
        <v>[1]</v>
      </c>
      <c r="Q2270">
        <f t="shared" si="296"/>
        <v>40</v>
      </c>
      <c r="R2270" t="str">
        <f t="shared" si="294"/>
        <v/>
      </c>
      <c r="S2270">
        <f>SUMIF(O2270:$O$2855,R2270,Q2270:$Q$2855)</f>
        <v>0</v>
      </c>
    </row>
    <row r="2271" spans="11:19" x14ac:dyDescent="0.25">
      <c r="K2271" s="4" t="s">
        <v>421</v>
      </c>
      <c r="L2271" t="s">
        <v>422</v>
      </c>
      <c r="M2271" t="s">
        <v>2454</v>
      </c>
      <c r="N2271" t="s">
        <v>202</v>
      </c>
      <c r="O2271" t="s">
        <v>138</v>
      </c>
      <c r="P2271" t="str">
        <f t="shared" si="295"/>
        <v>[1]</v>
      </c>
      <c r="Q2271">
        <f t="shared" si="296"/>
        <v>16</v>
      </c>
      <c r="R2271" t="str">
        <f t="shared" si="294"/>
        <v/>
      </c>
      <c r="S2271">
        <f>SUMIF(O2271:$O$2855,R2271,Q2271:$Q$2855)</f>
        <v>0</v>
      </c>
    </row>
    <row r="2272" spans="11:19" x14ac:dyDescent="0.25">
      <c r="K2272" s="4" t="s">
        <v>421</v>
      </c>
      <c r="L2272" t="s">
        <v>422</v>
      </c>
      <c r="M2272" t="s">
        <v>2455</v>
      </c>
      <c r="N2272" t="s">
        <v>435</v>
      </c>
      <c r="O2272" t="s">
        <v>138</v>
      </c>
      <c r="P2272" t="str">
        <f t="shared" si="295"/>
        <v>[1]</v>
      </c>
      <c r="Q2272">
        <f t="shared" si="296"/>
        <v>60</v>
      </c>
      <c r="R2272" t="str">
        <f t="shared" ref="R2272:R2335" si="297">IF(O2272&lt;&gt;O2271,O2272,"")</f>
        <v/>
      </c>
      <c r="S2272">
        <f>SUMIF(O2272:$O$2855,R2272,Q2272:$Q$2855)</f>
        <v>0</v>
      </c>
    </row>
    <row r="2273" spans="11:19" x14ac:dyDescent="0.25">
      <c r="K2273" s="4" t="s">
        <v>421</v>
      </c>
      <c r="L2273" t="s">
        <v>422</v>
      </c>
      <c r="M2273" t="s">
        <v>2456</v>
      </c>
      <c r="N2273" t="s">
        <v>165</v>
      </c>
      <c r="O2273" t="s">
        <v>138</v>
      </c>
      <c r="P2273" t="str">
        <f t="shared" si="295"/>
        <v>[1]</v>
      </c>
      <c r="Q2273">
        <f t="shared" si="296"/>
        <v>20</v>
      </c>
      <c r="R2273" t="str">
        <f t="shared" si="297"/>
        <v/>
      </c>
      <c r="S2273">
        <f>SUMIF(O2273:$O$2855,R2273,Q2273:$Q$2855)</f>
        <v>0</v>
      </c>
    </row>
    <row r="2274" spans="11:19" x14ac:dyDescent="0.25">
      <c r="K2274" s="4" t="s">
        <v>421</v>
      </c>
      <c r="L2274" t="s">
        <v>422</v>
      </c>
      <c r="M2274" t="s">
        <v>2457</v>
      </c>
      <c r="N2274" t="s">
        <v>437</v>
      </c>
      <c r="O2274" t="s">
        <v>138</v>
      </c>
      <c r="P2274" t="str">
        <f t="shared" si="295"/>
        <v>[1]</v>
      </c>
      <c r="Q2274">
        <f t="shared" si="296"/>
        <v>24</v>
      </c>
      <c r="R2274" t="str">
        <f t="shared" si="297"/>
        <v/>
      </c>
      <c r="S2274">
        <f>SUMIF(O2274:$O$2855,R2274,Q2274:$Q$2855)</f>
        <v>0</v>
      </c>
    </row>
    <row r="2275" spans="11:19" x14ac:dyDescent="0.25">
      <c r="K2275" s="4" t="s">
        <v>421</v>
      </c>
      <c r="L2275" t="s">
        <v>422</v>
      </c>
      <c r="M2275" t="s">
        <v>2458</v>
      </c>
      <c r="N2275" t="s">
        <v>126</v>
      </c>
      <c r="O2275" t="s">
        <v>138</v>
      </c>
      <c r="P2275" t="str">
        <f t="shared" si="295"/>
        <v>[1]</v>
      </c>
      <c r="Q2275">
        <f t="shared" si="296"/>
        <v>8</v>
      </c>
      <c r="R2275" t="str">
        <f t="shared" si="297"/>
        <v/>
      </c>
      <c r="S2275">
        <f>SUMIF(O2275:$O$2855,R2275,Q2275:$Q$2855)</f>
        <v>0</v>
      </c>
    </row>
    <row r="2276" spans="11:19" x14ac:dyDescent="0.25">
      <c r="K2276" s="4" t="s">
        <v>421</v>
      </c>
      <c r="L2276" t="s">
        <v>422</v>
      </c>
      <c r="M2276" t="s">
        <v>2459</v>
      </c>
      <c r="N2276" t="s">
        <v>126</v>
      </c>
      <c r="O2276" t="s">
        <v>138</v>
      </c>
      <c r="P2276" t="str">
        <f t="shared" si="295"/>
        <v>[1]</v>
      </c>
      <c r="Q2276">
        <f t="shared" si="296"/>
        <v>8</v>
      </c>
      <c r="R2276" t="str">
        <f t="shared" si="297"/>
        <v/>
      </c>
      <c r="S2276">
        <f>SUMIF(O2276:$O$2855,R2276,Q2276:$Q$2855)</f>
        <v>0</v>
      </c>
    </row>
    <row r="2277" spans="11:19" x14ac:dyDescent="0.25">
      <c r="K2277" s="4" t="s">
        <v>421</v>
      </c>
      <c r="L2277" t="s">
        <v>422</v>
      </c>
      <c r="M2277" t="s">
        <v>2460</v>
      </c>
      <c r="N2277" t="s">
        <v>165</v>
      </c>
      <c r="O2277" t="s">
        <v>138</v>
      </c>
      <c r="P2277" t="str">
        <f t="shared" si="295"/>
        <v>[1]</v>
      </c>
      <c r="Q2277">
        <f t="shared" si="296"/>
        <v>20</v>
      </c>
      <c r="R2277" t="str">
        <f t="shared" si="297"/>
        <v/>
      </c>
      <c r="S2277">
        <f>SUMIF(O2277:$O$2855,R2277,Q2277:$Q$2855)</f>
        <v>0</v>
      </c>
    </row>
    <row r="2278" spans="11:19" x14ac:dyDescent="0.25">
      <c r="K2278" s="4" t="s">
        <v>421</v>
      </c>
      <c r="L2278" t="s">
        <v>422</v>
      </c>
      <c r="M2278" t="s">
        <v>2461</v>
      </c>
      <c r="N2278" t="s">
        <v>165</v>
      </c>
      <c r="O2278" t="s">
        <v>138</v>
      </c>
      <c r="P2278" t="str">
        <f t="shared" si="295"/>
        <v>[1]</v>
      </c>
      <c r="Q2278">
        <f t="shared" si="296"/>
        <v>20</v>
      </c>
      <c r="R2278" t="str">
        <f t="shared" si="297"/>
        <v/>
      </c>
      <c r="S2278">
        <f>SUMIF(O2278:$O$2855,R2278,Q2278:$Q$2855)</f>
        <v>0</v>
      </c>
    </row>
    <row r="2279" spans="11:19" x14ac:dyDescent="0.25">
      <c r="K2279" s="4" t="s">
        <v>421</v>
      </c>
      <c r="L2279" t="s">
        <v>422</v>
      </c>
      <c r="M2279" t="s">
        <v>2462</v>
      </c>
      <c r="N2279" t="s">
        <v>165</v>
      </c>
      <c r="O2279" t="s">
        <v>138</v>
      </c>
      <c r="P2279" t="str">
        <f t="shared" si="295"/>
        <v>[1]</v>
      </c>
      <c r="Q2279">
        <f t="shared" si="296"/>
        <v>20</v>
      </c>
      <c r="R2279" t="str">
        <f t="shared" si="297"/>
        <v/>
      </c>
      <c r="S2279">
        <f>SUMIF(O2279:$O$2855,R2279,Q2279:$Q$2855)</f>
        <v>0</v>
      </c>
    </row>
    <row r="2280" spans="11:19" x14ac:dyDescent="0.25">
      <c r="K2280" s="4" t="s">
        <v>421</v>
      </c>
      <c r="L2280" t="s">
        <v>422</v>
      </c>
      <c r="M2280" t="s">
        <v>2463</v>
      </c>
      <c r="N2280" t="s">
        <v>165</v>
      </c>
      <c r="O2280" t="s">
        <v>138</v>
      </c>
      <c r="P2280" t="str">
        <f t="shared" si="295"/>
        <v>[1]</v>
      </c>
      <c r="Q2280">
        <f t="shared" si="296"/>
        <v>20</v>
      </c>
      <c r="R2280" t="str">
        <f t="shared" si="297"/>
        <v/>
      </c>
      <c r="S2280">
        <f>SUMIF(O2280:$O$2855,R2280,Q2280:$Q$2855)</f>
        <v>0</v>
      </c>
    </row>
    <row r="2281" spans="11:19" x14ac:dyDescent="0.25">
      <c r="K2281" s="4" t="s">
        <v>421</v>
      </c>
      <c r="L2281" t="s">
        <v>422</v>
      </c>
      <c r="M2281" t="s">
        <v>2464</v>
      </c>
      <c r="N2281" t="s">
        <v>165</v>
      </c>
      <c r="O2281" t="s">
        <v>138</v>
      </c>
      <c r="P2281" t="str">
        <f t="shared" si="295"/>
        <v>[1]</v>
      </c>
      <c r="Q2281">
        <f t="shared" si="296"/>
        <v>20</v>
      </c>
      <c r="R2281" t="str">
        <f t="shared" si="297"/>
        <v/>
      </c>
      <c r="S2281">
        <f>SUMIF(O2281:$O$2855,R2281,Q2281:$Q$2855)</f>
        <v>0</v>
      </c>
    </row>
    <row r="2282" spans="11:19" x14ac:dyDescent="0.25">
      <c r="K2282" s="4" t="s">
        <v>421</v>
      </c>
      <c r="L2282" t="s">
        <v>422</v>
      </c>
      <c r="M2282" t="s">
        <v>2465</v>
      </c>
      <c r="N2282" t="s">
        <v>119</v>
      </c>
      <c r="O2282" t="s">
        <v>138</v>
      </c>
      <c r="P2282" t="str">
        <f t="shared" si="295"/>
        <v>[1]</v>
      </c>
      <c r="Q2282">
        <f t="shared" si="296"/>
        <v>32</v>
      </c>
      <c r="R2282" t="str">
        <f t="shared" si="297"/>
        <v/>
      </c>
      <c r="S2282">
        <f>SUMIF(O2282:$O$2855,R2282,Q2282:$Q$2855)</f>
        <v>0</v>
      </c>
    </row>
    <row r="2283" spans="11:19" x14ac:dyDescent="0.25">
      <c r="K2283" s="4" t="s">
        <v>421</v>
      </c>
      <c r="L2283" t="s">
        <v>422</v>
      </c>
      <c r="M2283" t="s">
        <v>2466</v>
      </c>
      <c r="N2283" t="s">
        <v>437</v>
      </c>
      <c r="O2283" t="s">
        <v>138</v>
      </c>
      <c r="P2283" t="str">
        <f t="shared" si="295"/>
        <v>[1]</v>
      </c>
      <c r="Q2283">
        <f t="shared" si="296"/>
        <v>24</v>
      </c>
      <c r="R2283" t="str">
        <f t="shared" si="297"/>
        <v/>
      </c>
      <c r="S2283">
        <f>SUMIF(O2283:$O$2855,R2283,Q2283:$Q$2855)</f>
        <v>0</v>
      </c>
    </row>
    <row r="2284" spans="11:19" x14ac:dyDescent="0.25">
      <c r="K2284" s="4" t="s">
        <v>421</v>
      </c>
      <c r="L2284" t="s">
        <v>422</v>
      </c>
      <c r="M2284" t="s">
        <v>2467</v>
      </c>
      <c r="N2284" t="s">
        <v>76</v>
      </c>
      <c r="O2284" t="s">
        <v>138</v>
      </c>
      <c r="P2284" t="str">
        <f t="shared" si="295"/>
        <v>[1]</v>
      </c>
      <c r="Q2284">
        <f t="shared" si="296"/>
        <v>36</v>
      </c>
      <c r="R2284" t="str">
        <f t="shared" si="297"/>
        <v/>
      </c>
      <c r="S2284">
        <f>SUMIF(O2284:$O$2855,R2284,Q2284:$Q$2855)</f>
        <v>0</v>
      </c>
    </row>
    <row r="2285" spans="11:19" x14ac:dyDescent="0.25">
      <c r="K2285" s="4" t="s">
        <v>421</v>
      </c>
      <c r="L2285" t="s">
        <v>422</v>
      </c>
      <c r="M2285" t="s">
        <v>2468</v>
      </c>
      <c r="N2285" t="s">
        <v>165</v>
      </c>
      <c r="O2285" t="s">
        <v>138</v>
      </c>
      <c r="P2285" t="str">
        <f t="shared" si="295"/>
        <v>[1]</v>
      </c>
      <c r="Q2285">
        <f t="shared" si="296"/>
        <v>20</v>
      </c>
      <c r="R2285" t="str">
        <f t="shared" si="297"/>
        <v/>
      </c>
      <c r="S2285">
        <f>SUMIF(O2285:$O$2855,R2285,Q2285:$Q$2855)</f>
        <v>0</v>
      </c>
    </row>
    <row r="2286" spans="11:19" x14ac:dyDescent="0.25">
      <c r="K2286" s="4" t="s">
        <v>421</v>
      </c>
      <c r="L2286" t="s">
        <v>422</v>
      </c>
      <c r="M2286" t="s">
        <v>2469</v>
      </c>
      <c r="N2286" t="s">
        <v>13</v>
      </c>
      <c r="O2286" t="s">
        <v>138</v>
      </c>
      <c r="P2286" t="str">
        <f t="shared" si="295"/>
        <v>[1]</v>
      </c>
      <c r="Q2286">
        <f t="shared" si="296"/>
        <v>12</v>
      </c>
      <c r="R2286" t="str">
        <f t="shared" si="297"/>
        <v/>
      </c>
      <c r="S2286">
        <f>SUMIF(O2286:$O$2855,R2286,Q2286:$Q$2855)</f>
        <v>0</v>
      </c>
    </row>
    <row r="2287" spans="11:19" x14ac:dyDescent="0.25">
      <c r="K2287" s="4" t="s">
        <v>421</v>
      </c>
      <c r="L2287" t="s">
        <v>422</v>
      </c>
      <c r="M2287" t="s">
        <v>2470</v>
      </c>
      <c r="N2287" t="s">
        <v>126</v>
      </c>
      <c r="O2287" t="s">
        <v>138</v>
      </c>
      <c r="P2287" t="str">
        <f t="shared" si="295"/>
        <v>[1]</v>
      </c>
      <c r="Q2287">
        <f t="shared" si="296"/>
        <v>8</v>
      </c>
      <c r="R2287" t="str">
        <f t="shared" si="297"/>
        <v/>
      </c>
      <c r="S2287">
        <f>SUMIF(O2287:$O$2855,R2287,Q2287:$Q$2855)</f>
        <v>0</v>
      </c>
    </row>
    <row r="2288" spans="11:19" x14ac:dyDescent="0.25">
      <c r="K2288" s="4" t="s">
        <v>421</v>
      </c>
      <c r="L2288" t="s">
        <v>422</v>
      </c>
      <c r="M2288" t="s">
        <v>2471</v>
      </c>
      <c r="N2288" t="s">
        <v>202</v>
      </c>
      <c r="O2288" t="s">
        <v>138</v>
      </c>
      <c r="P2288" t="str">
        <f t="shared" si="295"/>
        <v>[1]</v>
      </c>
      <c r="Q2288">
        <f t="shared" si="296"/>
        <v>16</v>
      </c>
      <c r="R2288" t="str">
        <f t="shared" si="297"/>
        <v/>
      </c>
      <c r="S2288">
        <f>SUMIF(O2288:$O$2855,R2288,Q2288:$Q$2855)</f>
        <v>0</v>
      </c>
    </row>
    <row r="2289" spans="11:19" x14ac:dyDescent="0.25">
      <c r="K2289" s="4" t="s">
        <v>421</v>
      </c>
      <c r="L2289" t="s">
        <v>422</v>
      </c>
      <c r="M2289" t="s">
        <v>2472</v>
      </c>
      <c r="N2289" t="s">
        <v>437</v>
      </c>
      <c r="O2289" t="s">
        <v>138</v>
      </c>
      <c r="P2289" t="str">
        <f t="shared" si="295"/>
        <v>[1]</v>
      </c>
      <c r="Q2289">
        <f t="shared" si="296"/>
        <v>24</v>
      </c>
      <c r="R2289" t="str">
        <f t="shared" si="297"/>
        <v/>
      </c>
      <c r="S2289">
        <f>SUMIF(O2289:$O$2855,R2289,Q2289:$Q$2855)</f>
        <v>0</v>
      </c>
    </row>
    <row r="2290" spans="11:19" x14ac:dyDescent="0.25">
      <c r="K2290" s="4" t="s">
        <v>421</v>
      </c>
      <c r="L2290" t="s">
        <v>422</v>
      </c>
      <c r="M2290" t="s">
        <v>2473</v>
      </c>
      <c r="N2290" t="s">
        <v>67</v>
      </c>
      <c r="O2290" t="s">
        <v>138</v>
      </c>
      <c r="P2290" t="str">
        <f t="shared" si="295"/>
        <v>[1]</v>
      </c>
      <c r="Q2290">
        <f t="shared" si="296"/>
        <v>48</v>
      </c>
      <c r="R2290" t="str">
        <f t="shared" si="297"/>
        <v/>
      </c>
      <c r="S2290">
        <f>SUMIF(O2290:$O$2855,R2290,Q2290:$Q$2855)</f>
        <v>0</v>
      </c>
    </row>
    <row r="2291" spans="11:19" x14ac:dyDescent="0.25">
      <c r="K2291" s="4" t="s">
        <v>421</v>
      </c>
      <c r="L2291" t="s">
        <v>422</v>
      </c>
      <c r="M2291" t="s">
        <v>2474</v>
      </c>
      <c r="N2291" t="s">
        <v>67</v>
      </c>
      <c r="O2291" t="s">
        <v>138</v>
      </c>
      <c r="P2291" t="str">
        <f t="shared" si="295"/>
        <v>[1]</v>
      </c>
      <c r="Q2291">
        <f t="shared" si="296"/>
        <v>48</v>
      </c>
      <c r="R2291" t="str">
        <f t="shared" si="297"/>
        <v/>
      </c>
      <c r="S2291">
        <f>SUMIF(O2291:$O$2855,R2291,Q2291:$Q$2855)</f>
        <v>0</v>
      </c>
    </row>
    <row r="2292" spans="11:19" x14ac:dyDescent="0.25">
      <c r="K2292" s="4" t="s">
        <v>421</v>
      </c>
      <c r="L2292" t="s">
        <v>422</v>
      </c>
      <c r="M2292" t="s">
        <v>2475</v>
      </c>
      <c r="N2292" t="s">
        <v>202</v>
      </c>
      <c r="O2292" t="s">
        <v>138</v>
      </c>
      <c r="P2292" t="str">
        <f t="shared" si="295"/>
        <v>[1]</v>
      </c>
      <c r="Q2292">
        <f t="shared" si="296"/>
        <v>16</v>
      </c>
      <c r="R2292" t="str">
        <f t="shared" si="297"/>
        <v/>
      </c>
      <c r="S2292">
        <f>SUMIF(O2292:$O$2855,R2292,Q2292:$Q$2855)</f>
        <v>0</v>
      </c>
    </row>
    <row r="2293" spans="11:19" x14ac:dyDescent="0.25">
      <c r="K2293" s="4" t="s">
        <v>421</v>
      </c>
      <c r="L2293" t="s">
        <v>422</v>
      </c>
      <c r="M2293" t="s">
        <v>2476</v>
      </c>
      <c r="N2293" t="s">
        <v>165</v>
      </c>
      <c r="O2293" t="s">
        <v>138</v>
      </c>
      <c r="P2293" t="str">
        <f t="shared" si="295"/>
        <v>[1]</v>
      </c>
      <c r="Q2293">
        <f t="shared" si="296"/>
        <v>20</v>
      </c>
      <c r="R2293" t="str">
        <f t="shared" si="297"/>
        <v/>
      </c>
      <c r="S2293">
        <f>SUMIF(O2293:$O$2855,R2293,Q2293:$Q$2855)</f>
        <v>0</v>
      </c>
    </row>
    <row r="2294" spans="11:19" x14ac:dyDescent="0.25">
      <c r="K2294" s="4" t="s">
        <v>421</v>
      </c>
      <c r="L2294" t="s">
        <v>422</v>
      </c>
      <c r="M2294" t="s">
        <v>2477</v>
      </c>
      <c r="N2294" t="s">
        <v>6</v>
      </c>
      <c r="O2294" t="s">
        <v>138</v>
      </c>
      <c r="P2294" t="str">
        <f t="shared" si="295"/>
        <v>[1]</v>
      </c>
      <c r="Q2294">
        <f t="shared" si="296"/>
        <v>28</v>
      </c>
      <c r="R2294" t="str">
        <f t="shared" si="297"/>
        <v/>
      </c>
      <c r="S2294">
        <f>SUMIF(O2294:$O$2855,R2294,Q2294:$Q$2855)</f>
        <v>0</v>
      </c>
    </row>
    <row r="2295" spans="11:19" x14ac:dyDescent="0.25">
      <c r="K2295" s="4" t="s">
        <v>421</v>
      </c>
      <c r="L2295" t="s">
        <v>422</v>
      </c>
      <c r="M2295" t="s">
        <v>2478</v>
      </c>
      <c r="N2295" t="s">
        <v>202</v>
      </c>
      <c r="O2295" t="s">
        <v>138</v>
      </c>
      <c r="P2295" t="str">
        <f t="shared" si="295"/>
        <v>[1]</v>
      </c>
      <c r="Q2295">
        <f t="shared" si="296"/>
        <v>16</v>
      </c>
      <c r="R2295" t="str">
        <f t="shared" si="297"/>
        <v/>
      </c>
      <c r="S2295">
        <f>SUMIF(O2295:$O$2855,R2295,Q2295:$Q$2855)</f>
        <v>0</v>
      </c>
    </row>
    <row r="2296" spans="11:19" x14ac:dyDescent="0.25">
      <c r="K2296" s="4" t="s">
        <v>421</v>
      </c>
      <c r="L2296" t="s">
        <v>422</v>
      </c>
      <c r="M2296" t="s">
        <v>2479</v>
      </c>
      <c r="N2296" t="s">
        <v>165</v>
      </c>
      <c r="O2296" t="s">
        <v>138</v>
      </c>
      <c r="P2296" t="str">
        <f t="shared" si="295"/>
        <v>[1]</v>
      </c>
      <c r="Q2296">
        <f t="shared" si="296"/>
        <v>20</v>
      </c>
      <c r="R2296" t="str">
        <f t="shared" si="297"/>
        <v/>
      </c>
      <c r="S2296">
        <f>SUMIF(O2296:$O$2855,R2296,Q2296:$Q$2855)</f>
        <v>0</v>
      </c>
    </row>
    <row r="2297" spans="11:19" x14ac:dyDescent="0.25">
      <c r="K2297" s="4" t="s">
        <v>421</v>
      </c>
      <c r="L2297" t="s">
        <v>422</v>
      </c>
      <c r="M2297" t="s">
        <v>2480</v>
      </c>
      <c r="N2297" t="s">
        <v>165</v>
      </c>
      <c r="O2297" t="s">
        <v>138</v>
      </c>
      <c r="P2297" t="str">
        <f t="shared" si="295"/>
        <v>[1]</v>
      </c>
      <c r="Q2297">
        <f t="shared" si="296"/>
        <v>20</v>
      </c>
      <c r="R2297" t="str">
        <f t="shared" si="297"/>
        <v/>
      </c>
      <c r="S2297">
        <f>SUMIF(O2297:$O$2855,R2297,Q2297:$Q$2855)</f>
        <v>0</v>
      </c>
    </row>
    <row r="2298" spans="11:19" x14ac:dyDescent="0.25">
      <c r="K2298" s="4" t="s">
        <v>421</v>
      </c>
      <c r="L2298" t="s">
        <v>422</v>
      </c>
      <c r="M2298" t="s">
        <v>2481</v>
      </c>
      <c r="N2298" t="s">
        <v>6</v>
      </c>
      <c r="O2298" t="s">
        <v>138</v>
      </c>
      <c r="P2298" t="str">
        <f t="shared" si="295"/>
        <v>[1]</v>
      </c>
      <c r="Q2298">
        <f t="shared" si="296"/>
        <v>28</v>
      </c>
      <c r="R2298" t="str">
        <f t="shared" si="297"/>
        <v/>
      </c>
      <c r="S2298">
        <f>SUMIF(O2298:$O$2855,R2298,Q2298:$Q$2855)</f>
        <v>0</v>
      </c>
    </row>
    <row r="2299" spans="11:19" x14ac:dyDescent="0.25">
      <c r="K2299" s="4" t="s">
        <v>421</v>
      </c>
      <c r="L2299" t="s">
        <v>422</v>
      </c>
      <c r="M2299" t="s">
        <v>2482</v>
      </c>
      <c r="N2299" t="s">
        <v>6</v>
      </c>
      <c r="O2299" t="s">
        <v>138</v>
      </c>
      <c r="P2299" t="str">
        <f t="shared" si="295"/>
        <v>[1]</v>
      </c>
      <c r="Q2299">
        <f t="shared" si="296"/>
        <v>28</v>
      </c>
      <c r="R2299" t="str">
        <f t="shared" si="297"/>
        <v/>
      </c>
      <c r="S2299">
        <f>SUMIF(O2299:$O$2855,R2299,Q2299:$Q$2855)</f>
        <v>0</v>
      </c>
    </row>
    <row r="2300" spans="11:19" x14ac:dyDescent="0.25">
      <c r="K2300" s="4" t="s">
        <v>421</v>
      </c>
      <c r="L2300" t="s">
        <v>422</v>
      </c>
      <c r="M2300" t="s">
        <v>2483</v>
      </c>
      <c r="N2300" t="s">
        <v>165</v>
      </c>
      <c r="O2300" t="s">
        <v>138</v>
      </c>
      <c r="P2300" t="str">
        <f t="shared" si="295"/>
        <v>[1]</v>
      </c>
      <c r="Q2300">
        <f t="shared" si="296"/>
        <v>20</v>
      </c>
      <c r="R2300" t="str">
        <f t="shared" si="297"/>
        <v/>
      </c>
      <c r="S2300">
        <f>SUMIF(O2300:$O$2855,R2300,Q2300:$Q$2855)</f>
        <v>0</v>
      </c>
    </row>
    <row r="2301" spans="11:19" x14ac:dyDescent="0.25">
      <c r="K2301" s="4" t="s">
        <v>421</v>
      </c>
      <c r="L2301" t="s">
        <v>422</v>
      </c>
      <c r="M2301" t="s">
        <v>2484</v>
      </c>
      <c r="N2301" t="s">
        <v>165</v>
      </c>
      <c r="O2301" t="s">
        <v>138</v>
      </c>
      <c r="P2301" t="str">
        <f t="shared" si="295"/>
        <v>[1]</v>
      </c>
      <c r="Q2301">
        <f t="shared" si="296"/>
        <v>20</v>
      </c>
      <c r="R2301" t="str">
        <f t="shared" si="297"/>
        <v/>
      </c>
      <c r="S2301">
        <f>SUMIF(O2301:$O$2855,R2301,Q2301:$Q$2855)</f>
        <v>0</v>
      </c>
    </row>
    <row r="2302" spans="11:19" x14ac:dyDescent="0.25">
      <c r="K2302" s="4" t="s">
        <v>421</v>
      </c>
      <c r="L2302" t="s">
        <v>422</v>
      </c>
      <c r="M2302" t="s">
        <v>2485</v>
      </c>
      <c r="N2302" t="s">
        <v>165</v>
      </c>
      <c r="O2302" t="s">
        <v>138</v>
      </c>
      <c r="P2302" t="str">
        <f t="shared" si="295"/>
        <v>[1]</v>
      </c>
      <c r="Q2302">
        <f t="shared" si="296"/>
        <v>20</v>
      </c>
      <c r="R2302" t="str">
        <f t="shared" si="297"/>
        <v/>
      </c>
      <c r="S2302">
        <f>SUMIF(O2302:$O$2855,R2302,Q2302:$Q$2855)</f>
        <v>0</v>
      </c>
    </row>
    <row r="2303" spans="11:19" x14ac:dyDescent="0.25">
      <c r="K2303" s="4" t="s">
        <v>421</v>
      </c>
      <c r="L2303" t="s">
        <v>422</v>
      </c>
      <c r="M2303" t="s">
        <v>2486</v>
      </c>
      <c r="N2303" t="s">
        <v>165</v>
      </c>
      <c r="O2303" t="s">
        <v>138</v>
      </c>
      <c r="P2303" t="str">
        <f t="shared" si="295"/>
        <v>[1]</v>
      </c>
      <c r="Q2303">
        <f t="shared" si="296"/>
        <v>20</v>
      </c>
      <c r="R2303" t="str">
        <f t="shared" si="297"/>
        <v/>
      </c>
      <c r="S2303">
        <f>SUMIF(O2303:$O$2855,R2303,Q2303:$Q$2855)</f>
        <v>0</v>
      </c>
    </row>
    <row r="2304" spans="11:19" x14ac:dyDescent="0.25">
      <c r="K2304" s="4" t="s">
        <v>421</v>
      </c>
      <c r="L2304" t="s">
        <v>422</v>
      </c>
      <c r="M2304" t="s">
        <v>2487</v>
      </c>
      <c r="N2304" t="s">
        <v>119</v>
      </c>
      <c r="O2304" t="s">
        <v>138</v>
      </c>
      <c r="P2304" t="str">
        <f t="shared" si="295"/>
        <v>[1]</v>
      </c>
      <c r="Q2304">
        <f t="shared" si="296"/>
        <v>32</v>
      </c>
      <c r="R2304" t="str">
        <f t="shared" si="297"/>
        <v/>
      </c>
      <c r="S2304">
        <f>SUMIF(O2304:$O$2855,R2304,Q2304:$Q$2855)</f>
        <v>0</v>
      </c>
    </row>
    <row r="2305" spans="11:19" x14ac:dyDescent="0.25">
      <c r="K2305" s="4" t="s">
        <v>421</v>
      </c>
      <c r="L2305" t="s">
        <v>422</v>
      </c>
      <c r="M2305" t="s">
        <v>2488</v>
      </c>
      <c r="N2305" t="s">
        <v>437</v>
      </c>
      <c r="O2305" t="s">
        <v>138</v>
      </c>
      <c r="P2305" t="str">
        <f t="shared" si="295"/>
        <v>[1]</v>
      </c>
      <c r="Q2305">
        <f t="shared" si="296"/>
        <v>24</v>
      </c>
      <c r="R2305" t="str">
        <f t="shared" si="297"/>
        <v/>
      </c>
      <c r="S2305">
        <f>SUMIF(O2305:$O$2855,R2305,Q2305:$Q$2855)</f>
        <v>0</v>
      </c>
    </row>
    <row r="2306" spans="11:19" x14ac:dyDescent="0.25">
      <c r="K2306" s="4" t="s">
        <v>421</v>
      </c>
      <c r="L2306" t="s">
        <v>422</v>
      </c>
      <c r="M2306" t="s">
        <v>2489</v>
      </c>
      <c r="N2306" t="s">
        <v>165</v>
      </c>
      <c r="O2306" t="s">
        <v>138</v>
      </c>
      <c r="P2306" t="str">
        <f t="shared" ref="P2306:P2369" si="298">VLOOKUP($K$30,$E$1:$F$26,2,FALSE)</f>
        <v>[1]</v>
      </c>
      <c r="Q2306">
        <f t="shared" si="296"/>
        <v>20</v>
      </c>
      <c r="R2306" t="str">
        <f t="shared" si="297"/>
        <v/>
      </c>
      <c r="S2306">
        <f>SUMIF(O2306:$O$2855,R2306,Q2306:$Q$2855)</f>
        <v>0</v>
      </c>
    </row>
    <row r="2307" spans="11:19" x14ac:dyDescent="0.25">
      <c r="K2307" s="4" t="s">
        <v>421</v>
      </c>
      <c r="L2307" t="s">
        <v>422</v>
      </c>
      <c r="M2307" t="s">
        <v>2490</v>
      </c>
      <c r="N2307" t="s">
        <v>202</v>
      </c>
      <c r="O2307" t="s">
        <v>138</v>
      </c>
      <c r="P2307" t="str">
        <f t="shared" si="298"/>
        <v>[1]</v>
      </c>
      <c r="Q2307">
        <f t="shared" ref="Q2307:Q2370" si="299">HEX2DEC(MID(N2307,3,LEN(N2307)-2))</f>
        <v>16</v>
      </c>
      <c r="R2307" t="str">
        <f t="shared" si="297"/>
        <v/>
      </c>
      <c r="S2307">
        <f>SUMIF(O2307:$O$2855,R2307,Q2307:$Q$2855)</f>
        <v>0</v>
      </c>
    </row>
    <row r="2308" spans="11:19" x14ac:dyDescent="0.25">
      <c r="K2308" s="4" t="s">
        <v>421</v>
      </c>
      <c r="L2308" t="s">
        <v>422</v>
      </c>
      <c r="M2308" t="s">
        <v>2491</v>
      </c>
      <c r="N2308" t="s">
        <v>165</v>
      </c>
      <c r="O2308" s="32" t="s">
        <v>138</v>
      </c>
      <c r="P2308" t="str">
        <f t="shared" si="298"/>
        <v>[1]</v>
      </c>
      <c r="Q2308">
        <f t="shared" si="299"/>
        <v>20</v>
      </c>
      <c r="R2308" t="str">
        <f t="shared" si="297"/>
        <v/>
      </c>
      <c r="S2308">
        <f>SUMIF(O2308:$O$2855,R2308,Q2308:$Q$2855)</f>
        <v>0</v>
      </c>
    </row>
    <row r="2309" spans="11:19" x14ac:dyDescent="0.25">
      <c r="K2309" s="4" t="s">
        <v>421</v>
      </c>
      <c r="L2309" t="s">
        <v>422</v>
      </c>
      <c r="M2309" t="s">
        <v>2492</v>
      </c>
      <c r="N2309" t="s">
        <v>165</v>
      </c>
      <c r="O2309" t="s">
        <v>138</v>
      </c>
      <c r="P2309" t="str">
        <f t="shared" si="298"/>
        <v>[1]</v>
      </c>
      <c r="Q2309">
        <f t="shared" si="299"/>
        <v>20</v>
      </c>
      <c r="R2309" t="str">
        <f t="shared" si="297"/>
        <v/>
      </c>
      <c r="S2309">
        <f>SUMIF(O2309:$O$2855,R2309,Q2309:$Q$2855)</f>
        <v>0</v>
      </c>
    </row>
    <row r="2310" spans="11:19" x14ac:dyDescent="0.25">
      <c r="K2310" s="4" t="s">
        <v>421</v>
      </c>
      <c r="L2310" t="s">
        <v>422</v>
      </c>
      <c r="M2310" t="s">
        <v>2493</v>
      </c>
      <c r="N2310" t="s">
        <v>165</v>
      </c>
      <c r="O2310" t="s">
        <v>138</v>
      </c>
      <c r="P2310" t="str">
        <f t="shared" si="298"/>
        <v>[1]</v>
      </c>
      <c r="Q2310">
        <f t="shared" si="299"/>
        <v>20</v>
      </c>
      <c r="R2310" t="str">
        <f t="shared" si="297"/>
        <v/>
      </c>
      <c r="S2310">
        <f>SUMIF(O2310:$O$2855,R2310,Q2310:$Q$2855)</f>
        <v>0</v>
      </c>
    </row>
    <row r="2311" spans="11:19" x14ac:dyDescent="0.25">
      <c r="K2311" s="4" t="s">
        <v>421</v>
      </c>
      <c r="L2311" t="s">
        <v>422</v>
      </c>
      <c r="M2311" t="s">
        <v>2494</v>
      </c>
      <c r="N2311" t="s">
        <v>119</v>
      </c>
      <c r="O2311" t="s">
        <v>138</v>
      </c>
      <c r="P2311" t="str">
        <f t="shared" si="298"/>
        <v>[1]</v>
      </c>
      <c r="Q2311">
        <f t="shared" si="299"/>
        <v>32</v>
      </c>
      <c r="R2311" t="str">
        <f t="shared" si="297"/>
        <v/>
      </c>
      <c r="S2311">
        <f>SUMIF(O2311:$O$2855,R2311,Q2311:$Q$2855)</f>
        <v>0</v>
      </c>
    </row>
    <row r="2312" spans="11:19" x14ac:dyDescent="0.25">
      <c r="K2312" s="4" t="s">
        <v>421</v>
      </c>
      <c r="L2312" t="s">
        <v>422</v>
      </c>
      <c r="M2312" t="s">
        <v>2495</v>
      </c>
      <c r="N2312" t="s">
        <v>6</v>
      </c>
      <c r="O2312" t="s">
        <v>138</v>
      </c>
      <c r="P2312" t="str">
        <f t="shared" si="298"/>
        <v>[1]</v>
      </c>
      <c r="Q2312">
        <f t="shared" si="299"/>
        <v>28</v>
      </c>
      <c r="R2312" t="str">
        <f t="shared" si="297"/>
        <v/>
      </c>
      <c r="S2312">
        <f>SUMIF(O2312:$O$2855,R2312,Q2312:$Q$2855)</f>
        <v>0</v>
      </c>
    </row>
    <row r="2313" spans="11:19" x14ac:dyDescent="0.25">
      <c r="K2313" s="4" t="s">
        <v>421</v>
      </c>
      <c r="L2313" t="s">
        <v>422</v>
      </c>
      <c r="M2313" t="s">
        <v>2496</v>
      </c>
      <c r="N2313" t="s">
        <v>6</v>
      </c>
      <c r="O2313" t="s">
        <v>138</v>
      </c>
      <c r="P2313" t="str">
        <f t="shared" si="298"/>
        <v>[1]</v>
      </c>
      <c r="Q2313">
        <f t="shared" si="299"/>
        <v>28</v>
      </c>
      <c r="R2313" t="str">
        <f t="shared" si="297"/>
        <v/>
      </c>
      <c r="S2313">
        <f>SUMIF(O2313:$O$2855,R2313,Q2313:$Q$2855)</f>
        <v>0</v>
      </c>
    </row>
    <row r="2314" spans="11:19" x14ac:dyDescent="0.25">
      <c r="K2314" s="4" t="s">
        <v>421</v>
      </c>
      <c r="L2314" t="s">
        <v>422</v>
      </c>
      <c r="M2314" t="s">
        <v>2497</v>
      </c>
      <c r="N2314" t="s">
        <v>437</v>
      </c>
      <c r="O2314" t="s">
        <v>138</v>
      </c>
      <c r="P2314" t="str">
        <f t="shared" si="298"/>
        <v>[1]</v>
      </c>
      <c r="Q2314">
        <f t="shared" si="299"/>
        <v>24</v>
      </c>
      <c r="R2314" t="str">
        <f t="shared" si="297"/>
        <v/>
      </c>
      <c r="S2314">
        <f>SUMIF(O2314:$O$2855,R2314,Q2314:$Q$2855)</f>
        <v>0</v>
      </c>
    </row>
    <row r="2315" spans="11:19" x14ac:dyDescent="0.25">
      <c r="K2315" s="4" t="s">
        <v>421</v>
      </c>
      <c r="L2315" t="s">
        <v>422</v>
      </c>
      <c r="M2315" t="s">
        <v>2498</v>
      </c>
      <c r="N2315" t="s">
        <v>143</v>
      </c>
      <c r="O2315" t="s">
        <v>138</v>
      </c>
      <c r="P2315" t="str">
        <f t="shared" si="298"/>
        <v>[1]</v>
      </c>
      <c r="Q2315">
        <f t="shared" si="299"/>
        <v>84</v>
      </c>
      <c r="R2315" t="str">
        <f t="shared" si="297"/>
        <v/>
      </c>
      <c r="S2315">
        <f>SUMIF(O2315:$O$2855,R2315,Q2315:$Q$2855)</f>
        <v>0</v>
      </c>
    </row>
    <row r="2316" spans="11:19" x14ac:dyDescent="0.25">
      <c r="K2316" s="4" t="s">
        <v>421</v>
      </c>
      <c r="L2316" t="s">
        <v>422</v>
      </c>
      <c r="M2316" t="s">
        <v>2499</v>
      </c>
      <c r="N2316" t="s">
        <v>126</v>
      </c>
      <c r="O2316" t="s">
        <v>138</v>
      </c>
      <c r="P2316" t="str">
        <f t="shared" si="298"/>
        <v>[1]</v>
      </c>
      <c r="Q2316">
        <f t="shared" si="299"/>
        <v>8</v>
      </c>
      <c r="R2316" t="str">
        <f t="shared" si="297"/>
        <v/>
      </c>
      <c r="S2316">
        <f>SUMIF(O2316:$O$2855,R2316,Q2316:$Q$2855)</f>
        <v>0</v>
      </c>
    </row>
    <row r="2317" spans="11:19" x14ac:dyDescent="0.25">
      <c r="K2317" s="4" t="s">
        <v>421</v>
      </c>
      <c r="L2317" t="s">
        <v>422</v>
      </c>
      <c r="M2317" t="s">
        <v>2500</v>
      </c>
      <c r="N2317" t="s">
        <v>78</v>
      </c>
      <c r="O2317" t="s">
        <v>138</v>
      </c>
      <c r="P2317" t="str">
        <f t="shared" si="298"/>
        <v>[1]</v>
      </c>
      <c r="Q2317">
        <f t="shared" si="299"/>
        <v>4</v>
      </c>
      <c r="R2317" t="str">
        <f t="shared" si="297"/>
        <v/>
      </c>
      <c r="S2317">
        <f>SUMIF(O2317:$O$2855,R2317,Q2317:$Q$2855)</f>
        <v>0</v>
      </c>
    </row>
    <row r="2318" spans="11:19" x14ac:dyDescent="0.25">
      <c r="K2318" s="4" t="s">
        <v>421</v>
      </c>
      <c r="L2318" t="s">
        <v>422</v>
      </c>
      <c r="M2318" t="s">
        <v>1826</v>
      </c>
      <c r="N2318" t="s">
        <v>126</v>
      </c>
      <c r="O2318" t="s">
        <v>138</v>
      </c>
      <c r="P2318" t="str">
        <f t="shared" si="298"/>
        <v>[1]</v>
      </c>
      <c r="Q2318">
        <f t="shared" si="299"/>
        <v>8</v>
      </c>
      <c r="R2318" t="str">
        <f t="shared" si="297"/>
        <v/>
      </c>
      <c r="S2318">
        <f>SUMIF(O2318:$O$2855,R2318,Q2318:$Q$2855)</f>
        <v>0</v>
      </c>
    </row>
    <row r="2319" spans="11:19" x14ac:dyDescent="0.25">
      <c r="K2319" s="4" t="s">
        <v>421</v>
      </c>
      <c r="L2319" t="s">
        <v>422</v>
      </c>
      <c r="M2319" t="s">
        <v>2501</v>
      </c>
      <c r="N2319" t="s">
        <v>165</v>
      </c>
      <c r="O2319" t="s">
        <v>138</v>
      </c>
      <c r="P2319" t="str">
        <f t="shared" si="298"/>
        <v>[1]</v>
      </c>
      <c r="Q2319">
        <f t="shared" si="299"/>
        <v>20</v>
      </c>
      <c r="R2319" t="str">
        <f t="shared" si="297"/>
        <v/>
      </c>
      <c r="S2319">
        <f>SUMIF(O2319:$O$2855,R2319,Q2319:$Q$2855)</f>
        <v>0</v>
      </c>
    </row>
    <row r="2320" spans="11:19" x14ac:dyDescent="0.25">
      <c r="K2320" s="4" t="s">
        <v>421</v>
      </c>
      <c r="L2320" t="s">
        <v>422</v>
      </c>
      <c r="M2320" t="s">
        <v>2502</v>
      </c>
      <c r="N2320" t="s">
        <v>442</v>
      </c>
      <c r="O2320" t="s">
        <v>138</v>
      </c>
      <c r="P2320" t="str">
        <f t="shared" si="298"/>
        <v>[1]</v>
      </c>
      <c r="Q2320">
        <f t="shared" si="299"/>
        <v>1</v>
      </c>
      <c r="R2320" t="str">
        <f t="shared" si="297"/>
        <v/>
      </c>
      <c r="S2320">
        <f>SUMIF(O2320:$O$2855,R2320,Q2320:$Q$2855)</f>
        <v>0</v>
      </c>
    </row>
    <row r="2321" spans="11:19" x14ac:dyDescent="0.25">
      <c r="K2321" s="4" t="s">
        <v>421</v>
      </c>
      <c r="L2321" t="s">
        <v>422</v>
      </c>
      <c r="M2321" t="s">
        <v>2503</v>
      </c>
      <c r="N2321" t="s">
        <v>442</v>
      </c>
      <c r="O2321" t="s">
        <v>138</v>
      </c>
      <c r="P2321" t="str">
        <f t="shared" si="298"/>
        <v>[1]</v>
      </c>
      <c r="Q2321">
        <f t="shared" si="299"/>
        <v>1</v>
      </c>
      <c r="R2321" t="str">
        <f t="shared" si="297"/>
        <v/>
      </c>
      <c r="S2321">
        <f>SUMIF(O2321:$O$2855,R2321,Q2321:$Q$2855)</f>
        <v>0</v>
      </c>
    </row>
    <row r="2322" spans="11:19" x14ac:dyDescent="0.25">
      <c r="K2322" s="4" t="s">
        <v>421</v>
      </c>
      <c r="L2322" t="s">
        <v>422</v>
      </c>
      <c r="M2322" t="s">
        <v>2504</v>
      </c>
      <c r="N2322" t="s">
        <v>442</v>
      </c>
      <c r="O2322" t="s">
        <v>138</v>
      </c>
      <c r="P2322" t="str">
        <f t="shared" si="298"/>
        <v>[1]</v>
      </c>
      <c r="Q2322">
        <f t="shared" si="299"/>
        <v>1</v>
      </c>
      <c r="R2322" t="str">
        <f t="shared" si="297"/>
        <v/>
      </c>
      <c r="S2322">
        <f>SUMIF(O2322:$O$2855,R2322,Q2322:$Q$2855)</f>
        <v>0</v>
      </c>
    </row>
    <row r="2323" spans="11:19" x14ac:dyDescent="0.25">
      <c r="K2323" s="4" t="s">
        <v>421</v>
      </c>
      <c r="L2323" t="s">
        <v>422</v>
      </c>
      <c r="M2323" t="s">
        <v>2505</v>
      </c>
      <c r="N2323" t="s">
        <v>442</v>
      </c>
      <c r="O2323" t="s">
        <v>138</v>
      </c>
      <c r="P2323" t="str">
        <f t="shared" si="298"/>
        <v>[1]</v>
      </c>
      <c r="Q2323">
        <f t="shared" si="299"/>
        <v>1</v>
      </c>
      <c r="R2323" t="str">
        <f t="shared" si="297"/>
        <v/>
      </c>
      <c r="S2323">
        <f>SUMIF(O2323:$O$2855,R2323,Q2323:$Q$2855)</f>
        <v>0</v>
      </c>
    </row>
    <row r="2324" spans="11:19" x14ac:dyDescent="0.25">
      <c r="K2324" s="4" t="s">
        <v>421</v>
      </c>
      <c r="L2324" t="s">
        <v>422</v>
      </c>
      <c r="M2324" t="s">
        <v>4020</v>
      </c>
      <c r="N2324" t="s">
        <v>124</v>
      </c>
      <c r="O2324" t="s">
        <v>133</v>
      </c>
      <c r="P2324" t="str">
        <f t="shared" si="298"/>
        <v>[1]</v>
      </c>
      <c r="Q2324">
        <f t="shared" si="299"/>
        <v>68</v>
      </c>
      <c r="R2324" t="str">
        <f t="shared" si="297"/>
        <v>stack_check.o</v>
      </c>
      <c r="S2324">
        <f>SUMIF(O2324:$O$2855,R2324,Q2324:$Q$2855)</f>
        <v>204</v>
      </c>
    </row>
    <row r="2325" spans="11:19" x14ac:dyDescent="0.25">
      <c r="K2325" s="4" t="s">
        <v>421</v>
      </c>
      <c r="L2325" t="s">
        <v>422</v>
      </c>
      <c r="M2325" t="s">
        <v>4021</v>
      </c>
      <c r="N2325" t="s">
        <v>44</v>
      </c>
      <c r="O2325" t="s">
        <v>133</v>
      </c>
      <c r="P2325" t="str">
        <f t="shared" si="298"/>
        <v>[1]</v>
      </c>
      <c r="Q2325">
        <f t="shared" si="299"/>
        <v>44</v>
      </c>
      <c r="R2325" t="str">
        <f t="shared" si="297"/>
        <v/>
      </c>
      <c r="S2325">
        <f>SUMIF(O2325:$O$2855,R2325,Q2325:$Q$2855)</f>
        <v>0</v>
      </c>
    </row>
    <row r="2326" spans="11:19" x14ac:dyDescent="0.25">
      <c r="K2326" s="4" t="s">
        <v>421</v>
      </c>
      <c r="L2326" t="s">
        <v>422</v>
      </c>
      <c r="M2326" t="s">
        <v>4022</v>
      </c>
      <c r="N2326" t="s">
        <v>211</v>
      </c>
      <c r="O2326" t="s">
        <v>133</v>
      </c>
      <c r="P2326" t="str">
        <f t="shared" si="298"/>
        <v>[1]</v>
      </c>
      <c r="Q2326">
        <f t="shared" si="299"/>
        <v>92</v>
      </c>
      <c r="R2326" t="str">
        <f t="shared" si="297"/>
        <v/>
      </c>
      <c r="S2326">
        <f>SUMIF(O2326:$O$2855,R2326,Q2326:$Q$2855)</f>
        <v>0</v>
      </c>
    </row>
    <row r="2327" spans="11:19" x14ac:dyDescent="0.25">
      <c r="K2327" s="4" t="s">
        <v>421</v>
      </c>
      <c r="L2327" t="s">
        <v>422</v>
      </c>
      <c r="M2327" t="s">
        <v>4188</v>
      </c>
      <c r="N2327" t="s">
        <v>13</v>
      </c>
      <c r="O2327" t="s">
        <v>198</v>
      </c>
      <c r="P2327" t="str">
        <f t="shared" si="298"/>
        <v>[1]</v>
      </c>
      <c r="Q2327">
        <f t="shared" si="299"/>
        <v>12</v>
      </c>
      <c r="R2327" t="str">
        <f t="shared" si="297"/>
        <v>STRT_Startup.o</v>
      </c>
      <c r="S2327">
        <f>SUMIF(O2327:$O$2855,R2327,Q2327:$Q$2855)</f>
        <v>1365</v>
      </c>
    </row>
    <row r="2328" spans="11:19" x14ac:dyDescent="0.25">
      <c r="K2328" s="4" t="s">
        <v>421</v>
      </c>
      <c r="L2328" t="s">
        <v>422</v>
      </c>
      <c r="M2328" t="s">
        <v>4189</v>
      </c>
      <c r="N2328" t="s">
        <v>437</v>
      </c>
      <c r="O2328" t="s">
        <v>198</v>
      </c>
      <c r="P2328" t="str">
        <f t="shared" si="298"/>
        <v>[1]</v>
      </c>
      <c r="Q2328">
        <f t="shared" si="299"/>
        <v>24</v>
      </c>
      <c r="R2328" t="str">
        <f t="shared" si="297"/>
        <v/>
      </c>
      <c r="S2328">
        <f>SUMIF(O2328:$O$2855,R2328,Q2328:$Q$2855)</f>
        <v>0</v>
      </c>
    </row>
    <row r="2329" spans="11:19" x14ac:dyDescent="0.25">
      <c r="K2329" s="4" t="s">
        <v>421</v>
      </c>
      <c r="L2329" t="s">
        <v>422</v>
      </c>
      <c r="M2329" t="s">
        <v>4190</v>
      </c>
      <c r="N2329" t="s">
        <v>13</v>
      </c>
      <c r="O2329" t="s">
        <v>198</v>
      </c>
      <c r="P2329" t="str">
        <f t="shared" si="298"/>
        <v>[1]</v>
      </c>
      <c r="Q2329">
        <f t="shared" si="299"/>
        <v>12</v>
      </c>
      <c r="R2329" t="str">
        <f t="shared" si="297"/>
        <v/>
      </c>
      <c r="S2329">
        <f>SUMIF(O2329:$O$2855,R2329,Q2329:$Q$2855)</f>
        <v>0</v>
      </c>
    </row>
    <row r="2330" spans="11:19" x14ac:dyDescent="0.25">
      <c r="K2330" s="4" t="s">
        <v>421</v>
      </c>
      <c r="L2330" t="s">
        <v>422</v>
      </c>
      <c r="M2330" t="s">
        <v>2006</v>
      </c>
      <c r="N2330" t="s">
        <v>202</v>
      </c>
      <c r="O2330" t="s">
        <v>198</v>
      </c>
      <c r="P2330" t="str">
        <f t="shared" si="298"/>
        <v>[1]</v>
      </c>
      <c r="Q2330">
        <f t="shared" si="299"/>
        <v>16</v>
      </c>
      <c r="R2330" t="str">
        <f t="shared" si="297"/>
        <v/>
      </c>
      <c r="S2330">
        <f>SUMIF(O2330:$O$2855,R2330,Q2330:$Q$2855)</f>
        <v>0</v>
      </c>
    </row>
    <row r="2331" spans="11:19" x14ac:dyDescent="0.25">
      <c r="K2331" s="4" t="s">
        <v>421</v>
      </c>
      <c r="L2331" t="s">
        <v>422</v>
      </c>
      <c r="M2331" t="s">
        <v>4191</v>
      </c>
      <c r="N2331" t="s">
        <v>13</v>
      </c>
      <c r="O2331" t="s">
        <v>198</v>
      </c>
      <c r="P2331" t="str">
        <f t="shared" si="298"/>
        <v>[1]</v>
      </c>
      <c r="Q2331">
        <f t="shared" si="299"/>
        <v>12</v>
      </c>
      <c r="R2331" t="str">
        <f t="shared" si="297"/>
        <v/>
      </c>
      <c r="S2331">
        <f>SUMIF(O2331:$O$2855,R2331,Q2331:$Q$2855)</f>
        <v>0</v>
      </c>
    </row>
    <row r="2332" spans="11:19" x14ac:dyDescent="0.25">
      <c r="K2332" s="4" t="s">
        <v>421</v>
      </c>
      <c r="L2332" t="s">
        <v>422</v>
      </c>
      <c r="M2332" t="s">
        <v>2007</v>
      </c>
      <c r="N2332" t="s">
        <v>126</v>
      </c>
      <c r="O2332" t="s">
        <v>198</v>
      </c>
      <c r="P2332" t="str">
        <f t="shared" si="298"/>
        <v>[1]</v>
      </c>
      <c r="Q2332">
        <f t="shared" si="299"/>
        <v>8</v>
      </c>
      <c r="R2332" t="str">
        <f t="shared" si="297"/>
        <v/>
      </c>
      <c r="S2332">
        <f>SUMIF(O2332:$O$2855,R2332,Q2332:$Q$2855)</f>
        <v>0</v>
      </c>
    </row>
    <row r="2333" spans="11:19" x14ac:dyDescent="0.25">
      <c r="K2333" s="4" t="s">
        <v>421</v>
      </c>
      <c r="L2333" t="s">
        <v>422</v>
      </c>
      <c r="M2333" t="s">
        <v>4192</v>
      </c>
      <c r="N2333" t="s">
        <v>13</v>
      </c>
      <c r="O2333" t="s">
        <v>198</v>
      </c>
      <c r="P2333" t="str">
        <f t="shared" si="298"/>
        <v>[1]</v>
      </c>
      <c r="Q2333">
        <f t="shared" si="299"/>
        <v>12</v>
      </c>
      <c r="R2333" t="str">
        <f t="shared" si="297"/>
        <v/>
      </c>
      <c r="S2333">
        <f>SUMIF(O2333:$O$2855,R2333,Q2333:$Q$2855)</f>
        <v>0</v>
      </c>
    </row>
    <row r="2334" spans="11:19" x14ac:dyDescent="0.25">
      <c r="K2334" s="4" t="s">
        <v>421</v>
      </c>
      <c r="L2334" t="s">
        <v>422</v>
      </c>
      <c r="M2334" t="s">
        <v>4193</v>
      </c>
      <c r="N2334" t="s">
        <v>202</v>
      </c>
      <c r="O2334" t="s">
        <v>198</v>
      </c>
      <c r="P2334" t="str">
        <f t="shared" si="298"/>
        <v>[1]</v>
      </c>
      <c r="Q2334">
        <f t="shared" si="299"/>
        <v>16</v>
      </c>
      <c r="R2334" t="str">
        <f t="shared" si="297"/>
        <v/>
      </c>
      <c r="S2334">
        <f>SUMIF(O2334:$O$2855,R2334,Q2334:$Q$2855)</f>
        <v>0</v>
      </c>
    </row>
    <row r="2335" spans="11:19" x14ac:dyDescent="0.25">
      <c r="K2335" s="4" t="s">
        <v>421</v>
      </c>
      <c r="L2335" t="s">
        <v>422</v>
      </c>
      <c r="M2335" t="s">
        <v>4194</v>
      </c>
      <c r="N2335" t="s">
        <v>202</v>
      </c>
      <c r="O2335" t="s">
        <v>198</v>
      </c>
      <c r="P2335" t="str">
        <f t="shared" si="298"/>
        <v>[1]</v>
      </c>
      <c r="Q2335">
        <f t="shared" si="299"/>
        <v>16</v>
      </c>
      <c r="R2335" t="str">
        <f t="shared" si="297"/>
        <v/>
      </c>
      <c r="S2335">
        <f>SUMIF(O2335:$O$2855,R2335,Q2335:$Q$2855)</f>
        <v>0</v>
      </c>
    </row>
    <row r="2336" spans="11:19" x14ac:dyDescent="0.25">
      <c r="K2336" s="4" t="s">
        <v>421</v>
      </c>
      <c r="L2336" t="s">
        <v>422</v>
      </c>
      <c r="M2336" t="s">
        <v>4195</v>
      </c>
      <c r="N2336" t="s">
        <v>202</v>
      </c>
      <c r="O2336" t="s">
        <v>198</v>
      </c>
      <c r="P2336" t="str">
        <f t="shared" si="298"/>
        <v>[1]</v>
      </c>
      <c r="Q2336">
        <f t="shared" si="299"/>
        <v>16</v>
      </c>
      <c r="R2336" t="str">
        <f t="shared" ref="R2336:R2399" si="300">IF(O2336&lt;&gt;O2335,O2336,"")</f>
        <v/>
      </c>
      <c r="S2336">
        <f>SUMIF(O2336:$O$2855,R2336,Q2336:$Q$2855)</f>
        <v>0</v>
      </c>
    </row>
    <row r="2337" spans="11:19" x14ac:dyDescent="0.25">
      <c r="K2337" s="4" t="s">
        <v>421</v>
      </c>
      <c r="L2337" t="s">
        <v>422</v>
      </c>
      <c r="M2337" t="s">
        <v>4196</v>
      </c>
      <c r="N2337" t="s">
        <v>202</v>
      </c>
      <c r="O2337" t="s">
        <v>198</v>
      </c>
      <c r="P2337" t="str">
        <f t="shared" si="298"/>
        <v>[1]</v>
      </c>
      <c r="Q2337">
        <f t="shared" si="299"/>
        <v>16</v>
      </c>
      <c r="R2337" t="str">
        <f t="shared" si="300"/>
        <v/>
      </c>
      <c r="S2337">
        <f>SUMIF(O2337:$O$2855,R2337,Q2337:$Q$2855)</f>
        <v>0</v>
      </c>
    </row>
    <row r="2338" spans="11:19" x14ac:dyDescent="0.25">
      <c r="K2338" s="4" t="s">
        <v>421</v>
      </c>
      <c r="L2338" t="s">
        <v>422</v>
      </c>
      <c r="M2338" t="s">
        <v>4197</v>
      </c>
      <c r="N2338" t="s">
        <v>13</v>
      </c>
      <c r="O2338" t="s">
        <v>198</v>
      </c>
      <c r="P2338" t="str">
        <f t="shared" si="298"/>
        <v>[1]</v>
      </c>
      <c r="Q2338">
        <f t="shared" si="299"/>
        <v>12</v>
      </c>
      <c r="R2338" t="str">
        <f t="shared" si="300"/>
        <v/>
      </c>
      <c r="S2338">
        <f>SUMIF(O2338:$O$2855,R2338,Q2338:$Q$2855)</f>
        <v>0</v>
      </c>
    </row>
    <row r="2339" spans="11:19" x14ac:dyDescent="0.25">
      <c r="K2339" s="4" t="s">
        <v>421</v>
      </c>
      <c r="L2339" t="s">
        <v>422</v>
      </c>
      <c r="M2339" t="s">
        <v>4198</v>
      </c>
      <c r="N2339" t="s">
        <v>13</v>
      </c>
      <c r="O2339" t="s">
        <v>198</v>
      </c>
      <c r="P2339" t="str">
        <f t="shared" si="298"/>
        <v>[1]</v>
      </c>
      <c r="Q2339">
        <f t="shared" si="299"/>
        <v>12</v>
      </c>
      <c r="R2339" t="str">
        <f t="shared" si="300"/>
        <v/>
      </c>
      <c r="S2339">
        <f>SUMIF(O2339:$O$2855,R2339,Q2339:$Q$2855)</f>
        <v>0</v>
      </c>
    </row>
    <row r="2340" spans="11:19" x14ac:dyDescent="0.25">
      <c r="K2340" s="4" t="s">
        <v>421</v>
      </c>
      <c r="L2340" t="s">
        <v>422</v>
      </c>
      <c r="M2340" t="s">
        <v>4199</v>
      </c>
      <c r="N2340" t="s">
        <v>13</v>
      </c>
      <c r="O2340" t="s">
        <v>198</v>
      </c>
      <c r="P2340" t="str">
        <f t="shared" si="298"/>
        <v>[1]</v>
      </c>
      <c r="Q2340">
        <f t="shared" si="299"/>
        <v>12</v>
      </c>
      <c r="R2340" t="str">
        <f t="shared" si="300"/>
        <v/>
      </c>
      <c r="S2340">
        <f>SUMIF(O2340:$O$2855,R2340,Q2340:$Q$2855)</f>
        <v>0</v>
      </c>
    </row>
    <row r="2341" spans="11:19" x14ac:dyDescent="0.25">
      <c r="K2341" s="4" t="s">
        <v>421</v>
      </c>
      <c r="L2341" t="s">
        <v>422</v>
      </c>
      <c r="M2341" t="s">
        <v>4200</v>
      </c>
      <c r="N2341" t="s">
        <v>437</v>
      </c>
      <c r="O2341" s="6" t="s">
        <v>198</v>
      </c>
      <c r="P2341" t="str">
        <f t="shared" si="298"/>
        <v>[1]</v>
      </c>
      <c r="Q2341">
        <f t="shared" si="299"/>
        <v>24</v>
      </c>
      <c r="R2341" t="str">
        <f t="shared" si="300"/>
        <v/>
      </c>
      <c r="S2341">
        <f>SUMIF(O2341:$O$2855,R2341,Q2341:$Q$2855)</f>
        <v>0</v>
      </c>
    </row>
    <row r="2342" spans="11:19" x14ac:dyDescent="0.25">
      <c r="K2342" s="4" t="s">
        <v>421</v>
      </c>
      <c r="L2342" t="s">
        <v>422</v>
      </c>
      <c r="M2342" t="s">
        <v>4201</v>
      </c>
      <c r="N2342" t="s">
        <v>202</v>
      </c>
      <c r="O2342" s="6" t="s">
        <v>198</v>
      </c>
      <c r="P2342" t="str">
        <f t="shared" si="298"/>
        <v>[1]</v>
      </c>
      <c r="Q2342">
        <f t="shared" si="299"/>
        <v>16</v>
      </c>
      <c r="R2342" t="str">
        <f t="shared" si="300"/>
        <v/>
      </c>
      <c r="S2342">
        <f>SUMIF(O2342:$O$2855,R2342,Q2342:$Q$2855)</f>
        <v>0</v>
      </c>
    </row>
    <row r="2343" spans="11:19" x14ac:dyDescent="0.25">
      <c r="K2343" s="4" t="s">
        <v>421</v>
      </c>
      <c r="L2343" t="s">
        <v>422</v>
      </c>
      <c r="M2343" t="s">
        <v>2008</v>
      </c>
      <c r="N2343" t="s">
        <v>13</v>
      </c>
      <c r="O2343" s="6" t="s">
        <v>198</v>
      </c>
      <c r="P2343" t="str">
        <f t="shared" si="298"/>
        <v>[1]</v>
      </c>
      <c r="Q2343">
        <f t="shared" si="299"/>
        <v>12</v>
      </c>
      <c r="R2343" t="str">
        <f t="shared" si="300"/>
        <v/>
      </c>
      <c r="S2343">
        <f>SUMIF(O2343:$O$2855,R2343,Q2343:$Q$2855)</f>
        <v>0</v>
      </c>
    </row>
    <row r="2344" spans="11:19" x14ac:dyDescent="0.25">
      <c r="K2344" s="4" t="s">
        <v>421</v>
      </c>
      <c r="L2344" t="s">
        <v>422</v>
      </c>
      <c r="M2344" t="s">
        <v>4202</v>
      </c>
      <c r="N2344" t="s">
        <v>13</v>
      </c>
      <c r="O2344" s="6" t="s">
        <v>198</v>
      </c>
      <c r="P2344" t="str">
        <f t="shared" si="298"/>
        <v>[1]</v>
      </c>
      <c r="Q2344">
        <f t="shared" si="299"/>
        <v>12</v>
      </c>
      <c r="R2344" t="str">
        <f t="shared" si="300"/>
        <v/>
      </c>
      <c r="S2344">
        <f>SUMIF(O2344:$O$2855,R2344,Q2344:$Q$2855)</f>
        <v>0</v>
      </c>
    </row>
    <row r="2345" spans="11:19" x14ac:dyDescent="0.25">
      <c r="K2345" s="4" t="s">
        <v>421</v>
      </c>
      <c r="L2345" t="s">
        <v>422</v>
      </c>
      <c r="M2345" t="s">
        <v>4203</v>
      </c>
      <c r="N2345" t="s">
        <v>202</v>
      </c>
      <c r="O2345" s="6" t="s">
        <v>198</v>
      </c>
      <c r="P2345" t="str">
        <f t="shared" si="298"/>
        <v>[1]</v>
      </c>
      <c r="Q2345">
        <f t="shared" si="299"/>
        <v>16</v>
      </c>
      <c r="R2345" t="str">
        <f t="shared" si="300"/>
        <v/>
      </c>
      <c r="S2345">
        <f>SUMIF(O2345:$O$2855,R2345,Q2345:$Q$2855)</f>
        <v>0</v>
      </c>
    </row>
    <row r="2346" spans="11:19" x14ac:dyDescent="0.25">
      <c r="K2346" s="4" t="s">
        <v>421</v>
      </c>
      <c r="L2346" t="s">
        <v>422</v>
      </c>
      <c r="M2346" t="s">
        <v>4204</v>
      </c>
      <c r="N2346" t="s">
        <v>13</v>
      </c>
      <c r="O2346" s="6" t="s">
        <v>198</v>
      </c>
      <c r="P2346" t="str">
        <f t="shared" si="298"/>
        <v>[1]</v>
      </c>
      <c r="Q2346">
        <f t="shared" si="299"/>
        <v>12</v>
      </c>
      <c r="R2346" t="str">
        <f t="shared" si="300"/>
        <v/>
      </c>
      <c r="S2346">
        <f>SUMIF(O2346:$O$2855,R2346,Q2346:$Q$2855)</f>
        <v>0</v>
      </c>
    </row>
    <row r="2347" spans="11:19" x14ac:dyDescent="0.25">
      <c r="K2347" s="4" t="s">
        <v>421</v>
      </c>
      <c r="L2347" t="s">
        <v>422</v>
      </c>
      <c r="M2347" t="s">
        <v>4205</v>
      </c>
      <c r="N2347" t="s">
        <v>202</v>
      </c>
      <c r="O2347" s="6" t="s">
        <v>198</v>
      </c>
      <c r="P2347" t="str">
        <f t="shared" si="298"/>
        <v>[1]</v>
      </c>
      <c r="Q2347">
        <f t="shared" si="299"/>
        <v>16</v>
      </c>
      <c r="R2347" t="str">
        <f t="shared" si="300"/>
        <v/>
      </c>
      <c r="S2347">
        <f>SUMIF(O2347:$O$2855,R2347,Q2347:$Q$2855)</f>
        <v>0</v>
      </c>
    </row>
    <row r="2348" spans="11:19" x14ac:dyDescent="0.25">
      <c r="K2348" s="4" t="s">
        <v>421</v>
      </c>
      <c r="L2348" t="s">
        <v>422</v>
      </c>
      <c r="M2348" t="s">
        <v>4206</v>
      </c>
      <c r="N2348" t="s">
        <v>13</v>
      </c>
      <c r="O2348" s="6" t="s">
        <v>198</v>
      </c>
      <c r="P2348" t="str">
        <f t="shared" si="298"/>
        <v>[1]</v>
      </c>
      <c r="Q2348">
        <f t="shared" si="299"/>
        <v>12</v>
      </c>
      <c r="R2348" t="str">
        <f t="shared" si="300"/>
        <v/>
      </c>
      <c r="S2348">
        <f>SUMIF(O2348:$O$2855,R2348,Q2348:$Q$2855)</f>
        <v>0</v>
      </c>
    </row>
    <row r="2349" spans="11:19" x14ac:dyDescent="0.25">
      <c r="K2349" s="4" t="s">
        <v>421</v>
      </c>
      <c r="L2349" t="s">
        <v>422</v>
      </c>
      <c r="M2349" t="s">
        <v>4207</v>
      </c>
      <c r="N2349" t="s">
        <v>202</v>
      </c>
      <c r="O2349" t="s">
        <v>198</v>
      </c>
      <c r="P2349" t="str">
        <f t="shared" si="298"/>
        <v>[1]</v>
      </c>
      <c r="Q2349">
        <f t="shared" si="299"/>
        <v>16</v>
      </c>
      <c r="R2349" t="str">
        <f t="shared" si="300"/>
        <v/>
      </c>
      <c r="S2349">
        <f>SUMIF(O2349:$O$2855,R2349,Q2349:$Q$2855)</f>
        <v>0</v>
      </c>
    </row>
    <row r="2350" spans="11:19" x14ac:dyDescent="0.25">
      <c r="K2350" s="4" t="s">
        <v>421</v>
      </c>
      <c r="L2350" t="s">
        <v>422</v>
      </c>
      <c r="M2350" t="s">
        <v>4208</v>
      </c>
      <c r="N2350" t="s">
        <v>13</v>
      </c>
      <c r="O2350" t="s">
        <v>198</v>
      </c>
      <c r="P2350" t="str">
        <f t="shared" si="298"/>
        <v>[1]</v>
      </c>
      <c r="Q2350">
        <f t="shared" si="299"/>
        <v>12</v>
      </c>
      <c r="R2350" t="str">
        <f t="shared" si="300"/>
        <v/>
      </c>
      <c r="S2350">
        <f>SUMIF(O2350:$O$2855,R2350,Q2350:$Q$2855)</f>
        <v>0</v>
      </c>
    </row>
    <row r="2351" spans="11:19" x14ac:dyDescent="0.25">
      <c r="K2351" s="4" t="s">
        <v>421</v>
      </c>
      <c r="L2351" t="s">
        <v>422</v>
      </c>
      <c r="M2351" t="s">
        <v>4209</v>
      </c>
      <c r="N2351" t="s">
        <v>202</v>
      </c>
      <c r="O2351" s="6" t="s">
        <v>198</v>
      </c>
      <c r="P2351" t="str">
        <f t="shared" si="298"/>
        <v>[1]</v>
      </c>
      <c r="Q2351">
        <f t="shared" si="299"/>
        <v>16</v>
      </c>
      <c r="R2351" t="str">
        <f t="shared" si="300"/>
        <v/>
      </c>
      <c r="S2351">
        <f>SUMIF(O2351:$O$2855,R2351,Q2351:$Q$2855)</f>
        <v>0</v>
      </c>
    </row>
    <row r="2352" spans="11:19" x14ac:dyDescent="0.25">
      <c r="K2352" s="4" t="s">
        <v>421</v>
      </c>
      <c r="L2352" t="s">
        <v>422</v>
      </c>
      <c r="M2352" t="s">
        <v>4210</v>
      </c>
      <c r="N2352" t="s">
        <v>202</v>
      </c>
      <c r="O2352" s="6" t="s">
        <v>198</v>
      </c>
      <c r="P2352" t="str">
        <f t="shared" si="298"/>
        <v>[1]</v>
      </c>
      <c r="Q2352">
        <f t="shared" si="299"/>
        <v>16</v>
      </c>
      <c r="R2352" t="str">
        <f t="shared" si="300"/>
        <v/>
      </c>
      <c r="S2352">
        <f>SUMIF(O2352:$O$2855,R2352,Q2352:$Q$2855)</f>
        <v>0</v>
      </c>
    </row>
    <row r="2353" spans="11:19" x14ac:dyDescent="0.25">
      <c r="K2353" s="4" t="s">
        <v>421</v>
      </c>
      <c r="L2353" t="s">
        <v>422</v>
      </c>
      <c r="M2353" t="s">
        <v>2009</v>
      </c>
      <c r="N2353" t="s">
        <v>126</v>
      </c>
      <c r="O2353" s="6" t="s">
        <v>198</v>
      </c>
      <c r="P2353" t="str">
        <f t="shared" si="298"/>
        <v>[1]</v>
      </c>
      <c r="Q2353">
        <f t="shared" si="299"/>
        <v>8</v>
      </c>
      <c r="R2353" t="str">
        <f t="shared" si="300"/>
        <v/>
      </c>
      <c r="S2353">
        <f>SUMIF(O2353:$O$2855,R2353,Q2353:$Q$2855)</f>
        <v>0</v>
      </c>
    </row>
    <row r="2354" spans="11:19" x14ac:dyDescent="0.25">
      <c r="K2354" s="4" t="s">
        <v>421</v>
      </c>
      <c r="L2354" t="s">
        <v>422</v>
      </c>
      <c r="M2354" t="s">
        <v>4211</v>
      </c>
      <c r="N2354" t="s">
        <v>165</v>
      </c>
      <c r="O2354" s="6" t="s">
        <v>198</v>
      </c>
      <c r="P2354" t="str">
        <f t="shared" si="298"/>
        <v>[1]</v>
      </c>
      <c r="Q2354">
        <f t="shared" si="299"/>
        <v>20</v>
      </c>
      <c r="R2354" t="str">
        <f t="shared" si="300"/>
        <v/>
      </c>
      <c r="S2354">
        <f>SUMIF(O2354:$O$2855,R2354,Q2354:$Q$2855)</f>
        <v>0</v>
      </c>
    </row>
    <row r="2355" spans="11:19" x14ac:dyDescent="0.25">
      <c r="K2355" s="4" t="s">
        <v>421</v>
      </c>
      <c r="L2355" t="s">
        <v>422</v>
      </c>
      <c r="M2355" t="s">
        <v>4212</v>
      </c>
      <c r="N2355" t="s">
        <v>202</v>
      </c>
      <c r="O2355" s="6" t="s">
        <v>198</v>
      </c>
      <c r="P2355" t="str">
        <f t="shared" si="298"/>
        <v>[1]</v>
      </c>
      <c r="Q2355">
        <f t="shared" si="299"/>
        <v>16</v>
      </c>
      <c r="R2355" t="str">
        <f t="shared" si="300"/>
        <v/>
      </c>
      <c r="S2355">
        <f>SUMIF(O2355:$O$2855,R2355,Q2355:$Q$2855)</f>
        <v>0</v>
      </c>
    </row>
    <row r="2356" spans="11:19" x14ac:dyDescent="0.25">
      <c r="K2356" s="4" t="s">
        <v>421</v>
      </c>
      <c r="L2356" t="s">
        <v>422</v>
      </c>
      <c r="M2356" t="s">
        <v>2010</v>
      </c>
      <c r="N2356" t="s">
        <v>13</v>
      </c>
      <c r="O2356" s="6" t="s">
        <v>198</v>
      </c>
      <c r="P2356" t="str">
        <f t="shared" si="298"/>
        <v>[1]</v>
      </c>
      <c r="Q2356">
        <f t="shared" si="299"/>
        <v>12</v>
      </c>
      <c r="R2356" t="str">
        <f t="shared" si="300"/>
        <v/>
      </c>
      <c r="S2356">
        <f>SUMIF(O2356:$O$2855,R2356,Q2356:$Q$2855)</f>
        <v>0</v>
      </c>
    </row>
    <row r="2357" spans="11:19" x14ac:dyDescent="0.25">
      <c r="K2357" s="4" t="s">
        <v>421</v>
      </c>
      <c r="L2357" t="s">
        <v>422</v>
      </c>
      <c r="M2357" t="s">
        <v>2011</v>
      </c>
      <c r="N2357" t="s">
        <v>13</v>
      </c>
      <c r="O2357" s="6" t="s">
        <v>198</v>
      </c>
      <c r="P2357" t="str">
        <f t="shared" si="298"/>
        <v>[1]</v>
      </c>
      <c r="Q2357">
        <f t="shared" si="299"/>
        <v>12</v>
      </c>
      <c r="R2357" t="str">
        <f t="shared" si="300"/>
        <v/>
      </c>
      <c r="S2357">
        <f>SUMIF(O2357:$O$2855,R2357,Q2357:$Q$2855)</f>
        <v>0</v>
      </c>
    </row>
    <row r="2358" spans="11:19" x14ac:dyDescent="0.25">
      <c r="K2358" s="4" t="s">
        <v>421</v>
      </c>
      <c r="L2358" t="s">
        <v>422</v>
      </c>
      <c r="M2358" t="s">
        <v>4213</v>
      </c>
      <c r="N2358" t="s">
        <v>13</v>
      </c>
      <c r="O2358" s="6" t="s">
        <v>198</v>
      </c>
      <c r="P2358" t="str">
        <f t="shared" si="298"/>
        <v>[1]</v>
      </c>
      <c r="Q2358">
        <f t="shared" si="299"/>
        <v>12</v>
      </c>
      <c r="R2358" t="str">
        <f t="shared" si="300"/>
        <v/>
      </c>
      <c r="S2358">
        <f>SUMIF(O2358:$O$2855,R2358,Q2358:$Q$2855)</f>
        <v>0</v>
      </c>
    </row>
    <row r="2359" spans="11:19" x14ac:dyDescent="0.25">
      <c r="K2359" s="4" t="s">
        <v>421</v>
      </c>
      <c r="L2359" t="s">
        <v>422</v>
      </c>
      <c r="M2359" t="s">
        <v>4214</v>
      </c>
      <c r="N2359" t="s">
        <v>126</v>
      </c>
      <c r="O2359" s="6" t="s">
        <v>198</v>
      </c>
      <c r="P2359" t="str">
        <f t="shared" si="298"/>
        <v>[1]</v>
      </c>
      <c r="Q2359">
        <f t="shared" si="299"/>
        <v>8</v>
      </c>
      <c r="R2359" t="str">
        <f t="shared" si="300"/>
        <v/>
      </c>
      <c r="S2359">
        <f>SUMIF(O2359:$O$2855,R2359,Q2359:$Q$2855)</f>
        <v>0</v>
      </c>
    </row>
    <row r="2360" spans="11:19" x14ac:dyDescent="0.25">
      <c r="K2360" s="4" t="s">
        <v>421</v>
      </c>
      <c r="L2360" t="s">
        <v>422</v>
      </c>
      <c r="M2360" t="s">
        <v>4215</v>
      </c>
      <c r="N2360" t="s">
        <v>202</v>
      </c>
      <c r="O2360" s="6" t="s">
        <v>198</v>
      </c>
      <c r="P2360" t="str">
        <f t="shared" si="298"/>
        <v>[1]</v>
      </c>
      <c r="Q2360">
        <f t="shared" si="299"/>
        <v>16</v>
      </c>
      <c r="R2360" t="str">
        <f t="shared" si="300"/>
        <v/>
      </c>
      <c r="S2360">
        <f>SUMIF(O2360:$O$2855,R2360,Q2360:$Q$2855)</f>
        <v>0</v>
      </c>
    </row>
    <row r="2361" spans="11:19" x14ac:dyDescent="0.25">
      <c r="K2361" s="4" t="s">
        <v>421</v>
      </c>
      <c r="L2361" t="s">
        <v>422</v>
      </c>
      <c r="M2361" t="s">
        <v>4216</v>
      </c>
      <c r="N2361" t="s">
        <v>202</v>
      </c>
      <c r="O2361" s="6" t="s">
        <v>198</v>
      </c>
      <c r="P2361" t="str">
        <f t="shared" si="298"/>
        <v>[1]</v>
      </c>
      <c r="Q2361">
        <f t="shared" si="299"/>
        <v>16</v>
      </c>
      <c r="R2361" t="str">
        <f t="shared" si="300"/>
        <v/>
      </c>
      <c r="S2361">
        <f>SUMIF(O2361:$O$2855,R2361,Q2361:$Q$2855)</f>
        <v>0</v>
      </c>
    </row>
    <row r="2362" spans="11:19" x14ac:dyDescent="0.25">
      <c r="K2362" s="4" t="s">
        <v>421</v>
      </c>
      <c r="L2362" t="s">
        <v>422</v>
      </c>
      <c r="M2362" t="s">
        <v>4217</v>
      </c>
      <c r="N2362" t="s">
        <v>13</v>
      </c>
      <c r="O2362" s="6" t="s">
        <v>198</v>
      </c>
      <c r="P2362" t="str">
        <f t="shared" si="298"/>
        <v>[1]</v>
      </c>
      <c r="Q2362">
        <f t="shared" si="299"/>
        <v>12</v>
      </c>
      <c r="R2362" t="str">
        <f t="shared" si="300"/>
        <v/>
      </c>
      <c r="S2362">
        <f>SUMIF(O2362:$O$2855,R2362,Q2362:$Q$2855)</f>
        <v>0</v>
      </c>
    </row>
    <row r="2363" spans="11:19" x14ac:dyDescent="0.25">
      <c r="K2363" s="4" t="s">
        <v>421</v>
      </c>
      <c r="L2363" t="s">
        <v>422</v>
      </c>
      <c r="M2363" t="s">
        <v>1793</v>
      </c>
      <c r="N2363" t="s">
        <v>13</v>
      </c>
      <c r="O2363" s="6" t="s">
        <v>198</v>
      </c>
      <c r="P2363" t="str">
        <f t="shared" si="298"/>
        <v>[1]</v>
      </c>
      <c r="Q2363">
        <f t="shared" si="299"/>
        <v>12</v>
      </c>
      <c r="R2363" t="str">
        <f t="shared" si="300"/>
        <v/>
      </c>
      <c r="S2363">
        <f>SUMIF(O2363:$O$2855,R2363,Q2363:$Q$2855)</f>
        <v>0</v>
      </c>
    </row>
    <row r="2364" spans="11:19" x14ac:dyDescent="0.25">
      <c r="K2364" s="4" t="s">
        <v>421</v>
      </c>
      <c r="L2364" t="s">
        <v>422</v>
      </c>
      <c r="M2364" t="s">
        <v>4218</v>
      </c>
      <c r="N2364" t="s">
        <v>202</v>
      </c>
      <c r="O2364" s="6" t="s">
        <v>198</v>
      </c>
      <c r="P2364" t="str">
        <f t="shared" si="298"/>
        <v>[1]</v>
      </c>
      <c r="Q2364">
        <f t="shared" si="299"/>
        <v>16</v>
      </c>
      <c r="R2364" t="str">
        <f t="shared" si="300"/>
        <v/>
      </c>
      <c r="S2364">
        <f>SUMIF(O2364:$O$2855,R2364,Q2364:$Q$2855)</f>
        <v>0</v>
      </c>
    </row>
    <row r="2365" spans="11:19" x14ac:dyDescent="0.25">
      <c r="K2365" s="4" t="s">
        <v>421</v>
      </c>
      <c r="L2365" t="s">
        <v>422</v>
      </c>
      <c r="M2365" t="s">
        <v>4219</v>
      </c>
      <c r="N2365" t="s">
        <v>202</v>
      </c>
      <c r="O2365" s="6" t="s">
        <v>198</v>
      </c>
      <c r="P2365" t="str">
        <f t="shared" si="298"/>
        <v>[1]</v>
      </c>
      <c r="Q2365">
        <f t="shared" si="299"/>
        <v>16</v>
      </c>
      <c r="R2365" t="str">
        <f t="shared" si="300"/>
        <v/>
      </c>
      <c r="S2365">
        <f>SUMIF(O2365:$O$2855,R2365,Q2365:$Q$2855)</f>
        <v>0</v>
      </c>
    </row>
    <row r="2366" spans="11:19" x14ac:dyDescent="0.25">
      <c r="K2366" s="4" t="s">
        <v>421</v>
      </c>
      <c r="L2366" t="s">
        <v>422</v>
      </c>
      <c r="M2366" t="s">
        <v>4220</v>
      </c>
      <c r="N2366" t="s">
        <v>13</v>
      </c>
      <c r="O2366" s="6" t="s">
        <v>198</v>
      </c>
      <c r="P2366" t="str">
        <f t="shared" si="298"/>
        <v>[1]</v>
      </c>
      <c r="Q2366">
        <f t="shared" si="299"/>
        <v>12</v>
      </c>
      <c r="R2366" t="str">
        <f t="shared" si="300"/>
        <v/>
      </c>
      <c r="S2366">
        <f>SUMIF(O2366:$O$2855,R2366,Q2366:$Q$2855)</f>
        <v>0</v>
      </c>
    </row>
    <row r="2367" spans="11:19" x14ac:dyDescent="0.25">
      <c r="K2367" s="4" t="s">
        <v>421</v>
      </c>
      <c r="L2367" t="s">
        <v>422</v>
      </c>
      <c r="M2367" t="s">
        <v>4221</v>
      </c>
      <c r="N2367" t="s">
        <v>13</v>
      </c>
      <c r="O2367" s="6" t="s">
        <v>198</v>
      </c>
      <c r="P2367" t="str">
        <f t="shared" si="298"/>
        <v>[1]</v>
      </c>
      <c r="Q2367">
        <f t="shared" si="299"/>
        <v>12</v>
      </c>
      <c r="R2367" t="str">
        <f t="shared" si="300"/>
        <v/>
      </c>
      <c r="S2367">
        <f>SUMIF(O2367:$O$2855,R2367,Q2367:$Q$2855)</f>
        <v>0</v>
      </c>
    </row>
    <row r="2368" spans="11:19" x14ac:dyDescent="0.25">
      <c r="K2368" s="4" t="s">
        <v>421</v>
      </c>
      <c r="L2368" t="s">
        <v>422</v>
      </c>
      <c r="M2368" t="s">
        <v>4222</v>
      </c>
      <c r="N2368" t="s">
        <v>202</v>
      </c>
      <c r="O2368" s="6" t="s">
        <v>198</v>
      </c>
      <c r="P2368" t="str">
        <f t="shared" si="298"/>
        <v>[1]</v>
      </c>
      <c r="Q2368">
        <f t="shared" si="299"/>
        <v>16</v>
      </c>
      <c r="R2368" t="str">
        <f t="shared" si="300"/>
        <v/>
      </c>
      <c r="S2368">
        <f>SUMIF(O2368:$O$2855,R2368,Q2368:$Q$2855)</f>
        <v>0</v>
      </c>
    </row>
    <row r="2369" spans="11:19" x14ac:dyDescent="0.25">
      <c r="K2369" s="4" t="s">
        <v>421</v>
      </c>
      <c r="L2369" t="s">
        <v>422</v>
      </c>
      <c r="M2369" t="s">
        <v>4223</v>
      </c>
      <c r="N2369" t="s">
        <v>13</v>
      </c>
      <c r="O2369" s="6" t="s">
        <v>198</v>
      </c>
      <c r="P2369" t="str">
        <f t="shared" si="298"/>
        <v>[1]</v>
      </c>
      <c r="Q2369">
        <f t="shared" si="299"/>
        <v>12</v>
      </c>
      <c r="R2369" t="str">
        <f t="shared" si="300"/>
        <v/>
      </c>
      <c r="S2369">
        <f>SUMIF(O2369:$O$2855,R2369,Q2369:$Q$2855)</f>
        <v>0</v>
      </c>
    </row>
    <row r="2370" spans="11:19" x14ac:dyDescent="0.25">
      <c r="K2370" s="4" t="s">
        <v>421</v>
      </c>
      <c r="L2370" t="s">
        <v>422</v>
      </c>
      <c r="M2370" t="s">
        <v>4224</v>
      </c>
      <c r="N2370" t="s">
        <v>13</v>
      </c>
      <c r="O2370" s="6" t="s">
        <v>198</v>
      </c>
      <c r="P2370" t="str">
        <f t="shared" ref="P2370:P2433" si="301">VLOOKUP($K$30,$E$1:$F$26,2,FALSE)</f>
        <v>[1]</v>
      </c>
      <c r="Q2370">
        <f t="shared" si="299"/>
        <v>12</v>
      </c>
      <c r="R2370" t="str">
        <f t="shared" si="300"/>
        <v/>
      </c>
      <c r="S2370">
        <f>SUMIF(O2370:$O$2855,R2370,Q2370:$Q$2855)</f>
        <v>0</v>
      </c>
    </row>
    <row r="2371" spans="11:19" x14ac:dyDescent="0.25">
      <c r="K2371" s="4" t="s">
        <v>421</v>
      </c>
      <c r="L2371" t="s">
        <v>422</v>
      </c>
      <c r="M2371" t="s">
        <v>4225</v>
      </c>
      <c r="N2371" t="s">
        <v>13</v>
      </c>
      <c r="O2371" s="6" t="s">
        <v>198</v>
      </c>
      <c r="P2371" t="str">
        <f t="shared" si="301"/>
        <v>[1]</v>
      </c>
      <c r="Q2371">
        <f t="shared" ref="Q2371:Q2434" si="302">HEX2DEC(MID(N2371,3,LEN(N2371)-2))</f>
        <v>12</v>
      </c>
      <c r="R2371" t="str">
        <f t="shared" si="300"/>
        <v/>
      </c>
      <c r="S2371">
        <f>SUMIF(O2371:$O$2855,R2371,Q2371:$Q$2855)</f>
        <v>0</v>
      </c>
    </row>
    <row r="2372" spans="11:19" x14ac:dyDescent="0.25">
      <c r="K2372" s="4" t="s">
        <v>421</v>
      </c>
      <c r="L2372" t="s">
        <v>422</v>
      </c>
      <c r="M2372" t="s">
        <v>4226</v>
      </c>
      <c r="N2372" t="s">
        <v>165</v>
      </c>
      <c r="O2372" s="6" t="s">
        <v>198</v>
      </c>
      <c r="P2372" t="str">
        <f t="shared" si="301"/>
        <v>[1]</v>
      </c>
      <c r="Q2372">
        <f t="shared" si="302"/>
        <v>20</v>
      </c>
      <c r="R2372" t="str">
        <f t="shared" si="300"/>
        <v/>
      </c>
      <c r="S2372">
        <f>SUMIF(O2372:$O$2855,R2372,Q2372:$Q$2855)</f>
        <v>0</v>
      </c>
    </row>
    <row r="2373" spans="11:19" x14ac:dyDescent="0.25">
      <c r="K2373" s="4" t="s">
        <v>421</v>
      </c>
      <c r="L2373" t="s">
        <v>422</v>
      </c>
      <c r="M2373" t="s">
        <v>4227</v>
      </c>
      <c r="N2373" t="s">
        <v>13</v>
      </c>
      <c r="O2373" s="6" t="s">
        <v>198</v>
      </c>
      <c r="P2373" t="str">
        <f t="shared" si="301"/>
        <v>[1]</v>
      </c>
      <c r="Q2373">
        <f t="shared" si="302"/>
        <v>12</v>
      </c>
      <c r="R2373" t="str">
        <f t="shared" si="300"/>
        <v/>
      </c>
      <c r="S2373">
        <f>SUMIF(O2373:$O$2855,R2373,Q2373:$Q$2855)</f>
        <v>0</v>
      </c>
    </row>
    <row r="2374" spans="11:19" x14ac:dyDescent="0.25">
      <c r="K2374" s="4" t="s">
        <v>421</v>
      </c>
      <c r="L2374" t="s">
        <v>422</v>
      </c>
      <c r="M2374" t="s">
        <v>4228</v>
      </c>
      <c r="N2374" t="s">
        <v>6</v>
      </c>
      <c r="O2374" s="6" t="s">
        <v>198</v>
      </c>
      <c r="P2374" t="str">
        <f t="shared" si="301"/>
        <v>[1]</v>
      </c>
      <c r="Q2374">
        <f t="shared" si="302"/>
        <v>28</v>
      </c>
      <c r="R2374" t="str">
        <f t="shared" si="300"/>
        <v/>
      </c>
      <c r="S2374">
        <f>SUMIF(O2374:$O$2855,R2374,Q2374:$Q$2855)</f>
        <v>0</v>
      </c>
    </row>
    <row r="2375" spans="11:19" x14ac:dyDescent="0.25">
      <c r="K2375" s="4" t="s">
        <v>421</v>
      </c>
      <c r="L2375" t="s">
        <v>422</v>
      </c>
      <c r="M2375" t="s">
        <v>4229</v>
      </c>
      <c r="N2375" t="s">
        <v>67</v>
      </c>
      <c r="O2375" s="6" t="s">
        <v>198</v>
      </c>
      <c r="P2375" t="str">
        <f t="shared" si="301"/>
        <v>[1]</v>
      </c>
      <c r="Q2375">
        <f t="shared" si="302"/>
        <v>48</v>
      </c>
      <c r="R2375" t="str">
        <f t="shared" si="300"/>
        <v/>
      </c>
      <c r="S2375">
        <f>SUMIF(O2375:$O$2855,R2375,Q2375:$Q$2855)</f>
        <v>0</v>
      </c>
    </row>
    <row r="2376" spans="11:19" x14ac:dyDescent="0.25">
      <c r="K2376" s="4" t="s">
        <v>421</v>
      </c>
      <c r="L2376" t="s">
        <v>422</v>
      </c>
      <c r="M2376" t="s">
        <v>4230</v>
      </c>
      <c r="N2376" t="s">
        <v>165</v>
      </c>
      <c r="O2376" s="6" t="s">
        <v>198</v>
      </c>
      <c r="P2376" t="str">
        <f t="shared" si="301"/>
        <v>[1]</v>
      </c>
      <c r="Q2376">
        <f t="shared" si="302"/>
        <v>20</v>
      </c>
      <c r="R2376" t="str">
        <f t="shared" si="300"/>
        <v/>
      </c>
      <c r="S2376">
        <f>SUMIF(O2376:$O$2855,R2376,Q2376:$Q$2855)</f>
        <v>0</v>
      </c>
    </row>
    <row r="2377" spans="11:19" x14ac:dyDescent="0.25">
      <c r="K2377" s="4" t="s">
        <v>421</v>
      </c>
      <c r="L2377" t="s">
        <v>422</v>
      </c>
      <c r="M2377" t="s">
        <v>4231</v>
      </c>
      <c r="N2377" t="s">
        <v>165</v>
      </c>
      <c r="O2377" s="6" t="s">
        <v>198</v>
      </c>
      <c r="P2377" t="str">
        <f t="shared" si="301"/>
        <v>[1]</v>
      </c>
      <c r="Q2377">
        <f t="shared" si="302"/>
        <v>20</v>
      </c>
      <c r="R2377" t="str">
        <f t="shared" si="300"/>
        <v/>
      </c>
      <c r="S2377">
        <f>SUMIF(O2377:$O$2855,R2377,Q2377:$Q$2855)</f>
        <v>0</v>
      </c>
    </row>
    <row r="2378" spans="11:19" x14ac:dyDescent="0.25">
      <c r="K2378" s="4" t="s">
        <v>421</v>
      </c>
      <c r="L2378" t="s">
        <v>422</v>
      </c>
      <c r="M2378" t="s">
        <v>4232</v>
      </c>
      <c r="N2378" t="s">
        <v>437</v>
      </c>
      <c r="O2378" s="6" t="s">
        <v>198</v>
      </c>
      <c r="P2378" t="str">
        <f t="shared" si="301"/>
        <v>[1]</v>
      </c>
      <c r="Q2378">
        <f t="shared" si="302"/>
        <v>24</v>
      </c>
      <c r="R2378" t="str">
        <f t="shared" si="300"/>
        <v/>
      </c>
      <c r="S2378">
        <f>SUMIF(O2378:$O$2855,R2378,Q2378:$Q$2855)</f>
        <v>0</v>
      </c>
    </row>
    <row r="2379" spans="11:19" x14ac:dyDescent="0.25">
      <c r="K2379" s="4" t="s">
        <v>421</v>
      </c>
      <c r="L2379" t="s">
        <v>422</v>
      </c>
      <c r="M2379" t="s">
        <v>4233</v>
      </c>
      <c r="N2379" t="s">
        <v>1211</v>
      </c>
      <c r="O2379" s="6" t="s">
        <v>198</v>
      </c>
      <c r="P2379" t="str">
        <f t="shared" si="301"/>
        <v>[1]</v>
      </c>
      <c r="Q2379">
        <f t="shared" si="302"/>
        <v>564</v>
      </c>
      <c r="R2379" t="str">
        <f t="shared" si="300"/>
        <v/>
      </c>
      <c r="S2379">
        <f>SUMIF(O2379:$O$2855,R2379,Q2379:$Q$2855)</f>
        <v>0</v>
      </c>
    </row>
    <row r="2380" spans="11:19" x14ac:dyDescent="0.25">
      <c r="K2380" s="4" t="s">
        <v>421</v>
      </c>
      <c r="L2380" t="s">
        <v>422</v>
      </c>
      <c r="M2380" t="s">
        <v>1794</v>
      </c>
      <c r="N2380" t="s">
        <v>442</v>
      </c>
      <c r="O2380" s="6" t="s">
        <v>198</v>
      </c>
      <c r="P2380" t="str">
        <f t="shared" si="301"/>
        <v>[1]</v>
      </c>
      <c r="Q2380">
        <f t="shared" si="302"/>
        <v>1</v>
      </c>
      <c r="R2380" t="str">
        <f t="shared" si="300"/>
        <v/>
      </c>
      <c r="S2380">
        <f>SUMIF(O2380:$O$2855,R2380,Q2380:$Q$2855)</f>
        <v>0</v>
      </c>
    </row>
    <row r="2381" spans="11:19" x14ac:dyDescent="0.25">
      <c r="K2381" s="4" t="s">
        <v>421</v>
      </c>
      <c r="L2381" t="s">
        <v>422</v>
      </c>
      <c r="M2381" t="s">
        <v>4023</v>
      </c>
      <c r="N2381" t="s">
        <v>13</v>
      </c>
      <c r="O2381" s="6" t="s">
        <v>309</v>
      </c>
      <c r="P2381" t="str">
        <f t="shared" si="301"/>
        <v>[1]</v>
      </c>
      <c r="Q2381">
        <f t="shared" si="302"/>
        <v>12</v>
      </c>
      <c r="R2381" t="str">
        <f t="shared" si="300"/>
        <v>sys_busy.o</v>
      </c>
      <c r="S2381">
        <f>SUMIF(O2381:$O$2855,R2381,Q2381:$Q$2855)</f>
        <v>12</v>
      </c>
    </row>
    <row r="2382" spans="11:19" x14ac:dyDescent="0.25">
      <c r="K2382" s="4" t="s">
        <v>421</v>
      </c>
      <c r="L2382" t="s">
        <v>422</v>
      </c>
      <c r="M2382" t="s">
        <v>4234</v>
      </c>
      <c r="N2382" t="s">
        <v>6</v>
      </c>
      <c r="O2382" s="6" t="s">
        <v>83</v>
      </c>
      <c r="P2382" t="str">
        <f t="shared" si="301"/>
        <v>[1]</v>
      </c>
      <c r="Q2382">
        <f t="shared" si="302"/>
        <v>28</v>
      </c>
      <c r="R2382" t="str">
        <f t="shared" si="300"/>
        <v>Task.o</v>
      </c>
      <c r="S2382">
        <f>SUMIF(O2382:$O$2855,R2382,Q2382:$Q$2855)</f>
        <v>2676</v>
      </c>
    </row>
    <row r="2383" spans="11:19" x14ac:dyDescent="0.25">
      <c r="K2383" s="4" t="s">
        <v>421</v>
      </c>
      <c r="L2383" t="s">
        <v>422</v>
      </c>
      <c r="M2383" t="s">
        <v>4235</v>
      </c>
      <c r="N2383" t="s">
        <v>202</v>
      </c>
      <c r="O2383" s="6" t="s">
        <v>83</v>
      </c>
      <c r="P2383" t="str">
        <f t="shared" si="301"/>
        <v>[1]</v>
      </c>
      <c r="Q2383">
        <f t="shared" si="302"/>
        <v>16</v>
      </c>
      <c r="R2383" t="str">
        <f t="shared" si="300"/>
        <v/>
      </c>
      <c r="S2383">
        <f>SUMIF(O2383:$O$2855,R2383,Q2383:$Q$2855)</f>
        <v>0</v>
      </c>
    </row>
    <row r="2384" spans="11:19" x14ac:dyDescent="0.25">
      <c r="K2384" s="4" t="s">
        <v>421</v>
      </c>
      <c r="L2384" t="s">
        <v>422</v>
      </c>
      <c r="M2384" t="s">
        <v>2012</v>
      </c>
      <c r="N2384" t="s">
        <v>202</v>
      </c>
      <c r="O2384" s="6" t="s">
        <v>83</v>
      </c>
      <c r="P2384" t="str">
        <f t="shared" si="301"/>
        <v>[1]</v>
      </c>
      <c r="Q2384">
        <f t="shared" si="302"/>
        <v>16</v>
      </c>
      <c r="R2384" t="str">
        <f t="shared" si="300"/>
        <v/>
      </c>
      <c r="S2384">
        <f>SUMIF(O2384:$O$2855,R2384,Q2384:$Q$2855)</f>
        <v>0</v>
      </c>
    </row>
    <row r="2385" spans="11:19" x14ac:dyDescent="0.25">
      <c r="K2385" s="4" t="s">
        <v>421</v>
      </c>
      <c r="L2385" t="s">
        <v>422</v>
      </c>
      <c r="M2385" t="s">
        <v>4236</v>
      </c>
      <c r="N2385" t="s">
        <v>202</v>
      </c>
      <c r="O2385" s="6" t="s">
        <v>83</v>
      </c>
      <c r="P2385" t="str">
        <f t="shared" si="301"/>
        <v>[1]</v>
      </c>
      <c r="Q2385">
        <f t="shared" si="302"/>
        <v>16</v>
      </c>
      <c r="R2385" t="str">
        <f t="shared" si="300"/>
        <v/>
      </c>
      <c r="S2385">
        <f>SUMIF(O2385:$O$2855,R2385,Q2385:$Q$2855)</f>
        <v>0</v>
      </c>
    </row>
    <row r="2386" spans="11:19" x14ac:dyDescent="0.25">
      <c r="K2386" s="4" t="s">
        <v>421</v>
      </c>
      <c r="L2386" t="s">
        <v>422</v>
      </c>
      <c r="M2386" t="s">
        <v>4237</v>
      </c>
      <c r="N2386" t="s">
        <v>202</v>
      </c>
      <c r="O2386" s="6" t="s">
        <v>83</v>
      </c>
      <c r="P2386" t="str">
        <f t="shared" si="301"/>
        <v>[1]</v>
      </c>
      <c r="Q2386">
        <f t="shared" si="302"/>
        <v>16</v>
      </c>
      <c r="R2386" t="str">
        <f t="shared" si="300"/>
        <v/>
      </c>
      <c r="S2386">
        <f>SUMIF(O2386:$O$2855,R2386,Q2386:$Q$2855)</f>
        <v>0</v>
      </c>
    </row>
    <row r="2387" spans="11:19" x14ac:dyDescent="0.25">
      <c r="K2387" s="4" t="s">
        <v>421</v>
      </c>
      <c r="L2387" t="s">
        <v>422</v>
      </c>
      <c r="M2387" t="s">
        <v>4238</v>
      </c>
      <c r="N2387" t="s">
        <v>202</v>
      </c>
      <c r="O2387" s="6" t="s">
        <v>83</v>
      </c>
      <c r="P2387" t="str">
        <f t="shared" si="301"/>
        <v>[1]</v>
      </c>
      <c r="Q2387">
        <f t="shared" si="302"/>
        <v>16</v>
      </c>
      <c r="R2387" t="str">
        <f t="shared" si="300"/>
        <v/>
      </c>
      <c r="S2387">
        <f>SUMIF(O2387:$O$2855,R2387,Q2387:$Q$2855)</f>
        <v>0</v>
      </c>
    </row>
    <row r="2388" spans="11:19" x14ac:dyDescent="0.25">
      <c r="K2388" s="4" t="s">
        <v>421</v>
      </c>
      <c r="L2388" t="s">
        <v>422</v>
      </c>
      <c r="M2388" t="s">
        <v>4239</v>
      </c>
      <c r="N2388" t="s">
        <v>202</v>
      </c>
      <c r="O2388" s="6" t="s">
        <v>83</v>
      </c>
      <c r="P2388" t="str">
        <f t="shared" si="301"/>
        <v>[1]</v>
      </c>
      <c r="Q2388">
        <f t="shared" si="302"/>
        <v>16</v>
      </c>
      <c r="R2388" t="str">
        <f t="shared" si="300"/>
        <v/>
      </c>
      <c r="S2388">
        <f>SUMIF(O2388:$O$2855,R2388,Q2388:$Q$2855)</f>
        <v>0</v>
      </c>
    </row>
    <row r="2389" spans="11:19" x14ac:dyDescent="0.25">
      <c r="K2389" s="4" t="s">
        <v>421</v>
      </c>
      <c r="L2389" t="s">
        <v>422</v>
      </c>
      <c r="M2389" t="s">
        <v>4240</v>
      </c>
      <c r="N2389" t="s">
        <v>202</v>
      </c>
      <c r="O2389" s="6" t="s">
        <v>83</v>
      </c>
      <c r="P2389" t="str">
        <f t="shared" si="301"/>
        <v>[1]</v>
      </c>
      <c r="Q2389">
        <f t="shared" si="302"/>
        <v>16</v>
      </c>
      <c r="R2389" t="str">
        <f t="shared" si="300"/>
        <v/>
      </c>
      <c r="S2389">
        <f>SUMIF(O2389:$O$2855,R2389,Q2389:$Q$2855)</f>
        <v>0</v>
      </c>
    </row>
    <row r="2390" spans="11:19" x14ac:dyDescent="0.25">
      <c r="K2390" s="4" t="s">
        <v>421</v>
      </c>
      <c r="L2390" t="s">
        <v>422</v>
      </c>
      <c r="M2390" t="s">
        <v>4241</v>
      </c>
      <c r="N2390" t="s">
        <v>202</v>
      </c>
      <c r="O2390" s="6" t="s">
        <v>83</v>
      </c>
      <c r="P2390" t="str">
        <f t="shared" si="301"/>
        <v>[1]</v>
      </c>
      <c r="Q2390">
        <f t="shared" si="302"/>
        <v>16</v>
      </c>
      <c r="R2390" t="str">
        <f t="shared" si="300"/>
        <v/>
      </c>
      <c r="S2390">
        <f>SUMIF(O2390:$O$2855,R2390,Q2390:$Q$2855)</f>
        <v>0</v>
      </c>
    </row>
    <row r="2391" spans="11:19" x14ac:dyDescent="0.25">
      <c r="K2391" s="4" t="s">
        <v>421</v>
      </c>
      <c r="L2391" t="s">
        <v>422</v>
      </c>
      <c r="M2391" t="s">
        <v>4242</v>
      </c>
      <c r="N2391" t="s">
        <v>435</v>
      </c>
      <c r="O2391" s="6" t="s">
        <v>83</v>
      </c>
      <c r="P2391" t="str">
        <f t="shared" si="301"/>
        <v>[1]</v>
      </c>
      <c r="Q2391">
        <f t="shared" si="302"/>
        <v>60</v>
      </c>
      <c r="R2391" t="str">
        <f t="shared" si="300"/>
        <v/>
      </c>
      <c r="S2391">
        <f>SUMIF(O2391:$O$2855,R2391,Q2391:$Q$2855)</f>
        <v>0</v>
      </c>
    </row>
    <row r="2392" spans="11:19" x14ac:dyDescent="0.25">
      <c r="K2392" s="4" t="s">
        <v>421</v>
      </c>
      <c r="L2392" t="s">
        <v>422</v>
      </c>
      <c r="M2392" t="s">
        <v>4243</v>
      </c>
      <c r="N2392" t="s">
        <v>126</v>
      </c>
      <c r="O2392" s="6" t="s">
        <v>83</v>
      </c>
      <c r="P2392" t="str">
        <f t="shared" si="301"/>
        <v>[1]</v>
      </c>
      <c r="Q2392">
        <f t="shared" si="302"/>
        <v>8</v>
      </c>
      <c r="R2392" t="str">
        <f t="shared" si="300"/>
        <v/>
      </c>
      <c r="S2392">
        <f>SUMIF(O2392:$O$2855,R2392,Q2392:$Q$2855)</f>
        <v>0</v>
      </c>
    </row>
    <row r="2393" spans="11:19" x14ac:dyDescent="0.25">
      <c r="K2393" s="4" t="s">
        <v>421</v>
      </c>
      <c r="L2393" t="s">
        <v>422</v>
      </c>
      <c r="M2393" t="s">
        <v>4244</v>
      </c>
      <c r="N2393" t="s">
        <v>126</v>
      </c>
      <c r="O2393" s="6" t="s">
        <v>83</v>
      </c>
      <c r="P2393" t="str">
        <f t="shared" si="301"/>
        <v>[1]</v>
      </c>
      <c r="Q2393">
        <f t="shared" si="302"/>
        <v>8</v>
      </c>
      <c r="R2393" t="str">
        <f t="shared" si="300"/>
        <v/>
      </c>
      <c r="S2393">
        <f>SUMIF(O2393:$O$2855,R2393,Q2393:$Q$2855)</f>
        <v>0</v>
      </c>
    </row>
    <row r="2394" spans="11:19" x14ac:dyDescent="0.25">
      <c r="K2394" s="4" t="s">
        <v>421</v>
      </c>
      <c r="L2394" t="s">
        <v>422</v>
      </c>
      <c r="M2394" t="s">
        <v>4245</v>
      </c>
      <c r="N2394" t="s">
        <v>78</v>
      </c>
      <c r="O2394" s="6" t="s">
        <v>83</v>
      </c>
      <c r="P2394" t="str">
        <f t="shared" si="301"/>
        <v>[1]</v>
      </c>
      <c r="Q2394">
        <f t="shared" si="302"/>
        <v>4</v>
      </c>
      <c r="R2394" t="str">
        <f t="shared" si="300"/>
        <v/>
      </c>
      <c r="S2394">
        <f>SUMIF(O2394:$O$2855,R2394,Q2394:$Q$2855)</f>
        <v>0</v>
      </c>
    </row>
    <row r="2395" spans="11:19" x14ac:dyDescent="0.25">
      <c r="K2395" s="4" t="s">
        <v>421</v>
      </c>
      <c r="L2395" t="s">
        <v>422</v>
      </c>
      <c r="M2395" t="s">
        <v>4246</v>
      </c>
      <c r="N2395" t="s">
        <v>13</v>
      </c>
      <c r="O2395" s="6" t="s">
        <v>83</v>
      </c>
      <c r="P2395" t="str">
        <f t="shared" si="301"/>
        <v>[1]</v>
      </c>
      <c r="Q2395">
        <f t="shared" si="302"/>
        <v>12</v>
      </c>
      <c r="R2395" t="str">
        <f t="shared" si="300"/>
        <v/>
      </c>
      <c r="S2395">
        <f>SUMIF(O2395:$O$2855,R2395,Q2395:$Q$2855)</f>
        <v>0</v>
      </c>
    </row>
    <row r="2396" spans="11:19" x14ac:dyDescent="0.25">
      <c r="K2396" s="4" t="s">
        <v>421</v>
      </c>
      <c r="L2396" t="s">
        <v>422</v>
      </c>
      <c r="M2396" t="s">
        <v>2013</v>
      </c>
      <c r="N2396" t="s">
        <v>13</v>
      </c>
      <c r="O2396" s="6" t="s">
        <v>83</v>
      </c>
      <c r="P2396" t="str">
        <f t="shared" si="301"/>
        <v>[1]</v>
      </c>
      <c r="Q2396">
        <f t="shared" si="302"/>
        <v>12</v>
      </c>
      <c r="R2396" t="str">
        <f t="shared" si="300"/>
        <v/>
      </c>
      <c r="S2396">
        <f>SUMIF(O2396:$O$2855,R2396,Q2396:$Q$2855)</f>
        <v>0</v>
      </c>
    </row>
    <row r="2397" spans="11:19" x14ac:dyDescent="0.25">
      <c r="K2397" s="4" t="s">
        <v>421</v>
      </c>
      <c r="L2397" t="s">
        <v>422</v>
      </c>
      <c r="M2397" t="s">
        <v>4247</v>
      </c>
      <c r="N2397" t="s">
        <v>13</v>
      </c>
      <c r="O2397" s="6" t="s">
        <v>83</v>
      </c>
      <c r="P2397" t="str">
        <f t="shared" si="301"/>
        <v>[1]</v>
      </c>
      <c r="Q2397">
        <f t="shared" si="302"/>
        <v>12</v>
      </c>
      <c r="R2397" t="str">
        <f t="shared" si="300"/>
        <v/>
      </c>
      <c r="S2397">
        <f>SUMIF(O2397:$O$2855,R2397,Q2397:$Q$2855)</f>
        <v>0</v>
      </c>
    </row>
    <row r="2398" spans="11:19" x14ac:dyDescent="0.25">
      <c r="K2398" s="4" t="s">
        <v>421</v>
      </c>
      <c r="L2398" t="s">
        <v>422</v>
      </c>
      <c r="M2398" t="s">
        <v>4248</v>
      </c>
      <c r="N2398" t="s">
        <v>13</v>
      </c>
      <c r="O2398" s="6" t="s">
        <v>83</v>
      </c>
      <c r="P2398" t="str">
        <f t="shared" si="301"/>
        <v>[1]</v>
      </c>
      <c r="Q2398">
        <f t="shared" si="302"/>
        <v>12</v>
      </c>
      <c r="R2398" t="str">
        <f t="shared" si="300"/>
        <v/>
      </c>
      <c r="S2398">
        <f>SUMIF(O2398:$O$2855,R2398,Q2398:$Q$2855)</f>
        <v>0</v>
      </c>
    </row>
    <row r="2399" spans="11:19" x14ac:dyDescent="0.25">
      <c r="K2399" s="4" t="s">
        <v>421</v>
      </c>
      <c r="L2399" t="s">
        <v>422</v>
      </c>
      <c r="M2399" t="s">
        <v>4249</v>
      </c>
      <c r="N2399" t="s">
        <v>126</v>
      </c>
      <c r="O2399" s="6" t="s">
        <v>83</v>
      </c>
      <c r="P2399" t="str">
        <f t="shared" si="301"/>
        <v>[1]</v>
      </c>
      <c r="Q2399">
        <f t="shared" si="302"/>
        <v>8</v>
      </c>
      <c r="R2399" t="str">
        <f t="shared" si="300"/>
        <v/>
      </c>
      <c r="S2399">
        <f>SUMIF(O2399:$O$2855,R2399,Q2399:$Q$2855)</f>
        <v>0</v>
      </c>
    </row>
    <row r="2400" spans="11:19" x14ac:dyDescent="0.25">
      <c r="K2400" s="4" t="s">
        <v>421</v>
      </c>
      <c r="L2400" t="s">
        <v>422</v>
      </c>
      <c r="M2400" t="s">
        <v>2014</v>
      </c>
      <c r="N2400" t="s">
        <v>126</v>
      </c>
      <c r="O2400" s="6" t="s">
        <v>83</v>
      </c>
      <c r="P2400" t="str">
        <f t="shared" si="301"/>
        <v>[1]</v>
      </c>
      <c r="Q2400">
        <f t="shared" si="302"/>
        <v>8</v>
      </c>
      <c r="R2400" t="str">
        <f t="shared" ref="R2400:R2463" si="303">IF(O2400&lt;&gt;O2399,O2400,"")</f>
        <v/>
      </c>
      <c r="S2400">
        <f>SUMIF(O2400:$O$2855,R2400,Q2400:$Q$2855)</f>
        <v>0</v>
      </c>
    </row>
    <row r="2401" spans="11:19" x14ac:dyDescent="0.25">
      <c r="K2401" s="4" t="s">
        <v>421</v>
      </c>
      <c r="L2401" t="s">
        <v>422</v>
      </c>
      <c r="M2401" t="s">
        <v>4250</v>
      </c>
      <c r="N2401" t="s">
        <v>202</v>
      </c>
      <c r="O2401" s="6" t="s">
        <v>83</v>
      </c>
      <c r="P2401" t="str">
        <f t="shared" si="301"/>
        <v>[1]</v>
      </c>
      <c r="Q2401">
        <f t="shared" si="302"/>
        <v>16</v>
      </c>
      <c r="R2401" t="str">
        <f t="shared" si="303"/>
        <v/>
      </c>
      <c r="S2401">
        <f>SUMIF(O2401:$O$2855,R2401,Q2401:$Q$2855)</f>
        <v>0</v>
      </c>
    </row>
    <row r="2402" spans="11:19" x14ac:dyDescent="0.25">
      <c r="K2402" s="4" t="s">
        <v>421</v>
      </c>
      <c r="L2402" t="s">
        <v>422</v>
      </c>
      <c r="M2402" t="s">
        <v>4251</v>
      </c>
      <c r="N2402" t="s">
        <v>126</v>
      </c>
      <c r="O2402" s="6" t="s">
        <v>83</v>
      </c>
      <c r="P2402" t="str">
        <f t="shared" si="301"/>
        <v>[1]</v>
      </c>
      <c r="Q2402">
        <f t="shared" si="302"/>
        <v>8</v>
      </c>
      <c r="R2402" t="str">
        <f t="shared" si="303"/>
        <v/>
      </c>
      <c r="S2402">
        <f>SUMIF(O2402:$O$2855,R2402,Q2402:$Q$2855)</f>
        <v>0</v>
      </c>
    </row>
    <row r="2403" spans="11:19" x14ac:dyDescent="0.25">
      <c r="K2403" s="4" t="s">
        <v>421</v>
      </c>
      <c r="L2403" t="s">
        <v>422</v>
      </c>
      <c r="M2403" t="s">
        <v>4252</v>
      </c>
      <c r="N2403" t="s">
        <v>126</v>
      </c>
      <c r="O2403" s="6" t="s">
        <v>83</v>
      </c>
      <c r="P2403" t="str">
        <f t="shared" si="301"/>
        <v>[1]</v>
      </c>
      <c r="Q2403">
        <f t="shared" si="302"/>
        <v>8</v>
      </c>
      <c r="R2403" t="str">
        <f t="shared" si="303"/>
        <v/>
      </c>
      <c r="S2403">
        <f>SUMIF(O2403:$O$2855,R2403,Q2403:$Q$2855)</f>
        <v>0</v>
      </c>
    </row>
    <row r="2404" spans="11:19" x14ac:dyDescent="0.25">
      <c r="K2404" s="4" t="s">
        <v>421</v>
      </c>
      <c r="L2404" t="s">
        <v>422</v>
      </c>
      <c r="M2404" t="s">
        <v>4253</v>
      </c>
      <c r="N2404" t="s">
        <v>413</v>
      </c>
      <c r="O2404" s="6" t="s">
        <v>83</v>
      </c>
      <c r="P2404" t="str">
        <f t="shared" si="301"/>
        <v>[1]</v>
      </c>
      <c r="Q2404">
        <f t="shared" si="302"/>
        <v>136</v>
      </c>
      <c r="R2404" t="str">
        <f t="shared" si="303"/>
        <v/>
      </c>
      <c r="S2404">
        <f>SUMIF(O2404:$O$2855,R2404,Q2404:$Q$2855)</f>
        <v>0</v>
      </c>
    </row>
    <row r="2405" spans="11:19" x14ac:dyDescent="0.25">
      <c r="K2405" s="4" t="s">
        <v>421</v>
      </c>
      <c r="L2405" t="s">
        <v>422</v>
      </c>
      <c r="M2405" t="s">
        <v>2015</v>
      </c>
      <c r="N2405" t="s">
        <v>126</v>
      </c>
      <c r="O2405" s="6" t="s">
        <v>83</v>
      </c>
      <c r="P2405" t="str">
        <f t="shared" si="301"/>
        <v>[1]</v>
      </c>
      <c r="Q2405">
        <f t="shared" si="302"/>
        <v>8</v>
      </c>
      <c r="R2405" t="str">
        <f t="shared" si="303"/>
        <v/>
      </c>
      <c r="S2405">
        <f>SUMIF(O2405:$O$2855,R2405,Q2405:$Q$2855)</f>
        <v>0</v>
      </c>
    </row>
    <row r="2406" spans="11:19" x14ac:dyDescent="0.25">
      <c r="K2406" s="4" t="s">
        <v>421</v>
      </c>
      <c r="L2406" t="s">
        <v>422</v>
      </c>
      <c r="M2406" t="s">
        <v>4254</v>
      </c>
      <c r="N2406" t="s">
        <v>126</v>
      </c>
      <c r="O2406" s="6" t="s">
        <v>83</v>
      </c>
      <c r="P2406" t="str">
        <f t="shared" si="301"/>
        <v>[1]</v>
      </c>
      <c r="Q2406">
        <f t="shared" si="302"/>
        <v>8</v>
      </c>
      <c r="R2406" t="str">
        <f t="shared" si="303"/>
        <v/>
      </c>
      <c r="S2406">
        <f>SUMIF(O2406:$O$2855,R2406,Q2406:$Q$2855)</f>
        <v>0</v>
      </c>
    </row>
    <row r="2407" spans="11:19" x14ac:dyDescent="0.25">
      <c r="K2407" s="4" t="s">
        <v>421</v>
      </c>
      <c r="L2407" t="s">
        <v>422</v>
      </c>
      <c r="M2407" t="s">
        <v>4255</v>
      </c>
      <c r="N2407" t="s">
        <v>126</v>
      </c>
      <c r="O2407" s="6" t="s">
        <v>83</v>
      </c>
      <c r="P2407" t="str">
        <f t="shared" si="301"/>
        <v>[1]</v>
      </c>
      <c r="Q2407">
        <f t="shared" si="302"/>
        <v>8</v>
      </c>
      <c r="R2407" t="str">
        <f t="shared" si="303"/>
        <v/>
      </c>
      <c r="S2407">
        <f>SUMIF(O2407:$O$2855,R2407,Q2407:$Q$2855)</f>
        <v>0</v>
      </c>
    </row>
    <row r="2408" spans="11:19" x14ac:dyDescent="0.25">
      <c r="K2408" s="4" t="s">
        <v>421</v>
      </c>
      <c r="L2408" t="s">
        <v>422</v>
      </c>
      <c r="M2408" t="s">
        <v>2016</v>
      </c>
      <c r="N2408" t="s">
        <v>6</v>
      </c>
      <c r="O2408" s="6" t="s">
        <v>83</v>
      </c>
      <c r="P2408" t="str">
        <f t="shared" si="301"/>
        <v>[1]</v>
      </c>
      <c r="Q2408">
        <f t="shared" si="302"/>
        <v>28</v>
      </c>
      <c r="R2408" t="str">
        <f t="shared" si="303"/>
        <v/>
      </c>
      <c r="S2408">
        <f>SUMIF(O2408:$O$2855,R2408,Q2408:$Q$2855)</f>
        <v>0</v>
      </c>
    </row>
    <row r="2409" spans="11:19" x14ac:dyDescent="0.25">
      <c r="K2409" s="4" t="s">
        <v>421</v>
      </c>
      <c r="L2409" t="s">
        <v>422</v>
      </c>
      <c r="M2409" t="s">
        <v>4256</v>
      </c>
      <c r="N2409" t="s">
        <v>165</v>
      </c>
      <c r="O2409" s="6" t="s">
        <v>83</v>
      </c>
      <c r="P2409" t="str">
        <f t="shared" si="301"/>
        <v>[1]</v>
      </c>
      <c r="Q2409">
        <f t="shared" si="302"/>
        <v>20</v>
      </c>
      <c r="R2409" t="str">
        <f t="shared" si="303"/>
        <v/>
      </c>
      <c r="S2409">
        <f>SUMIF(O2409:$O$2855,R2409,Q2409:$Q$2855)</f>
        <v>0</v>
      </c>
    </row>
    <row r="2410" spans="11:19" x14ac:dyDescent="0.25">
      <c r="K2410" s="4" t="s">
        <v>421</v>
      </c>
      <c r="L2410" t="s">
        <v>422</v>
      </c>
      <c r="M2410" t="s">
        <v>4257</v>
      </c>
      <c r="N2410" t="s">
        <v>126</v>
      </c>
      <c r="O2410" s="6" t="s">
        <v>83</v>
      </c>
      <c r="P2410" t="str">
        <f t="shared" si="301"/>
        <v>[1]</v>
      </c>
      <c r="Q2410">
        <f t="shared" si="302"/>
        <v>8</v>
      </c>
      <c r="R2410" t="str">
        <f t="shared" si="303"/>
        <v/>
      </c>
      <c r="S2410">
        <f>SUMIF(O2410:$O$2855,R2410,Q2410:$Q$2855)</f>
        <v>0</v>
      </c>
    </row>
    <row r="2411" spans="11:19" x14ac:dyDescent="0.25">
      <c r="K2411" s="4" t="s">
        <v>421</v>
      </c>
      <c r="L2411" t="s">
        <v>422</v>
      </c>
      <c r="M2411" t="s">
        <v>4258</v>
      </c>
      <c r="N2411" t="s">
        <v>6</v>
      </c>
      <c r="O2411" s="6" t="s">
        <v>83</v>
      </c>
      <c r="P2411" t="str">
        <f t="shared" si="301"/>
        <v>[1]</v>
      </c>
      <c r="Q2411">
        <f t="shared" si="302"/>
        <v>28</v>
      </c>
      <c r="R2411" t="str">
        <f t="shared" si="303"/>
        <v/>
      </c>
      <c r="S2411">
        <f>SUMIF(O2411:$O$2855,R2411,Q2411:$Q$2855)</f>
        <v>0</v>
      </c>
    </row>
    <row r="2412" spans="11:19" x14ac:dyDescent="0.25">
      <c r="K2412" s="4" t="s">
        <v>421</v>
      </c>
      <c r="L2412" t="s">
        <v>422</v>
      </c>
      <c r="M2412" t="s">
        <v>4259</v>
      </c>
      <c r="N2412" t="s">
        <v>202</v>
      </c>
      <c r="O2412" s="6" t="s">
        <v>83</v>
      </c>
      <c r="P2412" t="str">
        <f t="shared" si="301"/>
        <v>[1]</v>
      </c>
      <c r="Q2412">
        <f t="shared" si="302"/>
        <v>16</v>
      </c>
      <c r="R2412" t="str">
        <f t="shared" si="303"/>
        <v/>
      </c>
      <c r="S2412">
        <f>SUMIF(O2412:$O$2855,R2412,Q2412:$Q$2855)</f>
        <v>0</v>
      </c>
    </row>
    <row r="2413" spans="11:19" x14ac:dyDescent="0.25">
      <c r="K2413" s="4" t="s">
        <v>421</v>
      </c>
      <c r="L2413" t="s">
        <v>422</v>
      </c>
      <c r="M2413" t="s">
        <v>4260</v>
      </c>
      <c r="N2413" t="s">
        <v>165</v>
      </c>
      <c r="O2413" s="6" t="s">
        <v>83</v>
      </c>
      <c r="P2413" t="str">
        <f t="shared" si="301"/>
        <v>[1]</v>
      </c>
      <c r="Q2413">
        <f t="shared" si="302"/>
        <v>20</v>
      </c>
      <c r="R2413" t="str">
        <f t="shared" si="303"/>
        <v/>
      </c>
      <c r="S2413">
        <f>SUMIF(O2413:$O$2855,R2413,Q2413:$Q$2855)</f>
        <v>0</v>
      </c>
    </row>
    <row r="2414" spans="11:19" x14ac:dyDescent="0.25">
      <c r="K2414" s="4" t="s">
        <v>421</v>
      </c>
      <c r="L2414" t="s">
        <v>422</v>
      </c>
      <c r="M2414" t="s">
        <v>4261</v>
      </c>
      <c r="N2414" t="s">
        <v>13</v>
      </c>
      <c r="O2414" s="6" t="s">
        <v>83</v>
      </c>
      <c r="P2414" t="str">
        <f t="shared" si="301"/>
        <v>[1]</v>
      </c>
      <c r="Q2414">
        <f t="shared" si="302"/>
        <v>12</v>
      </c>
      <c r="R2414" t="str">
        <f t="shared" si="303"/>
        <v/>
      </c>
      <c r="S2414">
        <f>SUMIF(O2414:$O$2855,R2414,Q2414:$Q$2855)</f>
        <v>0</v>
      </c>
    </row>
    <row r="2415" spans="11:19" x14ac:dyDescent="0.25">
      <c r="K2415" s="4" t="s">
        <v>421</v>
      </c>
      <c r="L2415" t="s">
        <v>422</v>
      </c>
      <c r="M2415" t="s">
        <v>4262</v>
      </c>
      <c r="N2415" t="s">
        <v>165</v>
      </c>
      <c r="O2415" s="6" t="s">
        <v>83</v>
      </c>
      <c r="P2415" t="str">
        <f t="shared" si="301"/>
        <v>[1]</v>
      </c>
      <c r="Q2415">
        <f t="shared" si="302"/>
        <v>20</v>
      </c>
      <c r="R2415" t="str">
        <f t="shared" si="303"/>
        <v/>
      </c>
      <c r="S2415">
        <f>SUMIF(O2415:$O$2855,R2415,Q2415:$Q$2855)</f>
        <v>0</v>
      </c>
    </row>
    <row r="2416" spans="11:19" x14ac:dyDescent="0.25">
      <c r="K2416" s="4" t="s">
        <v>421</v>
      </c>
      <c r="L2416" t="s">
        <v>422</v>
      </c>
      <c r="M2416" t="s">
        <v>4263</v>
      </c>
      <c r="N2416" t="s">
        <v>202</v>
      </c>
      <c r="O2416" s="6" t="s">
        <v>83</v>
      </c>
      <c r="P2416" t="str">
        <f t="shared" si="301"/>
        <v>[1]</v>
      </c>
      <c r="Q2416">
        <f t="shared" si="302"/>
        <v>16</v>
      </c>
      <c r="R2416" t="str">
        <f t="shared" si="303"/>
        <v/>
      </c>
      <c r="S2416">
        <f>SUMIF(O2416:$O$2855,R2416,Q2416:$Q$2855)</f>
        <v>0</v>
      </c>
    </row>
    <row r="2417" spans="11:19" x14ac:dyDescent="0.25">
      <c r="K2417" s="4" t="s">
        <v>421</v>
      </c>
      <c r="L2417" t="s">
        <v>422</v>
      </c>
      <c r="M2417" t="s">
        <v>4264</v>
      </c>
      <c r="N2417" t="s">
        <v>202</v>
      </c>
      <c r="O2417" s="6" t="s">
        <v>83</v>
      </c>
      <c r="P2417" t="str">
        <f t="shared" si="301"/>
        <v>[1]</v>
      </c>
      <c r="Q2417">
        <f t="shared" si="302"/>
        <v>16</v>
      </c>
      <c r="R2417" t="str">
        <f t="shared" si="303"/>
        <v/>
      </c>
      <c r="S2417">
        <f>SUMIF(O2417:$O$2855,R2417,Q2417:$Q$2855)</f>
        <v>0</v>
      </c>
    </row>
    <row r="2418" spans="11:19" x14ac:dyDescent="0.25">
      <c r="K2418" s="4" t="s">
        <v>421</v>
      </c>
      <c r="L2418" t="s">
        <v>422</v>
      </c>
      <c r="M2418" t="s">
        <v>4265</v>
      </c>
      <c r="N2418" t="s">
        <v>165</v>
      </c>
      <c r="O2418" s="6" t="s">
        <v>83</v>
      </c>
      <c r="P2418" t="str">
        <f t="shared" si="301"/>
        <v>[1]</v>
      </c>
      <c r="Q2418">
        <f t="shared" si="302"/>
        <v>20</v>
      </c>
      <c r="R2418" t="str">
        <f t="shared" si="303"/>
        <v/>
      </c>
      <c r="S2418">
        <f>SUMIF(O2418:$O$2855,R2418,Q2418:$Q$2855)</f>
        <v>0</v>
      </c>
    </row>
    <row r="2419" spans="11:19" x14ac:dyDescent="0.25">
      <c r="K2419" s="4" t="s">
        <v>421</v>
      </c>
      <c r="L2419" t="s">
        <v>422</v>
      </c>
      <c r="M2419" t="s">
        <v>4266</v>
      </c>
      <c r="N2419" t="s">
        <v>437</v>
      </c>
      <c r="O2419" s="6" t="s">
        <v>83</v>
      </c>
      <c r="P2419" t="str">
        <f t="shared" si="301"/>
        <v>[1]</v>
      </c>
      <c r="Q2419">
        <f t="shared" si="302"/>
        <v>24</v>
      </c>
      <c r="R2419" t="str">
        <f t="shared" si="303"/>
        <v/>
      </c>
      <c r="S2419">
        <f>SUMIF(O2419:$O$2855,R2419,Q2419:$Q$2855)</f>
        <v>0</v>
      </c>
    </row>
    <row r="2420" spans="11:19" x14ac:dyDescent="0.25">
      <c r="K2420" s="4" t="s">
        <v>421</v>
      </c>
      <c r="L2420" t="s">
        <v>422</v>
      </c>
      <c r="M2420" t="s">
        <v>4267</v>
      </c>
      <c r="N2420" t="s">
        <v>165</v>
      </c>
      <c r="O2420" s="6" t="s">
        <v>83</v>
      </c>
      <c r="P2420" t="str">
        <f t="shared" si="301"/>
        <v>[1]</v>
      </c>
      <c r="Q2420">
        <f t="shared" si="302"/>
        <v>20</v>
      </c>
      <c r="R2420" t="str">
        <f t="shared" si="303"/>
        <v/>
      </c>
      <c r="S2420">
        <f>SUMIF(O2420:$O$2855,R2420,Q2420:$Q$2855)</f>
        <v>0</v>
      </c>
    </row>
    <row r="2421" spans="11:19" x14ac:dyDescent="0.25">
      <c r="K2421" s="4" t="s">
        <v>421</v>
      </c>
      <c r="L2421" t="s">
        <v>422</v>
      </c>
      <c r="M2421" t="s">
        <v>4268</v>
      </c>
      <c r="N2421" t="s">
        <v>165</v>
      </c>
      <c r="O2421" s="6" t="s">
        <v>83</v>
      </c>
      <c r="P2421" t="str">
        <f t="shared" si="301"/>
        <v>[1]</v>
      </c>
      <c r="Q2421">
        <f t="shared" si="302"/>
        <v>20</v>
      </c>
      <c r="R2421" t="str">
        <f t="shared" si="303"/>
        <v/>
      </c>
      <c r="S2421">
        <f>SUMIF(O2421:$O$2855,R2421,Q2421:$Q$2855)</f>
        <v>0</v>
      </c>
    </row>
    <row r="2422" spans="11:19" x14ac:dyDescent="0.25">
      <c r="K2422" s="4" t="s">
        <v>421</v>
      </c>
      <c r="L2422" t="s">
        <v>422</v>
      </c>
      <c r="M2422" t="s">
        <v>4269</v>
      </c>
      <c r="N2422" t="s">
        <v>165</v>
      </c>
      <c r="O2422" s="6" t="s">
        <v>83</v>
      </c>
      <c r="P2422" t="str">
        <f t="shared" si="301"/>
        <v>[1]</v>
      </c>
      <c r="Q2422">
        <f t="shared" si="302"/>
        <v>20</v>
      </c>
      <c r="R2422" t="str">
        <f t="shared" si="303"/>
        <v/>
      </c>
      <c r="S2422">
        <f>SUMIF(O2422:$O$2855,R2422,Q2422:$Q$2855)</f>
        <v>0</v>
      </c>
    </row>
    <row r="2423" spans="11:19" x14ac:dyDescent="0.25">
      <c r="K2423" s="4" t="s">
        <v>421</v>
      </c>
      <c r="L2423" t="s">
        <v>422</v>
      </c>
      <c r="M2423" t="s">
        <v>4270</v>
      </c>
      <c r="N2423" t="s">
        <v>126</v>
      </c>
      <c r="O2423" s="6" t="s">
        <v>83</v>
      </c>
      <c r="P2423" t="str">
        <f t="shared" si="301"/>
        <v>[1]</v>
      </c>
      <c r="Q2423">
        <f t="shared" si="302"/>
        <v>8</v>
      </c>
      <c r="R2423" t="str">
        <f t="shared" si="303"/>
        <v/>
      </c>
      <c r="S2423">
        <f>SUMIF(O2423:$O$2855,R2423,Q2423:$Q$2855)</f>
        <v>0</v>
      </c>
    </row>
    <row r="2424" spans="11:19" x14ac:dyDescent="0.25">
      <c r="K2424" s="4" t="s">
        <v>421</v>
      </c>
      <c r="L2424" t="s">
        <v>422</v>
      </c>
      <c r="M2424" t="s">
        <v>4271</v>
      </c>
      <c r="N2424" t="s">
        <v>13</v>
      </c>
      <c r="O2424" s="6" t="s">
        <v>83</v>
      </c>
      <c r="P2424" t="str">
        <f t="shared" si="301"/>
        <v>[1]</v>
      </c>
      <c r="Q2424">
        <f t="shared" si="302"/>
        <v>12</v>
      </c>
      <c r="R2424" t="str">
        <f t="shared" si="303"/>
        <v/>
      </c>
      <c r="S2424">
        <f>SUMIF(O2424:$O$2855,R2424,Q2424:$Q$2855)</f>
        <v>0</v>
      </c>
    </row>
    <row r="2425" spans="11:19" x14ac:dyDescent="0.25">
      <c r="K2425" s="4" t="s">
        <v>421</v>
      </c>
      <c r="L2425" t="s">
        <v>422</v>
      </c>
      <c r="M2425" t="s">
        <v>4272</v>
      </c>
      <c r="N2425" t="s">
        <v>398</v>
      </c>
      <c r="O2425" s="6" t="s">
        <v>83</v>
      </c>
      <c r="P2425" t="str">
        <f t="shared" si="301"/>
        <v>[1]</v>
      </c>
      <c r="Q2425">
        <f t="shared" si="302"/>
        <v>132</v>
      </c>
      <c r="R2425" t="str">
        <f t="shared" si="303"/>
        <v/>
      </c>
      <c r="S2425">
        <f>SUMIF(O2425:$O$2855,R2425,Q2425:$Q$2855)</f>
        <v>0</v>
      </c>
    </row>
    <row r="2426" spans="11:19" x14ac:dyDescent="0.25">
      <c r="K2426" s="4" t="s">
        <v>421</v>
      </c>
      <c r="L2426" t="s">
        <v>422</v>
      </c>
      <c r="M2426" t="s">
        <v>2017</v>
      </c>
      <c r="N2426" t="s">
        <v>398</v>
      </c>
      <c r="O2426" s="6" t="s">
        <v>83</v>
      </c>
      <c r="P2426" t="str">
        <f t="shared" si="301"/>
        <v>[1]</v>
      </c>
      <c r="Q2426">
        <f t="shared" si="302"/>
        <v>132</v>
      </c>
      <c r="R2426" t="str">
        <f t="shared" si="303"/>
        <v/>
      </c>
      <c r="S2426">
        <f>SUMIF(O2426:$O$2855,R2426,Q2426:$Q$2855)</f>
        <v>0</v>
      </c>
    </row>
    <row r="2427" spans="11:19" x14ac:dyDescent="0.25">
      <c r="K2427" s="4" t="s">
        <v>421</v>
      </c>
      <c r="L2427" t="s">
        <v>422</v>
      </c>
      <c r="M2427" t="s">
        <v>2018</v>
      </c>
      <c r="N2427" t="s">
        <v>13</v>
      </c>
      <c r="O2427" s="6" t="s">
        <v>83</v>
      </c>
      <c r="P2427" t="str">
        <f t="shared" si="301"/>
        <v>[1]</v>
      </c>
      <c r="Q2427">
        <f t="shared" si="302"/>
        <v>12</v>
      </c>
      <c r="R2427" t="str">
        <f t="shared" si="303"/>
        <v/>
      </c>
      <c r="S2427">
        <f>SUMIF(O2427:$O$2855,R2427,Q2427:$Q$2855)</f>
        <v>0</v>
      </c>
    </row>
    <row r="2428" spans="11:19" x14ac:dyDescent="0.25">
      <c r="K2428" s="4" t="s">
        <v>421</v>
      </c>
      <c r="L2428" t="s">
        <v>422</v>
      </c>
      <c r="M2428" t="s">
        <v>4273</v>
      </c>
      <c r="N2428" t="s">
        <v>6</v>
      </c>
      <c r="O2428" s="6" t="s">
        <v>83</v>
      </c>
      <c r="P2428" t="str">
        <f t="shared" si="301"/>
        <v>[1]</v>
      </c>
      <c r="Q2428">
        <f t="shared" si="302"/>
        <v>28</v>
      </c>
      <c r="R2428" t="str">
        <f t="shared" si="303"/>
        <v/>
      </c>
      <c r="S2428">
        <f>SUMIF(O2428:$O$2855,R2428,Q2428:$Q$2855)</f>
        <v>0</v>
      </c>
    </row>
    <row r="2429" spans="11:19" x14ac:dyDescent="0.25">
      <c r="K2429" s="4" t="s">
        <v>421</v>
      </c>
      <c r="L2429" t="s">
        <v>422</v>
      </c>
      <c r="M2429" t="s">
        <v>4274</v>
      </c>
      <c r="N2429" t="s">
        <v>78</v>
      </c>
      <c r="O2429" s="6" t="s">
        <v>83</v>
      </c>
      <c r="P2429" t="str">
        <f t="shared" si="301"/>
        <v>[1]</v>
      </c>
      <c r="Q2429">
        <f t="shared" si="302"/>
        <v>4</v>
      </c>
      <c r="R2429" t="str">
        <f t="shared" si="303"/>
        <v/>
      </c>
      <c r="S2429">
        <f>SUMIF(O2429:$O$2855,R2429,Q2429:$Q$2855)</f>
        <v>0</v>
      </c>
    </row>
    <row r="2430" spans="11:19" x14ac:dyDescent="0.25">
      <c r="K2430" s="4" t="s">
        <v>421</v>
      </c>
      <c r="L2430" t="s">
        <v>422</v>
      </c>
      <c r="M2430" t="s">
        <v>4275</v>
      </c>
      <c r="N2430" t="s">
        <v>126</v>
      </c>
      <c r="O2430" s="6" t="s">
        <v>83</v>
      </c>
      <c r="P2430" t="str">
        <f t="shared" si="301"/>
        <v>[1]</v>
      </c>
      <c r="Q2430">
        <f t="shared" si="302"/>
        <v>8</v>
      </c>
      <c r="R2430" t="str">
        <f t="shared" si="303"/>
        <v/>
      </c>
      <c r="S2430">
        <f>SUMIF(O2430:$O$2855,R2430,Q2430:$Q$2855)</f>
        <v>0</v>
      </c>
    </row>
    <row r="2431" spans="11:19" x14ac:dyDescent="0.25">
      <c r="K2431" s="4" t="s">
        <v>421</v>
      </c>
      <c r="L2431" t="s">
        <v>422</v>
      </c>
      <c r="M2431" t="s">
        <v>4276</v>
      </c>
      <c r="N2431" t="s">
        <v>126</v>
      </c>
      <c r="O2431" s="6" t="s">
        <v>83</v>
      </c>
      <c r="P2431" t="str">
        <f t="shared" si="301"/>
        <v>[1]</v>
      </c>
      <c r="Q2431">
        <f t="shared" si="302"/>
        <v>8</v>
      </c>
      <c r="R2431" t="str">
        <f t="shared" si="303"/>
        <v/>
      </c>
      <c r="S2431">
        <f>SUMIF(O2431:$O$2855,R2431,Q2431:$Q$2855)</f>
        <v>0</v>
      </c>
    </row>
    <row r="2432" spans="11:19" x14ac:dyDescent="0.25">
      <c r="K2432" s="4" t="s">
        <v>421</v>
      </c>
      <c r="L2432" t="s">
        <v>422</v>
      </c>
      <c r="M2432" t="s">
        <v>4277</v>
      </c>
      <c r="N2432" t="s">
        <v>126</v>
      </c>
      <c r="O2432" s="6" t="s">
        <v>83</v>
      </c>
      <c r="P2432" t="str">
        <f t="shared" si="301"/>
        <v>[1]</v>
      </c>
      <c r="Q2432">
        <f t="shared" si="302"/>
        <v>8</v>
      </c>
      <c r="R2432" t="str">
        <f t="shared" si="303"/>
        <v/>
      </c>
      <c r="S2432">
        <f>SUMIF(O2432:$O$2855,R2432,Q2432:$Q$2855)</f>
        <v>0</v>
      </c>
    </row>
    <row r="2433" spans="11:19" x14ac:dyDescent="0.25">
      <c r="K2433" s="4" t="s">
        <v>421</v>
      </c>
      <c r="L2433" t="s">
        <v>422</v>
      </c>
      <c r="M2433" t="s">
        <v>4278</v>
      </c>
      <c r="N2433" t="s">
        <v>78</v>
      </c>
      <c r="O2433" s="6" t="s">
        <v>83</v>
      </c>
      <c r="P2433" t="str">
        <f t="shared" si="301"/>
        <v>[1]</v>
      </c>
      <c r="Q2433">
        <f t="shared" si="302"/>
        <v>4</v>
      </c>
      <c r="R2433" t="str">
        <f t="shared" si="303"/>
        <v/>
      </c>
      <c r="S2433">
        <f>SUMIF(O2433:$O$2855,R2433,Q2433:$Q$2855)</f>
        <v>0</v>
      </c>
    </row>
    <row r="2434" spans="11:19" x14ac:dyDescent="0.25">
      <c r="K2434" s="4" t="s">
        <v>421</v>
      </c>
      <c r="L2434" t="s">
        <v>422</v>
      </c>
      <c r="M2434" t="s">
        <v>4279</v>
      </c>
      <c r="N2434" t="s">
        <v>78</v>
      </c>
      <c r="O2434" s="6" t="s">
        <v>83</v>
      </c>
      <c r="P2434" t="str">
        <f t="shared" ref="P2434:P2497" si="304">VLOOKUP($K$30,$E$1:$F$26,2,FALSE)</f>
        <v>[1]</v>
      </c>
      <c r="Q2434">
        <f t="shared" si="302"/>
        <v>4</v>
      </c>
      <c r="R2434" t="str">
        <f t="shared" si="303"/>
        <v/>
      </c>
      <c r="S2434">
        <f>SUMIF(O2434:$O$2855,R2434,Q2434:$Q$2855)</f>
        <v>0</v>
      </c>
    </row>
    <row r="2435" spans="11:19" x14ac:dyDescent="0.25">
      <c r="K2435" s="4" t="s">
        <v>421</v>
      </c>
      <c r="L2435" t="s">
        <v>422</v>
      </c>
      <c r="M2435" t="s">
        <v>4280</v>
      </c>
      <c r="N2435" t="s">
        <v>78</v>
      </c>
      <c r="O2435" s="6" t="s">
        <v>83</v>
      </c>
      <c r="P2435" t="str">
        <f t="shared" si="304"/>
        <v>[1]</v>
      </c>
      <c r="Q2435">
        <f t="shared" ref="Q2435:Q2498" si="305">HEX2DEC(MID(N2435,3,LEN(N2435)-2))</f>
        <v>4</v>
      </c>
      <c r="R2435" t="str">
        <f t="shared" si="303"/>
        <v/>
      </c>
      <c r="S2435">
        <f>SUMIF(O2435:$O$2855,R2435,Q2435:$Q$2855)</f>
        <v>0</v>
      </c>
    </row>
    <row r="2436" spans="11:19" x14ac:dyDescent="0.25">
      <c r="K2436" s="4" t="s">
        <v>421</v>
      </c>
      <c r="L2436" t="s">
        <v>422</v>
      </c>
      <c r="M2436" t="s">
        <v>4281</v>
      </c>
      <c r="N2436" t="s">
        <v>126</v>
      </c>
      <c r="O2436" s="6" t="s">
        <v>83</v>
      </c>
      <c r="P2436" t="str">
        <f t="shared" si="304"/>
        <v>[1]</v>
      </c>
      <c r="Q2436">
        <f t="shared" si="305"/>
        <v>8</v>
      </c>
      <c r="R2436" t="str">
        <f t="shared" si="303"/>
        <v/>
      </c>
      <c r="S2436">
        <f>SUMIF(O2436:$O$2855,R2436,Q2436:$Q$2855)</f>
        <v>0</v>
      </c>
    </row>
    <row r="2437" spans="11:19" x14ac:dyDescent="0.25">
      <c r="K2437" s="4" t="s">
        <v>421</v>
      </c>
      <c r="L2437" t="s">
        <v>422</v>
      </c>
      <c r="M2437" t="s">
        <v>4282</v>
      </c>
      <c r="N2437" t="s">
        <v>126</v>
      </c>
      <c r="O2437" s="6" t="s">
        <v>83</v>
      </c>
      <c r="P2437" t="str">
        <f t="shared" si="304"/>
        <v>[1]</v>
      </c>
      <c r="Q2437">
        <f t="shared" si="305"/>
        <v>8</v>
      </c>
      <c r="R2437" t="str">
        <f t="shared" si="303"/>
        <v/>
      </c>
      <c r="S2437">
        <f>SUMIF(O2437:$O$2855,R2437,Q2437:$Q$2855)</f>
        <v>0</v>
      </c>
    </row>
    <row r="2438" spans="11:19" x14ac:dyDescent="0.25">
      <c r="K2438" s="4" t="s">
        <v>421</v>
      </c>
      <c r="L2438" t="s">
        <v>422</v>
      </c>
      <c r="M2438" t="s">
        <v>4283</v>
      </c>
      <c r="N2438" t="s">
        <v>126</v>
      </c>
      <c r="O2438" s="6" t="s">
        <v>83</v>
      </c>
      <c r="P2438" t="str">
        <f t="shared" si="304"/>
        <v>[1]</v>
      </c>
      <c r="Q2438">
        <f t="shared" si="305"/>
        <v>8</v>
      </c>
      <c r="R2438" t="str">
        <f t="shared" si="303"/>
        <v/>
      </c>
      <c r="S2438">
        <f>SUMIF(O2438:$O$2855,R2438,Q2438:$Q$2855)</f>
        <v>0</v>
      </c>
    </row>
    <row r="2439" spans="11:19" x14ac:dyDescent="0.25">
      <c r="K2439" s="4" t="s">
        <v>421</v>
      </c>
      <c r="L2439" t="s">
        <v>422</v>
      </c>
      <c r="M2439" t="s">
        <v>4284</v>
      </c>
      <c r="N2439" t="s">
        <v>126</v>
      </c>
      <c r="O2439" s="6" t="s">
        <v>83</v>
      </c>
      <c r="P2439" t="str">
        <f t="shared" si="304"/>
        <v>[1]</v>
      </c>
      <c r="Q2439">
        <f t="shared" si="305"/>
        <v>8</v>
      </c>
      <c r="R2439" t="str">
        <f t="shared" si="303"/>
        <v/>
      </c>
      <c r="S2439">
        <f>SUMIF(O2439:$O$2855,R2439,Q2439:$Q$2855)</f>
        <v>0</v>
      </c>
    </row>
    <row r="2440" spans="11:19" x14ac:dyDescent="0.25">
      <c r="K2440" s="4" t="s">
        <v>421</v>
      </c>
      <c r="L2440" t="s">
        <v>422</v>
      </c>
      <c r="M2440" t="s">
        <v>4285</v>
      </c>
      <c r="N2440" t="s">
        <v>78</v>
      </c>
      <c r="O2440" s="6" t="s">
        <v>83</v>
      </c>
      <c r="P2440" t="str">
        <f t="shared" si="304"/>
        <v>[1]</v>
      </c>
      <c r="Q2440">
        <f t="shared" si="305"/>
        <v>4</v>
      </c>
      <c r="R2440" t="str">
        <f t="shared" si="303"/>
        <v/>
      </c>
      <c r="S2440">
        <f>SUMIF(O2440:$O$2855,R2440,Q2440:$Q$2855)</f>
        <v>0</v>
      </c>
    </row>
    <row r="2441" spans="11:19" x14ac:dyDescent="0.25">
      <c r="K2441" s="4" t="s">
        <v>421</v>
      </c>
      <c r="L2441" t="s">
        <v>422</v>
      </c>
      <c r="M2441" t="s">
        <v>4286</v>
      </c>
      <c r="N2441" t="s">
        <v>78</v>
      </c>
      <c r="O2441" s="6" t="s">
        <v>83</v>
      </c>
      <c r="P2441" t="str">
        <f t="shared" si="304"/>
        <v>[1]</v>
      </c>
      <c r="Q2441">
        <f t="shared" si="305"/>
        <v>4</v>
      </c>
      <c r="R2441" t="str">
        <f t="shared" si="303"/>
        <v/>
      </c>
      <c r="S2441">
        <f>SUMIF(O2441:$O$2855,R2441,Q2441:$Q$2855)</f>
        <v>0</v>
      </c>
    </row>
    <row r="2442" spans="11:19" x14ac:dyDescent="0.25">
      <c r="K2442" s="4" t="s">
        <v>421</v>
      </c>
      <c r="L2442" t="s">
        <v>422</v>
      </c>
      <c r="M2442" t="s">
        <v>4287</v>
      </c>
      <c r="N2442" t="s">
        <v>78</v>
      </c>
      <c r="O2442" s="6" t="s">
        <v>83</v>
      </c>
      <c r="P2442" t="str">
        <f t="shared" si="304"/>
        <v>[1]</v>
      </c>
      <c r="Q2442">
        <f t="shared" si="305"/>
        <v>4</v>
      </c>
      <c r="R2442" t="str">
        <f t="shared" si="303"/>
        <v/>
      </c>
      <c r="S2442">
        <f>SUMIF(O2442:$O$2855,R2442,Q2442:$Q$2855)</f>
        <v>0</v>
      </c>
    </row>
    <row r="2443" spans="11:19" x14ac:dyDescent="0.25">
      <c r="K2443" s="4" t="s">
        <v>421</v>
      </c>
      <c r="L2443" t="s">
        <v>422</v>
      </c>
      <c r="M2443" t="s">
        <v>4288</v>
      </c>
      <c r="N2443" t="s">
        <v>126</v>
      </c>
      <c r="O2443" s="6" t="s">
        <v>83</v>
      </c>
      <c r="P2443" t="str">
        <f t="shared" si="304"/>
        <v>[1]</v>
      </c>
      <c r="Q2443">
        <f t="shared" si="305"/>
        <v>8</v>
      </c>
      <c r="R2443" t="str">
        <f t="shared" si="303"/>
        <v/>
      </c>
      <c r="S2443">
        <f>SUMIF(O2443:$O$2855,R2443,Q2443:$Q$2855)</f>
        <v>0</v>
      </c>
    </row>
    <row r="2444" spans="11:19" x14ac:dyDescent="0.25">
      <c r="K2444" s="4" t="s">
        <v>421</v>
      </c>
      <c r="L2444" t="s">
        <v>422</v>
      </c>
      <c r="M2444" t="s">
        <v>4289</v>
      </c>
      <c r="N2444" t="s">
        <v>78</v>
      </c>
      <c r="O2444" s="6" t="s">
        <v>83</v>
      </c>
      <c r="P2444" t="str">
        <f t="shared" si="304"/>
        <v>[1]</v>
      </c>
      <c r="Q2444">
        <f t="shared" si="305"/>
        <v>4</v>
      </c>
      <c r="R2444" t="str">
        <f t="shared" si="303"/>
        <v/>
      </c>
      <c r="S2444">
        <f>SUMIF(O2444:$O$2855,R2444,Q2444:$Q$2855)</f>
        <v>0</v>
      </c>
    </row>
    <row r="2445" spans="11:19" x14ac:dyDescent="0.25">
      <c r="K2445" s="4" t="s">
        <v>421</v>
      </c>
      <c r="L2445" t="s">
        <v>422</v>
      </c>
      <c r="M2445" t="s">
        <v>4290</v>
      </c>
      <c r="N2445" t="s">
        <v>78</v>
      </c>
      <c r="O2445" s="6" t="s">
        <v>83</v>
      </c>
      <c r="P2445" t="str">
        <f t="shared" si="304"/>
        <v>[1]</v>
      </c>
      <c r="Q2445">
        <f t="shared" si="305"/>
        <v>4</v>
      </c>
      <c r="R2445" t="str">
        <f t="shared" si="303"/>
        <v/>
      </c>
      <c r="S2445">
        <f>SUMIF(O2445:$O$2855,R2445,Q2445:$Q$2855)</f>
        <v>0</v>
      </c>
    </row>
    <row r="2446" spans="11:19" x14ac:dyDescent="0.25">
      <c r="K2446" s="4" t="s">
        <v>421</v>
      </c>
      <c r="L2446" t="s">
        <v>422</v>
      </c>
      <c r="M2446" t="s">
        <v>4291</v>
      </c>
      <c r="N2446" t="s">
        <v>78</v>
      </c>
      <c r="O2446" s="6" t="s">
        <v>83</v>
      </c>
      <c r="P2446" t="str">
        <f t="shared" si="304"/>
        <v>[1]</v>
      </c>
      <c r="Q2446">
        <f t="shared" si="305"/>
        <v>4</v>
      </c>
      <c r="R2446" t="str">
        <f t="shared" si="303"/>
        <v/>
      </c>
      <c r="S2446">
        <f>SUMIF(O2446:$O$2855,R2446,Q2446:$Q$2855)</f>
        <v>0</v>
      </c>
    </row>
    <row r="2447" spans="11:19" x14ac:dyDescent="0.25">
      <c r="K2447" s="4" t="s">
        <v>421</v>
      </c>
      <c r="L2447" t="s">
        <v>422</v>
      </c>
      <c r="M2447" t="s">
        <v>4292</v>
      </c>
      <c r="N2447" t="s">
        <v>126</v>
      </c>
      <c r="O2447" s="6" t="s">
        <v>83</v>
      </c>
      <c r="P2447" t="str">
        <f t="shared" si="304"/>
        <v>[1]</v>
      </c>
      <c r="Q2447">
        <f t="shared" si="305"/>
        <v>8</v>
      </c>
      <c r="R2447" t="str">
        <f t="shared" si="303"/>
        <v/>
      </c>
      <c r="S2447">
        <f>SUMIF(O2447:$O$2855,R2447,Q2447:$Q$2855)</f>
        <v>0</v>
      </c>
    </row>
    <row r="2448" spans="11:19" x14ac:dyDescent="0.25">
      <c r="K2448" s="4" t="s">
        <v>421</v>
      </c>
      <c r="L2448" t="s">
        <v>422</v>
      </c>
      <c r="M2448" t="s">
        <v>4293</v>
      </c>
      <c r="N2448" t="s">
        <v>126</v>
      </c>
      <c r="O2448" s="6" t="s">
        <v>83</v>
      </c>
      <c r="P2448" t="str">
        <f t="shared" si="304"/>
        <v>[1]</v>
      </c>
      <c r="Q2448">
        <f t="shared" si="305"/>
        <v>8</v>
      </c>
      <c r="R2448" t="str">
        <f t="shared" si="303"/>
        <v/>
      </c>
      <c r="S2448">
        <f>SUMIF(O2448:$O$2855,R2448,Q2448:$Q$2855)</f>
        <v>0</v>
      </c>
    </row>
    <row r="2449" spans="11:19" x14ac:dyDescent="0.25">
      <c r="K2449" s="4" t="s">
        <v>421</v>
      </c>
      <c r="L2449" t="s">
        <v>422</v>
      </c>
      <c r="M2449" t="s">
        <v>4294</v>
      </c>
      <c r="N2449" t="s">
        <v>126</v>
      </c>
      <c r="O2449" s="6" t="s">
        <v>83</v>
      </c>
      <c r="P2449" t="str">
        <f t="shared" si="304"/>
        <v>[1]</v>
      </c>
      <c r="Q2449">
        <f t="shared" si="305"/>
        <v>8</v>
      </c>
      <c r="R2449" t="str">
        <f t="shared" si="303"/>
        <v/>
      </c>
      <c r="S2449">
        <f>SUMIF(O2449:$O$2855,R2449,Q2449:$Q$2855)</f>
        <v>0</v>
      </c>
    </row>
    <row r="2450" spans="11:19" x14ac:dyDescent="0.25">
      <c r="K2450" s="4" t="s">
        <v>421</v>
      </c>
      <c r="L2450" t="s">
        <v>422</v>
      </c>
      <c r="M2450" t="s">
        <v>4295</v>
      </c>
      <c r="N2450" t="s">
        <v>126</v>
      </c>
      <c r="O2450" s="6" t="s">
        <v>83</v>
      </c>
      <c r="P2450" t="str">
        <f t="shared" si="304"/>
        <v>[1]</v>
      </c>
      <c r="Q2450">
        <f t="shared" si="305"/>
        <v>8</v>
      </c>
      <c r="R2450" t="str">
        <f t="shared" si="303"/>
        <v/>
      </c>
      <c r="S2450">
        <f>SUMIF(O2450:$O$2855,R2450,Q2450:$Q$2855)</f>
        <v>0</v>
      </c>
    </row>
    <row r="2451" spans="11:19" x14ac:dyDescent="0.25">
      <c r="K2451" s="4" t="s">
        <v>421</v>
      </c>
      <c r="L2451" t="s">
        <v>422</v>
      </c>
      <c r="M2451" t="s">
        <v>4296</v>
      </c>
      <c r="N2451" t="s">
        <v>126</v>
      </c>
      <c r="O2451" s="6" t="s">
        <v>83</v>
      </c>
      <c r="P2451" t="str">
        <f t="shared" si="304"/>
        <v>[1]</v>
      </c>
      <c r="Q2451">
        <f t="shared" si="305"/>
        <v>8</v>
      </c>
      <c r="R2451" t="str">
        <f t="shared" si="303"/>
        <v/>
      </c>
      <c r="S2451">
        <f>SUMIF(O2451:$O$2855,R2451,Q2451:$Q$2855)</f>
        <v>0</v>
      </c>
    </row>
    <row r="2452" spans="11:19" x14ac:dyDescent="0.25">
      <c r="K2452" s="4" t="s">
        <v>421</v>
      </c>
      <c r="L2452" t="s">
        <v>422</v>
      </c>
      <c r="M2452" t="s">
        <v>4297</v>
      </c>
      <c r="N2452" t="s">
        <v>126</v>
      </c>
      <c r="O2452" s="6" t="s">
        <v>83</v>
      </c>
      <c r="P2452" t="str">
        <f t="shared" si="304"/>
        <v>[1]</v>
      </c>
      <c r="Q2452">
        <f t="shared" si="305"/>
        <v>8</v>
      </c>
      <c r="R2452" t="str">
        <f t="shared" si="303"/>
        <v/>
      </c>
      <c r="S2452">
        <f>SUMIF(O2452:$O$2855,R2452,Q2452:$Q$2855)</f>
        <v>0</v>
      </c>
    </row>
    <row r="2453" spans="11:19" x14ac:dyDescent="0.25">
      <c r="K2453" s="4" t="s">
        <v>421</v>
      </c>
      <c r="L2453" t="s">
        <v>422</v>
      </c>
      <c r="M2453" t="s">
        <v>4298</v>
      </c>
      <c r="N2453" t="s">
        <v>78</v>
      </c>
      <c r="O2453" s="6" t="s">
        <v>83</v>
      </c>
      <c r="P2453" t="str">
        <f t="shared" si="304"/>
        <v>[1]</v>
      </c>
      <c r="Q2453">
        <f t="shared" si="305"/>
        <v>4</v>
      </c>
      <c r="R2453" t="str">
        <f t="shared" si="303"/>
        <v/>
      </c>
      <c r="S2453">
        <f>SUMIF(O2453:$O$2855,R2453,Q2453:$Q$2855)</f>
        <v>0</v>
      </c>
    </row>
    <row r="2454" spans="11:19" x14ac:dyDescent="0.25">
      <c r="K2454" s="4" t="s">
        <v>421</v>
      </c>
      <c r="L2454" t="s">
        <v>422</v>
      </c>
      <c r="M2454" t="s">
        <v>4299</v>
      </c>
      <c r="N2454" t="s">
        <v>126</v>
      </c>
      <c r="O2454" s="6" t="s">
        <v>83</v>
      </c>
      <c r="P2454" t="str">
        <f t="shared" si="304"/>
        <v>[1]</v>
      </c>
      <c r="Q2454">
        <f t="shared" si="305"/>
        <v>8</v>
      </c>
      <c r="R2454" t="str">
        <f t="shared" si="303"/>
        <v/>
      </c>
      <c r="S2454">
        <f>SUMIF(O2454:$O$2855,R2454,Q2454:$Q$2855)</f>
        <v>0</v>
      </c>
    </row>
    <row r="2455" spans="11:19" x14ac:dyDescent="0.25">
      <c r="K2455" s="4" t="s">
        <v>421</v>
      </c>
      <c r="L2455" t="s">
        <v>422</v>
      </c>
      <c r="M2455" t="s">
        <v>4300</v>
      </c>
      <c r="N2455" t="s">
        <v>126</v>
      </c>
      <c r="O2455" s="6" t="s">
        <v>83</v>
      </c>
      <c r="P2455" t="str">
        <f t="shared" si="304"/>
        <v>[1]</v>
      </c>
      <c r="Q2455">
        <f t="shared" si="305"/>
        <v>8</v>
      </c>
      <c r="R2455" t="str">
        <f t="shared" si="303"/>
        <v/>
      </c>
      <c r="S2455">
        <f>SUMIF(O2455:$O$2855,R2455,Q2455:$Q$2855)</f>
        <v>0</v>
      </c>
    </row>
    <row r="2456" spans="11:19" x14ac:dyDescent="0.25">
      <c r="K2456" s="4" t="s">
        <v>421</v>
      </c>
      <c r="L2456" t="s">
        <v>422</v>
      </c>
      <c r="M2456" t="s">
        <v>4301</v>
      </c>
      <c r="N2456" t="s">
        <v>126</v>
      </c>
      <c r="O2456" s="6" t="s">
        <v>83</v>
      </c>
      <c r="P2456" t="str">
        <f t="shared" si="304"/>
        <v>[1]</v>
      </c>
      <c r="Q2456">
        <f t="shared" si="305"/>
        <v>8</v>
      </c>
      <c r="R2456" t="str">
        <f t="shared" si="303"/>
        <v/>
      </c>
      <c r="S2456">
        <f>SUMIF(O2456:$O$2855,R2456,Q2456:$Q$2855)</f>
        <v>0</v>
      </c>
    </row>
    <row r="2457" spans="11:19" x14ac:dyDescent="0.25">
      <c r="K2457" s="4" t="s">
        <v>421</v>
      </c>
      <c r="L2457" t="s">
        <v>422</v>
      </c>
      <c r="M2457" t="s">
        <v>4302</v>
      </c>
      <c r="N2457" t="s">
        <v>126</v>
      </c>
      <c r="O2457" s="6" t="s">
        <v>83</v>
      </c>
      <c r="P2457" t="str">
        <f t="shared" si="304"/>
        <v>[1]</v>
      </c>
      <c r="Q2457">
        <f t="shared" si="305"/>
        <v>8</v>
      </c>
      <c r="R2457" t="str">
        <f t="shared" si="303"/>
        <v/>
      </c>
      <c r="S2457">
        <f>SUMIF(O2457:$O$2855,R2457,Q2457:$Q$2855)</f>
        <v>0</v>
      </c>
    </row>
    <row r="2458" spans="11:19" x14ac:dyDescent="0.25">
      <c r="K2458" s="4" t="s">
        <v>421</v>
      </c>
      <c r="L2458" t="s">
        <v>422</v>
      </c>
      <c r="M2458" t="s">
        <v>4303</v>
      </c>
      <c r="N2458" t="s">
        <v>126</v>
      </c>
      <c r="O2458" s="6" t="s">
        <v>83</v>
      </c>
      <c r="P2458" t="str">
        <f t="shared" si="304"/>
        <v>[1]</v>
      </c>
      <c r="Q2458">
        <f t="shared" si="305"/>
        <v>8</v>
      </c>
      <c r="R2458" t="str">
        <f t="shared" si="303"/>
        <v/>
      </c>
      <c r="S2458">
        <f>SUMIF(O2458:$O$2855,R2458,Q2458:$Q$2855)</f>
        <v>0</v>
      </c>
    </row>
    <row r="2459" spans="11:19" x14ac:dyDescent="0.25">
      <c r="K2459" s="4" t="s">
        <v>421</v>
      </c>
      <c r="L2459" t="s">
        <v>422</v>
      </c>
      <c r="M2459" t="s">
        <v>4304</v>
      </c>
      <c r="N2459" t="s">
        <v>1512</v>
      </c>
      <c r="O2459" s="6" t="s">
        <v>83</v>
      </c>
      <c r="P2459" t="str">
        <f t="shared" si="304"/>
        <v>[1]</v>
      </c>
      <c r="Q2459">
        <f t="shared" si="305"/>
        <v>960</v>
      </c>
      <c r="R2459" t="str">
        <f t="shared" si="303"/>
        <v/>
      </c>
      <c r="S2459">
        <f>SUMIF(O2459:$O$2855,R2459,Q2459:$Q$2855)</f>
        <v>0</v>
      </c>
    </row>
    <row r="2460" spans="11:19" x14ac:dyDescent="0.25">
      <c r="K2460" s="4" t="s">
        <v>421</v>
      </c>
      <c r="L2460" t="s">
        <v>422</v>
      </c>
      <c r="M2460" t="s">
        <v>4305</v>
      </c>
      <c r="N2460" t="s">
        <v>430</v>
      </c>
      <c r="O2460" s="6" t="s">
        <v>83</v>
      </c>
      <c r="P2460" t="str">
        <f t="shared" si="304"/>
        <v>[1]</v>
      </c>
      <c r="Q2460">
        <f t="shared" si="305"/>
        <v>352</v>
      </c>
      <c r="R2460" t="str">
        <f t="shared" si="303"/>
        <v/>
      </c>
      <c r="S2460">
        <f>SUMIF(O2460:$O$2855,R2460,Q2460:$Q$2855)</f>
        <v>0</v>
      </c>
    </row>
    <row r="2461" spans="11:19" x14ac:dyDescent="0.25">
      <c r="K2461" s="4" t="s">
        <v>421</v>
      </c>
      <c r="L2461" t="s">
        <v>422</v>
      </c>
      <c r="M2461" t="s">
        <v>4306</v>
      </c>
      <c r="N2461" t="s">
        <v>103</v>
      </c>
      <c r="O2461" s="6" t="s">
        <v>83</v>
      </c>
      <c r="P2461" t="str">
        <f t="shared" si="304"/>
        <v>[1]</v>
      </c>
      <c r="Q2461">
        <f t="shared" si="305"/>
        <v>64</v>
      </c>
      <c r="R2461" t="str">
        <f t="shared" si="303"/>
        <v/>
      </c>
      <c r="S2461">
        <f>SUMIF(O2461:$O$2855,R2461,Q2461:$Q$2855)</f>
        <v>0</v>
      </c>
    </row>
    <row r="2462" spans="11:19" x14ac:dyDescent="0.25">
      <c r="K2462" s="4" t="s">
        <v>421</v>
      </c>
      <c r="L2462" t="s">
        <v>422</v>
      </c>
      <c r="M2462" t="s">
        <v>4024</v>
      </c>
      <c r="N2462" t="s">
        <v>13</v>
      </c>
      <c r="O2462" s="6" t="s">
        <v>206</v>
      </c>
      <c r="P2462" t="str">
        <f t="shared" si="304"/>
        <v>[1]</v>
      </c>
      <c r="Q2462">
        <f t="shared" si="305"/>
        <v>12</v>
      </c>
      <c r="R2462" t="str">
        <f t="shared" si="303"/>
        <v>time_DST.o</v>
      </c>
      <c r="S2462">
        <f>SUMIF(O2462:$O$2855,R2462,Q2462:$Q$2855)</f>
        <v>396</v>
      </c>
    </row>
    <row r="2463" spans="11:19" x14ac:dyDescent="0.25">
      <c r="K2463" s="4" t="s">
        <v>421</v>
      </c>
      <c r="L2463" t="s">
        <v>422</v>
      </c>
      <c r="M2463" t="s">
        <v>1786</v>
      </c>
      <c r="N2463" t="s">
        <v>165</v>
      </c>
      <c r="O2463" s="6" t="s">
        <v>206</v>
      </c>
      <c r="P2463" t="str">
        <f t="shared" si="304"/>
        <v>[1]</v>
      </c>
      <c r="Q2463">
        <f t="shared" si="305"/>
        <v>20</v>
      </c>
      <c r="R2463" t="str">
        <f t="shared" si="303"/>
        <v/>
      </c>
      <c r="S2463">
        <f>SUMIF(O2463:$O$2855,R2463,Q2463:$Q$2855)</f>
        <v>0</v>
      </c>
    </row>
    <row r="2464" spans="11:19" x14ac:dyDescent="0.25">
      <c r="K2464" s="4" t="s">
        <v>421</v>
      </c>
      <c r="L2464" t="s">
        <v>422</v>
      </c>
      <c r="M2464" t="s">
        <v>4025</v>
      </c>
      <c r="N2464" t="s">
        <v>165</v>
      </c>
      <c r="O2464" s="6" t="s">
        <v>206</v>
      </c>
      <c r="P2464" t="str">
        <f t="shared" si="304"/>
        <v>[1]</v>
      </c>
      <c r="Q2464">
        <f t="shared" si="305"/>
        <v>20</v>
      </c>
      <c r="R2464" t="str">
        <f t="shared" ref="R2464:R2527" si="306">IF(O2464&lt;&gt;O2463,O2464,"")</f>
        <v/>
      </c>
      <c r="S2464">
        <f>SUMIF(O2464:$O$2855,R2464,Q2464:$Q$2855)</f>
        <v>0</v>
      </c>
    </row>
    <row r="2465" spans="11:19" x14ac:dyDescent="0.25">
      <c r="K2465" s="4" t="s">
        <v>421</v>
      </c>
      <c r="L2465" t="s">
        <v>422</v>
      </c>
      <c r="M2465" t="s">
        <v>4026</v>
      </c>
      <c r="N2465" t="s">
        <v>165</v>
      </c>
      <c r="O2465" s="6" t="s">
        <v>206</v>
      </c>
      <c r="P2465" t="str">
        <f t="shared" si="304"/>
        <v>[1]</v>
      </c>
      <c r="Q2465">
        <f t="shared" si="305"/>
        <v>20</v>
      </c>
      <c r="R2465" t="str">
        <f t="shared" si="306"/>
        <v/>
      </c>
      <c r="S2465">
        <f>SUMIF(O2465:$O$2855,R2465,Q2465:$Q$2855)</f>
        <v>0</v>
      </c>
    </row>
    <row r="2466" spans="11:19" x14ac:dyDescent="0.25">
      <c r="K2466" s="4" t="s">
        <v>421</v>
      </c>
      <c r="L2466" t="s">
        <v>422</v>
      </c>
      <c r="M2466" t="s">
        <v>4027</v>
      </c>
      <c r="N2466" t="s">
        <v>124</v>
      </c>
      <c r="O2466" s="6" t="s">
        <v>206</v>
      </c>
      <c r="P2466" t="str">
        <f t="shared" si="304"/>
        <v>[1]</v>
      </c>
      <c r="Q2466">
        <f t="shared" si="305"/>
        <v>68</v>
      </c>
      <c r="R2466" t="str">
        <f t="shared" si="306"/>
        <v/>
      </c>
      <c r="S2466">
        <f>SUMIF(O2466:$O$2855,R2466,Q2466:$Q$2855)</f>
        <v>0</v>
      </c>
    </row>
    <row r="2467" spans="11:19" x14ac:dyDescent="0.25">
      <c r="K2467" s="4" t="s">
        <v>421</v>
      </c>
      <c r="L2467" t="s">
        <v>422</v>
      </c>
      <c r="M2467" t="s">
        <v>1787</v>
      </c>
      <c r="N2467" t="s">
        <v>124</v>
      </c>
      <c r="O2467" s="6" t="s">
        <v>206</v>
      </c>
      <c r="P2467" t="str">
        <f t="shared" si="304"/>
        <v>[1]</v>
      </c>
      <c r="Q2467">
        <f t="shared" si="305"/>
        <v>68</v>
      </c>
      <c r="R2467" t="str">
        <f t="shared" si="306"/>
        <v/>
      </c>
      <c r="S2467">
        <f>SUMIF(O2467:$O$2855,R2467,Q2467:$Q$2855)</f>
        <v>0</v>
      </c>
    </row>
    <row r="2468" spans="11:19" x14ac:dyDescent="0.25">
      <c r="K2468" s="4" t="s">
        <v>421</v>
      </c>
      <c r="L2468" t="s">
        <v>422</v>
      </c>
      <c r="M2468" t="s">
        <v>4028</v>
      </c>
      <c r="N2468" t="s">
        <v>165</v>
      </c>
      <c r="O2468" s="6" t="s">
        <v>206</v>
      </c>
      <c r="P2468" t="str">
        <f t="shared" si="304"/>
        <v>[1]</v>
      </c>
      <c r="Q2468">
        <f t="shared" si="305"/>
        <v>20</v>
      </c>
      <c r="R2468" t="str">
        <f t="shared" si="306"/>
        <v/>
      </c>
      <c r="S2468">
        <f>SUMIF(O2468:$O$2855,R2468,Q2468:$Q$2855)</f>
        <v>0</v>
      </c>
    </row>
    <row r="2469" spans="11:19" x14ac:dyDescent="0.25">
      <c r="K2469" s="4" t="s">
        <v>421</v>
      </c>
      <c r="L2469" t="s">
        <v>422</v>
      </c>
      <c r="M2469" t="s">
        <v>4029</v>
      </c>
      <c r="N2469" t="s">
        <v>190</v>
      </c>
      <c r="O2469" s="6" t="s">
        <v>206</v>
      </c>
      <c r="P2469" t="str">
        <f t="shared" si="304"/>
        <v>[1]</v>
      </c>
      <c r="Q2469">
        <f t="shared" si="305"/>
        <v>56</v>
      </c>
      <c r="R2469" t="str">
        <f t="shared" si="306"/>
        <v/>
      </c>
      <c r="S2469">
        <f>SUMIF(O2469:$O$2855,R2469,Q2469:$Q$2855)</f>
        <v>0</v>
      </c>
    </row>
    <row r="2470" spans="11:19" x14ac:dyDescent="0.25">
      <c r="K2470" s="4" t="s">
        <v>421</v>
      </c>
      <c r="L2470" t="s">
        <v>422</v>
      </c>
      <c r="M2470" t="s">
        <v>4030</v>
      </c>
      <c r="N2470" t="s">
        <v>190</v>
      </c>
      <c r="O2470" s="6" t="s">
        <v>206</v>
      </c>
      <c r="P2470" t="str">
        <f t="shared" si="304"/>
        <v>[1]</v>
      </c>
      <c r="Q2470">
        <f t="shared" si="305"/>
        <v>56</v>
      </c>
      <c r="R2470" t="str">
        <f t="shared" si="306"/>
        <v/>
      </c>
      <c r="S2470">
        <f>SUMIF(O2470:$O$2855,R2470,Q2470:$Q$2855)</f>
        <v>0</v>
      </c>
    </row>
    <row r="2471" spans="11:19" x14ac:dyDescent="0.25">
      <c r="K2471" s="4" t="s">
        <v>421</v>
      </c>
      <c r="L2471" t="s">
        <v>422</v>
      </c>
      <c r="M2471" t="s">
        <v>4031</v>
      </c>
      <c r="N2471" t="s">
        <v>190</v>
      </c>
      <c r="O2471" s="6" t="s">
        <v>206</v>
      </c>
      <c r="P2471" t="str">
        <f t="shared" si="304"/>
        <v>[1]</v>
      </c>
      <c r="Q2471">
        <f t="shared" si="305"/>
        <v>56</v>
      </c>
      <c r="R2471" t="str">
        <f t="shared" si="306"/>
        <v/>
      </c>
      <c r="S2471">
        <f>SUMIF(O2471:$O$2855,R2471,Q2471:$Q$2855)</f>
        <v>0</v>
      </c>
    </row>
    <row r="2472" spans="11:19" x14ac:dyDescent="0.25">
      <c r="K2472" s="4" t="s">
        <v>421</v>
      </c>
      <c r="L2472" t="s">
        <v>422</v>
      </c>
      <c r="M2472" t="s">
        <v>4032</v>
      </c>
      <c r="N2472" t="s">
        <v>13</v>
      </c>
      <c r="O2472" s="6" t="s">
        <v>1038</v>
      </c>
      <c r="P2472" t="str">
        <f t="shared" si="304"/>
        <v>[1]</v>
      </c>
      <c r="Q2472">
        <f t="shared" si="305"/>
        <v>12</v>
      </c>
      <c r="R2472" t="str">
        <f t="shared" si="306"/>
        <v>time_sync.o</v>
      </c>
      <c r="S2472">
        <f>SUMIF(O2472:$O$2855,R2472,Q2472:$Q$2855)</f>
        <v>620</v>
      </c>
    </row>
    <row r="2473" spans="11:19" x14ac:dyDescent="0.25">
      <c r="K2473" s="4" t="s">
        <v>421</v>
      </c>
      <c r="L2473" t="s">
        <v>422</v>
      </c>
      <c r="M2473" t="s">
        <v>4033</v>
      </c>
      <c r="N2473" t="s">
        <v>103</v>
      </c>
      <c r="O2473" s="6" t="s">
        <v>1038</v>
      </c>
      <c r="P2473" t="str">
        <f t="shared" si="304"/>
        <v>[1]</v>
      </c>
      <c r="Q2473">
        <f t="shared" si="305"/>
        <v>64</v>
      </c>
      <c r="R2473" t="str">
        <f t="shared" si="306"/>
        <v/>
      </c>
      <c r="S2473">
        <f>SUMIF(O2473:$O$2855,R2473,Q2473:$Q$2855)</f>
        <v>0</v>
      </c>
    </row>
    <row r="2474" spans="11:19" x14ac:dyDescent="0.25">
      <c r="K2474" s="4" t="s">
        <v>421</v>
      </c>
      <c r="L2474" t="s">
        <v>422</v>
      </c>
      <c r="M2474" t="s">
        <v>4034</v>
      </c>
      <c r="N2474" t="s">
        <v>119</v>
      </c>
      <c r="O2474" s="6" t="s">
        <v>1038</v>
      </c>
      <c r="P2474" t="str">
        <f t="shared" si="304"/>
        <v>[1]</v>
      </c>
      <c r="Q2474">
        <f t="shared" si="305"/>
        <v>32</v>
      </c>
      <c r="R2474" t="str">
        <f t="shared" si="306"/>
        <v/>
      </c>
      <c r="S2474">
        <f>SUMIF(O2474:$O$2855,R2474,Q2474:$Q$2855)</f>
        <v>0</v>
      </c>
    </row>
    <row r="2475" spans="11:19" x14ac:dyDescent="0.25">
      <c r="K2475" s="4" t="s">
        <v>421</v>
      </c>
      <c r="L2475" t="s">
        <v>422</v>
      </c>
      <c r="M2475" t="s">
        <v>4035</v>
      </c>
      <c r="N2475" t="s">
        <v>119</v>
      </c>
      <c r="O2475" s="6" t="s">
        <v>1038</v>
      </c>
      <c r="P2475" t="str">
        <f t="shared" si="304"/>
        <v>[1]</v>
      </c>
      <c r="Q2475">
        <f t="shared" si="305"/>
        <v>32</v>
      </c>
      <c r="R2475" t="str">
        <f t="shared" si="306"/>
        <v/>
      </c>
      <c r="S2475">
        <f>SUMIF(O2475:$O$2855,R2475,Q2475:$Q$2855)</f>
        <v>0</v>
      </c>
    </row>
    <row r="2476" spans="11:19" x14ac:dyDescent="0.25">
      <c r="K2476" s="4" t="s">
        <v>421</v>
      </c>
      <c r="L2476" t="s">
        <v>422</v>
      </c>
      <c r="M2476" t="s">
        <v>4036</v>
      </c>
      <c r="N2476" t="s">
        <v>119</v>
      </c>
      <c r="O2476" s="6" t="s">
        <v>1038</v>
      </c>
      <c r="P2476" t="str">
        <f t="shared" si="304"/>
        <v>[1]</v>
      </c>
      <c r="Q2476">
        <f t="shared" si="305"/>
        <v>32</v>
      </c>
      <c r="R2476" t="str">
        <f t="shared" si="306"/>
        <v/>
      </c>
      <c r="S2476">
        <f>SUMIF(O2476:$O$2855,R2476,Q2476:$Q$2855)</f>
        <v>0</v>
      </c>
    </row>
    <row r="2477" spans="11:19" x14ac:dyDescent="0.25">
      <c r="K2477" s="4" t="s">
        <v>421</v>
      </c>
      <c r="L2477" t="s">
        <v>422</v>
      </c>
      <c r="M2477" t="s">
        <v>1987</v>
      </c>
      <c r="N2477" t="s">
        <v>119</v>
      </c>
      <c r="O2477" s="6" t="s">
        <v>1038</v>
      </c>
      <c r="P2477" t="str">
        <f t="shared" si="304"/>
        <v>[1]</v>
      </c>
      <c r="Q2477">
        <f t="shared" si="305"/>
        <v>32</v>
      </c>
      <c r="R2477" t="str">
        <f t="shared" si="306"/>
        <v/>
      </c>
      <c r="S2477">
        <f>SUMIF(O2477:$O$2855,R2477,Q2477:$Q$2855)</f>
        <v>0</v>
      </c>
    </row>
    <row r="2478" spans="11:19" x14ac:dyDescent="0.25">
      <c r="K2478" s="4" t="s">
        <v>421</v>
      </c>
      <c r="L2478" t="s">
        <v>422</v>
      </c>
      <c r="M2478" t="s">
        <v>1988</v>
      </c>
      <c r="N2478" t="s">
        <v>119</v>
      </c>
      <c r="O2478" s="6" t="s">
        <v>1038</v>
      </c>
      <c r="P2478" t="str">
        <f t="shared" si="304"/>
        <v>[1]</v>
      </c>
      <c r="Q2478">
        <f t="shared" si="305"/>
        <v>32</v>
      </c>
      <c r="R2478" t="str">
        <f t="shared" si="306"/>
        <v/>
      </c>
      <c r="S2478">
        <f>SUMIF(O2478:$O$2855,R2478,Q2478:$Q$2855)</f>
        <v>0</v>
      </c>
    </row>
    <row r="2479" spans="11:19" x14ac:dyDescent="0.25">
      <c r="K2479" s="4" t="s">
        <v>421</v>
      </c>
      <c r="L2479" t="s">
        <v>422</v>
      </c>
      <c r="M2479" t="s">
        <v>4037</v>
      </c>
      <c r="N2479" t="s">
        <v>119</v>
      </c>
      <c r="O2479" s="6" t="s">
        <v>1038</v>
      </c>
      <c r="P2479" t="str">
        <f t="shared" si="304"/>
        <v>[1]</v>
      </c>
      <c r="Q2479">
        <f t="shared" si="305"/>
        <v>32</v>
      </c>
      <c r="R2479" t="str">
        <f t="shared" si="306"/>
        <v/>
      </c>
      <c r="S2479">
        <f>SUMIF(O2479:$O$2855,R2479,Q2479:$Q$2855)</f>
        <v>0</v>
      </c>
    </row>
    <row r="2480" spans="11:19" x14ac:dyDescent="0.25">
      <c r="K2480" s="4" t="s">
        <v>421</v>
      </c>
      <c r="L2480" t="s">
        <v>422</v>
      </c>
      <c r="M2480" t="s">
        <v>4038</v>
      </c>
      <c r="N2480" t="s">
        <v>119</v>
      </c>
      <c r="O2480" s="6" t="s">
        <v>1038</v>
      </c>
      <c r="P2480" t="str">
        <f t="shared" si="304"/>
        <v>[1]</v>
      </c>
      <c r="Q2480">
        <f t="shared" si="305"/>
        <v>32</v>
      </c>
      <c r="R2480" t="str">
        <f t="shared" si="306"/>
        <v/>
      </c>
      <c r="S2480">
        <f>SUMIF(O2480:$O$2855,R2480,Q2480:$Q$2855)</f>
        <v>0</v>
      </c>
    </row>
    <row r="2481" spans="11:19" x14ac:dyDescent="0.25">
      <c r="K2481" s="4" t="s">
        <v>421</v>
      </c>
      <c r="L2481" t="s">
        <v>422</v>
      </c>
      <c r="M2481" t="s">
        <v>4039</v>
      </c>
      <c r="N2481" t="s">
        <v>119</v>
      </c>
      <c r="O2481" s="6" t="s">
        <v>1038</v>
      </c>
      <c r="P2481" t="str">
        <f t="shared" si="304"/>
        <v>[1]</v>
      </c>
      <c r="Q2481">
        <f t="shared" si="305"/>
        <v>32</v>
      </c>
      <c r="R2481" t="str">
        <f t="shared" si="306"/>
        <v/>
      </c>
      <c r="S2481">
        <f>SUMIF(O2481:$O$2855,R2481,Q2481:$Q$2855)</f>
        <v>0</v>
      </c>
    </row>
    <row r="2482" spans="11:19" x14ac:dyDescent="0.25">
      <c r="K2482" s="4" t="s">
        <v>421</v>
      </c>
      <c r="L2482" t="s">
        <v>422</v>
      </c>
      <c r="M2482" t="s">
        <v>4040</v>
      </c>
      <c r="N2482" t="s">
        <v>119</v>
      </c>
      <c r="O2482" s="6" t="s">
        <v>1038</v>
      </c>
      <c r="P2482" t="str">
        <f t="shared" si="304"/>
        <v>[1]</v>
      </c>
      <c r="Q2482">
        <f t="shared" si="305"/>
        <v>32</v>
      </c>
      <c r="R2482" t="str">
        <f t="shared" si="306"/>
        <v/>
      </c>
      <c r="S2482">
        <f>SUMIF(O2482:$O$2855,R2482,Q2482:$Q$2855)</f>
        <v>0</v>
      </c>
    </row>
    <row r="2483" spans="11:19" x14ac:dyDescent="0.25">
      <c r="K2483" s="4" t="s">
        <v>421</v>
      </c>
      <c r="L2483" t="s">
        <v>422</v>
      </c>
      <c r="M2483" t="s">
        <v>4041</v>
      </c>
      <c r="N2483" t="s">
        <v>119</v>
      </c>
      <c r="O2483" s="6" t="s">
        <v>1038</v>
      </c>
      <c r="P2483" t="str">
        <f t="shared" si="304"/>
        <v>[1]</v>
      </c>
      <c r="Q2483">
        <f t="shared" si="305"/>
        <v>32</v>
      </c>
      <c r="R2483" t="str">
        <f t="shared" si="306"/>
        <v/>
      </c>
      <c r="S2483">
        <f>SUMIF(O2483:$O$2855,R2483,Q2483:$Q$2855)</f>
        <v>0</v>
      </c>
    </row>
    <row r="2484" spans="11:19" x14ac:dyDescent="0.25">
      <c r="K2484" s="4" t="s">
        <v>421</v>
      </c>
      <c r="L2484" t="s">
        <v>422</v>
      </c>
      <c r="M2484" t="s">
        <v>4042</v>
      </c>
      <c r="N2484" t="s">
        <v>119</v>
      </c>
      <c r="O2484" s="6" t="s">
        <v>1038</v>
      </c>
      <c r="P2484" t="str">
        <f t="shared" si="304"/>
        <v>[1]</v>
      </c>
      <c r="Q2484">
        <f t="shared" si="305"/>
        <v>32</v>
      </c>
      <c r="R2484" t="str">
        <f t="shared" si="306"/>
        <v/>
      </c>
      <c r="S2484">
        <f>SUMIF(O2484:$O$2855,R2484,Q2484:$Q$2855)</f>
        <v>0</v>
      </c>
    </row>
    <row r="2485" spans="11:19" x14ac:dyDescent="0.25">
      <c r="K2485" s="4" t="s">
        <v>421</v>
      </c>
      <c r="L2485" t="s">
        <v>422</v>
      </c>
      <c r="M2485" t="s">
        <v>4043</v>
      </c>
      <c r="N2485" t="s">
        <v>143</v>
      </c>
      <c r="O2485" s="6" t="s">
        <v>1038</v>
      </c>
      <c r="P2485" t="str">
        <f t="shared" si="304"/>
        <v>[1]</v>
      </c>
      <c r="Q2485">
        <f t="shared" si="305"/>
        <v>84</v>
      </c>
      <c r="R2485" t="str">
        <f t="shared" si="306"/>
        <v/>
      </c>
      <c r="S2485">
        <f>SUMIF(O2485:$O$2855,R2485,Q2485:$Q$2855)</f>
        <v>0</v>
      </c>
    </row>
    <row r="2486" spans="11:19" x14ac:dyDescent="0.25">
      <c r="K2486" s="4" t="s">
        <v>421</v>
      </c>
      <c r="L2486" t="s">
        <v>422</v>
      </c>
      <c r="M2486" t="s">
        <v>4044</v>
      </c>
      <c r="N2486" t="s">
        <v>13</v>
      </c>
      <c r="O2486" s="6" t="s">
        <v>1038</v>
      </c>
      <c r="P2486" t="str">
        <f t="shared" si="304"/>
        <v>[1]</v>
      </c>
      <c r="Q2486">
        <f t="shared" si="305"/>
        <v>12</v>
      </c>
      <c r="R2486" t="str">
        <f t="shared" si="306"/>
        <v/>
      </c>
      <c r="S2486">
        <f>SUMIF(O2486:$O$2855,R2486,Q2486:$Q$2855)</f>
        <v>0</v>
      </c>
    </row>
    <row r="2487" spans="11:19" x14ac:dyDescent="0.25">
      <c r="K2487" s="4" t="s">
        <v>421</v>
      </c>
      <c r="L2487" t="s">
        <v>422</v>
      </c>
      <c r="M2487" t="s">
        <v>4045</v>
      </c>
      <c r="N2487" t="s">
        <v>202</v>
      </c>
      <c r="O2487" s="6" t="s">
        <v>1038</v>
      </c>
      <c r="P2487" t="str">
        <f t="shared" si="304"/>
        <v>[1]</v>
      </c>
      <c r="Q2487">
        <f t="shared" si="305"/>
        <v>16</v>
      </c>
      <c r="R2487" t="str">
        <f t="shared" si="306"/>
        <v/>
      </c>
      <c r="S2487">
        <f>SUMIF(O2487:$O$2855,R2487,Q2487:$Q$2855)</f>
        <v>0</v>
      </c>
    </row>
    <row r="2488" spans="11:19" x14ac:dyDescent="0.25">
      <c r="K2488" s="4" t="s">
        <v>421</v>
      </c>
      <c r="L2488" t="s">
        <v>422</v>
      </c>
      <c r="M2488" t="s">
        <v>4046</v>
      </c>
      <c r="N2488" t="s">
        <v>275</v>
      </c>
      <c r="O2488" s="6" t="s">
        <v>1038</v>
      </c>
      <c r="P2488" t="str">
        <f t="shared" si="304"/>
        <v>[1]</v>
      </c>
      <c r="Q2488">
        <f t="shared" si="305"/>
        <v>80</v>
      </c>
      <c r="R2488" t="str">
        <f t="shared" si="306"/>
        <v/>
      </c>
      <c r="S2488">
        <f>SUMIF(O2488:$O$2855,R2488,Q2488:$Q$2855)</f>
        <v>0</v>
      </c>
    </row>
    <row r="2489" spans="11:19" x14ac:dyDescent="0.25">
      <c r="K2489" s="4" t="s">
        <v>421</v>
      </c>
      <c r="L2489" t="s">
        <v>422</v>
      </c>
      <c r="M2489" t="s">
        <v>4047</v>
      </c>
      <c r="N2489" t="s">
        <v>13</v>
      </c>
      <c r="O2489" s="6" t="s">
        <v>162</v>
      </c>
      <c r="P2489" t="str">
        <f t="shared" si="304"/>
        <v>[1]</v>
      </c>
      <c r="Q2489">
        <f t="shared" si="305"/>
        <v>12</v>
      </c>
      <c r="R2489" t="str">
        <f t="shared" si="306"/>
        <v>time_sys.o</v>
      </c>
      <c r="S2489">
        <f>SUMIF(O2489:$O$2855,R2489,Q2489:$Q$2855)</f>
        <v>520</v>
      </c>
    </row>
    <row r="2490" spans="11:19" x14ac:dyDescent="0.25">
      <c r="K2490" s="4" t="s">
        <v>421</v>
      </c>
      <c r="L2490" t="s">
        <v>422</v>
      </c>
      <c r="M2490" t="s">
        <v>4048</v>
      </c>
      <c r="N2490" t="s">
        <v>126</v>
      </c>
      <c r="O2490" s="6" t="s">
        <v>162</v>
      </c>
      <c r="P2490" t="str">
        <f t="shared" si="304"/>
        <v>[1]</v>
      </c>
      <c r="Q2490">
        <f t="shared" si="305"/>
        <v>8</v>
      </c>
      <c r="R2490" t="str">
        <f t="shared" si="306"/>
        <v/>
      </c>
      <c r="S2490">
        <f>SUMIF(O2490:$O$2855,R2490,Q2490:$Q$2855)</f>
        <v>0</v>
      </c>
    </row>
    <row r="2491" spans="11:19" x14ac:dyDescent="0.25">
      <c r="K2491" s="4" t="s">
        <v>421</v>
      </c>
      <c r="L2491" t="s">
        <v>422</v>
      </c>
      <c r="M2491" t="s">
        <v>4049</v>
      </c>
      <c r="N2491" t="s">
        <v>126</v>
      </c>
      <c r="O2491" s="6" t="s">
        <v>162</v>
      </c>
      <c r="P2491" t="str">
        <f t="shared" si="304"/>
        <v>[1]</v>
      </c>
      <c r="Q2491">
        <f t="shared" si="305"/>
        <v>8</v>
      </c>
      <c r="R2491" t="str">
        <f t="shared" si="306"/>
        <v/>
      </c>
      <c r="S2491">
        <f>SUMIF(O2491:$O$2855,R2491,Q2491:$Q$2855)</f>
        <v>0</v>
      </c>
    </row>
    <row r="2492" spans="11:19" x14ac:dyDescent="0.25">
      <c r="K2492" s="4" t="s">
        <v>421</v>
      </c>
      <c r="L2492" t="s">
        <v>422</v>
      </c>
      <c r="M2492" t="s">
        <v>4050</v>
      </c>
      <c r="N2492" t="s">
        <v>126</v>
      </c>
      <c r="O2492" s="6" t="s">
        <v>162</v>
      </c>
      <c r="P2492" t="str">
        <f t="shared" si="304"/>
        <v>[1]</v>
      </c>
      <c r="Q2492">
        <f t="shared" si="305"/>
        <v>8</v>
      </c>
      <c r="R2492" t="str">
        <f t="shared" si="306"/>
        <v/>
      </c>
      <c r="S2492">
        <f>SUMIF(O2492:$O$2855,R2492,Q2492:$Q$2855)</f>
        <v>0</v>
      </c>
    </row>
    <row r="2493" spans="11:19" x14ac:dyDescent="0.25">
      <c r="K2493" s="4" t="s">
        <v>421</v>
      </c>
      <c r="L2493" t="s">
        <v>422</v>
      </c>
      <c r="M2493" t="s">
        <v>4051</v>
      </c>
      <c r="N2493" t="s">
        <v>126</v>
      </c>
      <c r="O2493" s="6" t="s">
        <v>162</v>
      </c>
      <c r="P2493" t="str">
        <f t="shared" si="304"/>
        <v>[1]</v>
      </c>
      <c r="Q2493">
        <f t="shared" si="305"/>
        <v>8</v>
      </c>
      <c r="R2493" t="str">
        <f t="shared" si="306"/>
        <v/>
      </c>
      <c r="S2493">
        <f>SUMIF(O2493:$O$2855,R2493,Q2493:$Q$2855)</f>
        <v>0</v>
      </c>
    </row>
    <row r="2494" spans="11:19" x14ac:dyDescent="0.25">
      <c r="K2494" s="4" t="s">
        <v>421</v>
      </c>
      <c r="L2494" t="s">
        <v>422</v>
      </c>
      <c r="M2494" t="s">
        <v>4052</v>
      </c>
      <c r="N2494" t="s">
        <v>126</v>
      </c>
      <c r="O2494" s="6" t="s">
        <v>162</v>
      </c>
      <c r="P2494" t="str">
        <f t="shared" si="304"/>
        <v>[1]</v>
      </c>
      <c r="Q2494">
        <f t="shared" si="305"/>
        <v>8</v>
      </c>
      <c r="R2494" t="str">
        <f t="shared" si="306"/>
        <v/>
      </c>
      <c r="S2494">
        <f>SUMIF(O2494:$O$2855,R2494,Q2494:$Q$2855)</f>
        <v>0</v>
      </c>
    </row>
    <row r="2495" spans="11:19" x14ac:dyDescent="0.25">
      <c r="K2495" s="4" t="s">
        <v>421</v>
      </c>
      <c r="L2495" t="s">
        <v>422</v>
      </c>
      <c r="M2495" t="s">
        <v>4053</v>
      </c>
      <c r="N2495" t="s">
        <v>13</v>
      </c>
      <c r="O2495" s="6" t="s">
        <v>162</v>
      </c>
      <c r="P2495" t="str">
        <f t="shared" si="304"/>
        <v>[1]</v>
      </c>
      <c r="Q2495">
        <f t="shared" si="305"/>
        <v>12</v>
      </c>
      <c r="R2495" t="str">
        <f t="shared" si="306"/>
        <v/>
      </c>
      <c r="S2495">
        <f>SUMIF(O2495:$O$2855,R2495,Q2495:$Q$2855)</f>
        <v>0</v>
      </c>
    </row>
    <row r="2496" spans="11:19" x14ac:dyDescent="0.25">
      <c r="K2496" s="4" t="s">
        <v>421</v>
      </c>
      <c r="L2496" t="s">
        <v>422</v>
      </c>
      <c r="M2496" t="s">
        <v>4054</v>
      </c>
      <c r="N2496" t="s">
        <v>237</v>
      </c>
      <c r="O2496" s="6" t="s">
        <v>162</v>
      </c>
      <c r="P2496" t="str">
        <f t="shared" si="304"/>
        <v>[1]</v>
      </c>
      <c r="Q2496">
        <f t="shared" si="305"/>
        <v>52</v>
      </c>
      <c r="R2496" t="str">
        <f t="shared" si="306"/>
        <v/>
      </c>
      <c r="S2496">
        <f>SUMIF(O2496:$O$2855,R2496,Q2496:$Q$2855)</f>
        <v>0</v>
      </c>
    </row>
    <row r="2497" spans="11:19" x14ac:dyDescent="0.25">
      <c r="K2497" s="4" t="s">
        <v>421</v>
      </c>
      <c r="L2497" t="s">
        <v>422</v>
      </c>
      <c r="M2497" t="s">
        <v>1989</v>
      </c>
      <c r="N2497" t="s">
        <v>103</v>
      </c>
      <c r="O2497" s="6" t="s">
        <v>162</v>
      </c>
      <c r="P2497" t="str">
        <f t="shared" si="304"/>
        <v>[1]</v>
      </c>
      <c r="Q2497">
        <f t="shared" si="305"/>
        <v>64</v>
      </c>
      <c r="R2497" t="str">
        <f t="shared" si="306"/>
        <v/>
      </c>
      <c r="S2497">
        <f>SUMIF(O2497:$O$2855,R2497,Q2497:$Q$2855)</f>
        <v>0</v>
      </c>
    </row>
    <row r="2498" spans="11:19" x14ac:dyDescent="0.25">
      <c r="K2498" s="4" t="s">
        <v>421</v>
      </c>
      <c r="L2498" t="s">
        <v>422</v>
      </c>
      <c r="M2498" t="s">
        <v>4055</v>
      </c>
      <c r="N2498" t="s">
        <v>103</v>
      </c>
      <c r="O2498" s="6" t="s">
        <v>162</v>
      </c>
      <c r="P2498" t="str">
        <f t="shared" ref="P2498:P2561" si="307">VLOOKUP($K$30,$E$1:$F$26,2,FALSE)</f>
        <v>[1]</v>
      </c>
      <c r="Q2498">
        <f t="shared" si="305"/>
        <v>64</v>
      </c>
      <c r="R2498" t="str">
        <f t="shared" si="306"/>
        <v/>
      </c>
      <c r="S2498">
        <f>SUMIF(O2498:$O$2855,R2498,Q2498:$Q$2855)</f>
        <v>0</v>
      </c>
    </row>
    <row r="2499" spans="11:19" x14ac:dyDescent="0.25">
      <c r="K2499" s="4" t="s">
        <v>421</v>
      </c>
      <c r="L2499" t="s">
        <v>422</v>
      </c>
      <c r="M2499" t="s">
        <v>4056</v>
      </c>
      <c r="N2499" t="s">
        <v>44</v>
      </c>
      <c r="O2499" s="6" t="s">
        <v>162</v>
      </c>
      <c r="P2499" t="str">
        <f t="shared" si="307"/>
        <v>[1]</v>
      </c>
      <c r="Q2499">
        <f t="shared" ref="Q2499:Q2562" si="308">HEX2DEC(MID(N2499,3,LEN(N2499)-2))</f>
        <v>44</v>
      </c>
      <c r="R2499" t="str">
        <f t="shared" si="306"/>
        <v/>
      </c>
      <c r="S2499">
        <f>SUMIF(O2499:$O$2855,R2499,Q2499:$Q$2855)</f>
        <v>0</v>
      </c>
    </row>
    <row r="2500" spans="11:19" x14ac:dyDescent="0.25">
      <c r="K2500" s="4" t="s">
        <v>421</v>
      </c>
      <c r="L2500" t="s">
        <v>422</v>
      </c>
      <c r="M2500" t="s">
        <v>4057</v>
      </c>
      <c r="N2500" t="s">
        <v>124</v>
      </c>
      <c r="O2500" s="6" t="s">
        <v>162</v>
      </c>
      <c r="P2500" t="str">
        <f t="shared" si="307"/>
        <v>[1]</v>
      </c>
      <c r="Q2500">
        <f t="shared" si="308"/>
        <v>68</v>
      </c>
      <c r="R2500" t="str">
        <f t="shared" si="306"/>
        <v/>
      </c>
      <c r="S2500">
        <f>SUMIF(O2500:$O$2855,R2500,Q2500:$Q$2855)</f>
        <v>0</v>
      </c>
    </row>
    <row r="2501" spans="11:19" x14ac:dyDescent="0.25">
      <c r="K2501" s="4" t="s">
        <v>421</v>
      </c>
      <c r="L2501" t="s">
        <v>422</v>
      </c>
      <c r="M2501" t="s">
        <v>4058</v>
      </c>
      <c r="N2501" t="s">
        <v>103</v>
      </c>
      <c r="O2501" s="6" t="s">
        <v>162</v>
      </c>
      <c r="P2501" t="str">
        <f t="shared" si="307"/>
        <v>[1]</v>
      </c>
      <c r="Q2501">
        <f t="shared" si="308"/>
        <v>64</v>
      </c>
      <c r="R2501" t="str">
        <f t="shared" si="306"/>
        <v/>
      </c>
      <c r="S2501">
        <f>SUMIF(O2501:$O$2855,R2501,Q2501:$Q$2855)</f>
        <v>0</v>
      </c>
    </row>
    <row r="2502" spans="11:19" x14ac:dyDescent="0.25">
      <c r="K2502" s="4" t="s">
        <v>421</v>
      </c>
      <c r="L2502" t="s">
        <v>422</v>
      </c>
      <c r="M2502" t="s">
        <v>4059</v>
      </c>
      <c r="N2502" t="s">
        <v>275</v>
      </c>
      <c r="O2502" s="6" t="s">
        <v>162</v>
      </c>
      <c r="P2502" t="str">
        <f t="shared" si="307"/>
        <v>[1]</v>
      </c>
      <c r="Q2502">
        <f t="shared" si="308"/>
        <v>80</v>
      </c>
      <c r="R2502" t="str">
        <f t="shared" si="306"/>
        <v/>
      </c>
      <c r="S2502">
        <f>SUMIF(O2502:$O$2855,R2502,Q2502:$Q$2855)</f>
        <v>0</v>
      </c>
    </row>
    <row r="2503" spans="11:19" x14ac:dyDescent="0.25">
      <c r="K2503" s="4" t="s">
        <v>421</v>
      </c>
      <c r="L2503" t="s">
        <v>422</v>
      </c>
      <c r="M2503" t="s">
        <v>4060</v>
      </c>
      <c r="N2503" t="s">
        <v>165</v>
      </c>
      <c r="O2503" s="6" t="s">
        <v>162</v>
      </c>
      <c r="P2503" t="str">
        <f t="shared" si="307"/>
        <v>[1]</v>
      </c>
      <c r="Q2503">
        <f t="shared" si="308"/>
        <v>20</v>
      </c>
      <c r="R2503" t="str">
        <f t="shared" si="306"/>
        <v/>
      </c>
      <c r="S2503">
        <f>SUMIF(O2503:$O$2855,R2503,Q2503:$Q$2855)</f>
        <v>0</v>
      </c>
    </row>
    <row r="2504" spans="11:19" x14ac:dyDescent="0.25">
      <c r="K2504" s="4" t="s">
        <v>421</v>
      </c>
      <c r="L2504" t="s">
        <v>422</v>
      </c>
      <c r="M2504" t="s">
        <v>2092</v>
      </c>
      <c r="N2504" t="s">
        <v>237</v>
      </c>
      <c r="O2504" s="6" t="s">
        <v>93</v>
      </c>
      <c r="P2504" t="str">
        <f t="shared" si="307"/>
        <v>[1]</v>
      </c>
      <c r="Q2504">
        <f t="shared" si="308"/>
        <v>52</v>
      </c>
      <c r="R2504" t="str">
        <f t="shared" si="306"/>
        <v>time_util.o</v>
      </c>
      <c r="S2504">
        <f>SUMIF(O2504:$O$2855,R2504,Q2504:$Q$2855)</f>
        <v>80</v>
      </c>
    </row>
    <row r="2505" spans="11:19" x14ac:dyDescent="0.25">
      <c r="K2505" s="4" t="s">
        <v>421</v>
      </c>
      <c r="L2505" t="s">
        <v>422</v>
      </c>
      <c r="M2505" t="s">
        <v>2093</v>
      </c>
      <c r="N2505" t="s">
        <v>6</v>
      </c>
      <c r="O2505" s="6" t="s">
        <v>93</v>
      </c>
      <c r="P2505" t="str">
        <f t="shared" si="307"/>
        <v>[1]</v>
      </c>
      <c r="Q2505">
        <f t="shared" si="308"/>
        <v>28</v>
      </c>
      <c r="R2505" t="str">
        <f t="shared" si="306"/>
        <v/>
      </c>
      <c r="S2505">
        <f>SUMIF(O2505:$O$2855,R2505,Q2505:$Q$2855)</f>
        <v>0</v>
      </c>
    </row>
    <row r="2506" spans="11:19" x14ac:dyDescent="0.25">
      <c r="K2506" s="4" t="s">
        <v>421</v>
      </c>
      <c r="L2506" t="s">
        <v>422</v>
      </c>
      <c r="M2506" t="s">
        <v>2094</v>
      </c>
      <c r="N2506" t="s">
        <v>202</v>
      </c>
      <c r="O2506" s="6" t="s">
        <v>130</v>
      </c>
      <c r="P2506" t="str">
        <f t="shared" si="307"/>
        <v>[1]</v>
      </c>
      <c r="Q2506">
        <f t="shared" si="308"/>
        <v>16</v>
      </c>
      <c r="R2506" t="str">
        <f t="shared" si="306"/>
        <v>timer_util.o</v>
      </c>
      <c r="S2506">
        <f>SUMIF(O2506:$O$2855,R2506,Q2506:$Q$2855)</f>
        <v>16</v>
      </c>
    </row>
    <row r="2507" spans="11:19" x14ac:dyDescent="0.25">
      <c r="K2507" s="4" t="s">
        <v>421</v>
      </c>
      <c r="L2507" t="s">
        <v>422</v>
      </c>
      <c r="M2507" t="s">
        <v>1996</v>
      </c>
      <c r="N2507" t="s">
        <v>437</v>
      </c>
      <c r="O2507" s="6" t="s">
        <v>1137</v>
      </c>
      <c r="P2507" t="str">
        <f t="shared" si="307"/>
        <v>[1]</v>
      </c>
      <c r="Q2507">
        <f t="shared" si="308"/>
        <v>24</v>
      </c>
      <c r="R2507" t="str">
        <f t="shared" si="306"/>
        <v>TUNNEL_MSG_Handler.o</v>
      </c>
      <c r="S2507">
        <f>SUMIF(O2507:$O$2855,R2507,Q2507:$Q$2855)</f>
        <v>36</v>
      </c>
    </row>
    <row r="2508" spans="11:19" x14ac:dyDescent="0.25">
      <c r="K2508" s="4" t="s">
        <v>421</v>
      </c>
      <c r="L2508" t="s">
        <v>422</v>
      </c>
      <c r="M2508" t="s">
        <v>4101</v>
      </c>
      <c r="N2508" t="s">
        <v>13</v>
      </c>
      <c r="O2508" s="6" t="s">
        <v>1137</v>
      </c>
      <c r="P2508" t="str">
        <f t="shared" si="307"/>
        <v>[1]</v>
      </c>
      <c r="Q2508">
        <f t="shared" si="308"/>
        <v>12</v>
      </c>
      <c r="R2508" t="str">
        <f t="shared" si="306"/>
        <v/>
      </c>
      <c r="S2508">
        <f>SUMIF(O2508:$O$2855,R2508,Q2508:$Q$2855)</f>
        <v>0</v>
      </c>
    </row>
    <row r="2509" spans="11:19" x14ac:dyDescent="0.25">
      <c r="K2509" s="4" t="s">
        <v>421</v>
      </c>
      <c r="L2509" t="s">
        <v>422</v>
      </c>
      <c r="M2509" t="s">
        <v>4102</v>
      </c>
      <c r="N2509" t="s">
        <v>78</v>
      </c>
      <c r="O2509" s="6" t="s">
        <v>1138</v>
      </c>
      <c r="P2509" t="str">
        <f t="shared" si="307"/>
        <v>[1]</v>
      </c>
      <c r="Q2509">
        <f t="shared" si="308"/>
        <v>4</v>
      </c>
      <c r="R2509" t="str">
        <f t="shared" si="306"/>
        <v>tunnel_Util.o</v>
      </c>
      <c r="S2509">
        <f>SUMIF(O2509:$O$2855,R2509,Q2509:$Q$2855)</f>
        <v>4</v>
      </c>
    </row>
    <row r="2510" spans="11:19" x14ac:dyDescent="0.25">
      <c r="K2510" s="4" t="s">
        <v>421</v>
      </c>
      <c r="L2510" t="s">
        <v>422</v>
      </c>
      <c r="M2510" t="s">
        <v>2882</v>
      </c>
      <c r="N2510" t="s">
        <v>76</v>
      </c>
      <c r="O2510" s="6" t="s">
        <v>336</v>
      </c>
      <c r="P2510" t="str">
        <f t="shared" si="307"/>
        <v>[1]</v>
      </c>
      <c r="Q2510">
        <f t="shared" si="308"/>
        <v>36</v>
      </c>
      <c r="R2510" t="str">
        <f t="shared" si="306"/>
        <v>UART.o</v>
      </c>
      <c r="S2510">
        <f>SUMIF(O2510:$O$2855,R2510,Q2510:$Q$2855)</f>
        <v>192</v>
      </c>
    </row>
    <row r="2511" spans="11:19" x14ac:dyDescent="0.25">
      <c r="K2511" s="4" t="s">
        <v>421</v>
      </c>
      <c r="L2511" t="s">
        <v>422</v>
      </c>
      <c r="M2511" t="s">
        <v>2883</v>
      </c>
      <c r="N2511" t="s">
        <v>65</v>
      </c>
      <c r="O2511" s="6" t="s">
        <v>336</v>
      </c>
      <c r="P2511" t="str">
        <f t="shared" si="307"/>
        <v>[1]</v>
      </c>
      <c r="Q2511">
        <f t="shared" si="308"/>
        <v>40</v>
      </c>
      <c r="R2511" t="str">
        <f t="shared" si="306"/>
        <v/>
      </c>
      <c r="S2511">
        <f>SUMIF(O2511:$O$2855,R2511,Q2511:$Q$2855)</f>
        <v>0</v>
      </c>
    </row>
    <row r="2512" spans="11:19" x14ac:dyDescent="0.25">
      <c r="K2512" s="4" t="s">
        <v>421</v>
      </c>
      <c r="L2512" t="s">
        <v>422</v>
      </c>
      <c r="M2512" t="s">
        <v>2884</v>
      </c>
      <c r="N2512" t="s">
        <v>65</v>
      </c>
      <c r="O2512" s="6" t="s">
        <v>336</v>
      </c>
      <c r="P2512" t="str">
        <f t="shared" si="307"/>
        <v>[1]</v>
      </c>
      <c r="Q2512">
        <f t="shared" si="308"/>
        <v>40</v>
      </c>
      <c r="R2512" t="str">
        <f t="shared" si="306"/>
        <v/>
      </c>
      <c r="S2512">
        <f>SUMIF(O2512:$O$2855,R2512,Q2512:$Q$2855)</f>
        <v>0</v>
      </c>
    </row>
    <row r="2513" spans="11:19" x14ac:dyDescent="0.25">
      <c r="K2513" s="4" t="s">
        <v>421</v>
      </c>
      <c r="L2513" t="s">
        <v>422</v>
      </c>
      <c r="M2513" t="s">
        <v>2885</v>
      </c>
      <c r="N2513" t="s">
        <v>6</v>
      </c>
      <c r="O2513" s="6" t="s">
        <v>336</v>
      </c>
      <c r="P2513" t="str">
        <f t="shared" si="307"/>
        <v>[1]</v>
      </c>
      <c r="Q2513">
        <f t="shared" si="308"/>
        <v>28</v>
      </c>
      <c r="R2513" t="str">
        <f t="shared" si="306"/>
        <v/>
      </c>
      <c r="S2513">
        <f>SUMIF(O2513:$O$2855,R2513,Q2513:$Q$2855)</f>
        <v>0</v>
      </c>
    </row>
    <row r="2514" spans="11:19" x14ac:dyDescent="0.25">
      <c r="K2514" s="4" t="s">
        <v>421</v>
      </c>
      <c r="L2514" t="s">
        <v>422</v>
      </c>
      <c r="M2514" t="s">
        <v>2886</v>
      </c>
      <c r="N2514" t="s">
        <v>67</v>
      </c>
      <c r="O2514" s="6" t="s">
        <v>336</v>
      </c>
      <c r="P2514" t="str">
        <f t="shared" si="307"/>
        <v>[1]</v>
      </c>
      <c r="Q2514">
        <f t="shared" si="308"/>
        <v>48</v>
      </c>
      <c r="R2514" t="str">
        <f t="shared" si="306"/>
        <v/>
      </c>
      <c r="S2514">
        <f>SUMIF(O2514:$O$2855,R2514,Q2514:$Q$2855)</f>
        <v>0</v>
      </c>
    </row>
    <row r="2515" spans="11:19" x14ac:dyDescent="0.25">
      <c r="K2515" s="4" t="s">
        <v>421</v>
      </c>
      <c r="L2515" t="s">
        <v>422</v>
      </c>
      <c r="M2515" t="s">
        <v>4307</v>
      </c>
      <c r="N2515" t="s">
        <v>13</v>
      </c>
      <c r="O2515" s="6" t="s">
        <v>229</v>
      </c>
      <c r="P2515" t="str">
        <f t="shared" si="307"/>
        <v>[1]</v>
      </c>
      <c r="Q2515">
        <f t="shared" si="308"/>
        <v>12</v>
      </c>
      <c r="R2515" t="str">
        <f t="shared" si="306"/>
        <v>version.o</v>
      </c>
      <c r="S2515">
        <f>SUMIF(O2515:$O$2855,R2515,Q2515:$Q$2855)</f>
        <v>80</v>
      </c>
    </row>
    <row r="2516" spans="11:19" x14ac:dyDescent="0.25">
      <c r="K2516" s="4" t="s">
        <v>421</v>
      </c>
      <c r="L2516" t="s">
        <v>422</v>
      </c>
      <c r="M2516" t="s">
        <v>4308</v>
      </c>
      <c r="N2516" t="s">
        <v>13</v>
      </c>
      <c r="O2516" s="6" t="s">
        <v>229</v>
      </c>
      <c r="P2516" t="str">
        <f t="shared" si="307"/>
        <v>[1]</v>
      </c>
      <c r="Q2516">
        <f t="shared" si="308"/>
        <v>12</v>
      </c>
      <c r="R2516" t="str">
        <f t="shared" si="306"/>
        <v/>
      </c>
      <c r="S2516">
        <f>SUMIF(O2516:$O$2855,R2516,Q2516:$Q$2855)</f>
        <v>0</v>
      </c>
    </row>
    <row r="2517" spans="11:19" x14ac:dyDescent="0.25">
      <c r="K2517" s="4" t="s">
        <v>421</v>
      </c>
      <c r="L2517" t="s">
        <v>422</v>
      </c>
      <c r="M2517" t="s">
        <v>4309</v>
      </c>
      <c r="N2517" t="s">
        <v>78</v>
      </c>
      <c r="O2517" s="6" t="s">
        <v>229</v>
      </c>
      <c r="P2517" t="str">
        <f t="shared" si="307"/>
        <v>[1]</v>
      </c>
      <c r="Q2517">
        <f t="shared" si="308"/>
        <v>4</v>
      </c>
      <c r="R2517" t="str">
        <f t="shared" si="306"/>
        <v/>
      </c>
      <c r="S2517">
        <f>SUMIF(O2517:$O$2855,R2517,Q2517:$Q$2855)</f>
        <v>0</v>
      </c>
    </row>
    <row r="2518" spans="11:19" x14ac:dyDescent="0.25">
      <c r="K2518" s="4" t="s">
        <v>421</v>
      </c>
      <c r="L2518" t="s">
        <v>422</v>
      </c>
      <c r="M2518" t="s">
        <v>4310</v>
      </c>
      <c r="N2518" t="s">
        <v>437</v>
      </c>
      <c r="O2518" s="6" t="s">
        <v>229</v>
      </c>
      <c r="P2518" t="str">
        <f t="shared" si="307"/>
        <v>[1]</v>
      </c>
      <c r="Q2518">
        <f t="shared" si="308"/>
        <v>24</v>
      </c>
      <c r="R2518" t="str">
        <f t="shared" si="306"/>
        <v/>
      </c>
      <c r="S2518">
        <f>SUMIF(O2518:$O$2855,R2518,Q2518:$Q$2855)</f>
        <v>0</v>
      </c>
    </row>
    <row r="2519" spans="11:19" x14ac:dyDescent="0.25">
      <c r="K2519" s="4" t="s">
        <v>421</v>
      </c>
      <c r="L2519" t="s">
        <v>422</v>
      </c>
      <c r="M2519" t="s">
        <v>4311</v>
      </c>
      <c r="N2519" t="s">
        <v>437</v>
      </c>
      <c r="O2519" s="6" t="s">
        <v>229</v>
      </c>
      <c r="P2519" t="str">
        <f t="shared" si="307"/>
        <v>[1]</v>
      </c>
      <c r="Q2519">
        <f t="shared" si="308"/>
        <v>24</v>
      </c>
      <c r="R2519" t="str">
        <f t="shared" si="306"/>
        <v/>
      </c>
      <c r="S2519">
        <f>SUMIF(O2519:$O$2855,R2519,Q2519:$Q$2855)</f>
        <v>0</v>
      </c>
    </row>
    <row r="2520" spans="11:19" x14ac:dyDescent="0.25">
      <c r="K2520" s="4" t="s">
        <v>421</v>
      </c>
      <c r="L2520" t="s">
        <v>422</v>
      </c>
      <c r="M2520" t="s">
        <v>4312</v>
      </c>
      <c r="N2520" t="s">
        <v>78</v>
      </c>
      <c r="O2520" s="6" t="s">
        <v>229</v>
      </c>
      <c r="P2520" t="str">
        <f t="shared" si="307"/>
        <v>[1]</v>
      </c>
      <c r="Q2520">
        <f t="shared" si="308"/>
        <v>4</v>
      </c>
      <c r="R2520" t="str">
        <f t="shared" si="306"/>
        <v/>
      </c>
      <c r="S2520">
        <f>SUMIF(O2520:$O$2855,R2520,Q2520:$Q$2855)</f>
        <v>0</v>
      </c>
    </row>
    <row r="2521" spans="11:19" x14ac:dyDescent="0.25">
      <c r="K2521" s="4" t="s">
        <v>421</v>
      </c>
      <c r="L2521" t="s">
        <v>422</v>
      </c>
      <c r="M2521" t="s">
        <v>4061</v>
      </c>
      <c r="N2521" t="s">
        <v>202</v>
      </c>
      <c r="O2521" s="6" t="s">
        <v>291</v>
      </c>
      <c r="P2521" t="str">
        <f t="shared" si="307"/>
        <v>[1]</v>
      </c>
      <c r="Q2521">
        <f t="shared" si="308"/>
        <v>16</v>
      </c>
      <c r="R2521" t="str">
        <f t="shared" si="306"/>
        <v>virgin_device.o</v>
      </c>
      <c r="S2521">
        <f>SUMIF(O2521:$O$2855,R2521,Q2521:$Q$2855)</f>
        <v>24</v>
      </c>
    </row>
    <row r="2522" spans="11:19" x14ac:dyDescent="0.25">
      <c r="K2522" s="4" t="s">
        <v>421</v>
      </c>
      <c r="L2522" t="s">
        <v>422</v>
      </c>
      <c r="M2522" t="s">
        <v>4062</v>
      </c>
      <c r="N2522" t="s">
        <v>126</v>
      </c>
      <c r="O2522" s="6" t="s">
        <v>291</v>
      </c>
      <c r="P2522" t="str">
        <f t="shared" si="307"/>
        <v>[1]</v>
      </c>
      <c r="Q2522">
        <f t="shared" si="308"/>
        <v>8</v>
      </c>
      <c r="R2522" t="str">
        <f t="shared" si="306"/>
        <v/>
      </c>
      <c r="S2522">
        <f>SUMIF(O2522:$O$2855,R2522,Q2522:$Q$2855)</f>
        <v>0</v>
      </c>
    </row>
    <row r="2523" spans="11:19" x14ac:dyDescent="0.25">
      <c r="K2523" s="4" t="s">
        <v>421</v>
      </c>
      <c r="L2523" t="s">
        <v>422</v>
      </c>
      <c r="M2523" t="s">
        <v>443</v>
      </c>
      <c r="N2523" t="s">
        <v>443</v>
      </c>
      <c r="O2523" s="6" t="s">
        <v>612</v>
      </c>
      <c r="P2523" t="str">
        <f t="shared" si="307"/>
        <v>[1]</v>
      </c>
      <c r="Q2523">
        <f t="shared" si="308"/>
        <v>0</v>
      </c>
      <c r="R2523" t="str">
        <f t="shared" si="306"/>
        <v>placeholder</v>
      </c>
      <c r="S2523">
        <f>SUMIF(O2523:$O$2855,R2523,Q2523:$Q$2855)</f>
        <v>0</v>
      </c>
    </row>
    <row r="2524" spans="11:19" x14ac:dyDescent="0.25">
      <c r="K2524" s="4" t="s">
        <v>421</v>
      </c>
      <c r="L2524" t="s">
        <v>422</v>
      </c>
      <c r="M2524" t="s">
        <v>443</v>
      </c>
      <c r="N2524" t="s">
        <v>443</v>
      </c>
      <c r="O2524" s="6" t="s">
        <v>612</v>
      </c>
      <c r="P2524" t="str">
        <f t="shared" si="307"/>
        <v>[1]</v>
      </c>
      <c r="Q2524">
        <f t="shared" si="308"/>
        <v>0</v>
      </c>
      <c r="R2524" t="str">
        <f t="shared" si="306"/>
        <v/>
      </c>
      <c r="S2524">
        <f>SUMIF(O2524:$O$2855,R2524,Q2524:$Q$2855)</f>
        <v>0</v>
      </c>
    </row>
    <row r="2525" spans="11:19" x14ac:dyDescent="0.25">
      <c r="K2525" s="4" t="s">
        <v>421</v>
      </c>
      <c r="L2525" t="s">
        <v>422</v>
      </c>
      <c r="M2525" t="s">
        <v>443</v>
      </c>
      <c r="N2525" t="s">
        <v>443</v>
      </c>
      <c r="O2525" s="6" t="s">
        <v>612</v>
      </c>
      <c r="P2525" t="str">
        <f t="shared" si="307"/>
        <v>[1]</v>
      </c>
      <c r="Q2525">
        <f t="shared" si="308"/>
        <v>0</v>
      </c>
      <c r="R2525" t="str">
        <f t="shared" si="306"/>
        <v/>
      </c>
      <c r="S2525">
        <f>SUMIF(O2525:$O$2855,R2525,Q2525:$Q$2855)</f>
        <v>0</v>
      </c>
    </row>
    <row r="2526" spans="11:19" x14ac:dyDescent="0.25">
      <c r="K2526" s="4" t="s">
        <v>421</v>
      </c>
      <c r="L2526" t="s">
        <v>422</v>
      </c>
      <c r="M2526" t="s">
        <v>443</v>
      </c>
      <c r="N2526" t="s">
        <v>443</v>
      </c>
      <c r="O2526" s="6" t="s">
        <v>612</v>
      </c>
      <c r="P2526" t="str">
        <f t="shared" si="307"/>
        <v>[1]</v>
      </c>
      <c r="Q2526">
        <f t="shared" si="308"/>
        <v>0</v>
      </c>
      <c r="R2526" t="str">
        <f t="shared" si="306"/>
        <v/>
      </c>
      <c r="S2526">
        <f>SUMIF(O2526:$O$2855,R2526,Q2526:$Q$2855)</f>
        <v>0</v>
      </c>
    </row>
    <row r="2527" spans="11:19" x14ac:dyDescent="0.25">
      <c r="K2527" s="4" t="s">
        <v>421</v>
      </c>
      <c r="L2527" t="s">
        <v>422</v>
      </c>
      <c r="M2527" t="s">
        <v>443</v>
      </c>
      <c r="N2527" t="s">
        <v>443</v>
      </c>
      <c r="O2527" s="6" t="s">
        <v>612</v>
      </c>
      <c r="P2527" t="str">
        <f t="shared" si="307"/>
        <v>[1]</v>
      </c>
      <c r="Q2527">
        <f t="shared" si="308"/>
        <v>0</v>
      </c>
      <c r="R2527" t="str">
        <f t="shared" si="306"/>
        <v/>
      </c>
      <c r="S2527">
        <f>SUMIF(O2527:$O$2855,R2527,Q2527:$Q$2855)</f>
        <v>0</v>
      </c>
    </row>
    <row r="2528" spans="11:19" x14ac:dyDescent="0.25">
      <c r="K2528" s="4" t="s">
        <v>421</v>
      </c>
      <c r="L2528" t="s">
        <v>422</v>
      </c>
      <c r="M2528" t="s">
        <v>443</v>
      </c>
      <c r="N2528" t="s">
        <v>443</v>
      </c>
      <c r="O2528" s="6" t="s">
        <v>612</v>
      </c>
      <c r="P2528" t="str">
        <f t="shared" si="307"/>
        <v>[1]</v>
      </c>
      <c r="Q2528">
        <f t="shared" si="308"/>
        <v>0</v>
      </c>
      <c r="R2528" t="str">
        <f t="shared" ref="R2528:R2591" si="309">IF(O2528&lt;&gt;O2527,O2528,"")</f>
        <v/>
      </c>
      <c r="S2528">
        <f>SUMIF(O2528:$O$2855,R2528,Q2528:$Q$2855)</f>
        <v>0</v>
      </c>
    </row>
    <row r="2529" spans="11:19" x14ac:dyDescent="0.25">
      <c r="K2529" s="4" t="s">
        <v>421</v>
      </c>
      <c r="L2529" t="s">
        <v>422</v>
      </c>
      <c r="M2529" t="s">
        <v>443</v>
      </c>
      <c r="N2529" t="s">
        <v>443</v>
      </c>
      <c r="O2529" s="6" t="s">
        <v>612</v>
      </c>
      <c r="P2529" t="str">
        <f t="shared" si="307"/>
        <v>[1]</v>
      </c>
      <c r="Q2529">
        <f t="shared" si="308"/>
        <v>0</v>
      </c>
      <c r="R2529" t="str">
        <f t="shared" si="309"/>
        <v/>
      </c>
      <c r="S2529">
        <f>SUMIF(O2529:$O$2855,R2529,Q2529:$Q$2855)</f>
        <v>0</v>
      </c>
    </row>
    <row r="2530" spans="11:19" x14ac:dyDescent="0.25">
      <c r="K2530" s="4" t="s">
        <v>421</v>
      </c>
      <c r="L2530" t="s">
        <v>422</v>
      </c>
      <c r="M2530" t="s">
        <v>443</v>
      </c>
      <c r="N2530" t="s">
        <v>443</v>
      </c>
      <c r="O2530" s="6" t="s">
        <v>612</v>
      </c>
      <c r="P2530" t="str">
        <f t="shared" si="307"/>
        <v>[1]</v>
      </c>
      <c r="Q2530">
        <f t="shared" si="308"/>
        <v>0</v>
      </c>
      <c r="R2530" t="str">
        <f t="shared" si="309"/>
        <v/>
      </c>
      <c r="S2530">
        <f>SUMIF(O2530:$O$2855,R2530,Q2530:$Q$2855)</f>
        <v>0</v>
      </c>
    </row>
    <row r="2531" spans="11:19" x14ac:dyDescent="0.25">
      <c r="K2531" s="4" t="s">
        <v>421</v>
      </c>
      <c r="L2531" t="s">
        <v>422</v>
      </c>
      <c r="M2531" t="s">
        <v>443</v>
      </c>
      <c r="N2531" t="s">
        <v>443</v>
      </c>
      <c r="O2531" s="6" t="s">
        <v>612</v>
      </c>
      <c r="P2531" t="str">
        <f t="shared" si="307"/>
        <v>[1]</v>
      </c>
      <c r="Q2531">
        <f t="shared" si="308"/>
        <v>0</v>
      </c>
      <c r="R2531" t="str">
        <f t="shared" si="309"/>
        <v/>
      </c>
      <c r="S2531">
        <f>SUMIF(O2531:$O$2855,R2531,Q2531:$Q$2855)</f>
        <v>0</v>
      </c>
    </row>
    <row r="2532" spans="11:19" x14ac:dyDescent="0.25">
      <c r="K2532" s="4" t="s">
        <v>421</v>
      </c>
      <c r="L2532" t="s">
        <v>422</v>
      </c>
      <c r="M2532" t="s">
        <v>443</v>
      </c>
      <c r="N2532" t="s">
        <v>443</v>
      </c>
      <c r="O2532" s="6" t="s">
        <v>612</v>
      </c>
      <c r="P2532" t="str">
        <f t="shared" si="307"/>
        <v>[1]</v>
      </c>
      <c r="Q2532">
        <f t="shared" si="308"/>
        <v>0</v>
      </c>
      <c r="R2532" t="str">
        <f t="shared" si="309"/>
        <v/>
      </c>
      <c r="S2532">
        <f>SUMIF(O2532:$O$2855,R2532,Q2532:$Q$2855)</f>
        <v>0</v>
      </c>
    </row>
    <row r="2533" spans="11:19" x14ac:dyDescent="0.25">
      <c r="K2533" s="4" t="s">
        <v>421</v>
      </c>
      <c r="L2533" t="s">
        <v>422</v>
      </c>
      <c r="M2533" t="s">
        <v>443</v>
      </c>
      <c r="N2533" t="s">
        <v>443</v>
      </c>
      <c r="O2533" s="6" t="s">
        <v>612</v>
      </c>
      <c r="P2533" t="str">
        <f t="shared" si="307"/>
        <v>[1]</v>
      </c>
      <c r="Q2533">
        <f t="shared" si="308"/>
        <v>0</v>
      </c>
      <c r="R2533" t="str">
        <f t="shared" si="309"/>
        <v/>
      </c>
      <c r="S2533">
        <f>SUMIF(O2533:$O$2855,R2533,Q2533:$Q$2855)</f>
        <v>0</v>
      </c>
    </row>
    <row r="2534" spans="11:19" x14ac:dyDescent="0.25">
      <c r="K2534" s="4" t="s">
        <v>421</v>
      </c>
      <c r="L2534" t="s">
        <v>422</v>
      </c>
      <c r="M2534" t="s">
        <v>443</v>
      </c>
      <c r="N2534" t="s">
        <v>443</v>
      </c>
      <c r="O2534" s="6" t="s">
        <v>612</v>
      </c>
      <c r="P2534" t="str">
        <f t="shared" si="307"/>
        <v>[1]</v>
      </c>
      <c r="Q2534">
        <f t="shared" si="308"/>
        <v>0</v>
      </c>
      <c r="R2534" t="str">
        <f t="shared" si="309"/>
        <v/>
      </c>
      <c r="S2534">
        <f>SUMIF(O2534:$O$2855,R2534,Q2534:$Q$2855)</f>
        <v>0</v>
      </c>
    </row>
    <row r="2535" spans="11:19" x14ac:dyDescent="0.25">
      <c r="K2535" s="4" t="s">
        <v>421</v>
      </c>
      <c r="L2535" t="s">
        <v>422</v>
      </c>
      <c r="M2535" t="s">
        <v>443</v>
      </c>
      <c r="N2535" t="s">
        <v>443</v>
      </c>
      <c r="O2535" s="6" t="s">
        <v>612</v>
      </c>
      <c r="P2535" t="str">
        <f t="shared" si="307"/>
        <v>[1]</v>
      </c>
      <c r="Q2535">
        <f t="shared" si="308"/>
        <v>0</v>
      </c>
      <c r="R2535" t="str">
        <f t="shared" si="309"/>
        <v/>
      </c>
      <c r="S2535">
        <f>SUMIF(O2535:$O$2855,R2535,Q2535:$Q$2855)</f>
        <v>0</v>
      </c>
    </row>
    <row r="2536" spans="11:19" x14ac:dyDescent="0.25">
      <c r="K2536" s="4" t="s">
        <v>421</v>
      </c>
      <c r="L2536" t="s">
        <v>422</v>
      </c>
      <c r="M2536" t="s">
        <v>443</v>
      </c>
      <c r="N2536" t="s">
        <v>443</v>
      </c>
      <c r="O2536" s="6" t="s">
        <v>612</v>
      </c>
      <c r="P2536" t="str">
        <f t="shared" si="307"/>
        <v>[1]</v>
      </c>
      <c r="Q2536">
        <f t="shared" si="308"/>
        <v>0</v>
      </c>
      <c r="R2536" t="str">
        <f t="shared" si="309"/>
        <v/>
      </c>
      <c r="S2536">
        <f>SUMIF(O2536:$O$2855,R2536,Q2536:$Q$2855)</f>
        <v>0</v>
      </c>
    </row>
    <row r="2537" spans="11:19" x14ac:dyDescent="0.25">
      <c r="K2537" s="4" t="s">
        <v>421</v>
      </c>
      <c r="L2537" t="s">
        <v>422</v>
      </c>
      <c r="M2537" t="s">
        <v>443</v>
      </c>
      <c r="N2537" t="s">
        <v>443</v>
      </c>
      <c r="O2537" s="6" t="s">
        <v>612</v>
      </c>
      <c r="P2537" t="str">
        <f t="shared" si="307"/>
        <v>[1]</v>
      </c>
      <c r="Q2537">
        <f t="shared" si="308"/>
        <v>0</v>
      </c>
      <c r="R2537" t="str">
        <f t="shared" si="309"/>
        <v/>
      </c>
      <c r="S2537">
        <f>SUMIF(O2537:$O$2855,R2537,Q2537:$Q$2855)</f>
        <v>0</v>
      </c>
    </row>
    <row r="2538" spans="11:19" x14ac:dyDescent="0.25">
      <c r="K2538" s="4" t="s">
        <v>421</v>
      </c>
      <c r="L2538" t="s">
        <v>422</v>
      </c>
      <c r="M2538" t="s">
        <v>443</v>
      </c>
      <c r="N2538" t="s">
        <v>443</v>
      </c>
      <c r="O2538" s="6" t="s">
        <v>612</v>
      </c>
      <c r="P2538" t="str">
        <f t="shared" si="307"/>
        <v>[1]</v>
      </c>
      <c r="Q2538">
        <f t="shared" si="308"/>
        <v>0</v>
      </c>
      <c r="R2538" t="str">
        <f t="shared" si="309"/>
        <v/>
      </c>
      <c r="S2538">
        <f>SUMIF(O2538:$O$2855,R2538,Q2538:$Q$2855)</f>
        <v>0</v>
      </c>
    </row>
    <row r="2539" spans="11:19" x14ac:dyDescent="0.25">
      <c r="K2539" s="4" t="s">
        <v>421</v>
      </c>
      <c r="L2539" t="s">
        <v>422</v>
      </c>
      <c r="M2539" t="s">
        <v>443</v>
      </c>
      <c r="N2539" t="s">
        <v>443</v>
      </c>
      <c r="O2539" s="6" t="s">
        <v>612</v>
      </c>
      <c r="P2539" t="str">
        <f t="shared" si="307"/>
        <v>[1]</v>
      </c>
      <c r="Q2539">
        <f t="shared" si="308"/>
        <v>0</v>
      </c>
      <c r="R2539" t="str">
        <f t="shared" si="309"/>
        <v/>
      </c>
      <c r="S2539">
        <f>SUMIF(O2539:$O$2855,R2539,Q2539:$Q$2855)</f>
        <v>0</v>
      </c>
    </row>
    <row r="2540" spans="11:19" x14ac:dyDescent="0.25">
      <c r="K2540" s="4" t="s">
        <v>421</v>
      </c>
      <c r="L2540" t="s">
        <v>422</v>
      </c>
      <c r="M2540" t="s">
        <v>443</v>
      </c>
      <c r="N2540" t="s">
        <v>443</v>
      </c>
      <c r="O2540" s="6" t="s">
        <v>612</v>
      </c>
      <c r="P2540" t="str">
        <f t="shared" si="307"/>
        <v>[1]</v>
      </c>
      <c r="Q2540">
        <f t="shared" si="308"/>
        <v>0</v>
      </c>
      <c r="R2540" t="str">
        <f t="shared" si="309"/>
        <v/>
      </c>
      <c r="S2540">
        <f>SUMIF(O2540:$O$2855,R2540,Q2540:$Q$2855)</f>
        <v>0</v>
      </c>
    </row>
    <row r="2541" spans="11:19" x14ac:dyDescent="0.25">
      <c r="K2541" s="4" t="s">
        <v>421</v>
      </c>
      <c r="L2541" t="s">
        <v>422</v>
      </c>
      <c r="M2541" t="s">
        <v>443</v>
      </c>
      <c r="N2541" t="s">
        <v>443</v>
      </c>
      <c r="O2541" s="6" t="s">
        <v>612</v>
      </c>
      <c r="P2541" t="str">
        <f t="shared" si="307"/>
        <v>[1]</v>
      </c>
      <c r="Q2541">
        <f t="shared" si="308"/>
        <v>0</v>
      </c>
      <c r="R2541" t="str">
        <f t="shared" si="309"/>
        <v/>
      </c>
      <c r="S2541">
        <f>SUMIF(O2541:$O$2855,R2541,Q2541:$Q$2855)</f>
        <v>0</v>
      </c>
    </row>
    <row r="2542" spans="11:19" x14ac:dyDescent="0.25">
      <c r="K2542" s="4" t="s">
        <v>421</v>
      </c>
      <c r="L2542" t="s">
        <v>422</v>
      </c>
      <c r="M2542" t="s">
        <v>443</v>
      </c>
      <c r="N2542" t="s">
        <v>443</v>
      </c>
      <c r="O2542" s="6" t="s">
        <v>612</v>
      </c>
      <c r="P2542" t="str">
        <f t="shared" si="307"/>
        <v>[1]</v>
      </c>
      <c r="Q2542">
        <f t="shared" si="308"/>
        <v>0</v>
      </c>
      <c r="R2542" t="str">
        <f t="shared" si="309"/>
        <v/>
      </c>
      <c r="S2542">
        <f>SUMIF(O2542:$O$2855,R2542,Q2542:$Q$2855)</f>
        <v>0</v>
      </c>
    </row>
    <row r="2543" spans="11:19" x14ac:dyDescent="0.25">
      <c r="K2543" s="4" t="s">
        <v>421</v>
      </c>
      <c r="L2543" t="s">
        <v>422</v>
      </c>
      <c r="M2543" t="s">
        <v>443</v>
      </c>
      <c r="N2543" t="s">
        <v>443</v>
      </c>
      <c r="O2543" s="6" t="s">
        <v>612</v>
      </c>
      <c r="P2543" t="str">
        <f t="shared" si="307"/>
        <v>[1]</v>
      </c>
      <c r="Q2543">
        <f t="shared" si="308"/>
        <v>0</v>
      </c>
      <c r="R2543" t="str">
        <f t="shared" si="309"/>
        <v/>
      </c>
      <c r="S2543">
        <f>SUMIF(O2543:$O$2855,R2543,Q2543:$Q$2855)</f>
        <v>0</v>
      </c>
    </row>
    <row r="2544" spans="11:19" x14ac:dyDescent="0.25">
      <c r="K2544" s="4" t="s">
        <v>421</v>
      </c>
      <c r="L2544" t="s">
        <v>422</v>
      </c>
      <c r="M2544" t="s">
        <v>443</v>
      </c>
      <c r="N2544" t="s">
        <v>443</v>
      </c>
      <c r="O2544" s="6" t="s">
        <v>612</v>
      </c>
      <c r="P2544" t="str">
        <f t="shared" si="307"/>
        <v>[1]</v>
      </c>
      <c r="Q2544">
        <f t="shared" si="308"/>
        <v>0</v>
      </c>
      <c r="R2544" t="str">
        <f t="shared" si="309"/>
        <v/>
      </c>
      <c r="S2544">
        <f>SUMIF(O2544:$O$2855,R2544,Q2544:$Q$2855)</f>
        <v>0</v>
      </c>
    </row>
    <row r="2545" spans="11:19" x14ac:dyDescent="0.25">
      <c r="K2545" s="4" t="s">
        <v>421</v>
      </c>
      <c r="L2545" t="s">
        <v>422</v>
      </c>
      <c r="M2545" t="s">
        <v>443</v>
      </c>
      <c r="N2545" t="s">
        <v>443</v>
      </c>
      <c r="O2545" s="6" t="s">
        <v>612</v>
      </c>
      <c r="P2545" t="str">
        <f t="shared" si="307"/>
        <v>[1]</v>
      </c>
      <c r="Q2545">
        <f t="shared" si="308"/>
        <v>0</v>
      </c>
      <c r="R2545" t="str">
        <f t="shared" si="309"/>
        <v/>
      </c>
      <c r="S2545">
        <f>SUMIF(O2545:$O$2855,R2545,Q2545:$Q$2855)</f>
        <v>0</v>
      </c>
    </row>
    <row r="2546" spans="11:19" x14ac:dyDescent="0.25">
      <c r="K2546" s="4" t="s">
        <v>421</v>
      </c>
      <c r="L2546" t="s">
        <v>422</v>
      </c>
      <c r="M2546" t="s">
        <v>443</v>
      </c>
      <c r="N2546" t="s">
        <v>443</v>
      </c>
      <c r="O2546" s="6" t="s">
        <v>612</v>
      </c>
      <c r="P2546" t="str">
        <f t="shared" si="307"/>
        <v>[1]</v>
      </c>
      <c r="Q2546">
        <f t="shared" si="308"/>
        <v>0</v>
      </c>
      <c r="R2546" t="str">
        <f t="shared" si="309"/>
        <v/>
      </c>
      <c r="S2546">
        <f>SUMIF(O2546:$O$2855,R2546,Q2546:$Q$2855)</f>
        <v>0</v>
      </c>
    </row>
    <row r="2547" spans="11:19" x14ac:dyDescent="0.25">
      <c r="K2547" s="4" t="s">
        <v>421</v>
      </c>
      <c r="L2547" t="s">
        <v>422</v>
      </c>
      <c r="M2547" t="s">
        <v>443</v>
      </c>
      <c r="N2547" t="s">
        <v>443</v>
      </c>
      <c r="O2547" s="6" t="s">
        <v>612</v>
      </c>
      <c r="P2547" t="str">
        <f t="shared" si="307"/>
        <v>[1]</v>
      </c>
      <c r="Q2547">
        <f t="shared" si="308"/>
        <v>0</v>
      </c>
      <c r="R2547" t="str">
        <f t="shared" si="309"/>
        <v/>
      </c>
      <c r="S2547">
        <f>SUMIF(O2547:$O$2855,R2547,Q2547:$Q$2855)</f>
        <v>0</v>
      </c>
    </row>
    <row r="2548" spans="11:19" x14ac:dyDescent="0.25">
      <c r="K2548" s="4" t="s">
        <v>421</v>
      </c>
      <c r="L2548" t="s">
        <v>422</v>
      </c>
      <c r="M2548" t="s">
        <v>443</v>
      </c>
      <c r="N2548" t="s">
        <v>443</v>
      </c>
      <c r="O2548" s="6" t="s">
        <v>612</v>
      </c>
      <c r="P2548" t="str">
        <f t="shared" si="307"/>
        <v>[1]</v>
      </c>
      <c r="Q2548">
        <f t="shared" si="308"/>
        <v>0</v>
      </c>
      <c r="R2548" t="str">
        <f t="shared" si="309"/>
        <v/>
      </c>
      <c r="S2548">
        <f>SUMIF(O2548:$O$2855,R2548,Q2548:$Q$2855)</f>
        <v>0</v>
      </c>
    </row>
    <row r="2549" spans="11:19" x14ac:dyDescent="0.25">
      <c r="K2549" s="4" t="s">
        <v>421</v>
      </c>
      <c r="L2549" t="s">
        <v>422</v>
      </c>
      <c r="M2549" t="s">
        <v>443</v>
      </c>
      <c r="N2549" t="s">
        <v>443</v>
      </c>
      <c r="O2549" s="6" t="s">
        <v>612</v>
      </c>
      <c r="P2549" t="str">
        <f t="shared" si="307"/>
        <v>[1]</v>
      </c>
      <c r="Q2549">
        <f t="shared" si="308"/>
        <v>0</v>
      </c>
      <c r="R2549" t="str">
        <f t="shared" si="309"/>
        <v/>
      </c>
      <c r="S2549">
        <f>SUMIF(O2549:$O$2855,R2549,Q2549:$Q$2855)</f>
        <v>0</v>
      </c>
    </row>
    <row r="2550" spans="11:19" x14ac:dyDescent="0.25">
      <c r="K2550" s="4" t="s">
        <v>421</v>
      </c>
      <c r="L2550" t="s">
        <v>422</v>
      </c>
      <c r="M2550" t="s">
        <v>443</v>
      </c>
      <c r="N2550" t="s">
        <v>443</v>
      </c>
      <c r="O2550" s="6" t="s">
        <v>612</v>
      </c>
      <c r="P2550" t="str">
        <f t="shared" si="307"/>
        <v>[1]</v>
      </c>
      <c r="Q2550">
        <f t="shared" si="308"/>
        <v>0</v>
      </c>
      <c r="R2550" t="str">
        <f t="shared" si="309"/>
        <v/>
      </c>
      <c r="S2550">
        <f>SUMIF(O2550:$O$2855,R2550,Q2550:$Q$2855)</f>
        <v>0</v>
      </c>
    </row>
    <row r="2551" spans="11:19" x14ac:dyDescent="0.25">
      <c r="K2551" s="4" t="s">
        <v>421</v>
      </c>
      <c r="L2551" t="s">
        <v>422</v>
      </c>
      <c r="M2551" t="s">
        <v>443</v>
      </c>
      <c r="N2551" t="s">
        <v>443</v>
      </c>
      <c r="O2551" s="6" t="s">
        <v>612</v>
      </c>
      <c r="P2551" t="str">
        <f t="shared" si="307"/>
        <v>[1]</v>
      </c>
      <c r="Q2551">
        <f t="shared" si="308"/>
        <v>0</v>
      </c>
      <c r="R2551" t="str">
        <f t="shared" si="309"/>
        <v/>
      </c>
      <c r="S2551">
        <f>SUMIF(O2551:$O$2855,R2551,Q2551:$Q$2855)</f>
        <v>0</v>
      </c>
    </row>
    <row r="2552" spans="11:19" x14ac:dyDescent="0.25">
      <c r="K2552" s="4" t="s">
        <v>421</v>
      </c>
      <c r="L2552" t="s">
        <v>422</v>
      </c>
      <c r="M2552" t="s">
        <v>443</v>
      </c>
      <c r="N2552" t="s">
        <v>443</v>
      </c>
      <c r="O2552" s="6" t="s">
        <v>612</v>
      </c>
      <c r="P2552" t="str">
        <f t="shared" si="307"/>
        <v>[1]</v>
      </c>
      <c r="Q2552">
        <f t="shared" si="308"/>
        <v>0</v>
      </c>
      <c r="R2552" t="str">
        <f t="shared" si="309"/>
        <v/>
      </c>
      <c r="S2552">
        <f>SUMIF(O2552:$O$2855,R2552,Q2552:$Q$2855)</f>
        <v>0</v>
      </c>
    </row>
    <row r="2553" spans="11:19" x14ac:dyDescent="0.25">
      <c r="K2553" s="4" t="s">
        <v>421</v>
      </c>
      <c r="L2553" t="s">
        <v>422</v>
      </c>
      <c r="M2553" t="s">
        <v>443</v>
      </c>
      <c r="N2553" t="s">
        <v>443</v>
      </c>
      <c r="O2553" s="6" t="s">
        <v>612</v>
      </c>
      <c r="P2553" t="str">
        <f t="shared" si="307"/>
        <v>[1]</v>
      </c>
      <c r="Q2553">
        <f t="shared" si="308"/>
        <v>0</v>
      </c>
      <c r="R2553" t="str">
        <f t="shared" si="309"/>
        <v/>
      </c>
      <c r="S2553">
        <f>SUMIF(O2553:$O$2855,R2553,Q2553:$Q$2855)</f>
        <v>0</v>
      </c>
    </row>
    <row r="2554" spans="11:19" x14ac:dyDescent="0.25">
      <c r="K2554" s="4" t="s">
        <v>421</v>
      </c>
      <c r="L2554" t="s">
        <v>422</v>
      </c>
      <c r="M2554" t="s">
        <v>443</v>
      </c>
      <c r="N2554" t="s">
        <v>443</v>
      </c>
      <c r="O2554" s="6" t="s">
        <v>612</v>
      </c>
      <c r="P2554" t="str">
        <f t="shared" si="307"/>
        <v>[1]</v>
      </c>
      <c r="Q2554">
        <f t="shared" si="308"/>
        <v>0</v>
      </c>
      <c r="R2554" t="str">
        <f t="shared" si="309"/>
        <v/>
      </c>
      <c r="S2554">
        <f>SUMIF(O2554:$O$2855,R2554,Q2554:$Q$2855)</f>
        <v>0</v>
      </c>
    </row>
    <row r="2555" spans="11:19" x14ac:dyDescent="0.25">
      <c r="K2555" s="4" t="s">
        <v>421</v>
      </c>
      <c r="L2555" t="s">
        <v>422</v>
      </c>
      <c r="M2555" t="s">
        <v>443</v>
      </c>
      <c r="N2555" t="s">
        <v>443</v>
      </c>
      <c r="O2555" s="6" t="s">
        <v>612</v>
      </c>
      <c r="P2555" t="str">
        <f t="shared" si="307"/>
        <v>[1]</v>
      </c>
      <c r="Q2555">
        <f t="shared" si="308"/>
        <v>0</v>
      </c>
      <c r="R2555" t="str">
        <f t="shared" si="309"/>
        <v/>
      </c>
      <c r="S2555">
        <f>SUMIF(O2555:$O$2855,R2555,Q2555:$Q$2855)</f>
        <v>0</v>
      </c>
    </row>
    <row r="2556" spans="11:19" x14ac:dyDescent="0.25">
      <c r="K2556" s="4" t="s">
        <v>421</v>
      </c>
      <c r="L2556" t="s">
        <v>422</v>
      </c>
      <c r="M2556" t="s">
        <v>443</v>
      </c>
      <c r="N2556" t="s">
        <v>443</v>
      </c>
      <c r="O2556" s="6" t="s">
        <v>612</v>
      </c>
      <c r="P2556" t="str">
        <f t="shared" si="307"/>
        <v>[1]</v>
      </c>
      <c r="Q2556">
        <f t="shared" si="308"/>
        <v>0</v>
      </c>
      <c r="R2556" t="str">
        <f t="shared" si="309"/>
        <v/>
      </c>
      <c r="S2556">
        <f>SUMIF(O2556:$O$2855,R2556,Q2556:$Q$2855)</f>
        <v>0</v>
      </c>
    </row>
    <row r="2557" spans="11:19" x14ac:dyDescent="0.25">
      <c r="K2557" s="4" t="s">
        <v>421</v>
      </c>
      <c r="L2557" t="s">
        <v>422</v>
      </c>
      <c r="M2557" t="s">
        <v>443</v>
      </c>
      <c r="N2557" t="s">
        <v>443</v>
      </c>
      <c r="O2557" s="6" t="s">
        <v>612</v>
      </c>
      <c r="P2557" t="str">
        <f t="shared" si="307"/>
        <v>[1]</v>
      </c>
      <c r="Q2557">
        <f t="shared" si="308"/>
        <v>0</v>
      </c>
      <c r="R2557" t="str">
        <f t="shared" si="309"/>
        <v/>
      </c>
      <c r="S2557">
        <f>SUMIF(O2557:$O$2855,R2557,Q2557:$Q$2855)</f>
        <v>0</v>
      </c>
    </row>
    <row r="2558" spans="11:19" x14ac:dyDescent="0.25">
      <c r="K2558" s="4" t="s">
        <v>421</v>
      </c>
      <c r="L2558" t="s">
        <v>422</v>
      </c>
      <c r="M2558" t="s">
        <v>443</v>
      </c>
      <c r="N2558" t="s">
        <v>443</v>
      </c>
      <c r="O2558" s="6" t="s">
        <v>612</v>
      </c>
      <c r="P2558" t="str">
        <f t="shared" si="307"/>
        <v>[1]</v>
      </c>
      <c r="Q2558">
        <f t="shared" si="308"/>
        <v>0</v>
      </c>
      <c r="R2558" t="str">
        <f t="shared" si="309"/>
        <v/>
      </c>
      <c r="S2558">
        <f>SUMIF(O2558:$O$2855,R2558,Q2558:$Q$2855)</f>
        <v>0</v>
      </c>
    </row>
    <row r="2559" spans="11:19" x14ac:dyDescent="0.25">
      <c r="K2559" s="4" t="s">
        <v>421</v>
      </c>
      <c r="L2559" t="s">
        <v>422</v>
      </c>
      <c r="M2559" t="s">
        <v>443</v>
      </c>
      <c r="N2559" t="s">
        <v>443</v>
      </c>
      <c r="O2559" s="6" t="s">
        <v>612</v>
      </c>
      <c r="P2559" t="str">
        <f t="shared" si="307"/>
        <v>[1]</v>
      </c>
      <c r="Q2559">
        <f t="shared" si="308"/>
        <v>0</v>
      </c>
      <c r="R2559" t="str">
        <f t="shared" si="309"/>
        <v/>
      </c>
      <c r="S2559">
        <f>SUMIF(O2559:$O$2855,R2559,Q2559:$Q$2855)</f>
        <v>0</v>
      </c>
    </row>
    <row r="2560" spans="11:19" x14ac:dyDescent="0.25">
      <c r="K2560" s="4" t="s">
        <v>421</v>
      </c>
      <c r="L2560" t="s">
        <v>422</v>
      </c>
      <c r="M2560" t="s">
        <v>443</v>
      </c>
      <c r="N2560" t="s">
        <v>443</v>
      </c>
      <c r="O2560" s="6" t="s">
        <v>612</v>
      </c>
      <c r="P2560" t="str">
        <f t="shared" si="307"/>
        <v>[1]</v>
      </c>
      <c r="Q2560">
        <f t="shared" si="308"/>
        <v>0</v>
      </c>
      <c r="R2560" t="str">
        <f t="shared" si="309"/>
        <v/>
      </c>
      <c r="S2560">
        <f>SUMIF(O2560:$O$2855,R2560,Q2560:$Q$2855)</f>
        <v>0</v>
      </c>
    </row>
    <row r="2561" spans="11:19" x14ac:dyDescent="0.25">
      <c r="K2561" s="4" t="s">
        <v>421</v>
      </c>
      <c r="L2561" t="s">
        <v>422</v>
      </c>
      <c r="M2561" t="s">
        <v>443</v>
      </c>
      <c r="N2561" t="s">
        <v>443</v>
      </c>
      <c r="O2561" s="6" t="s">
        <v>612</v>
      </c>
      <c r="P2561" t="str">
        <f t="shared" si="307"/>
        <v>[1]</v>
      </c>
      <c r="Q2561">
        <f t="shared" si="308"/>
        <v>0</v>
      </c>
      <c r="R2561" t="str">
        <f t="shared" si="309"/>
        <v/>
      </c>
      <c r="S2561">
        <f>SUMIF(O2561:$O$2855,R2561,Q2561:$Q$2855)</f>
        <v>0</v>
      </c>
    </row>
    <row r="2562" spans="11:19" x14ac:dyDescent="0.25">
      <c r="K2562" s="4" t="s">
        <v>421</v>
      </c>
      <c r="L2562" t="s">
        <v>422</v>
      </c>
      <c r="M2562" t="s">
        <v>443</v>
      </c>
      <c r="N2562" t="s">
        <v>443</v>
      </c>
      <c r="O2562" s="6" t="s">
        <v>612</v>
      </c>
      <c r="P2562" t="str">
        <f t="shared" ref="P2562:P2699" si="310">VLOOKUP($K$30,$E$1:$F$26,2,FALSE)</f>
        <v>[1]</v>
      </c>
      <c r="Q2562">
        <f t="shared" si="308"/>
        <v>0</v>
      </c>
      <c r="R2562" t="str">
        <f t="shared" si="309"/>
        <v/>
      </c>
      <c r="S2562">
        <f>SUMIF(O2562:$O$2855,R2562,Q2562:$Q$2855)</f>
        <v>0</v>
      </c>
    </row>
    <row r="2563" spans="11:19" x14ac:dyDescent="0.25">
      <c r="K2563" s="4" t="s">
        <v>421</v>
      </c>
      <c r="L2563" t="s">
        <v>422</v>
      </c>
      <c r="M2563" t="s">
        <v>443</v>
      </c>
      <c r="N2563" t="s">
        <v>443</v>
      </c>
      <c r="O2563" s="6" t="s">
        <v>612</v>
      </c>
      <c r="P2563" t="str">
        <f t="shared" si="310"/>
        <v>[1]</v>
      </c>
      <c r="Q2563">
        <f t="shared" ref="Q2563:Q2576" si="311">HEX2DEC(MID(N2563,3,LEN(N2563)-2))</f>
        <v>0</v>
      </c>
      <c r="R2563" t="str">
        <f t="shared" si="309"/>
        <v/>
      </c>
      <c r="S2563">
        <f>SUMIF(O2563:$O$2855,R2563,Q2563:$Q$2855)</f>
        <v>0</v>
      </c>
    </row>
    <row r="2564" spans="11:19" x14ac:dyDescent="0.25">
      <c r="K2564" s="4" t="s">
        <v>421</v>
      </c>
      <c r="L2564" t="s">
        <v>422</v>
      </c>
      <c r="M2564" t="s">
        <v>443</v>
      </c>
      <c r="N2564" t="s">
        <v>443</v>
      </c>
      <c r="O2564" s="6" t="s">
        <v>612</v>
      </c>
      <c r="P2564" t="str">
        <f t="shared" si="310"/>
        <v>[1]</v>
      </c>
      <c r="Q2564">
        <f t="shared" si="311"/>
        <v>0</v>
      </c>
      <c r="R2564" t="str">
        <f t="shared" si="309"/>
        <v/>
      </c>
      <c r="S2564">
        <f>SUMIF(O2564:$O$2855,R2564,Q2564:$Q$2855)</f>
        <v>0</v>
      </c>
    </row>
    <row r="2565" spans="11:19" x14ac:dyDescent="0.25">
      <c r="K2565" s="4" t="s">
        <v>421</v>
      </c>
      <c r="L2565" t="s">
        <v>422</v>
      </c>
      <c r="M2565" t="s">
        <v>443</v>
      </c>
      <c r="N2565" t="s">
        <v>443</v>
      </c>
      <c r="O2565" s="6" t="s">
        <v>612</v>
      </c>
      <c r="P2565" t="str">
        <f t="shared" si="310"/>
        <v>[1]</v>
      </c>
      <c r="Q2565">
        <f t="shared" si="311"/>
        <v>0</v>
      </c>
      <c r="R2565" t="str">
        <f t="shared" si="309"/>
        <v/>
      </c>
      <c r="S2565">
        <f>SUMIF(O2565:$O$2855,R2565,Q2565:$Q$2855)</f>
        <v>0</v>
      </c>
    </row>
    <row r="2566" spans="11:19" x14ac:dyDescent="0.25">
      <c r="K2566" s="4" t="s">
        <v>421</v>
      </c>
      <c r="L2566" t="s">
        <v>422</v>
      </c>
      <c r="M2566" t="s">
        <v>443</v>
      </c>
      <c r="N2566" t="s">
        <v>443</v>
      </c>
      <c r="O2566" s="6" t="s">
        <v>612</v>
      </c>
      <c r="P2566" t="str">
        <f t="shared" si="310"/>
        <v>[1]</v>
      </c>
      <c r="Q2566">
        <f t="shared" si="311"/>
        <v>0</v>
      </c>
      <c r="R2566" t="str">
        <f t="shared" si="309"/>
        <v/>
      </c>
      <c r="S2566">
        <f>SUMIF(O2566:$O$2855,R2566,Q2566:$Q$2855)</f>
        <v>0</v>
      </c>
    </row>
    <row r="2567" spans="11:19" x14ac:dyDescent="0.25">
      <c r="K2567" s="4" t="s">
        <v>421</v>
      </c>
      <c r="L2567" t="s">
        <v>422</v>
      </c>
      <c r="M2567" t="s">
        <v>443</v>
      </c>
      <c r="N2567" t="s">
        <v>443</v>
      </c>
      <c r="O2567" s="6" t="s">
        <v>612</v>
      </c>
      <c r="P2567" t="str">
        <f t="shared" si="310"/>
        <v>[1]</v>
      </c>
      <c r="Q2567">
        <f t="shared" si="311"/>
        <v>0</v>
      </c>
      <c r="R2567" t="str">
        <f t="shared" si="309"/>
        <v/>
      </c>
      <c r="S2567">
        <f>SUMIF(O2567:$O$2855,R2567,Q2567:$Q$2855)</f>
        <v>0</v>
      </c>
    </row>
    <row r="2568" spans="11:19" x14ac:dyDescent="0.25">
      <c r="K2568" s="4" t="s">
        <v>421</v>
      </c>
      <c r="L2568" t="s">
        <v>422</v>
      </c>
      <c r="M2568" t="s">
        <v>443</v>
      </c>
      <c r="N2568" t="s">
        <v>443</v>
      </c>
      <c r="O2568" s="6" t="s">
        <v>612</v>
      </c>
      <c r="P2568" t="str">
        <f t="shared" si="310"/>
        <v>[1]</v>
      </c>
      <c r="Q2568">
        <f t="shared" si="311"/>
        <v>0</v>
      </c>
      <c r="R2568" t="str">
        <f t="shared" si="309"/>
        <v/>
      </c>
      <c r="S2568">
        <f>SUMIF(O2568:$O$2855,R2568,Q2568:$Q$2855)</f>
        <v>0</v>
      </c>
    </row>
    <row r="2569" spans="11:19" x14ac:dyDescent="0.25">
      <c r="K2569" s="4" t="s">
        <v>421</v>
      </c>
      <c r="L2569" t="s">
        <v>422</v>
      </c>
      <c r="M2569" t="s">
        <v>443</v>
      </c>
      <c r="N2569" t="s">
        <v>443</v>
      </c>
      <c r="O2569" s="6" t="s">
        <v>612</v>
      </c>
      <c r="P2569" t="str">
        <f t="shared" si="310"/>
        <v>[1]</v>
      </c>
      <c r="Q2569">
        <f t="shared" si="311"/>
        <v>0</v>
      </c>
      <c r="R2569" t="str">
        <f t="shared" si="309"/>
        <v/>
      </c>
      <c r="S2569">
        <f>SUMIF(O2569:$O$2855,R2569,Q2569:$Q$2855)</f>
        <v>0</v>
      </c>
    </row>
    <row r="2570" spans="11:19" x14ac:dyDescent="0.25">
      <c r="K2570" s="4" t="s">
        <v>421</v>
      </c>
      <c r="L2570" t="s">
        <v>422</v>
      </c>
      <c r="M2570" t="s">
        <v>443</v>
      </c>
      <c r="N2570" t="s">
        <v>443</v>
      </c>
      <c r="O2570" s="6" t="s">
        <v>612</v>
      </c>
      <c r="P2570" t="str">
        <f t="shared" si="310"/>
        <v>[1]</v>
      </c>
      <c r="Q2570">
        <f t="shared" si="311"/>
        <v>0</v>
      </c>
      <c r="R2570" t="str">
        <f t="shared" si="309"/>
        <v/>
      </c>
      <c r="S2570">
        <f>SUMIF(O2570:$O$2855,R2570,Q2570:$Q$2855)</f>
        <v>0</v>
      </c>
    </row>
    <row r="2571" spans="11:19" x14ac:dyDescent="0.25">
      <c r="K2571" s="4" t="s">
        <v>421</v>
      </c>
      <c r="L2571" t="s">
        <v>422</v>
      </c>
      <c r="M2571" t="s">
        <v>443</v>
      </c>
      <c r="N2571" t="s">
        <v>443</v>
      </c>
      <c r="O2571" s="6" t="s">
        <v>612</v>
      </c>
      <c r="P2571" t="str">
        <f t="shared" si="310"/>
        <v>[1]</v>
      </c>
      <c r="Q2571">
        <f t="shared" si="311"/>
        <v>0</v>
      </c>
      <c r="R2571" t="str">
        <f t="shared" si="309"/>
        <v/>
      </c>
      <c r="S2571">
        <f>SUMIF(O2571:$O$2855,R2571,Q2571:$Q$2855)</f>
        <v>0</v>
      </c>
    </row>
    <row r="2572" spans="11:19" x14ac:dyDescent="0.25">
      <c r="K2572" s="4" t="s">
        <v>421</v>
      </c>
      <c r="L2572" t="s">
        <v>422</v>
      </c>
      <c r="M2572" t="s">
        <v>443</v>
      </c>
      <c r="N2572" t="s">
        <v>443</v>
      </c>
      <c r="O2572" s="6" t="s">
        <v>612</v>
      </c>
      <c r="P2572" t="str">
        <f t="shared" si="310"/>
        <v>[1]</v>
      </c>
      <c r="Q2572">
        <f t="shared" si="311"/>
        <v>0</v>
      </c>
      <c r="R2572" t="str">
        <f t="shared" si="309"/>
        <v/>
      </c>
      <c r="S2572">
        <f>SUMIF(O2572:$O$2855,R2572,Q2572:$Q$2855)</f>
        <v>0</v>
      </c>
    </row>
    <row r="2573" spans="11:19" x14ac:dyDescent="0.25">
      <c r="K2573" s="4" t="s">
        <v>421</v>
      </c>
      <c r="L2573" t="s">
        <v>422</v>
      </c>
      <c r="M2573" t="s">
        <v>443</v>
      </c>
      <c r="N2573" t="s">
        <v>443</v>
      </c>
      <c r="O2573" s="6" t="s">
        <v>612</v>
      </c>
      <c r="P2573" t="str">
        <f t="shared" si="310"/>
        <v>[1]</v>
      </c>
      <c r="Q2573">
        <f t="shared" si="311"/>
        <v>0</v>
      </c>
      <c r="R2573" t="str">
        <f t="shared" si="309"/>
        <v/>
      </c>
      <c r="S2573">
        <f>SUMIF(O2573:$O$2855,R2573,Q2573:$Q$2855)</f>
        <v>0</v>
      </c>
    </row>
    <row r="2574" spans="11:19" x14ac:dyDescent="0.25">
      <c r="K2574" s="4" t="s">
        <v>421</v>
      </c>
      <c r="L2574" t="s">
        <v>422</v>
      </c>
      <c r="M2574" t="s">
        <v>443</v>
      </c>
      <c r="N2574" t="s">
        <v>443</v>
      </c>
      <c r="O2574" s="6" t="s">
        <v>612</v>
      </c>
      <c r="P2574" t="str">
        <f t="shared" si="310"/>
        <v>[1]</v>
      </c>
      <c r="Q2574">
        <f t="shared" si="311"/>
        <v>0</v>
      </c>
      <c r="R2574" t="str">
        <f t="shared" si="309"/>
        <v/>
      </c>
      <c r="S2574">
        <f>SUMIF(O2574:$O$2855,R2574,Q2574:$Q$2855)</f>
        <v>0</v>
      </c>
    </row>
    <row r="2575" spans="11:19" x14ac:dyDescent="0.25">
      <c r="K2575" s="4" t="s">
        <v>421</v>
      </c>
      <c r="L2575" t="s">
        <v>422</v>
      </c>
      <c r="M2575" t="s">
        <v>443</v>
      </c>
      <c r="N2575" t="s">
        <v>443</v>
      </c>
      <c r="O2575" s="6" t="s">
        <v>612</v>
      </c>
      <c r="P2575" t="str">
        <f t="shared" si="310"/>
        <v>[1]</v>
      </c>
      <c r="Q2575">
        <f t="shared" si="311"/>
        <v>0</v>
      </c>
      <c r="R2575" t="str">
        <f t="shared" si="309"/>
        <v/>
      </c>
      <c r="S2575">
        <f>SUMIF(O2575:$O$2855,R2575,Q2575:$Q$2855)</f>
        <v>0</v>
      </c>
    </row>
    <row r="2576" spans="11:19" x14ac:dyDescent="0.25">
      <c r="K2576" s="4" t="s">
        <v>421</v>
      </c>
      <c r="L2576" t="s">
        <v>422</v>
      </c>
      <c r="M2576" t="s">
        <v>443</v>
      </c>
      <c r="N2576" t="s">
        <v>443</v>
      </c>
      <c r="O2576" s="6" t="s">
        <v>612</v>
      </c>
      <c r="P2576" t="str">
        <f t="shared" si="310"/>
        <v>[1]</v>
      </c>
      <c r="Q2576">
        <f t="shared" si="311"/>
        <v>0</v>
      </c>
      <c r="R2576" t="str">
        <f t="shared" si="309"/>
        <v/>
      </c>
      <c r="S2576">
        <f>SUMIF(O2576:$O$2855,R2576,Q2576:$Q$2855)</f>
        <v>0</v>
      </c>
    </row>
    <row r="2577" spans="11:19" x14ac:dyDescent="0.25">
      <c r="K2577" s="4" t="s">
        <v>421</v>
      </c>
      <c r="L2577" t="s">
        <v>422</v>
      </c>
      <c r="M2577" t="s">
        <v>443</v>
      </c>
      <c r="N2577" t="s">
        <v>443</v>
      </c>
      <c r="O2577" s="6" t="s">
        <v>612</v>
      </c>
      <c r="P2577" t="str">
        <f t="shared" si="310"/>
        <v>[1]</v>
      </c>
      <c r="Q2577">
        <f>HEX2DEC(MID(N2577,3,LEN(N2577)-2))</f>
        <v>0</v>
      </c>
      <c r="R2577" t="str">
        <f t="shared" si="309"/>
        <v/>
      </c>
      <c r="S2577">
        <f>SUMIF(O2577:$O$2855,R2577,Q2577:$Q$2855)</f>
        <v>0</v>
      </c>
    </row>
    <row r="2578" spans="11:19" x14ac:dyDescent="0.25">
      <c r="K2578" s="4" t="s">
        <v>421</v>
      </c>
      <c r="L2578" t="s">
        <v>422</v>
      </c>
      <c r="M2578" t="s">
        <v>443</v>
      </c>
      <c r="N2578" t="s">
        <v>443</v>
      </c>
      <c r="O2578" s="6" t="s">
        <v>612</v>
      </c>
      <c r="P2578" t="str">
        <f t="shared" si="310"/>
        <v>[1]</v>
      </c>
      <c r="Q2578">
        <f t="shared" ref="Q2578:Q2707" si="312">HEX2DEC(MID(N2578,3,LEN(N2578)-2))</f>
        <v>0</v>
      </c>
      <c r="R2578" t="str">
        <f t="shared" si="309"/>
        <v/>
      </c>
      <c r="S2578">
        <f>SUMIF(O2578:$O$2855,R2578,Q2578:$Q$2855)</f>
        <v>0</v>
      </c>
    </row>
    <row r="2579" spans="11:19" x14ac:dyDescent="0.25">
      <c r="K2579" s="4" t="s">
        <v>421</v>
      </c>
      <c r="L2579" t="s">
        <v>422</v>
      </c>
      <c r="M2579" t="s">
        <v>443</v>
      </c>
      <c r="N2579" t="s">
        <v>443</v>
      </c>
      <c r="O2579" s="6" t="s">
        <v>612</v>
      </c>
      <c r="P2579" t="str">
        <f t="shared" si="310"/>
        <v>[1]</v>
      </c>
      <c r="Q2579">
        <f t="shared" si="312"/>
        <v>0</v>
      </c>
      <c r="R2579" t="str">
        <f t="shared" si="309"/>
        <v/>
      </c>
      <c r="S2579">
        <f>SUMIF(O2579:$O$2855,R2579,Q2579:$Q$2855)</f>
        <v>0</v>
      </c>
    </row>
    <row r="2580" spans="11:19" x14ac:dyDescent="0.25">
      <c r="K2580" s="4" t="s">
        <v>421</v>
      </c>
      <c r="L2580" t="s">
        <v>422</v>
      </c>
      <c r="M2580" t="s">
        <v>443</v>
      </c>
      <c r="N2580" t="s">
        <v>443</v>
      </c>
      <c r="O2580" s="6" t="s">
        <v>612</v>
      </c>
      <c r="P2580" t="str">
        <f t="shared" si="310"/>
        <v>[1]</v>
      </c>
      <c r="Q2580">
        <f t="shared" si="312"/>
        <v>0</v>
      </c>
      <c r="R2580" t="str">
        <f t="shared" si="309"/>
        <v/>
      </c>
      <c r="S2580">
        <f>SUMIF(O2580:$O$2855,R2580,Q2580:$Q$2855)</f>
        <v>0</v>
      </c>
    </row>
    <row r="2581" spans="11:19" x14ac:dyDescent="0.25">
      <c r="K2581" s="4" t="s">
        <v>421</v>
      </c>
      <c r="L2581" t="s">
        <v>422</v>
      </c>
      <c r="M2581" t="s">
        <v>443</v>
      </c>
      <c r="N2581" t="s">
        <v>443</v>
      </c>
      <c r="O2581" s="6" t="s">
        <v>612</v>
      </c>
      <c r="P2581" t="str">
        <f t="shared" si="310"/>
        <v>[1]</v>
      </c>
      <c r="Q2581">
        <f t="shared" si="312"/>
        <v>0</v>
      </c>
      <c r="R2581" t="str">
        <f t="shared" si="309"/>
        <v/>
      </c>
      <c r="S2581">
        <f>SUMIF(O2581:$O$2855,R2581,Q2581:$Q$2855)</f>
        <v>0</v>
      </c>
    </row>
    <row r="2582" spans="11:19" x14ac:dyDescent="0.25">
      <c r="K2582" s="4" t="s">
        <v>421</v>
      </c>
      <c r="L2582" t="s">
        <v>422</v>
      </c>
      <c r="M2582" t="s">
        <v>443</v>
      </c>
      <c r="N2582" t="s">
        <v>443</v>
      </c>
      <c r="O2582" s="6" t="s">
        <v>612</v>
      </c>
      <c r="P2582" t="str">
        <f t="shared" si="310"/>
        <v>[1]</v>
      </c>
      <c r="Q2582">
        <f t="shared" si="312"/>
        <v>0</v>
      </c>
      <c r="R2582" t="str">
        <f t="shared" si="309"/>
        <v/>
      </c>
      <c r="S2582">
        <f>SUMIF(O2582:$O$2855,R2582,Q2582:$Q$2855)</f>
        <v>0</v>
      </c>
    </row>
    <row r="2583" spans="11:19" x14ac:dyDescent="0.25">
      <c r="K2583" s="4" t="s">
        <v>421</v>
      </c>
      <c r="L2583" t="s">
        <v>422</v>
      </c>
      <c r="M2583" t="s">
        <v>443</v>
      </c>
      <c r="N2583" t="s">
        <v>443</v>
      </c>
      <c r="O2583" s="6" t="s">
        <v>612</v>
      </c>
      <c r="P2583" t="str">
        <f t="shared" si="310"/>
        <v>[1]</v>
      </c>
      <c r="Q2583">
        <f t="shared" si="312"/>
        <v>0</v>
      </c>
      <c r="R2583" t="str">
        <f t="shared" si="309"/>
        <v/>
      </c>
      <c r="S2583">
        <f>SUMIF(O2583:$O$2855,R2583,Q2583:$Q$2855)</f>
        <v>0</v>
      </c>
    </row>
    <row r="2584" spans="11:19" x14ac:dyDescent="0.25">
      <c r="K2584" s="4" t="s">
        <v>421</v>
      </c>
      <c r="L2584" t="s">
        <v>422</v>
      </c>
      <c r="M2584" t="s">
        <v>443</v>
      </c>
      <c r="N2584" t="s">
        <v>443</v>
      </c>
      <c r="O2584" s="6" t="s">
        <v>612</v>
      </c>
      <c r="P2584" t="str">
        <f t="shared" si="310"/>
        <v>[1]</v>
      </c>
      <c r="Q2584">
        <f t="shared" si="312"/>
        <v>0</v>
      </c>
      <c r="R2584" t="str">
        <f t="shared" si="309"/>
        <v/>
      </c>
      <c r="S2584">
        <f>SUMIF(O2584:$O$2855,R2584,Q2584:$Q$2855)</f>
        <v>0</v>
      </c>
    </row>
    <row r="2585" spans="11:19" x14ac:dyDescent="0.25">
      <c r="K2585" s="4" t="s">
        <v>421</v>
      </c>
      <c r="L2585" t="s">
        <v>422</v>
      </c>
      <c r="M2585" t="s">
        <v>443</v>
      </c>
      <c r="N2585" t="s">
        <v>443</v>
      </c>
      <c r="O2585" s="6" t="s">
        <v>612</v>
      </c>
      <c r="P2585" t="str">
        <f t="shared" si="310"/>
        <v>[1]</v>
      </c>
      <c r="Q2585">
        <f t="shared" si="312"/>
        <v>0</v>
      </c>
      <c r="R2585" t="str">
        <f t="shared" si="309"/>
        <v/>
      </c>
      <c r="S2585">
        <f>SUMIF(O2585:$O$2855,R2585,Q2585:$Q$2855)</f>
        <v>0</v>
      </c>
    </row>
    <row r="2586" spans="11:19" x14ac:dyDescent="0.25">
      <c r="K2586" s="4" t="s">
        <v>421</v>
      </c>
      <c r="L2586" t="s">
        <v>422</v>
      </c>
      <c r="M2586" t="s">
        <v>443</v>
      </c>
      <c r="N2586" t="s">
        <v>443</v>
      </c>
      <c r="O2586" s="6" t="s">
        <v>612</v>
      </c>
      <c r="P2586" t="str">
        <f t="shared" si="310"/>
        <v>[1]</v>
      </c>
      <c r="Q2586">
        <f t="shared" si="312"/>
        <v>0</v>
      </c>
      <c r="R2586" t="str">
        <f t="shared" si="309"/>
        <v/>
      </c>
      <c r="S2586">
        <f>SUMIF(O2586:$O$2855,R2586,Q2586:$Q$2855)</f>
        <v>0</v>
      </c>
    </row>
    <row r="2587" spans="11:19" x14ac:dyDescent="0.25">
      <c r="K2587" s="4" t="s">
        <v>421</v>
      </c>
      <c r="L2587" t="s">
        <v>422</v>
      </c>
      <c r="M2587" t="s">
        <v>443</v>
      </c>
      <c r="N2587" t="s">
        <v>443</v>
      </c>
      <c r="O2587" s="6" t="s">
        <v>612</v>
      </c>
      <c r="P2587" t="str">
        <f t="shared" si="310"/>
        <v>[1]</v>
      </c>
      <c r="Q2587">
        <f t="shared" si="312"/>
        <v>0</v>
      </c>
      <c r="R2587" t="str">
        <f t="shared" si="309"/>
        <v/>
      </c>
      <c r="S2587">
        <f>SUMIF(O2587:$O$2855,R2587,Q2587:$Q$2855)</f>
        <v>0</v>
      </c>
    </row>
    <row r="2588" spans="11:19" x14ac:dyDescent="0.25">
      <c r="K2588" s="4" t="s">
        <v>421</v>
      </c>
      <c r="L2588" t="s">
        <v>422</v>
      </c>
      <c r="M2588" t="s">
        <v>443</v>
      </c>
      <c r="N2588" t="s">
        <v>443</v>
      </c>
      <c r="O2588" s="6" t="s">
        <v>612</v>
      </c>
      <c r="P2588" t="str">
        <f t="shared" si="310"/>
        <v>[1]</v>
      </c>
      <c r="Q2588">
        <f t="shared" si="312"/>
        <v>0</v>
      </c>
      <c r="R2588" t="str">
        <f t="shared" si="309"/>
        <v/>
      </c>
      <c r="S2588">
        <f>SUMIF(O2588:$O$2855,R2588,Q2588:$Q$2855)</f>
        <v>0</v>
      </c>
    </row>
    <row r="2589" spans="11:19" x14ac:dyDescent="0.25">
      <c r="K2589" s="4" t="s">
        <v>421</v>
      </c>
      <c r="L2589" t="s">
        <v>422</v>
      </c>
      <c r="M2589" t="s">
        <v>443</v>
      </c>
      <c r="N2589" t="s">
        <v>443</v>
      </c>
      <c r="O2589" s="6" t="s">
        <v>612</v>
      </c>
      <c r="P2589" t="str">
        <f t="shared" si="310"/>
        <v>[1]</v>
      </c>
      <c r="Q2589">
        <f t="shared" si="312"/>
        <v>0</v>
      </c>
      <c r="R2589" t="str">
        <f t="shared" si="309"/>
        <v/>
      </c>
      <c r="S2589">
        <f>SUMIF(O2589:$O$2855,R2589,Q2589:$Q$2855)</f>
        <v>0</v>
      </c>
    </row>
    <row r="2590" spans="11:19" x14ac:dyDescent="0.25">
      <c r="K2590" s="4" t="s">
        <v>421</v>
      </c>
      <c r="L2590" t="s">
        <v>422</v>
      </c>
      <c r="M2590" t="s">
        <v>443</v>
      </c>
      <c r="N2590" t="s">
        <v>443</v>
      </c>
      <c r="O2590" s="6" t="s">
        <v>612</v>
      </c>
      <c r="P2590" t="str">
        <f t="shared" si="310"/>
        <v>[1]</v>
      </c>
      <c r="Q2590">
        <f t="shared" si="312"/>
        <v>0</v>
      </c>
      <c r="R2590" t="str">
        <f t="shared" si="309"/>
        <v/>
      </c>
      <c r="S2590">
        <f>SUMIF(O2590:$O$2855,R2590,Q2590:$Q$2855)</f>
        <v>0</v>
      </c>
    </row>
    <row r="2591" spans="11:19" x14ac:dyDescent="0.25">
      <c r="K2591" s="4" t="s">
        <v>421</v>
      </c>
      <c r="L2591" t="s">
        <v>422</v>
      </c>
      <c r="M2591" t="s">
        <v>443</v>
      </c>
      <c r="N2591" t="s">
        <v>443</v>
      </c>
      <c r="O2591" s="6" t="s">
        <v>612</v>
      </c>
      <c r="P2591" t="str">
        <f t="shared" si="310"/>
        <v>[1]</v>
      </c>
      <c r="Q2591">
        <f t="shared" si="312"/>
        <v>0</v>
      </c>
      <c r="R2591" t="str">
        <f t="shared" si="309"/>
        <v/>
      </c>
      <c r="S2591">
        <f>SUMIF(O2591:$O$2855,R2591,Q2591:$Q$2855)</f>
        <v>0</v>
      </c>
    </row>
    <row r="2592" spans="11:19" x14ac:dyDescent="0.25">
      <c r="K2592" s="4" t="s">
        <v>421</v>
      </c>
      <c r="L2592" t="s">
        <v>422</v>
      </c>
      <c r="M2592" t="s">
        <v>443</v>
      </c>
      <c r="N2592" t="s">
        <v>443</v>
      </c>
      <c r="O2592" s="6" t="s">
        <v>612</v>
      </c>
      <c r="P2592" t="str">
        <f t="shared" si="310"/>
        <v>[1]</v>
      </c>
      <c r="Q2592">
        <f t="shared" si="312"/>
        <v>0</v>
      </c>
      <c r="R2592" t="str">
        <f t="shared" ref="R2592:R2655" si="313">IF(O2592&lt;&gt;O2591,O2592,"")</f>
        <v/>
      </c>
      <c r="S2592">
        <f>SUMIF(O2592:$O$2855,R2592,Q2592:$Q$2855)</f>
        <v>0</v>
      </c>
    </row>
    <row r="2593" spans="11:19" x14ac:dyDescent="0.25">
      <c r="K2593" s="4" t="s">
        <v>421</v>
      </c>
      <c r="L2593" t="s">
        <v>422</v>
      </c>
      <c r="M2593" t="s">
        <v>443</v>
      </c>
      <c r="N2593" t="s">
        <v>443</v>
      </c>
      <c r="O2593" s="6" t="s">
        <v>612</v>
      </c>
      <c r="P2593" t="str">
        <f t="shared" si="310"/>
        <v>[1]</v>
      </c>
      <c r="Q2593">
        <f t="shared" si="312"/>
        <v>0</v>
      </c>
      <c r="R2593" t="str">
        <f t="shared" si="313"/>
        <v/>
      </c>
      <c r="S2593">
        <f>SUMIF(O2593:$O$2855,R2593,Q2593:$Q$2855)</f>
        <v>0</v>
      </c>
    </row>
    <row r="2594" spans="11:19" x14ac:dyDescent="0.25">
      <c r="K2594" s="4" t="s">
        <v>421</v>
      </c>
      <c r="L2594" t="s">
        <v>422</v>
      </c>
      <c r="M2594" t="s">
        <v>443</v>
      </c>
      <c r="N2594" t="s">
        <v>443</v>
      </c>
      <c r="O2594" s="6" t="s">
        <v>612</v>
      </c>
      <c r="P2594" t="str">
        <f t="shared" si="310"/>
        <v>[1]</v>
      </c>
      <c r="Q2594">
        <f t="shared" si="312"/>
        <v>0</v>
      </c>
      <c r="R2594" t="str">
        <f t="shared" si="313"/>
        <v/>
      </c>
      <c r="S2594">
        <f>SUMIF(O2594:$O$2855,R2594,Q2594:$Q$2855)</f>
        <v>0</v>
      </c>
    </row>
    <row r="2595" spans="11:19" x14ac:dyDescent="0.25">
      <c r="K2595" s="4" t="s">
        <v>421</v>
      </c>
      <c r="L2595" t="s">
        <v>422</v>
      </c>
      <c r="M2595" t="s">
        <v>443</v>
      </c>
      <c r="N2595" t="s">
        <v>443</v>
      </c>
      <c r="O2595" s="6" t="s">
        <v>612</v>
      </c>
      <c r="P2595" t="str">
        <f t="shared" si="310"/>
        <v>[1]</v>
      </c>
      <c r="Q2595">
        <f t="shared" si="312"/>
        <v>0</v>
      </c>
      <c r="R2595" t="str">
        <f t="shared" si="313"/>
        <v/>
      </c>
      <c r="S2595">
        <f>SUMIF(O2595:$O$2855,R2595,Q2595:$Q$2855)</f>
        <v>0</v>
      </c>
    </row>
    <row r="2596" spans="11:19" x14ac:dyDescent="0.25">
      <c r="K2596" s="4" t="s">
        <v>421</v>
      </c>
      <c r="L2596" t="s">
        <v>422</v>
      </c>
      <c r="M2596" t="s">
        <v>443</v>
      </c>
      <c r="N2596" t="s">
        <v>443</v>
      </c>
      <c r="O2596" s="6" t="s">
        <v>612</v>
      </c>
      <c r="P2596" t="str">
        <f t="shared" si="310"/>
        <v>[1]</v>
      </c>
      <c r="Q2596">
        <f t="shared" si="312"/>
        <v>0</v>
      </c>
      <c r="R2596" t="str">
        <f t="shared" si="313"/>
        <v/>
      </c>
      <c r="S2596">
        <f>SUMIF(O2596:$O$2855,R2596,Q2596:$Q$2855)</f>
        <v>0</v>
      </c>
    </row>
    <row r="2597" spans="11:19" x14ac:dyDescent="0.25">
      <c r="K2597" s="4" t="s">
        <v>421</v>
      </c>
      <c r="L2597" t="s">
        <v>422</v>
      </c>
      <c r="M2597" t="s">
        <v>443</v>
      </c>
      <c r="N2597" t="s">
        <v>443</v>
      </c>
      <c r="O2597" s="6" t="s">
        <v>612</v>
      </c>
      <c r="P2597" t="str">
        <f t="shared" si="310"/>
        <v>[1]</v>
      </c>
      <c r="Q2597">
        <f t="shared" si="312"/>
        <v>0</v>
      </c>
      <c r="R2597" t="str">
        <f t="shared" si="313"/>
        <v/>
      </c>
      <c r="S2597">
        <f>SUMIF(O2597:$O$2855,R2597,Q2597:$Q$2855)</f>
        <v>0</v>
      </c>
    </row>
    <row r="2598" spans="11:19" x14ac:dyDescent="0.25">
      <c r="K2598" s="4" t="s">
        <v>421</v>
      </c>
      <c r="L2598" t="s">
        <v>422</v>
      </c>
      <c r="M2598" t="s">
        <v>443</v>
      </c>
      <c r="N2598" t="s">
        <v>443</v>
      </c>
      <c r="O2598" s="6" t="s">
        <v>612</v>
      </c>
      <c r="P2598" t="str">
        <f t="shared" si="310"/>
        <v>[1]</v>
      </c>
      <c r="Q2598">
        <f t="shared" si="312"/>
        <v>0</v>
      </c>
      <c r="R2598" t="str">
        <f t="shared" si="313"/>
        <v/>
      </c>
      <c r="S2598">
        <f>SUMIF(O2598:$O$2855,R2598,Q2598:$Q$2855)</f>
        <v>0</v>
      </c>
    </row>
    <row r="2599" spans="11:19" x14ac:dyDescent="0.25">
      <c r="K2599" s="4" t="s">
        <v>421</v>
      </c>
      <c r="L2599" t="s">
        <v>422</v>
      </c>
      <c r="M2599" t="s">
        <v>443</v>
      </c>
      <c r="N2599" t="s">
        <v>443</v>
      </c>
      <c r="O2599" s="6" t="s">
        <v>612</v>
      </c>
      <c r="P2599" t="str">
        <f t="shared" si="310"/>
        <v>[1]</v>
      </c>
      <c r="Q2599">
        <f t="shared" si="312"/>
        <v>0</v>
      </c>
      <c r="R2599" t="str">
        <f t="shared" si="313"/>
        <v/>
      </c>
      <c r="S2599">
        <f>SUMIF(O2599:$O$2855,R2599,Q2599:$Q$2855)</f>
        <v>0</v>
      </c>
    </row>
    <row r="2600" spans="11:19" x14ac:dyDescent="0.25">
      <c r="K2600" s="4" t="s">
        <v>421</v>
      </c>
      <c r="L2600" t="s">
        <v>422</v>
      </c>
      <c r="M2600" t="s">
        <v>443</v>
      </c>
      <c r="N2600" t="s">
        <v>443</v>
      </c>
      <c r="O2600" s="6" t="s">
        <v>612</v>
      </c>
      <c r="P2600" t="str">
        <f t="shared" si="310"/>
        <v>[1]</v>
      </c>
      <c r="Q2600">
        <f t="shared" si="312"/>
        <v>0</v>
      </c>
      <c r="R2600" t="str">
        <f t="shared" si="313"/>
        <v/>
      </c>
      <c r="S2600">
        <f>SUMIF(O2600:$O$2855,R2600,Q2600:$Q$2855)</f>
        <v>0</v>
      </c>
    </row>
    <row r="2601" spans="11:19" x14ac:dyDescent="0.25">
      <c r="K2601" s="4" t="s">
        <v>421</v>
      </c>
      <c r="L2601" t="s">
        <v>422</v>
      </c>
      <c r="M2601" t="s">
        <v>443</v>
      </c>
      <c r="N2601" t="s">
        <v>443</v>
      </c>
      <c r="O2601" s="6" t="s">
        <v>612</v>
      </c>
      <c r="P2601" t="str">
        <f t="shared" si="310"/>
        <v>[1]</v>
      </c>
      <c r="Q2601">
        <f t="shared" si="312"/>
        <v>0</v>
      </c>
      <c r="R2601" t="str">
        <f t="shared" si="313"/>
        <v/>
      </c>
      <c r="S2601">
        <f>SUMIF(O2601:$O$2855,R2601,Q2601:$Q$2855)</f>
        <v>0</v>
      </c>
    </row>
    <row r="2602" spans="11:19" x14ac:dyDescent="0.25">
      <c r="K2602" s="4" t="s">
        <v>421</v>
      </c>
      <c r="L2602" t="s">
        <v>422</v>
      </c>
      <c r="M2602" t="s">
        <v>443</v>
      </c>
      <c r="N2602" t="s">
        <v>443</v>
      </c>
      <c r="O2602" s="6" t="s">
        <v>612</v>
      </c>
      <c r="P2602" t="str">
        <f t="shared" si="310"/>
        <v>[1]</v>
      </c>
      <c r="Q2602">
        <f t="shared" si="312"/>
        <v>0</v>
      </c>
      <c r="R2602" t="str">
        <f t="shared" si="313"/>
        <v/>
      </c>
      <c r="S2602">
        <f>SUMIF(O2602:$O$2855,R2602,Q2602:$Q$2855)</f>
        <v>0</v>
      </c>
    </row>
    <row r="2603" spans="11:19" x14ac:dyDescent="0.25">
      <c r="K2603" s="4" t="s">
        <v>421</v>
      </c>
      <c r="L2603" t="s">
        <v>422</v>
      </c>
      <c r="M2603" t="s">
        <v>443</v>
      </c>
      <c r="N2603" t="s">
        <v>443</v>
      </c>
      <c r="O2603" s="6" t="s">
        <v>612</v>
      </c>
      <c r="P2603" t="str">
        <f t="shared" si="310"/>
        <v>[1]</v>
      </c>
      <c r="Q2603">
        <f t="shared" si="312"/>
        <v>0</v>
      </c>
      <c r="R2603" t="str">
        <f t="shared" si="313"/>
        <v/>
      </c>
      <c r="S2603">
        <f>SUMIF(O2603:$O$2855,R2603,Q2603:$Q$2855)</f>
        <v>0</v>
      </c>
    </row>
    <row r="2604" spans="11:19" x14ac:dyDescent="0.25">
      <c r="K2604" s="4" t="s">
        <v>421</v>
      </c>
      <c r="L2604" t="s">
        <v>422</v>
      </c>
      <c r="M2604" t="s">
        <v>443</v>
      </c>
      <c r="N2604" t="s">
        <v>443</v>
      </c>
      <c r="O2604" s="6" t="s">
        <v>612</v>
      </c>
      <c r="P2604" t="str">
        <f t="shared" si="310"/>
        <v>[1]</v>
      </c>
      <c r="Q2604">
        <f t="shared" si="312"/>
        <v>0</v>
      </c>
      <c r="R2604" t="str">
        <f t="shared" si="313"/>
        <v/>
      </c>
      <c r="S2604">
        <f>SUMIF(O2604:$O$2855,R2604,Q2604:$Q$2855)</f>
        <v>0</v>
      </c>
    </row>
    <row r="2605" spans="11:19" x14ac:dyDescent="0.25">
      <c r="K2605" s="4" t="s">
        <v>421</v>
      </c>
      <c r="L2605" t="s">
        <v>422</v>
      </c>
      <c r="M2605" t="s">
        <v>443</v>
      </c>
      <c r="N2605" t="s">
        <v>443</v>
      </c>
      <c r="O2605" s="6" t="s">
        <v>612</v>
      </c>
      <c r="P2605" t="str">
        <f t="shared" si="310"/>
        <v>[1]</v>
      </c>
      <c r="Q2605">
        <f t="shared" si="312"/>
        <v>0</v>
      </c>
      <c r="R2605" t="str">
        <f t="shared" si="313"/>
        <v/>
      </c>
      <c r="S2605">
        <f>SUMIF(O2605:$O$2855,R2605,Q2605:$Q$2855)</f>
        <v>0</v>
      </c>
    </row>
    <row r="2606" spans="11:19" x14ac:dyDescent="0.25">
      <c r="K2606" s="4" t="s">
        <v>421</v>
      </c>
      <c r="L2606" t="s">
        <v>422</v>
      </c>
      <c r="M2606" t="s">
        <v>443</v>
      </c>
      <c r="N2606" t="s">
        <v>443</v>
      </c>
      <c r="O2606" s="6" t="s">
        <v>612</v>
      </c>
      <c r="P2606" t="str">
        <f t="shared" si="310"/>
        <v>[1]</v>
      </c>
      <c r="Q2606">
        <f t="shared" si="312"/>
        <v>0</v>
      </c>
      <c r="R2606" t="str">
        <f t="shared" si="313"/>
        <v/>
      </c>
      <c r="S2606">
        <f>SUMIF(O2606:$O$2855,R2606,Q2606:$Q$2855)</f>
        <v>0</v>
      </c>
    </row>
    <row r="2607" spans="11:19" x14ac:dyDescent="0.25">
      <c r="K2607" s="4" t="s">
        <v>421</v>
      </c>
      <c r="L2607" t="s">
        <v>422</v>
      </c>
      <c r="M2607" t="s">
        <v>443</v>
      </c>
      <c r="N2607" t="s">
        <v>443</v>
      </c>
      <c r="O2607" s="6" t="s">
        <v>612</v>
      </c>
      <c r="P2607" t="str">
        <f t="shared" si="310"/>
        <v>[1]</v>
      </c>
      <c r="Q2607">
        <f t="shared" si="312"/>
        <v>0</v>
      </c>
      <c r="R2607" t="str">
        <f t="shared" si="313"/>
        <v/>
      </c>
      <c r="S2607">
        <f>SUMIF(O2607:$O$2855,R2607,Q2607:$Q$2855)</f>
        <v>0</v>
      </c>
    </row>
    <row r="2608" spans="11:19" x14ac:dyDescent="0.25">
      <c r="K2608" s="4" t="s">
        <v>421</v>
      </c>
      <c r="L2608" t="s">
        <v>422</v>
      </c>
      <c r="M2608" t="s">
        <v>443</v>
      </c>
      <c r="N2608" t="s">
        <v>443</v>
      </c>
      <c r="O2608" s="6" t="s">
        <v>612</v>
      </c>
      <c r="P2608" t="str">
        <f t="shared" si="310"/>
        <v>[1]</v>
      </c>
      <c r="Q2608">
        <f t="shared" si="312"/>
        <v>0</v>
      </c>
      <c r="R2608" t="str">
        <f t="shared" si="313"/>
        <v/>
      </c>
      <c r="S2608">
        <f>SUMIF(O2608:$O$2855,R2608,Q2608:$Q$2855)</f>
        <v>0</v>
      </c>
    </row>
    <row r="2609" spans="11:19" x14ac:dyDescent="0.25">
      <c r="K2609" s="4" t="s">
        <v>421</v>
      </c>
      <c r="L2609" t="s">
        <v>422</v>
      </c>
      <c r="M2609" t="s">
        <v>443</v>
      </c>
      <c r="N2609" t="s">
        <v>443</v>
      </c>
      <c r="O2609" s="6" t="s">
        <v>612</v>
      </c>
      <c r="P2609" t="str">
        <f t="shared" si="310"/>
        <v>[1]</v>
      </c>
      <c r="Q2609">
        <f t="shared" si="312"/>
        <v>0</v>
      </c>
      <c r="R2609" t="str">
        <f t="shared" si="313"/>
        <v/>
      </c>
      <c r="S2609">
        <f>SUMIF(O2609:$O$2855,R2609,Q2609:$Q$2855)</f>
        <v>0</v>
      </c>
    </row>
    <row r="2610" spans="11:19" x14ac:dyDescent="0.25">
      <c r="K2610" s="4" t="s">
        <v>421</v>
      </c>
      <c r="L2610" t="s">
        <v>422</v>
      </c>
      <c r="M2610" t="s">
        <v>443</v>
      </c>
      <c r="N2610" t="s">
        <v>443</v>
      </c>
      <c r="O2610" s="6" t="s">
        <v>612</v>
      </c>
      <c r="P2610" t="str">
        <f t="shared" si="310"/>
        <v>[1]</v>
      </c>
      <c r="Q2610">
        <f t="shared" si="312"/>
        <v>0</v>
      </c>
      <c r="R2610" t="str">
        <f t="shared" si="313"/>
        <v/>
      </c>
      <c r="S2610">
        <f>SUMIF(O2610:$O$2855,R2610,Q2610:$Q$2855)</f>
        <v>0</v>
      </c>
    </row>
    <row r="2611" spans="11:19" x14ac:dyDescent="0.25">
      <c r="K2611" s="4" t="s">
        <v>421</v>
      </c>
      <c r="L2611" t="s">
        <v>422</v>
      </c>
      <c r="M2611" t="s">
        <v>443</v>
      </c>
      <c r="N2611" t="s">
        <v>443</v>
      </c>
      <c r="O2611" s="6" t="s">
        <v>612</v>
      </c>
      <c r="P2611" t="str">
        <f t="shared" si="310"/>
        <v>[1]</v>
      </c>
      <c r="Q2611">
        <f t="shared" si="312"/>
        <v>0</v>
      </c>
      <c r="R2611" t="str">
        <f t="shared" si="313"/>
        <v/>
      </c>
      <c r="S2611">
        <f>SUMIF(O2611:$O$2855,R2611,Q2611:$Q$2855)</f>
        <v>0</v>
      </c>
    </row>
    <row r="2612" spans="11:19" x14ac:dyDescent="0.25">
      <c r="K2612" s="4" t="s">
        <v>421</v>
      </c>
      <c r="L2612" t="s">
        <v>422</v>
      </c>
      <c r="M2612" t="s">
        <v>443</v>
      </c>
      <c r="N2612" t="s">
        <v>443</v>
      </c>
      <c r="O2612" s="6" t="s">
        <v>612</v>
      </c>
      <c r="P2612" t="str">
        <f t="shared" si="310"/>
        <v>[1]</v>
      </c>
      <c r="Q2612">
        <f t="shared" si="312"/>
        <v>0</v>
      </c>
      <c r="R2612" t="str">
        <f t="shared" si="313"/>
        <v/>
      </c>
      <c r="S2612">
        <f>SUMIF(O2612:$O$2855,R2612,Q2612:$Q$2855)</f>
        <v>0</v>
      </c>
    </row>
    <row r="2613" spans="11:19" x14ac:dyDescent="0.25">
      <c r="K2613" s="4" t="s">
        <v>421</v>
      </c>
      <c r="L2613" t="s">
        <v>422</v>
      </c>
      <c r="M2613" t="s">
        <v>443</v>
      </c>
      <c r="N2613" t="s">
        <v>443</v>
      </c>
      <c r="O2613" s="6" t="s">
        <v>612</v>
      </c>
      <c r="P2613" t="str">
        <f t="shared" si="310"/>
        <v>[1]</v>
      </c>
      <c r="Q2613">
        <f t="shared" si="312"/>
        <v>0</v>
      </c>
      <c r="R2613" t="str">
        <f t="shared" si="313"/>
        <v/>
      </c>
      <c r="S2613">
        <f>SUMIF(O2613:$O$2855,R2613,Q2613:$Q$2855)</f>
        <v>0</v>
      </c>
    </row>
    <row r="2614" spans="11:19" x14ac:dyDescent="0.25">
      <c r="K2614" s="4" t="s">
        <v>421</v>
      </c>
      <c r="L2614" t="s">
        <v>422</v>
      </c>
      <c r="M2614" t="s">
        <v>443</v>
      </c>
      <c r="N2614" t="s">
        <v>443</v>
      </c>
      <c r="O2614" s="6" t="s">
        <v>612</v>
      </c>
      <c r="P2614" t="str">
        <f t="shared" si="310"/>
        <v>[1]</v>
      </c>
      <c r="Q2614">
        <f t="shared" si="312"/>
        <v>0</v>
      </c>
      <c r="R2614" t="str">
        <f t="shared" si="313"/>
        <v/>
      </c>
      <c r="S2614">
        <f>SUMIF(O2614:$O$2855,R2614,Q2614:$Q$2855)</f>
        <v>0</v>
      </c>
    </row>
    <row r="2615" spans="11:19" x14ac:dyDescent="0.25">
      <c r="K2615" s="4" t="s">
        <v>421</v>
      </c>
      <c r="L2615" t="s">
        <v>422</v>
      </c>
      <c r="M2615" t="s">
        <v>443</v>
      </c>
      <c r="N2615" t="s">
        <v>443</v>
      </c>
      <c r="O2615" s="6" t="s">
        <v>612</v>
      </c>
      <c r="P2615" t="str">
        <f t="shared" si="310"/>
        <v>[1]</v>
      </c>
      <c r="Q2615">
        <f t="shared" si="312"/>
        <v>0</v>
      </c>
      <c r="R2615" t="str">
        <f t="shared" si="313"/>
        <v/>
      </c>
      <c r="S2615">
        <f>SUMIF(O2615:$O$2855,R2615,Q2615:$Q$2855)</f>
        <v>0</v>
      </c>
    </row>
    <row r="2616" spans="11:19" x14ac:dyDescent="0.25">
      <c r="K2616" s="4" t="s">
        <v>421</v>
      </c>
      <c r="L2616" t="s">
        <v>422</v>
      </c>
      <c r="M2616" t="s">
        <v>443</v>
      </c>
      <c r="N2616" t="s">
        <v>443</v>
      </c>
      <c r="O2616" s="6" t="s">
        <v>612</v>
      </c>
      <c r="P2616" t="str">
        <f t="shared" si="310"/>
        <v>[1]</v>
      </c>
      <c r="Q2616">
        <f t="shared" si="312"/>
        <v>0</v>
      </c>
      <c r="R2616" t="str">
        <f t="shared" si="313"/>
        <v/>
      </c>
      <c r="S2616">
        <f>SUMIF(O2616:$O$2855,R2616,Q2616:$Q$2855)</f>
        <v>0</v>
      </c>
    </row>
    <row r="2617" spans="11:19" x14ac:dyDescent="0.25">
      <c r="K2617" s="4" t="s">
        <v>421</v>
      </c>
      <c r="L2617" t="s">
        <v>422</v>
      </c>
      <c r="M2617" t="s">
        <v>443</v>
      </c>
      <c r="N2617" t="s">
        <v>443</v>
      </c>
      <c r="O2617" s="6" t="s">
        <v>612</v>
      </c>
      <c r="P2617" t="str">
        <f t="shared" si="310"/>
        <v>[1]</v>
      </c>
      <c r="Q2617">
        <f t="shared" si="312"/>
        <v>0</v>
      </c>
      <c r="R2617" t="str">
        <f t="shared" si="313"/>
        <v/>
      </c>
      <c r="S2617">
        <f>SUMIF(O2617:$O$2855,R2617,Q2617:$Q$2855)</f>
        <v>0</v>
      </c>
    </row>
    <row r="2618" spans="11:19" x14ac:dyDescent="0.25">
      <c r="K2618" s="4" t="s">
        <v>421</v>
      </c>
      <c r="L2618" t="s">
        <v>422</v>
      </c>
      <c r="M2618" t="s">
        <v>443</v>
      </c>
      <c r="N2618" t="s">
        <v>443</v>
      </c>
      <c r="O2618" s="6" t="s">
        <v>612</v>
      </c>
      <c r="P2618" t="str">
        <f t="shared" si="310"/>
        <v>[1]</v>
      </c>
      <c r="Q2618">
        <f t="shared" si="312"/>
        <v>0</v>
      </c>
      <c r="R2618" t="str">
        <f t="shared" si="313"/>
        <v/>
      </c>
      <c r="S2618">
        <f>SUMIF(O2618:$O$2855,R2618,Q2618:$Q$2855)</f>
        <v>0</v>
      </c>
    </row>
    <row r="2619" spans="11:19" x14ac:dyDescent="0.25">
      <c r="K2619" s="4" t="s">
        <v>421</v>
      </c>
      <c r="L2619" t="s">
        <v>422</v>
      </c>
      <c r="M2619" t="s">
        <v>443</v>
      </c>
      <c r="N2619" t="s">
        <v>443</v>
      </c>
      <c r="O2619" s="6" t="s">
        <v>612</v>
      </c>
      <c r="P2619" t="str">
        <f t="shared" si="310"/>
        <v>[1]</v>
      </c>
      <c r="Q2619">
        <f t="shared" si="312"/>
        <v>0</v>
      </c>
      <c r="R2619" t="str">
        <f t="shared" si="313"/>
        <v/>
      </c>
      <c r="S2619">
        <f>SUMIF(O2619:$O$2855,R2619,Q2619:$Q$2855)</f>
        <v>0</v>
      </c>
    </row>
    <row r="2620" spans="11:19" x14ac:dyDescent="0.25">
      <c r="K2620" s="4" t="s">
        <v>421</v>
      </c>
      <c r="L2620" t="s">
        <v>422</v>
      </c>
      <c r="M2620" t="s">
        <v>443</v>
      </c>
      <c r="N2620" t="s">
        <v>443</v>
      </c>
      <c r="O2620" s="6" t="s">
        <v>612</v>
      </c>
      <c r="P2620" t="str">
        <f t="shared" si="310"/>
        <v>[1]</v>
      </c>
      <c r="Q2620">
        <f t="shared" si="312"/>
        <v>0</v>
      </c>
      <c r="R2620" t="str">
        <f t="shared" si="313"/>
        <v/>
      </c>
      <c r="S2620">
        <f>SUMIF(O2620:$O$2855,R2620,Q2620:$Q$2855)</f>
        <v>0</v>
      </c>
    </row>
    <row r="2621" spans="11:19" x14ac:dyDescent="0.25">
      <c r="K2621" s="4" t="s">
        <v>421</v>
      </c>
      <c r="L2621" t="s">
        <v>422</v>
      </c>
      <c r="M2621" t="s">
        <v>443</v>
      </c>
      <c r="N2621" t="s">
        <v>443</v>
      </c>
      <c r="O2621" s="6" t="s">
        <v>612</v>
      </c>
      <c r="P2621" t="str">
        <f t="shared" si="310"/>
        <v>[1]</v>
      </c>
      <c r="Q2621">
        <f t="shared" si="312"/>
        <v>0</v>
      </c>
      <c r="R2621" t="str">
        <f t="shared" si="313"/>
        <v/>
      </c>
      <c r="S2621">
        <f>SUMIF(O2621:$O$2855,R2621,Q2621:$Q$2855)</f>
        <v>0</v>
      </c>
    </row>
    <row r="2622" spans="11:19" x14ac:dyDescent="0.25">
      <c r="K2622" s="4" t="s">
        <v>421</v>
      </c>
      <c r="L2622" t="s">
        <v>422</v>
      </c>
      <c r="M2622" t="s">
        <v>443</v>
      </c>
      <c r="N2622" t="s">
        <v>443</v>
      </c>
      <c r="O2622" s="6" t="s">
        <v>612</v>
      </c>
      <c r="P2622" t="str">
        <f t="shared" si="310"/>
        <v>[1]</v>
      </c>
      <c r="Q2622">
        <f t="shared" si="312"/>
        <v>0</v>
      </c>
      <c r="R2622" t="str">
        <f t="shared" si="313"/>
        <v/>
      </c>
      <c r="S2622">
        <f>SUMIF(O2622:$O$2855,R2622,Q2622:$Q$2855)</f>
        <v>0</v>
      </c>
    </row>
    <row r="2623" spans="11:19" x14ac:dyDescent="0.25">
      <c r="K2623" s="4" t="s">
        <v>421</v>
      </c>
      <c r="L2623" t="s">
        <v>422</v>
      </c>
      <c r="M2623" t="s">
        <v>443</v>
      </c>
      <c r="N2623" t="s">
        <v>443</v>
      </c>
      <c r="O2623" s="6" t="s">
        <v>612</v>
      </c>
      <c r="P2623" t="str">
        <f t="shared" si="310"/>
        <v>[1]</v>
      </c>
      <c r="Q2623">
        <f t="shared" si="312"/>
        <v>0</v>
      </c>
      <c r="R2623" t="str">
        <f t="shared" si="313"/>
        <v/>
      </c>
      <c r="S2623">
        <f>SUMIF(O2623:$O$2855,R2623,Q2623:$Q$2855)</f>
        <v>0</v>
      </c>
    </row>
    <row r="2624" spans="11:19" x14ac:dyDescent="0.25">
      <c r="K2624" s="4" t="s">
        <v>421</v>
      </c>
      <c r="L2624" t="s">
        <v>422</v>
      </c>
      <c r="M2624" t="s">
        <v>443</v>
      </c>
      <c r="N2624" t="s">
        <v>443</v>
      </c>
      <c r="O2624" s="6" t="s">
        <v>612</v>
      </c>
      <c r="P2624" t="str">
        <f t="shared" si="310"/>
        <v>[1]</v>
      </c>
      <c r="Q2624">
        <f t="shared" si="312"/>
        <v>0</v>
      </c>
      <c r="R2624" t="str">
        <f t="shared" si="313"/>
        <v/>
      </c>
      <c r="S2624">
        <f>SUMIF(O2624:$O$2855,R2624,Q2624:$Q$2855)</f>
        <v>0</v>
      </c>
    </row>
    <row r="2625" spans="11:19" x14ac:dyDescent="0.25">
      <c r="K2625" s="4" t="s">
        <v>421</v>
      </c>
      <c r="L2625" t="s">
        <v>422</v>
      </c>
      <c r="M2625" t="s">
        <v>443</v>
      </c>
      <c r="N2625" t="s">
        <v>443</v>
      </c>
      <c r="O2625" s="6" t="s">
        <v>612</v>
      </c>
      <c r="P2625" t="str">
        <f t="shared" si="310"/>
        <v>[1]</v>
      </c>
      <c r="Q2625">
        <f t="shared" ref="Q2625:Q2688" si="314">HEX2DEC(MID(N2625,3,LEN(N2625)-2))</f>
        <v>0</v>
      </c>
      <c r="R2625" t="str">
        <f t="shared" si="313"/>
        <v/>
      </c>
      <c r="S2625">
        <f>SUMIF(O2625:$O$2855,R2625,Q2625:$Q$2855)</f>
        <v>0</v>
      </c>
    </row>
    <row r="2626" spans="11:19" x14ac:dyDescent="0.25">
      <c r="K2626" s="4" t="s">
        <v>421</v>
      </c>
      <c r="L2626" t="s">
        <v>422</v>
      </c>
      <c r="M2626" t="s">
        <v>443</v>
      </c>
      <c r="N2626" t="s">
        <v>443</v>
      </c>
      <c r="O2626" s="6" t="s">
        <v>612</v>
      </c>
      <c r="P2626" t="str">
        <f t="shared" si="310"/>
        <v>[1]</v>
      </c>
      <c r="Q2626">
        <f t="shared" si="314"/>
        <v>0</v>
      </c>
      <c r="R2626" t="str">
        <f t="shared" si="313"/>
        <v/>
      </c>
      <c r="S2626">
        <f>SUMIF(O2626:$O$2855,R2626,Q2626:$Q$2855)</f>
        <v>0</v>
      </c>
    </row>
    <row r="2627" spans="11:19" x14ac:dyDescent="0.25">
      <c r="K2627" s="4" t="s">
        <v>421</v>
      </c>
      <c r="L2627" t="s">
        <v>422</v>
      </c>
      <c r="M2627" t="s">
        <v>443</v>
      </c>
      <c r="N2627" t="s">
        <v>443</v>
      </c>
      <c r="O2627" s="6" t="s">
        <v>612</v>
      </c>
      <c r="P2627" t="str">
        <f t="shared" si="310"/>
        <v>[1]</v>
      </c>
      <c r="Q2627">
        <f t="shared" si="314"/>
        <v>0</v>
      </c>
      <c r="R2627" t="str">
        <f t="shared" si="313"/>
        <v/>
      </c>
      <c r="S2627">
        <f>SUMIF(O2627:$O$2855,R2627,Q2627:$Q$2855)</f>
        <v>0</v>
      </c>
    </row>
    <row r="2628" spans="11:19" x14ac:dyDescent="0.25">
      <c r="K2628" s="4" t="s">
        <v>421</v>
      </c>
      <c r="L2628" t="s">
        <v>422</v>
      </c>
      <c r="M2628" t="s">
        <v>443</v>
      </c>
      <c r="N2628" t="s">
        <v>443</v>
      </c>
      <c r="O2628" s="6" t="s">
        <v>612</v>
      </c>
      <c r="P2628" t="str">
        <f t="shared" si="310"/>
        <v>[1]</v>
      </c>
      <c r="Q2628">
        <f t="shared" si="314"/>
        <v>0</v>
      </c>
      <c r="R2628" t="str">
        <f t="shared" si="313"/>
        <v/>
      </c>
      <c r="S2628">
        <f>SUMIF(O2628:$O$2855,R2628,Q2628:$Q$2855)</f>
        <v>0</v>
      </c>
    </row>
    <row r="2629" spans="11:19" x14ac:dyDescent="0.25">
      <c r="K2629" s="4" t="s">
        <v>421</v>
      </c>
      <c r="L2629" t="s">
        <v>422</v>
      </c>
      <c r="M2629" t="s">
        <v>443</v>
      </c>
      <c r="N2629" t="s">
        <v>443</v>
      </c>
      <c r="O2629" s="6" t="s">
        <v>612</v>
      </c>
      <c r="P2629" t="str">
        <f t="shared" si="310"/>
        <v>[1]</v>
      </c>
      <c r="Q2629">
        <f t="shared" si="314"/>
        <v>0</v>
      </c>
      <c r="R2629" t="str">
        <f t="shared" si="313"/>
        <v/>
      </c>
      <c r="S2629">
        <f>SUMIF(O2629:$O$2855,R2629,Q2629:$Q$2855)</f>
        <v>0</v>
      </c>
    </row>
    <row r="2630" spans="11:19" x14ac:dyDescent="0.25">
      <c r="K2630" s="4" t="s">
        <v>421</v>
      </c>
      <c r="L2630" t="s">
        <v>422</v>
      </c>
      <c r="M2630" t="s">
        <v>443</v>
      </c>
      <c r="N2630" t="s">
        <v>443</v>
      </c>
      <c r="O2630" s="6" t="s">
        <v>612</v>
      </c>
      <c r="P2630" t="str">
        <f t="shared" si="310"/>
        <v>[1]</v>
      </c>
      <c r="Q2630">
        <f t="shared" si="314"/>
        <v>0</v>
      </c>
      <c r="R2630" t="str">
        <f t="shared" si="313"/>
        <v/>
      </c>
      <c r="S2630">
        <f>SUMIF(O2630:$O$2855,R2630,Q2630:$Q$2855)</f>
        <v>0</v>
      </c>
    </row>
    <row r="2631" spans="11:19" x14ac:dyDescent="0.25">
      <c r="K2631" s="4" t="s">
        <v>421</v>
      </c>
      <c r="L2631" t="s">
        <v>422</v>
      </c>
      <c r="M2631" t="s">
        <v>443</v>
      </c>
      <c r="N2631" t="s">
        <v>443</v>
      </c>
      <c r="O2631" s="6" t="s">
        <v>612</v>
      </c>
      <c r="P2631" t="str">
        <f t="shared" si="310"/>
        <v>[1]</v>
      </c>
      <c r="Q2631">
        <f t="shared" si="314"/>
        <v>0</v>
      </c>
      <c r="R2631" t="str">
        <f t="shared" si="313"/>
        <v/>
      </c>
      <c r="S2631">
        <f>SUMIF(O2631:$O$2855,R2631,Q2631:$Q$2855)</f>
        <v>0</v>
      </c>
    </row>
    <row r="2632" spans="11:19" x14ac:dyDescent="0.25">
      <c r="K2632" s="4" t="s">
        <v>421</v>
      </c>
      <c r="L2632" t="s">
        <v>422</v>
      </c>
      <c r="M2632" t="s">
        <v>443</v>
      </c>
      <c r="N2632" t="s">
        <v>443</v>
      </c>
      <c r="O2632" s="6" t="s">
        <v>612</v>
      </c>
      <c r="P2632" t="str">
        <f t="shared" si="310"/>
        <v>[1]</v>
      </c>
      <c r="Q2632">
        <f t="shared" si="314"/>
        <v>0</v>
      </c>
      <c r="R2632" t="str">
        <f t="shared" si="313"/>
        <v/>
      </c>
      <c r="S2632">
        <f>SUMIF(O2632:$O$2855,R2632,Q2632:$Q$2855)</f>
        <v>0</v>
      </c>
    </row>
    <row r="2633" spans="11:19" x14ac:dyDescent="0.25">
      <c r="K2633" s="4" t="s">
        <v>421</v>
      </c>
      <c r="L2633" t="s">
        <v>422</v>
      </c>
      <c r="M2633" t="s">
        <v>443</v>
      </c>
      <c r="N2633" t="s">
        <v>443</v>
      </c>
      <c r="O2633" s="6" t="s">
        <v>612</v>
      </c>
      <c r="P2633" t="str">
        <f t="shared" si="310"/>
        <v>[1]</v>
      </c>
      <c r="Q2633">
        <f t="shared" si="314"/>
        <v>0</v>
      </c>
      <c r="R2633" t="str">
        <f t="shared" si="313"/>
        <v/>
      </c>
      <c r="S2633">
        <f>SUMIF(O2633:$O$2855,R2633,Q2633:$Q$2855)</f>
        <v>0</v>
      </c>
    </row>
    <row r="2634" spans="11:19" x14ac:dyDescent="0.25">
      <c r="K2634" s="4" t="s">
        <v>421</v>
      </c>
      <c r="L2634" t="s">
        <v>422</v>
      </c>
      <c r="M2634" t="s">
        <v>443</v>
      </c>
      <c r="N2634" t="s">
        <v>443</v>
      </c>
      <c r="O2634" s="6" t="s">
        <v>612</v>
      </c>
      <c r="P2634" t="str">
        <f t="shared" si="310"/>
        <v>[1]</v>
      </c>
      <c r="Q2634">
        <f t="shared" si="314"/>
        <v>0</v>
      </c>
      <c r="R2634" t="str">
        <f t="shared" si="313"/>
        <v/>
      </c>
      <c r="S2634">
        <f>SUMIF(O2634:$O$2855,R2634,Q2634:$Q$2855)</f>
        <v>0</v>
      </c>
    </row>
    <row r="2635" spans="11:19" x14ac:dyDescent="0.25">
      <c r="K2635" s="4" t="s">
        <v>421</v>
      </c>
      <c r="L2635" t="s">
        <v>422</v>
      </c>
      <c r="M2635" t="s">
        <v>443</v>
      </c>
      <c r="N2635" t="s">
        <v>443</v>
      </c>
      <c r="O2635" s="6" t="s">
        <v>612</v>
      </c>
      <c r="P2635" t="str">
        <f t="shared" si="310"/>
        <v>[1]</v>
      </c>
      <c r="Q2635">
        <f t="shared" si="314"/>
        <v>0</v>
      </c>
      <c r="R2635" t="str">
        <f t="shared" si="313"/>
        <v/>
      </c>
      <c r="S2635">
        <f>SUMIF(O2635:$O$2855,R2635,Q2635:$Q$2855)</f>
        <v>0</v>
      </c>
    </row>
    <row r="2636" spans="11:19" x14ac:dyDescent="0.25">
      <c r="K2636" s="4" t="s">
        <v>421</v>
      </c>
      <c r="L2636" t="s">
        <v>422</v>
      </c>
      <c r="M2636" t="s">
        <v>443</v>
      </c>
      <c r="N2636" t="s">
        <v>443</v>
      </c>
      <c r="O2636" s="6" t="s">
        <v>612</v>
      </c>
      <c r="P2636" t="str">
        <f t="shared" si="310"/>
        <v>[1]</v>
      </c>
      <c r="Q2636">
        <f t="shared" si="314"/>
        <v>0</v>
      </c>
      <c r="R2636" t="str">
        <f t="shared" si="313"/>
        <v/>
      </c>
      <c r="S2636">
        <f>SUMIF(O2636:$O$2855,R2636,Q2636:$Q$2855)</f>
        <v>0</v>
      </c>
    </row>
    <row r="2637" spans="11:19" x14ac:dyDescent="0.25">
      <c r="K2637" s="4" t="s">
        <v>421</v>
      </c>
      <c r="L2637" t="s">
        <v>422</v>
      </c>
      <c r="M2637" t="s">
        <v>443</v>
      </c>
      <c r="N2637" t="s">
        <v>443</v>
      </c>
      <c r="O2637" s="6" t="s">
        <v>612</v>
      </c>
      <c r="P2637" t="str">
        <f t="shared" si="310"/>
        <v>[1]</v>
      </c>
      <c r="Q2637">
        <f t="shared" si="314"/>
        <v>0</v>
      </c>
      <c r="R2637" t="str">
        <f t="shared" si="313"/>
        <v/>
      </c>
      <c r="S2637">
        <f>SUMIF(O2637:$O$2855,R2637,Q2637:$Q$2855)</f>
        <v>0</v>
      </c>
    </row>
    <row r="2638" spans="11:19" x14ac:dyDescent="0.25">
      <c r="K2638" s="4" t="s">
        <v>421</v>
      </c>
      <c r="L2638" t="s">
        <v>422</v>
      </c>
      <c r="M2638" t="s">
        <v>443</v>
      </c>
      <c r="N2638" t="s">
        <v>443</v>
      </c>
      <c r="O2638" s="6" t="s">
        <v>612</v>
      </c>
      <c r="P2638" t="str">
        <f t="shared" si="310"/>
        <v>[1]</v>
      </c>
      <c r="Q2638">
        <f t="shared" si="314"/>
        <v>0</v>
      </c>
      <c r="R2638" t="str">
        <f t="shared" si="313"/>
        <v/>
      </c>
      <c r="S2638">
        <f>SUMIF(O2638:$O$2855,R2638,Q2638:$Q$2855)</f>
        <v>0</v>
      </c>
    </row>
    <row r="2639" spans="11:19" x14ac:dyDescent="0.25">
      <c r="K2639" s="4" t="s">
        <v>421</v>
      </c>
      <c r="L2639" t="s">
        <v>422</v>
      </c>
      <c r="M2639" t="s">
        <v>443</v>
      </c>
      <c r="N2639" t="s">
        <v>443</v>
      </c>
      <c r="O2639" s="6" t="s">
        <v>612</v>
      </c>
      <c r="P2639" t="str">
        <f t="shared" si="310"/>
        <v>[1]</v>
      </c>
      <c r="Q2639">
        <f t="shared" si="314"/>
        <v>0</v>
      </c>
      <c r="R2639" t="str">
        <f t="shared" si="313"/>
        <v/>
      </c>
      <c r="S2639">
        <f>SUMIF(O2639:$O$2855,R2639,Q2639:$Q$2855)</f>
        <v>0</v>
      </c>
    </row>
    <row r="2640" spans="11:19" x14ac:dyDescent="0.25">
      <c r="K2640" s="4" t="s">
        <v>421</v>
      </c>
      <c r="L2640" t="s">
        <v>422</v>
      </c>
      <c r="M2640" t="s">
        <v>443</v>
      </c>
      <c r="N2640" t="s">
        <v>443</v>
      </c>
      <c r="O2640" s="6" t="s">
        <v>612</v>
      </c>
      <c r="P2640" t="str">
        <f t="shared" si="310"/>
        <v>[1]</v>
      </c>
      <c r="Q2640">
        <f t="shared" si="314"/>
        <v>0</v>
      </c>
      <c r="R2640" t="str">
        <f t="shared" si="313"/>
        <v/>
      </c>
      <c r="S2640">
        <f>SUMIF(O2640:$O$2855,R2640,Q2640:$Q$2855)</f>
        <v>0</v>
      </c>
    </row>
    <row r="2641" spans="11:19" x14ac:dyDescent="0.25">
      <c r="K2641" s="4" t="s">
        <v>421</v>
      </c>
      <c r="L2641" t="s">
        <v>422</v>
      </c>
      <c r="M2641" t="s">
        <v>443</v>
      </c>
      <c r="N2641" t="s">
        <v>443</v>
      </c>
      <c r="O2641" s="6" t="s">
        <v>612</v>
      </c>
      <c r="P2641" t="str">
        <f t="shared" si="310"/>
        <v>[1]</v>
      </c>
      <c r="Q2641">
        <f t="shared" si="314"/>
        <v>0</v>
      </c>
      <c r="R2641" t="str">
        <f t="shared" si="313"/>
        <v/>
      </c>
      <c r="S2641">
        <f>SUMIF(O2641:$O$2855,R2641,Q2641:$Q$2855)</f>
        <v>0</v>
      </c>
    </row>
    <row r="2642" spans="11:19" x14ac:dyDescent="0.25">
      <c r="K2642" s="4" t="s">
        <v>421</v>
      </c>
      <c r="L2642" t="s">
        <v>422</v>
      </c>
      <c r="M2642" t="s">
        <v>443</v>
      </c>
      <c r="N2642" t="s">
        <v>443</v>
      </c>
      <c r="O2642" s="6" t="s">
        <v>612</v>
      </c>
      <c r="P2642" t="str">
        <f t="shared" si="310"/>
        <v>[1]</v>
      </c>
      <c r="Q2642">
        <f t="shared" si="314"/>
        <v>0</v>
      </c>
      <c r="R2642" t="str">
        <f t="shared" si="313"/>
        <v/>
      </c>
      <c r="S2642">
        <f>SUMIF(O2642:$O$2855,R2642,Q2642:$Q$2855)</f>
        <v>0</v>
      </c>
    </row>
    <row r="2643" spans="11:19" x14ac:dyDescent="0.25">
      <c r="K2643" s="4" t="s">
        <v>421</v>
      </c>
      <c r="L2643" t="s">
        <v>422</v>
      </c>
      <c r="M2643" t="s">
        <v>443</v>
      </c>
      <c r="N2643" t="s">
        <v>443</v>
      </c>
      <c r="O2643" s="6" t="s">
        <v>612</v>
      </c>
      <c r="P2643" t="str">
        <f t="shared" si="310"/>
        <v>[1]</v>
      </c>
      <c r="Q2643">
        <f t="shared" si="314"/>
        <v>0</v>
      </c>
      <c r="R2643" t="str">
        <f t="shared" si="313"/>
        <v/>
      </c>
      <c r="S2643">
        <f>SUMIF(O2643:$O$2855,R2643,Q2643:$Q$2855)</f>
        <v>0</v>
      </c>
    </row>
    <row r="2644" spans="11:19" x14ac:dyDescent="0.25">
      <c r="K2644" s="4" t="s">
        <v>421</v>
      </c>
      <c r="L2644" t="s">
        <v>422</v>
      </c>
      <c r="M2644" t="s">
        <v>443</v>
      </c>
      <c r="N2644" t="s">
        <v>443</v>
      </c>
      <c r="O2644" s="6" t="s">
        <v>612</v>
      </c>
      <c r="P2644" t="str">
        <f t="shared" si="310"/>
        <v>[1]</v>
      </c>
      <c r="Q2644">
        <f t="shared" si="314"/>
        <v>0</v>
      </c>
      <c r="R2644" t="str">
        <f t="shared" si="313"/>
        <v/>
      </c>
      <c r="S2644">
        <f>SUMIF(O2644:$O$2855,R2644,Q2644:$Q$2855)</f>
        <v>0</v>
      </c>
    </row>
    <row r="2645" spans="11:19" x14ac:dyDescent="0.25">
      <c r="K2645" s="4" t="s">
        <v>421</v>
      </c>
      <c r="L2645" t="s">
        <v>422</v>
      </c>
      <c r="M2645" t="s">
        <v>443</v>
      </c>
      <c r="N2645" t="s">
        <v>443</v>
      </c>
      <c r="O2645" s="6" t="s">
        <v>612</v>
      </c>
      <c r="P2645" t="str">
        <f t="shared" si="310"/>
        <v>[1]</v>
      </c>
      <c r="Q2645">
        <f t="shared" si="314"/>
        <v>0</v>
      </c>
      <c r="R2645" t="str">
        <f t="shared" si="313"/>
        <v/>
      </c>
      <c r="S2645">
        <f>SUMIF(O2645:$O$2855,R2645,Q2645:$Q$2855)</f>
        <v>0</v>
      </c>
    </row>
    <row r="2646" spans="11:19" x14ac:dyDescent="0.25">
      <c r="K2646" s="4" t="s">
        <v>421</v>
      </c>
      <c r="L2646" t="s">
        <v>422</v>
      </c>
      <c r="M2646" t="s">
        <v>443</v>
      </c>
      <c r="N2646" t="s">
        <v>443</v>
      </c>
      <c r="O2646" s="6" t="s">
        <v>612</v>
      </c>
      <c r="P2646" t="str">
        <f t="shared" si="310"/>
        <v>[1]</v>
      </c>
      <c r="Q2646">
        <f t="shared" si="314"/>
        <v>0</v>
      </c>
      <c r="R2646" t="str">
        <f t="shared" si="313"/>
        <v/>
      </c>
      <c r="S2646">
        <f>SUMIF(O2646:$O$2855,R2646,Q2646:$Q$2855)</f>
        <v>0</v>
      </c>
    </row>
    <row r="2647" spans="11:19" x14ac:dyDescent="0.25">
      <c r="K2647" s="4" t="s">
        <v>421</v>
      </c>
      <c r="L2647" t="s">
        <v>422</v>
      </c>
      <c r="M2647" t="s">
        <v>443</v>
      </c>
      <c r="N2647" t="s">
        <v>443</v>
      </c>
      <c r="O2647" s="6" t="s">
        <v>612</v>
      </c>
      <c r="P2647" t="str">
        <f t="shared" si="310"/>
        <v>[1]</v>
      </c>
      <c r="Q2647">
        <f t="shared" si="314"/>
        <v>0</v>
      </c>
      <c r="R2647" t="str">
        <f t="shared" si="313"/>
        <v/>
      </c>
      <c r="S2647">
        <f>SUMIF(O2647:$O$2855,R2647,Q2647:$Q$2855)</f>
        <v>0</v>
      </c>
    </row>
    <row r="2648" spans="11:19" x14ac:dyDescent="0.25">
      <c r="K2648" s="4" t="s">
        <v>421</v>
      </c>
      <c r="L2648" t="s">
        <v>422</v>
      </c>
      <c r="M2648" t="s">
        <v>443</v>
      </c>
      <c r="N2648" t="s">
        <v>443</v>
      </c>
      <c r="O2648" s="6" t="s">
        <v>612</v>
      </c>
      <c r="P2648" t="str">
        <f t="shared" si="310"/>
        <v>[1]</v>
      </c>
      <c r="Q2648">
        <f t="shared" si="314"/>
        <v>0</v>
      </c>
      <c r="R2648" t="str">
        <f t="shared" si="313"/>
        <v/>
      </c>
      <c r="S2648">
        <f>SUMIF(O2648:$O$2855,R2648,Q2648:$Q$2855)</f>
        <v>0</v>
      </c>
    </row>
    <row r="2649" spans="11:19" x14ac:dyDescent="0.25">
      <c r="K2649" s="4" t="s">
        <v>421</v>
      </c>
      <c r="L2649" t="s">
        <v>422</v>
      </c>
      <c r="M2649" t="s">
        <v>443</v>
      </c>
      <c r="N2649" t="s">
        <v>443</v>
      </c>
      <c r="O2649" s="6" t="s">
        <v>612</v>
      </c>
      <c r="P2649" t="str">
        <f t="shared" si="310"/>
        <v>[1]</v>
      </c>
      <c r="Q2649">
        <f t="shared" si="314"/>
        <v>0</v>
      </c>
      <c r="R2649" t="str">
        <f t="shared" si="313"/>
        <v/>
      </c>
      <c r="S2649">
        <f>SUMIF(O2649:$O$2855,R2649,Q2649:$Q$2855)</f>
        <v>0</v>
      </c>
    </row>
    <row r="2650" spans="11:19" x14ac:dyDescent="0.25">
      <c r="K2650" s="4" t="s">
        <v>421</v>
      </c>
      <c r="L2650" t="s">
        <v>422</v>
      </c>
      <c r="M2650" t="s">
        <v>443</v>
      </c>
      <c r="N2650" t="s">
        <v>443</v>
      </c>
      <c r="O2650" s="6" t="s">
        <v>612</v>
      </c>
      <c r="P2650" t="str">
        <f t="shared" si="310"/>
        <v>[1]</v>
      </c>
      <c r="Q2650">
        <f t="shared" si="314"/>
        <v>0</v>
      </c>
      <c r="R2650" t="str">
        <f t="shared" si="313"/>
        <v/>
      </c>
      <c r="S2650">
        <f>SUMIF(O2650:$O$2855,R2650,Q2650:$Q$2855)</f>
        <v>0</v>
      </c>
    </row>
    <row r="2651" spans="11:19" x14ac:dyDescent="0.25">
      <c r="K2651" s="4" t="s">
        <v>421</v>
      </c>
      <c r="L2651" t="s">
        <v>422</v>
      </c>
      <c r="M2651" t="s">
        <v>443</v>
      </c>
      <c r="N2651" t="s">
        <v>443</v>
      </c>
      <c r="O2651" s="6" t="s">
        <v>612</v>
      </c>
      <c r="P2651" t="str">
        <f t="shared" si="310"/>
        <v>[1]</v>
      </c>
      <c r="Q2651">
        <f t="shared" si="314"/>
        <v>0</v>
      </c>
      <c r="R2651" t="str">
        <f t="shared" si="313"/>
        <v/>
      </c>
      <c r="S2651">
        <f>SUMIF(O2651:$O$2855,R2651,Q2651:$Q$2855)</f>
        <v>0</v>
      </c>
    </row>
    <row r="2652" spans="11:19" x14ac:dyDescent="0.25">
      <c r="K2652" s="4" t="s">
        <v>421</v>
      </c>
      <c r="L2652" t="s">
        <v>422</v>
      </c>
      <c r="M2652" t="s">
        <v>443</v>
      </c>
      <c r="N2652" t="s">
        <v>443</v>
      </c>
      <c r="O2652" s="6" t="s">
        <v>612</v>
      </c>
      <c r="P2652" t="str">
        <f t="shared" si="310"/>
        <v>[1]</v>
      </c>
      <c r="Q2652">
        <f t="shared" si="314"/>
        <v>0</v>
      </c>
      <c r="R2652" t="str">
        <f t="shared" si="313"/>
        <v/>
      </c>
      <c r="S2652">
        <f>SUMIF(O2652:$O$2855,R2652,Q2652:$Q$2855)</f>
        <v>0</v>
      </c>
    </row>
    <row r="2653" spans="11:19" x14ac:dyDescent="0.25">
      <c r="K2653" s="4" t="s">
        <v>421</v>
      </c>
      <c r="L2653" t="s">
        <v>422</v>
      </c>
      <c r="M2653" t="s">
        <v>443</v>
      </c>
      <c r="N2653" t="s">
        <v>443</v>
      </c>
      <c r="O2653" s="6" t="s">
        <v>612</v>
      </c>
      <c r="P2653" t="str">
        <f t="shared" si="310"/>
        <v>[1]</v>
      </c>
      <c r="Q2653">
        <f t="shared" si="314"/>
        <v>0</v>
      </c>
      <c r="R2653" t="str">
        <f t="shared" si="313"/>
        <v/>
      </c>
      <c r="S2653">
        <f>SUMIF(O2653:$O$2855,R2653,Q2653:$Q$2855)</f>
        <v>0</v>
      </c>
    </row>
    <row r="2654" spans="11:19" x14ac:dyDescent="0.25">
      <c r="K2654" s="4" t="s">
        <v>421</v>
      </c>
      <c r="L2654" t="s">
        <v>422</v>
      </c>
      <c r="M2654" t="s">
        <v>443</v>
      </c>
      <c r="N2654" t="s">
        <v>443</v>
      </c>
      <c r="O2654" s="6" t="s">
        <v>612</v>
      </c>
      <c r="P2654" t="str">
        <f t="shared" si="310"/>
        <v>[1]</v>
      </c>
      <c r="Q2654">
        <f t="shared" si="314"/>
        <v>0</v>
      </c>
      <c r="R2654" t="str">
        <f t="shared" si="313"/>
        <v/>
      </c>
      <c r="S2654">
        <f>SUMIF(O2654:$O$2855,R2654,Q2654:$Q$2855)</f>
        <v>0</v>
      </c>
    </row>
    <row r="2655" spans="11:19" x14ac:dyDescent="0.25">
      <c r="K2655" s="4" t="s">
        <v>421</v>
      </c>
      <c r="L2655" t="s">
        <v>422</v>
      </c>
      <c r="M2655" t="s">
        <v>443</v>
      </c>
      <c r="N2655" t="s">
        <v>443</v>
      </c>
      <c r="O2655" s="6" t="s">
        <v>612</v>
      </c>
      <c r="P2655" t="str">
        <f t="shared" si="310"/>
        <v>[1]</v>
      </c>
      <c r="Q2655">
        <f t="shared" si="314"/>
        <v>0</v>
      </c>
      <c r="R2655" t="str">
        <f t="shared" si="313"/>
        <v/>
      </c>
      <c r="S2655">
        <f>SUMIF(O2655:$O$2855,R2655,Q2655:$Q$2855)</f>
        <v>0</v>
      </c>
    </row>
    <row r="2656" spans="11:19" x14ac:dyDescent="0.25">
      <c r="K2656" s="4" t="s">
        <v>421</v>
      </c>
      <c r="L2656" t="s">
        <v>422</v>
      </c>
      <c r="M2656" t="s">
        <v>443</v>
      </c>
      <c r="N2656" t="s">
        <v>443</v>
      </c>
      <c r="O2656" s="6" t="s">
        <v>612</v>
      </c>
      <c r="P2656" t="str">
        <f t="shared" si="310"/>
        <v>[1]</v>
      </c>
      <c r="Q2656">
        <f t="shared" si="314"/>
        <v>0</v>
      </c>
      <c r="R2656" t="str">
        <f t="shared" ref="R2656:R2719" si="315">IF(O2656&lt;&gt;O2655,O2656,"")</f>
        <v/>
      </c>
      <c r="S2656">
        <f>SUMIF(O2656:$O$2855,R2656,Q2656:$Q$2855)</f>
        <v>0</v>
      </c>
    </row>
    <row r="2657" spans="11:19" x14ac:dyDescent="0.25">
      <c r="K2657" s="4" t="s">
        <v>421</v>
      </c>
      <c r="L2657" t="s">
        <v>422</v>
      </c>
      <c r="M2657" t="s">
        <v>443</v>
      </c>
      <c r="N2657" t="s">
        <v>443</v>
      </c>
      <c r="O2657" s="6" t="s">
        <v>612</v>
      </c>
      <c r="P2657" t="str">
        <f t="shared" si="310"/>
        <v>[1]</v>
      </c>
      <c r="Q2657">
        <f t="shared" si="314"/>
        <v>0</v>
      </c>
      <c r="R2657" t="str">
        <f t="shared" si="315"/>
        <v/>
      </c>
      <c r="S2657">
        <f>SUMIF(O2657:$O$2855,R2657,Q2657:$Q$2855)</f>
        <v>0</v>
      </c>
    </row>
    <row r="2658" spans="11:19" x14ac:dyDescent="0.25">
      <c r="K2658" s="4" t="s">
        <v>421</v>
      </c>
      <c r="L2658" t="s">
        <v>422</v>
      </c>
      <c r="M2658" t="s">
        <v>443</v>
      </c>
      <c r="N2658" t="s">
        <v>443</v>
      </c>
      <c r="O2658" s="6" t="s">
        <v>612</v>
      </c>
      <c r="P2658" t="str">
        <f t="shared" si="310"/>
        <v>[1]</v>
      </c>
      <c r="Q2658">
        <f t="shared" si="314"/>
        <v>0</v>
      </c>
      <c r="R2658" t="str">
        <f t="shared" si="315"/>
        <v/>
      </c>
      <c r="S2658">
        <f>SUMIF(O2658:$O$2855,R2658,Q2658:$Q$2855)</f>
        <v>0</v>
      </c>
    </row>
    <row r="2659" spans="11:19" x14ac:dyDescent="0.25">
      <c r="K2659" s="4" t="s">
        <v>421</v>
      </c>
      <c r="L2659" t="s">
        <v>422</v>
      </c>
      <c r="M2659" t="s">
        <v>443</v>
      </c>
      <c r="N2659" t="s">
        <v>443</v>
      </c>
      <c r="O2659" s="6" t="s">
        <v>612</v>
      </c>
      <c r="P2659" t="str">
        <f t="shared" si="310"/>
        <v>[1]</v>
      </c>
      <c r="Q2659">
        <f t="shared" si="314"/>
        <v>0</v>
      </c>
      <c r="R2659" t="str">
        <f t="shared" si="315"/>
        <v/>
      </c>
      <c r="S2659">
        <f>SUMIF(O2659:$O$2855,R2659,Q2659:$Q$2855)</f>
        <v>0</v>
      </c>
    </row>
    <row r="2660" spans="11:19" x14ac:dyDescent="0.25">
      <c r="K2660" s="4" t="s">
        <v>421</v>
      </c>
      <c r="L2660" t="s">
        <v>422</v>
      </c>
      <c r="M2660" t="s">
        <v>443</v>
      </c>
      <c r="N2660" t="s">
        <v>443</v>
      </c>
      <c r="O2660" s="6" t="s">
        <v>612</v>
      </c>
      <c r="P2660" t="str">
        <f t="shared" si="310"/>
        <v>[1]</v>
      </c>
      <c r="Q2660">
        <f t="shared" si="314"/>
        <v>0</v>
      </c>
      <c r="R2660" t="str">
        <f t="shared" si="315"/>
        <v/>
      </c>
      <c r="S2660">
        <f>SUMIF(O2660:$O$2855,R2660,Q2660:$Q$2855)</f>
        <v>0</v>
      </c>
    </row>
    <row r="2661" spans="11:19" x14ac:dyDescent="0.25">
      <c r="K2661" s="4" t="s">
        <v>421</v>
      </c>
      <c r="L2661" t="s">
        <v>422</v>
      </c>
      <c r="M2661" t="s">
        <v>443</v>
      </c>
      <c r="N2661" t="s">
        <v>443</v>
      </c>
      <c r="O2661" s="6" t="s">
        <v>612</v>
      </c>
      <c r="P2661" t="str">
        <f t="shared" si="310"/>
        <v>[1]</v>
      </c>
      <c r="Q2661">
        <f t="shared" si="314"/>
        <v>0</v>
      </c>
      <c r="R2661" t="str">
        <f t="shared" si="315"/>
        <v/>
      </c>
      <c r="S2661">
        <f>SUMIF(O2661:$O$2855,R2661,Q2661:$Q$2855)</f>
        <v>0</v>
      </c>
    </row>
    <row r="2662" spans="11:19" x14ac:dyDescent="0.25">
      <c r="K2662" s="4" t="s">
        <v>421</v>
      </c>
      <c r="L2662" t="s">
        <v>422</v>
      </c>
      <c r="M2662" t="s">
        <v>443</v>
      </c>
      <c r="N2662" t="s">
        <v>443</v>
      </c>
      <c r="O2662" s="6" t="s">
        <v>612</v>
      </c>
      <c r="P2662" t="str">
        <f t="shared" si="310"/>
        <v>[1]</v>
      </c>
      <c r="Q2662">
        <f t="shared" si="314"/>
        <v>0</v>
      </c>
      <c r="R2662" t="str">
        <f t="shared" si="315"/>
        <v/>
      </c>
      <c r="S2662">
        <f>SUMIF(O2662:$O$2855,R2662,Q2662:$Q$2855)</f>
        <v>0</v>
      </c>
    </row>
    <row r="2663" spans="11:19" x14ac:dyDescent="0.25">
      <c r="K2663" s="4" t="s">
        <v>421</v>
      </c>
      <c r="L2663" t="s">
        <v>422</v>
      </c>
      <c r="M2663" t="s">
        <v>443</v>
      </c>
      <c r="N2663" t="s">
        <v>443</v>
      </c>
      <c r="O2663" s="6" t="s">
        <v>612</v>
      </c>
      <c r="P2663" t="str">
        <f t="shared" si="310"/>
        <v>[1]</v>
      </c>
      <c r="Q2663">
        <f t="shared" si="314"/>
        <v>0</v>
      </c>
      <c r="R2663" t="str">
        <f t="shared" si="315"/>
        <v/>
      </c>
      <c r="S2663">
        <f>SUMIF(O2663:$O$2855,R2663,Q2663:$Q$2855)</f>
        <v>0</v>
      </c>
    </row>
    <row r="2664" spans="11:19" x14ac:dyDescent="0.25">
      <c r="K2664" s="4" t="s">
        <v>421</v>
      </c>
      <c r="L2664" t="s">
        <v>422</v>
      </c>
      <c r="M2664" t="s">
        <v>443</v>
      </c>
      <c r="N2664" t="s">
        <v>443</v>
      </c>
      <c r="O2664" s="6" t="s">
        <v>612</v>
      </c>
      <c r="P2664" t="str">
        <f t="shared" si="310"/>
        <v>[1]</v>
      </c>
      <c r="Q2664">
        <f t="shared" si="314"/>
        <v>0</v>
      </c>
      <c r="R2664" t="str">
        <f t="shared" si="315"/>
        <v/>
      </c>
      <c r="S2664">
        <f>SUMIF(O2664:$O$2855,R2664,Q2664:$Q$2855)</f>
        <v>0</v>
      </c>
    </row>
    <row r="2665" spans="11:19" x14ac:dyDescent="0.25">
      <c r="K2665" s="4" t="s">
        <v>421</v>
      </c>
      <c r="L2665" t="s">
        <v>422</v>
      </c>
      <c r="M2665" t="s">
        <v>443</v>
      </c>
      <c r="N2665" t="s">
        <v>443</v>
      </c>
      <c r="O2665" s="6" t="s">
        <v>612</v>
      </c>
      <c r="P2665" t="str">
        <f t="shared" si="310"/>
        <v>[1]</v>
      </c>
      <c r="Q2665">
        <f t="shared" si="314"/>
        <v>0</v>
      </c>
      <c r="R2665" t="str">
        <f t="shared" si="315"/>
        <v/>
      </c>
      <c r="S2665">
        <f>SUMIF(O2665:$O$2855,R2665,Q2665:$Q$2855)</f>
        <v>0</v>
      </c>
    </row>
    <row r="2666" spans="11:19" x14ac:dyDescent="0.25">
      <c r="K2666" s="4" t="s">
        <v>421</v>
      </c>
      <c r="L2666" t="s">
        <v>422</v>
      </c>
      <c r="M2666" t="s">
        <v>443</v>
      </c>
      <c r="N2666" t="s">
        <v>443</v>
      </c>
      <c r="O2666" s="6" t="s">
        <v>612</v>
      </c>
      <c r="P2666" t="str">
        <f t="shared" si="310"/>
        <v>[1]</v>
      </c>
      <c r="Q2666">
        <f t="shared" si="314"/>
        <v>0</v>
      </c>
      <c r="R2666" t="str">
        <f t="shared" si="315"/>
        <v/>
      </c>
      <c r="S2666">
        <f>SUMIF(O2666:$O$2855,R2666,Q2666:$Q$2855)</f>
        <v>0</v>
      </c>
    </row>
    <row r="2667" spans="11:19" x14ac:dyDescent="0.25">
      <c r="K2667" s="4" t="s">
        <v>421</v>
      </c>
      <c r="L2667" t="s">
        <v>422</v>
      </c>
      <c r="M2667" t="s">
        <v>443</v>
      </c>
      <c r="N2667" t="s">
        <v>443</v>
      </c>
      <c r="O2667" s="6" t="s">
        <v>612</v>
      </c>
      <c r="P2667" t="str">
        <f t="shared" si="310"/>
        <v>[1]</v>
      </c>
      <c r="Q2667">
        <f t="shared" si="314"/>
        <v>0</v>
      </c>
      <c r="R2667" t="str">
        <f t="shared" si="315"/>
        <v/>
      </c>
      <c r="S2667">
        <f>SUMIF(O2667:$O$2855,R2667,Q2667:$Q$2855)</f>
        <v>0</v>
      </c>
    </row>
    <row r="2668" spans="11:19" x14ac:dyDescent="0.25">
      <c r="K2668" s="4" t="s">
        <v>421</v>
      </c>
      <c r="L2668" t="s">
        <v>422</v>
      </c>
      <c r="M2668" t="s">
        <v>443</v>
      </c>
      <c r="N2668" t="s">
        <v>443</v>
      </c>
      <c r="O2668" s="6" t="s">
        <v>612</v>
      </c>
      <c r="P2668" t="str">
        <f t="shared" si="310"/>
        <v>[1]</v>
      </c>
      <c r="Q2668">
        <f t="shared" si="314"/>
        <v>0</v>
      </c>
      <c r="R2668" t="str">
        <f t="shared" si="315"/>
        <v/>
      </c>
      <c r="S2668">
        <f>SUMIF(O2668:$O$2855,R2668,Q2668:$Q$2855)</f>
        <v>0</v>
      </c>
    </row>
    <row r="2669" spans="11:19" x14ac:dyDescent="0.25">
      <c r="K2669" s="4" t="s">
        <v>421</v>
      </c>
      <c r="L2669" t="s">
        <v>422</v>
      </c>
      <c r="M2669" t="s">
        <v>443</v>
      </c>
      <c r="N2669" t="s">
        <v>443</v>
      </c>
      <c r="O2669" s="6" t="s">
        <v>612</v>
      </c>
      <c r="P2669" t="str">
        <f t="shared" si="310"/>
        <v>[1]</v>
      </c>
      <c r="Q2669">
        <f t="shared" si="314"/>
        <v>0</v>
      </c>
      <c r="R2669" t="str">
        <f t="shared" si="315"/>
        <v/>
      </c>
      <c r="S2669">
        <f>SUMIF(O2669:$O$2855,R2669,Q2669:$Q$2855)</f>
        <v>0</v>
      </c>
    </row>
    <row r="2670" spans="11:19" x14ac:dyDescent="0.25">
      <c r="K2670" s="4" t="s">
        <v>421</v>
      </c>
      <c r="L2670" t="s">
        <v>422</v>
      </c>
      <c r="M2670" t="s">
        <v>443</v>
      </c>
      <c r="N2670" t="s">
        <v>443</v>
      </c>
      <c r="O2670" s="6" t="s">
        <v>612</v>
      </c>
      <c r="P2670" t="str">
        <f t="shared" si="310"/>
        <v>[1]</v>
      </c>
      <c r="Q2670">
        <f t="shared" si="314"/>
        <v>0</v>
      </c>
      <c r="R2670" t="str">
        <f t="shared" si="315"/>
        <v/>
      </c>
      <c r="S2670">
        <f>SUMIF(O2670:$O$2855,R2670,Q2670:$Q$2855)</f>
        <v>0</v>
      </c>
    </row>
    <row r="2671" spans="11:19" x14ac:dyDescent="0.25">
      <c r="K2671" s="4" t="s">
        <v>421</v>
      </c>
      <c r="L2671" t="s">
        <v>422</v>
      </c>
      <c r="M2671" t="s">
        <v>443</v>
      </c>
      <c r="N2671" t="s">
        <v>443</v>
      </c>
      <c r="O2671" s="6" t="s">
        <v>612</v>
      </c>
      <c r="P2671" t="str">
        <f t="shared" si="310"/>
        <v>[1]</v>
      </c>
      <c r="Q2671">
        <f t="shared" si="314"/>
        <v>0</v>
      </c>
      <c r="R2671" t="str">
        <f t="shared" si="315"/>
        <v/>
      </c>
      <c r="S2671">
        <f>SUMIF(O2671:$O$2855,R2671,Q2671:$Q$2855)</f>
        <v>0</v>
      </c>
    </row>
    <row r="2672" spans="11:19" x14ac:dyDescent="0.25">
      <c r="K2672" s="4" t="s">
        <v>421</v>
      </c>
      <c r="L2672" t="s">
        <v>422</v>
      </c>
      <c r="M2672" t="s">
        <v>443</v>
      </c>
      <c r="N2672" t="s">
        <v>443</v>
      </c>
      <c r="O2672" s="6" t="s">
        <v>612</v>
      </c>
      <c r="P2672" t="str">
        <f t="shared" si="310"/>
        <v>[1]</v>
      </c>
      <c r="Q2672">
        <f t="shared" si="314"/>
        <v>0</v>
      </c>
      <c r="R2672" t="str">
        <f t="shared" si="315"/>
        <v/>
      </c>
      <c r="S2672">
        <f>SUMIF(O2672:$O$2855,R2672,Q2672:$Q$2855)</f>
        <v>0</v>
      </c>
    </row>
    <row r="2673" spans="11:19" x14ac:dyDescent="0.25">
      <c r="K2673" s="4" t="s">
        <v>421</v>
      </c>
      <c r="L2673" t="s">
        <v>422</v>
      </c>
      <c r="M2673" t="s">
        <v>443</v>
      </c>
      <c r="N2673" t="s">
        <v>443</v>
      </c>
      <c r="O2673" s="6" t="s">
        <v>612</v>
      </c>
      <c r="P2673" t="str">
        <f t="shared" si="310"/>
        <v>[1]</v>
      </c>
      <c r="Q2673">
        <f t="shared" si="314"/>
        <v>0</v>
      </c>
      <c r="R2673" t="str">
        <f t="shared" si="315"/>
        <v/>
      </c>
      <c r="S2673">
        <f>SUMIF(O2673:$O$2855,R2673,Q2673:$Q$2855)</f>
        <v>0</v>
      </c>
    </row>
    <row r="2674" spans="11:19" x14ac:dyDescent="0.25">
      <c r="K2674" s="4" t="s">
        <v>421</v>
      </c>
      <c r="L2674" t="s">
        <v>422</v>
      </c>
      <c r="M2674" t="s">
        <v>443</v>
      </c>
      <c r="N2674" t="s">
        <v>443</v>
      </c>
      <c r="O2674" s="6" t="s">
        <v>612</v>
      </c>
      <c r="P2674" t="str">
        <f t="shared" si="310"/>
        <v>[1]</v>
      </c>
      <c r="Q2674">
        <f t="shared" si="314"/>
        <v>0</v>
      </c>
      <c r="R2674" t="str">
        <f t="shared" si="315"/>
        <v/>
      </c>
      <c r="S2674">
        <f>SUMIF(O2674:$O$2855,R2674,Q2674:$Q$2855)</f>
        <v>0</v>
      </c>
    </row>
    <row r="2675" spans="11:19" x14ac:dyDescent="0.25">
      <c r="K2675" s="4" t="s">
        <v>421</v>
      </c>
      <c r="L2675" t="s">
        <v>422</v>
      </c>
      <c r="M2675" t="s">
        <v>443</v>
      </c>
      <c r="N2675" t="s">
        <v>443</v>
      </c>
      <c r="O2675" s="6" t="s">
        <v>612</v>
      </c>
      <c r="P2675" t="str">
        <f t="shared" si="310"/>
        <v>[1]</v>
      </c>
      <c r="Q2675">
        <f t="shared" si="314"/>
        <v>0</v>
      </c>
      <c r="R2675" t="str">
        <f t="shared" si="315"/>
        <v/>
      </c>
      <c r="S2675">
        <f>SUMIF(O2675:$O$2855,R2675,Q2675:$Q$2855)</f>
        <v>0</v>
      </c>
    </row>
    <row r="2676" spans="11:19" x14ac:dyDescent="0.25">
      <c r="K2676" s="4" t="s">
        <v>421</v>
      </c>
      <c r="L2676" t="s">
        <v>422</v>
      </c>
      <c r="M2676" t="s">
        <v>443</v>
      </c>
      <c r="N2676" t="s">
        <v>443</v>
      </c>
      <c r="O2676" s="6" t="s">
        <v>612</v>
      </c>
      <c r="P2676" t="str">
        <f t="shared" si="310"/>
        <v>[1]</v>
      </c>
      <c r="Q2676">
        <f t="shared" si="314"/>
        <v>0</v>
      </c>
      <c r="R2676" t="str">
        <f t="shared" si="315"/>
        <v/>
      </c>
      <c r="S2676">
        <f>SUMIF(O2676:$O$2855,R2676,Q2676:$Q$2855)</f>
        <v>0</v>
      </c>
    </row>
    <row r="2677" spans="11:19" x14ac:dyDescent="0.25">
      <c r="K2677" s="4" t="s">
        <v>421</v>
      </c>
      <c r="L2677" t="s">
        <v>422</v>
      </c>
      <c r="M2677" t="s">
        <v>443</v>
      </c>
      <c r="N2677" t="s">
        <v>443</v>
      </c>
      <c r="O2677" s="6" t="s">
        <v>612</v>
      </c>
      <c r="P2677" t="str">
        <f t="shared" si="310"/>
        <v>[1]</v>
      </c>
      <c r="Q2677">
        <f t="shared" si="314"/>
        <v>0</v>
      </c>
      <c r="R2677" t="str">
        <f t="shared" si="315"/>
        <v/>
      </c>
      <c r="S2677">
        <f>SUMIF(O2677:$O$2855,R2677,Q2677:$Q$2855)</f>
        <v>0</v>
      </c>
    </row>
    <row r="2678" spans="11:19" x14ac:dyDescent="0.25">
      <c r="K2678" s="4" t="s">
        <v>421</v>
      </c>
      <c r="L2678" t="s">
        <v>422</v>
      </c>
      <c r="M2678" t="s">
        <v>443</v>
      </c>
      <c r="N2678" t="s">
        <v>443</v>
      </c>
      <c r="O2678" s="6" t="s">
        <v>612</v>
      </c>
      <c r="P2678" t="str">
        <f t="shared" si="310"/>
        <v>[1]</v>
      </c>
      <c r="Q2678">
        <f t="shared" si="314"/>
        <v>0</v>
      </c>
      <c r="R2678" t="str">
        <f t="shared" si="315"/>
        <v/>
      </c>
      <c r="S2678">
        <f>SUMIF(O2678:$O$2855,R2678,Q2678:$Q$2855)</f>
        <v>0</v>
      </c>
    </row>
    <row r="2679" spans="11:19" x14ac:dyDescent="0.25">
      <c r="K2679" s="4" t="s">
        <v>421</v>
      </c>
      <c r="L2679" t="s">
        <v>422</v>
      </c>
      <c r="M2679" t="s">
        <v>443</v>
      </c>
      <c r="N2679" t="s">
        <v>443</v>
      </c>
      <c r="O2679" s="6" t="s">
        <v>612</v>
      </c>
      <c r="P2679" t="str">
        <f t="shared" si="310"/>
        <v>[1]</v>
      </c>
      <c r="Q2679">
        <f t="shared" si="314"/>
        <v>0</v>
      </c>
      <c r="R2679" t="str">
        <f t="shared" si="315"/>
        <v/>
      </c>
      <c r="S2679">
        <f>SUMIF(O2679:$O$2855,R2679,Q2679:$Q$2855)</f>
        <v>0</v>
      </c>
    </row>
    <row r="2680" spans="11:19" x14ac:dyDescent="0.25">
      <c r="K2680" s="4" t="s">
        <v>421</v>
      </c>
      <c r="L2680" t="s">
        <v>422</v>
      </c>
      <c r="M2680" t="s">
        <v>443</v>
      </c>
      <c r="N2680" t="s">
        <v>443</v>
      </c>
      <c r="O2680" s="6" t="s">
        <v>612</v>
      </c>
      <c r="P2680" t="str">
        <f t="shared" si="310"/>
        <v>[1]</v>
      </c>
      <c r="Q2680">
        <f t="shared" si="314"/>
        <v>0</v>
      </c>
      <c r="R2680" t="str">
        <f t="shared" si="315"/>
        <v/>
      </c>
      <c r="S2680">
        <f>SUMIF(O2680:$O$2855,R2680,Q2680:$Q$2855)</f>
        <v>0</v>
      </c>
    </row>
    <row r="2681" spans="11:19" x14ac:dyDescent="0.25">
      <c r="K2681" s="4" t="s">
        <v>421</v>
      </c>
      <c r="L2681" t="s">
        <v>422</v>
      </c>
      <c r="M2681" t="s">
        <v>443</v>
      </c>
      <c r="N2681" t="s">
        <v>443</v>
      </c>
      <c r="O2681" s="6" t="s">
        <v>612</v>
      </c>
      <c r="P2681" t="str">
        <f t="shared" si="310"/>
        <v>[1]</v>
      </c>
      <c r="Q2681">
        <f t="shared" si="314"/>
        <v>0</v>
      </c>
      <c r="R2681" t="str">
        <f t="shared" si="315"/>
        <v/>
      </c>
      <c r="S2681">
        <f>SUMIF(O2681:$O$2855,R2681,Q2681:$Q$2855)</f>
        <v>0</v>
      </c>
    </row>
    <row r="2682" spans="11:19" x14ac:dyDescent="0.25">
      <c r="K2682" s="4" t="s">
        <v>421</v>
      </c>
      <c r="L2682" t="s">
        <v>422</v>
      </c>
      <c r="M2682" t="s">
        <v>443</v>
      </c>
      <c r="N2682" t="s">
        <v>443</v>
      </c>
      <c r="O2682" s="6" t="s">
        <v>612</v>
      </c>
      <c r="P2682" t="str">
        <f t="shared" si="310"/>
        <v>[1]</v>
      </c>
      <c r="Q2682">
        <f t="shared" si="314"/>
        <v>0</v>
      </c>
      <c r="R2682" t="str">
        <f t="shared" si="315"/>
        <v/>
      </c>
      <c r="S2682">
        <f>SUMIF(O2682:$O$2855,R2682,Q2682:$Q$2855)</f>
        <v>0</v>
      </c>
    </row>
    <row r="2683" spans="11:19" x14ac:dyDescent="0.25">
      <c r="K2683" s="4" t="s">
        <v>421</v>
      </c>
      <c r="L2683" t="s">
        <v>422</v>
      </c>
      <c r="M2683" t="s">
        <v>443</v>
      </c>
      <c r="N2683" t="s">
        <v>443</v>
      </c>
      <c r="O2683" s="6" t="s">
        <v>612</v>
      </c>
      <c r="P2683" t="str">
        <f t="shared" si="310"/>
        <v>[1]</v>
      </c>
      <c r="Q2683">
        <f t="shared" si="314"/>
        <v>0</v>
      </c>
      <c r="R2683" t="str">
        <f t="shared" si="315"/>
        <v/>
      </c>
      <c r="S2683">
        <f>SUMIF(O2683:$O$2855,R2683,Q2683:$Q$2855)</f>
        <v>0</v>
      </c>
    </row>
    <row r="2684" spans="11:19" x14ac:dyDescent="0.25">
      <c r="K2684" s="4" t="s">
        <v>421</v>
      </c>
      <c r="L2684" t="s">
        <v>422</v>
      </c>
      <c r="M2684" t="s">
        <v>443</v>
      </c>
      <c r="N2684" t="s">
        <v>443</v>
      </c>
      <c r="O2684" s="6" t="s">
        <v>612</v>
      </c>
      <c r="P2684" t="str">
        <f t="shared" si="310"/>
        <v>[1]</v>
      </c>
      <c r="Q2684">
        <f t="shared" si="314"/>
        <v>0</v>
      </c>
      <c r="R2684" t="str">
        <f t="shared" si="315"/>
        <v/>
      </c>
      <c r="S2684">
        <f>SUMIF(O2684:$O$2855,R2684,Q2684:$Q$2855)</f>
        <v>0</v>
      </c>
    </row>
    <row r="2685" spans="11:19" x14ac:dyDescent="0.25">
      <c r="K2685" s="4" t="s">
        <v>421</v>
      </c>
      <c r="L2685" t="s">
        <v>422</v>
      </c>
      <c r="M2685" t="s">
        <v>443</v>
      </c>
      <c r="N2685" t="s">
        <v>443</v>
      </c>
      <c r="O2685" s="6" t="s">
        <v>612</v>
      </c>
      <c r="P2685" t="str">
        <f t="shared" si="310"/>
        <v>[1]</v>
      </c>
      <c r="Q2685">
        <f t="shared" si="314"/>
        <v>0</v>
      </c>
      <c r="R2685" t="str">
        <f t="shared" si="315"/>
        <v/>
      </c>
      <c r="S2685">
        <f>SUMIF(O2685:$O$2855,R2685,Q2685:$Q$2855)</f>
        <v>0</v>
      </c>
    </row>
    <row r="2686" spans="11:19" x14ac:dyDescent="0.25">
      <c r="K2686" s="4" t="s">
        <v>421</v>
      </c>
      <c r="L2686" t="s">
        <v>422</v>
      </c>
      <c r="M2686" t="s">
        <v>443</v>
      </c>
      <c r="N2686" t="s">
        <v>443</v>
      </c>
      <c r="O2686" s="6" t="s">
        <v>612</v>
      </c>
      <c r="P2686" t="str">
        <f t="shared" si="310"/>
        <v>[1]</v>
      </c>
      <c r="Q2686">
        <f t="shared" si="314"/>
        <v>0</v>
      </c>
      <c r="R2686" t="str">
        <f t="shared" si="315"/>
        <v/>
      </c>
      <c r="S2686">
        <f>SUMIF(O2686:$O$2855,R2686,Q2686:$Q$2855)</f>
        <v>0</v>
      </c>
    </row>
    <row r="2687" spans="11:19" x14ac:dyDescent="0.25">
      <c r="K2687" s="4" t="s">
        <v>421</v>
      </c>
      <c r="L2687" t="s">
        <v>422</v>
      </c>
      <c r="M2687" t="s">
        <v>443</v>
      </c>
      <c r="N2687" t="s">
        <v>443</v>
      </c>
      <c r="O2687" s="6" t="s">
        <v>612</v>
      </c>
      <c r="P2687" t="str">
        <f t="shared" si="310"/>
        <v>[1]</v>
      </c>
      <c r="Q2687">
        <f t="shared" si="314"/>
        <v>0</v>
      </c>
      <c r="R2687" t="str">
        <f t="shared" si="315"/>
        <v/>
      </c>
      <c r="S2687">
        <f>SUMIF(O2687:$O$2855,R2687,Q2687:$Q$2855)</f>
        <v>0</v>
      </c>
    </row>
    <row r="2688" spans="11:19" x14ac:dyDescent="0.25">
      <c r="K2688" s="4" t="s">
        <v>421</v>
      </c>
      <c r="L2688" t="s">
        <v>422</v>
      </c>
      <c r="M2688" t="s">
        <v>443</v>
      </c>
      <c r="N2688" t="s">
        <v>443</v>
      </c>
      <c r="O2688" s="6" t="s">
        <v>612</v>
      </c>
      <c r="P2688" t="str">
        <f t="shared" si="310"/>
        <v>[1]</v>
      </c>
      <c r="Q2688">
        <f t="shared" si="314"/>
        <v>0</v>
      </c>
      <c r="R2688" t="str">
        <f t="shared" si="315"/>
        <v/>
      </c>
      <c r="S2688">
        <f>SUMIF(O2688:$O$2855,R2688,Q2688:$Q$2855)</f>
        <v>0</v>
      </c>
    </row>
    <row r="2689" spans="11:19" x14ac:dyDescent="0.25">
      <c r="K2689" s="4" t="s">
        <v>421</v>
      </c>
      <c r="L2689" t="s">
        <v>422</v>
      </c>
      <c r="M2689" t="s">
        <v>443</v>
      </c>
      <c r="N2689" t="s">
        <v>443</v>
      </c>
      <c r="O2689" s="6" t="s">
        <v>612</v>
      </c>
      <c r="P2689" t="str">
        <f t="shared" si="310"/>
        <v>[1]</v>
      </c>
      <c r="Q2689">
        <f t="shared" ref="Q2689:Q2698" si="316">HEX2DEC(MID(N2689,3,LEN(N2689)-2))</f>
        <v>0</v>
      </c>
      <c r="R2689" t="str">
        <f t="shared" si="315"/>
        <v/>
      </c>
      <c r="S2689">
        <f>SUMIF(O2689:$O$2855,R2689,Q2689:$Q$2855)</f>
        <v>0</v>
      </c>
    </row>
    <row r="2690" spans="11:19" x14ac:dyDescent="0.25">
      <c r="K2690" s="4" t="s">
        <v>421</v>
      </c>
      <c r="L2690" t="s">
        <v>422</v>
      </c>
      <c r="M2690" t="s">
        <v>443</v>
      </c>
      <c r="N2690" t="s">
        <v>443</v>
      </c>
      <c r="O2690" s="6" t="s">
        <v>612</v>
      </c>
      <c r="P2690" t="str">
        <f t="shared" si="310"/>
        <v>[1]</v>
      </c>
      <c r="Q2690">
        <f t="shared" si="316"/>
        <v>0</v>
      </c>
      <c r="R2690" t="str">
        <f t="shared" si="315"/>
        <v/>
      </c>
      <c r="S2690">
        <f>SUMIF(O2690:$O$2855,R2690,Q2690:$Q$2855)</f>
        <v>0</v>
      </c>
    </row>
    <row r="2691" spans="11:19" x14ac:dyDescent="0.25">
      <c r="K2691" s="4" t="s">
        <v>421</v>
      </c>
      <c r="L2691" t="s">
        <v>422</v>
      </c>
      <c r="M2691" t="s">
        <v>443</v>
      </c>
      <c r="N2691" t="s">
        <v>443</v>
      </c>
      <c r="O2691" s="6" t="s">
        <v>612</v>
      </c>
      <c r="P2691" t="str">
        <f t="shared" si="310"/>
        <v>[1]</v>
      </c>
      <c r="Q2691">
        <f t="shared" si="316"/>
        <v>0</v>
      </c>
      <c r="R2691" t="str">
        <f t="shared" si="315"/>
        <v/>
      </c>
      <c r="S2691">
        <f>SUMIF(O2691:$O$2855,R2691,Q2691:$Q$2855)</f>
        <v>0</v>
      </c>
    </row>
    <row r="2692" spans="11:19" x14ac:dyDescent="0.25">
      <c r="K2692" s="4" t="s">
        <v>421</v>
      </c>
      <c r="L2692" t="s">
        <v>422</v>
      </c>
      <c r="M2692" t="s">
        <v>443</v>
      </c>
      <c r="N2692" t="s">
        <v>443</v>
      </c>
      <c r="O2692" s="6" t="s">
        <v>612</v>
      </c>
      <c r="P2692" t="str">
        <f t="shared" si="310"/>
        <v>[1]</v>
      </c>
      <c r="Q2692">
        <f t="shared" si="316"/>
        <v>0</v>
      </c>
      <c r="R2692" t="str">
        <f t="shared" si="315"/>
        <v/>
      </c>
      <c r="S2692">
        <f>SUMIF(O2692:$O$2855,R2692,Q2692:$Q$2855)</f>
        <v>0</v>
      </c>
    </row>
    <row r="2693" spans="11:19" x14ac:dyDescent="0.25">
      <c r="K2693" s="4" t="s">
        <v>421</v>
      </c>
      <c r="L2693" t="s">
        <v>422</v>
      </c>
      <c r="M2693" t="s">
        <v>443</v>
      </c>
      <c r="N2693" t="s">
        <v>443</v>
      </c>
      <c r="O2693" s="6" t="s">
        <v>612</v>
      </c>
      <c r="P2693" t="str">
        <f t="shared" si="310"/>
        <v>[1]</v>
      </c>
      <c r="Q2693">
        <f t="shared" si="316"/>
        <v>0</v>
      </c>
      <c r="R2693" t="str">
        <f t="shared" si="315"/>
        <v/>
      </c>
      <c r="S2693">
        <f>SUMIF(O2693:$O$2855,R2693,Q2693:$Q$2855)</f>
        <v>0</v>
      </c>
    </row>
    <row r="2694" spans="11:19" x14ac:dyDescent="0.25">
      <c r="K2694" s="4" t="s">
        <v>421</v>
      </c>
      <c r="L2694" t="s">
        <v>422</v>
      </c>
      <c r="M2694" t="s">
        <v>443</v>
      </c>
      <c r="N2694" t="s">
        <v>443</v>
      </c>
      <c r="O2694" s="6" t="s">
        <v>612</v>
      </c>
      <c r="P2694" t="str">
        <f t="shared" si="310"/>
        <v>[1]</v>
      </c>
      <c r="Q2694">
        <f t="shared" si="316"/>
        <v>0</v>
      </c>
      <c r="R2694" t="str">
        <f t="shared" si="315"/>
        <v/>
      </c>
      <c r="S2694">
        <f>SUMIF(O2694:$O$2855,R2694,Q2694:$Q$2855)</f>
        <v>0</v>
      </c>
    </row>
    <row r="2695" spans="11:19" x14ac:dyDescent="0.25">
      <c r="K2695" s="4" t="s">
        <v>421</v>
      </c>
      <c r="L2695" t="s">
        <v>422</v>
      </c>
      <c r="M2695" t="s">
        <v>443</v>
      </c>
      <c r="N2695" t="s">
        <v>443</v>
      </c>
      <c r="O2695" s="6" t="s">
        <v>612</v>
      </c>
      <c r="P2695" t="str">
        <f t="shared" si="310"/>
        <v>[1]</v>
      </c>
      <c r="Q2695">
        <f t="shared" si="316"/>
        <v>0</v>
      </c>
      <c r="R2695" t="str">
        <f t="shared" si="315"/>
        <v/>
      </c>
      <c r="S2695">
        <f>SUMIF(O2695:$O$2855,R2695,Q2695:$Q$2855)</f>
        <v>0</v>
      </c>
    </row>
    <row r="2696" spans="11:19" x14ac:dyDescent="0.25">
      <c r="K2696" s="4" t="s">
        <v>421</v>
      </c>
      <c r="L2696" t="s">
        <v>422</v>
      </c>
      <c r="M2696" t="s">
        <v>443</v>
      </c>
      <c r="N2696" t="s">
        <v>443</v>
      </c>
      <c r="O2696" s="6" t="s">
        <v>612</v>
      </c>
      <c r="P2696" t="str">
        <f t="shared" si="310"/>
        <v>[1]</v>
      </c>
      <c r="Q2696">
        <f t="shared" si="316"/>
        <v>0</v>
      </c>
      <c r="R2696" t="str">
        <f t="shared" si="315"/>
        <v/>
      </c>
      <c r="S2696">
        <f>SUMIF(O2696:$O$2855,R2696,Q2696:$Q$2855)</f>
        <v>0</v>
      </c>
    </row>
    <row r="2697" spans="11:19" x14ac:dyDescent="0.25">
      <c r="K2697" s="4" t="s">
        <v>421</v>
      </c>
      <c r="L2697" t="s">
        <v>422</v>
      </c>
      <c r="M2697" t="s">
        <v>443</v>
      </c>
      <c r="N2697" t="s">
        <v>443</v>
      </c>
      <c r="O2697" s="6" t="s">
        <v>612</v>
      </c>
      <c r="P2697" t="str">
        <f t="shared" si="310"/>
        <v>[1]</v>
      </c>
      <c r="Q2697">
        <f t="shared" si="316"/>
        <v>0</v>
      </c>
      <c r="R2697" t="str">
        <f t="shared" si="315"/>
        <v/>
      </c>
      <c r="S2697">
        <f>SUMIF(O2697:$O$2855,R2697,Q2697:$Q$2855)</f>
        <v>0</v>
      </c>
    </row>
    <row r="2698" spans="11:19" x14ac:dyDescent="0.25">
      <c r="K2698" s="4" t="s">
        <v>421</v>
      </c>
      <c r="L2698" t="s">
        <v>422</v>
      </c>
      <c r="M2698" t="s">
        <v>443</v>
      </c>
      <c r="N2698" t="s">
        <v>443</v>
      </c>
      <c r="O2698" s="6" t="s">
        <v>612</v>
      </c>
      <c r="P2698" t="str">
        <f t="shared" si="310"/>
        <v>[1]</v>
      </c>
      <c r="Q2698">
        <f t="shared" si="316"/>
        <v>0</v>
      </c>
      <c r="R2698" t="str">
        <f t="shared" si="315"/>
        <v/>
      </c>
      <c r="S2698">
        <f>SUMIF(O2698:$O$2855,R2698,Q2698:$Q$2855)</f>
        <v>0</v>
      </c>
    </row>
    <row r="2699" spans="11:19" x14ac:dyDescent="0.25">
      <c r="K2699" s="4" t="s">
        <v>421</v>
      </c>
      <c r="L2699" t="s">
        <v>422</v>
      </c>
      <c r="M2699" t="s">
        <v>443</v>
      </c>
      <c r="N2699" t="s">
        <v>443</v>
      </c>
      <c r="O2699" s="6" t="s">
        <v>612</v>
      </c>
      <c r="P2699" t="str">
        <f t="shared" si="310"/>
        <v>[1]</v>
      </c>
      <c r="Q2699">
        <f t="shared" si="312"/>
        <v>0</v>
      </c>
      <c r="R2699" t="str">
        <f t="shared" si="315"/>
        <v/>
      </c>
      <c r="S2699">
        <f>SUMIF(O2699:$O$2855,R2699,Q2699:$Q$2855)</f>
        <v>0</v>
      </c>
    </row>
    <row r="2700" spans="11:19" x14ac:dyDescent="0.25">
      <c r="K2700" s="4" t="s">
        <v>421</v>
      </c>
      <c r="L2700" t="s">
        <v>422</v>
      </c>
      <c r="M2700" t="s">
        <v>443</v>
      </c>
      <c r="N2700" t="s">
        <v>443</v>
      </c>
      <c r="O2700" s="6" t="s">
        <v>612</v>
      </c>
      <c r="P2700" t="str">
        <f t="shared" ref="P2700:P2707" si="317">VLOOKUP($K$30,$E$1:$F$26,2,FALSE)</f>
        <v>[1]</v>
      </c>
      <c r="Q2700">
        <f t="shared" si="312"/>
        <v>0</v>
      </c>
      <c r="R2700" t="str">
        <f t="shared" si="315"/>
        <v/>
      </c>
      <c r="S2700">
        <f>SUMIF(O2700:$O$2855,R2700,Q2700:$Q$2855)</f>
        <v>0</v>
      </c>
    </row>
    <row r="2701" spans="11:19" x14ac:dyDescent="0.25">
      <c r="K2701" s="4" t="s">
        <v>421</v>
      </c>
      <c r="L2701" t="s">
        <v>422</v>
      </c>
      <c r="M2701" t="s">
        <v>443</v>
      </c>
      <c r="N2701" t="s">
        <v>443</v>
      </c>
      <c r="O2701" s="6" t="s">
        <v>612</v>
      </c>
      <c r="P2701" t="str">
        <f t="shared" si="317"/>
        <v>[1]</v>
      </c>
      <c r="Q2701">
        <f t="shared" si="312"/>
        <v>0</v>
      </c>
      <c r="R2701" t="str">
        <f t="shared" si="315"/>
        <v/>
      </c>
      <c r="S2701">
        <f>SUMIF(O2701:$O$2855,R2701,Q2701:$Q$2855)</f>
        <v>0</v>
      </c>
    </row>
    <row r="2702" spans="11:19" x14ac:dyDescent="0.25">
      <c r="K2702" s="4" t="s">
        <v>421</v>
      </c>
      <c r="L2702" t="s">
        <v>422</v>
      </c>
      <c r="M2702" t="s">
        <v>443</v>
      </c>
      <c r="N2702" t="s">
        <v>443</v>
      </c>
      <c r="O2702" s="6" t="s">
        <v>612</v>
      </c>
      <c r="P2702" t="str">
        <f t="shared" si="317"/>
        <v>[1]</v>
      </c>
      <c r="Q2702">
        <f t="shared" si="312"/>
        <v>0</v>
      </c>
      <c r="R2702" t="str">
        <f t="shared" si="315"/>
        <v/>
      </c>
      <c r="S2702">
        <f>SUMIF(O2702:$O$2855,R2702,Q2702:$Q$2855)</f>
        <v>0</v>
      </c>
    </row>
    <row r="2703" spans="11:19" x14ac:dyDescent="0.25">
      <c r="K2703" s="4" t="s">
        <v>421</v>
      </c>
      <c r="L2703" t="s">
        <v>422</v>
      </c>
      <c r="M2703" t="s">
        <v>443</v>
      </c>
      <c r="N2703" t="s">
        <v>443</v>
      </c>
      <c r="O2703" s="6" t="s">
        <v>612</v>
      </c>
      <c r="P2703" t="str">
        <f t="shared" si="317"/>
        <v>[1]</v>
      </c>
      <c r="Q2703">
        <f t="shared" si="312"/>
        <v>0</v>
      </c>
      <c r="R2703" t="str">
        <f t="shared" si="315"/>
        <v/>
      </c>
      <c r="S2703">
        <f>SUMIF(O2703:$O$2855,R2703,Q2703:$Q$2855)</f>
        <v>0</v>
      </c>
    </row>
    <row r="2704" spans="11:19" x14ac:dyDescent="0.25">
      <c r="K2704" s="4" t="s">
        <v>421</v>
      </c>
      <c r="L2704" t="s">
        <v>422</v>
      </c>
      <c r="M2704" t="s">
        <v>443</v>
      </c>
      <c r="N2704" t="s">
        <v>443</v>
      </c>
      <c r="O2704" s="6" t="s">
        <v>612</v>
      </c>
      <c r="P2704" t="str">
        <f t="shared" si="317"/>
        <v>[1]</v>
      </c>
      <c r="Q2704">
        <f t="shared" si="312"/>
        <v>0</v>
      </c>
      <c r="R2704" t="str">
        <f t="shared" si="315"/>
        <v/>
      </c>
      <c r="S2704">
        <f>SUMIF(O2704:$O$2855,R2704,Q2704:$Q$2855)</f>
        <v>0</v>
      </c>
    </row>
    <row r="2705" spans="11:19" x14ac:dyDescent="0.25">
      <c r="K2705" s="4" t="s">
        <v>421</v>
      </c>
      <c r="L2705" t="s">
        <v>422</v>
      </c>
      <c r="M2705" t="s">
        <v>443</v>
      </c>
      <c r="N2705" t="s">
        <v>443</v>
      </c>
      <c r="O2705" s="6" t="s">
        <v>612</v>
      </c>
      <c r="P2705" t="str">
        <f t="shared" si="317"/>
        <v>[1]</v>
      </c>
      <c r="Q2705">
        <f t="shared" si="312"/>
        <v>0</v>
      </c>
      <c r="R2705" t="str">
        <f t="shared" si="315"/>
        <v/>
      </c>
      <c r="S2705">
        <f>SUMIF(O2705:$O$2855,R2705,Q2705:$Q$2855)</f>
        <v>0</v>
      </c>
    </row>
    <row r="2706" spans="11:19" x14ac:dyDescent="0.25">
      <c r="K2706" s="4" t="s">
        <v>421</v>
      </c>
      <c r="L2706" t="s">
        <v>422</v>
      </c>
      <c r="M2706" t="s">
        <v>443</v>
      </c>
      <c r="N2706" t="s">
        <v>443</v>
      </c>
      <c r="O2706" s="6" t="s">
        <v>612</v>
      </c>
      <c r="P2706" t="str">
        <f t="shared" si="317"/>
        <v>[1]</v>
      </c>
      <c r="Q2706">
        <f t="shared" si="312"/>
        <v>0</v>
      </c>
      <c r="R2706" t="str">
        <f t="shared" si="315"/>
        <v/>
      </c>
      <c r="S2706">
        <f>SUMIF(O2706:$O$2855,R2706,Q2706:$Q$2855)</f>
        <v>0</v>
      </c>
    </row>
    <row r="2707" spans="11:19" x14ac:dyDescent="0.25">
      <c r="K2707" s="4" t="s">
        <v>421</v>
      </c>
      <c r="L2707" t="s">
        <v>422</v>
      </c>
      <c r="M2707" t="s">
        <v>443</v>
      </c>
      <c r="N2707" t="s">
        <v>443</v>
      </c>
      <c r="O2707" s="6" t="s">
        <v>612</v>
      </c>
      <c r="P2707" t="str">
        <f t="shared" si="317"/>
        <v>[1]</v>
      </c>
      <c r="Q2707">
        <f t="shared" si="312"/>
        <v>0</v>
      </c>
      <c r="R2707" t="str">
        <f t="shared" si="315"/>
        <v/>
      </c>
      <c r="S2707">
        <f>SUMIF(O2707:$O$2855,R2707,Q2707:$Q$2855)</f>
        <v>0</v>
      </c>
    </row>
    <row r="2708" spans="11:19" x14ac:dyDescent="0.25">
      <c r="K2708" s="4" t="s">
        <v>421</v>
      </c>
      <c r="L2708" t="s">
        <v>422</v>
      </c>
      <c r="M2708" t="s">
        <v>443</v>
      </c>
      <c r="N2708" t="s">
        <v>443</v>
      </c>
      <c r="O2708" s="6" t="s">
        <v>612</v>
      </c>
      <c r="P2708" t="str">
        <f t="shared" ref="P2708:P2855" si="318">VLOOKUP($K$30,$E$1:$F$26,2,FALSE)</f>
        <v>[1]</v>
      </c>
      <c r="Q2708">
        <f t="shared" ref="Q2708:Q2855" si="319">HEX2DEC(MID(N2708,3,LEN(N2708)-2))</f>
        <v>0</v>
      </c>
      <c r="R2708" t="str">
        <f t="shared" si="315"/>
        <v/>
      </c>
      <c r="S2708">
        <f>SUMIF(O2708:$O$2855,R2708,Q2708:$Q$2855)</f>
        <v>0</v>
      </c>
    </row>
    <row r="2709" spans="11:19" x14ac:dyDescent="0.25">
      <c r="K2709" s="4" t="s">
        <v>421</v>
      </c>
      <c r="L2709" t="s">
        <v>422</v>
      </c>
      <c r="M2709" t="s">
        <v>443</v>
      </c>
      <c r="N2709" t="s">
        <v>443</v>
      </c>
      <c r="O2709" s="6" t="s">
        <v>612</v>
      </c>
      <c r="P2709" t="str">
        <f t="shared" si="318"/>
        <v>[1]</v>
      </c>
      <c r="Q2709">
        <f t="shared" si="319"/>
        <v>0</v>
      </c>
      <c r="R2709" t="str">
        <f t="shared" si="315"/>
        <v/>
      </c>
      <c r="S2709">
        <f>SUMIF(O2709:$O$2855,R2709,Q2709:$Q$2855)</f>
        <v>0</v>
      </c>
    </row>
    <row r="2710" spans="11:19" x14ac:dyDescent="0.25">
      <c r="K2710" s="4" t="s">
        <v>421</v>
      </c>
      <c r="L2710" t="s">
        <v>422</v>
      </c>
      <c r="M2710" t="s">
        <v>443</v>
      </c>
      <c r="N2710" t="s">
        <v>443</v>
      </c>
      <c r="O2710" s="6" t="s">
        <v>612</v>
      </c>
      <c r="P2710" t="str">
        <f t="shared" si="318"/>
        <v>[1]</v>
      </c>
      <c r="Q2710">
        <f t="shared" si="319"/>
        <v>0</v>
      </c>
      <c r="R2710" t="str">
        <f t="shared" si="315"/>
        <v/>
      </c>
      <c r="S2710">
        <f>SUMIF(O2710:$O$2855,R2710,Q2710:$Q$2855)</f>
        <v>0</v>
      </c>
    </row>
    <row r="2711" spans="11:19" x14ac:dyDescent="0.25">
      <c r="K2711" s="4" t="s">
        <v>421</v>
      </c>
      <c r="L2711" t="s">
        <v>422</v>
      </c>
      <c r="M2711" t="s">
        <v>443</v>
      </c>
      <c r="N2711" t="s">
        <v>443</v>
      </c>
      <c r="O2711" s="6" t="s">
        <v>612</v>
      </c>
      <c r="P2711" t="str">
        <f t="shared" si="318"/>
        <v>[1]</v>
      </c>
      <c r="Q2711">
        <f t="shared" si="319"/>
        <v>0</v>
      </c>
      <c r="R2711" t="str">
        <f t="shared" si="315"/>
        <v/>
      </c>
      <c r="S2711">
        <f>SUMIF(O2711:$O$2855,R2711,Q2711:$Q$2855)</f>
        <v>0</v>
      </c>
    </row>
    <row r="2712" spans="11:19" x14ac:dyDescent="0.25">
      <c r="K2712" s="4" t="s">
        <v>421</v>
      </c>
      <c r="L2712" t="s">
        <v>422</v>
      </c>
      <c r="M2712" t="s">
        <v>443</v>
      </c>
      <c r="N2712" t="s">
        <v>443</v>
      </c>
      <c r="O2712" s="6" t="s">
        <v>612</v>
      </c>
      <c r="P2712" t="str">
        <f t="shared" si="318"/>
        <v>[1]</v>
      </c>
      <c r="Q2712">
        <f t="shared" si="319"/>
        <v>0</v>
      </c>
      <c r="R2712" t="str">
        <f t="shared" si="315"/>
        <v/>
      </c>
      <c r="S2712">
        <f>SUMIF(O2712:$O$2855,R2712,Q2712:$Q$2855)</f>
        <v>0</v>
      </c>
    </row>
    <row r="2713" spans="11:19" x14ac:dyDescent="0.25">
      <c r="K2713" s="4" t="s">
        <v>421</v>
      </c>
      <c r="L2713" t="s">
        <v>422</v>
      </c>
      <c r="M2713" t="s">
        <v>443</v>
      </c>
      <c r="N2713" t="s">
        <v>443</v>
      </c>
      <c r="O2713" s="6" t="s">
        <v>612</v>
      </c>
      <c r="P2713" t="str">
        <f t="shared" si="318"/>
        <v>[1]</v>
      </c>
      <c r="Q2713">
        <f t="shared" si="319"/>
        <v>0</v>
      </c>
      <c r="R2713" t="str">
        <f t="shared" si="315"/>
        <v/>
      </c>
      <c r="S2713">
        <f>SUMIF(O2713:$O$2855,R2713,Q2713:$Q$2855)</f>
        <v>0</v>
      </c>
    </row>
    <row r="2714" spans="11:19" x14ac:dyDescent="0.25">
      <c r="K2714" s="4" t="s">
        <v>421</v>
      </c>
      <c r="L2714" t="s">
        <v>422</v>
      </c>
      <c r="M2714" t="s">
        <v>443</v>
      </c>
      <c r="N2714" t="s">
        <v>443</v>
      </c>
      <c r="O2714" s="6" t="s">
        <v>612</v>
      </c>
      <c r="P2714" t="str">
        <f t="shared" si="318"/>
        <v>[1]</v>
      </c>
      <c r="Q2714">
        <f t="shared" si="319"/>
        <v>0</v>
      </c>
      <c r="R2714" t="str">
        <f t="shared" si="315"/>
        <v/>
      </c>
      <c r="S2714">
        <f>SUMIF(O2714:$O$2855,R2714,Q2714:$Q$2855)</f>
        <v>0</v>
      </c>
    </row>
    <row r="2715" spans="11:19" x14ac:dyDescent="0.25">
      <c r="K2715" s="4" t="s">
        <v>421</v>
      </c>
      <c r="L2715" t="s">
        <v>422</v>
      </c>
      <c r="M2715" t="s">
        <v>443</v>
      </c>
      <c r="N2715" t="s">
        <v>443</v>
      </c>
      <c r="O2715" s="6" t="s">
        <v>612</v>
      </c>
      <c r="P2715" t="str">
        <f t="shared" si="318"/>
        <v>[1]</v>
      </c>
      <c r="Q2715">
        <f t="shared" si="319"/>
        <v>0</v>
      </c>
      <c r="R2715" t="str">
        <f t="shared" si="315"/>
        <v/>
      </c>
      <c r="S2715">
        <f>SUMIF(O2715:$O$2855,R2715,Q2715:$Q$2855)</f>
        <v>0</v>
      </c>
    </row>
    <row r="2716" spans="11:19" x14ac:dyDescent="0.25">
      <c r="K2716" s="4" t="s">
        <v>421</v>
      </c>
      <c r="L2716" t="s">
        <v>422</v>
      </c>
      <c r="M2716" t="s">
        <v>443</v>
      </c>
      <c r="N2716" t="s">
        <v>443</v>
      </c>
      <c r="O2716" s="6" t="s">
        <v>612</v>
      </c>
      <c r="P2716" t="str">
        <f t="shared" si="318"/>
        <v>[1]</v>
      </c>
      <c r="Q2716">
        <f t="shared" si="319"/>
        <v>0</v>
      </c>
      <c r="R2716" t="str">
        <f t="shared" si="315"/>
        <v/>
      </c>
      <c r="S2716">
        <f>SUMIF(O2716:$O$2855,R2716,Q2716:$Q$2855)</f>
        <v>0</v>
      </c>
    </row>
    <row r="2717" spans="11:19" x14ac:dyDescent="0.25">
      <c r="K2717" s="4" t="s">
        <v>421</v>
      </c>
      <c r="L2717" t="s">
        <v>422</v>
      </c>
      <c r="M2717" t="s">
        <v>443</v>
      </c>
      <c r="N2717" t="s">
        <v>443</v>
      </c>
      <c r="O2717" s="6" t="s">
        <v>612</v>
      </c>
      <c r="P2717" t="str">
        <f t="shared" si="318"/>
        <v>[1]</v>
      </c>
      <c r="Q2717">
        <f t="shared" si="319"/>
        <v>0</v>
      </c>
      <c r="R2717" t="str">
        <f t="shared" si="315"/>
        <v/>
      </c>
      <c r="S2717">
        <f>SUMIF(O2717:$O$2855,R2717,Q2717:$Q$2855)</f>
        <v>0</v>
      </c>
    </row>
    <row r="2718" spans="11:19" x14ac:dyDescent="0.25">
      <c r="K2718" s="4" t="s">
        <v>421</v>
      </c>
      <c r="L2718" t="s">
        <v>422</v>
      </c>
      <c r="M2718" t="s">
        <v>443</v>
      </c>
      <c r="N2718" t="s">
        <v>443</v>
      </c>
      <c r="O2718" s="6" t="s">
        <v>612</v>
      </c>
      <c r="P2718" t="str">
        <f t="shared" si="318"/>
        <v>[1]</v>
      </c>
      <c r="Q2718">
        <f t="shared" si="319"/>
        <v>0</v>
      </c>
      <c r="R2718" t="str">
        <f t="shared" si="315"/>
        <v/>
      </c>
      <c r="S2718">
        <f>SUMIF(O2718:$O$2855,R2718,Q2718:$Q$2855)</f>
        <v>0</v>
      </c>
    </row>
    <row r="2719" spans="11:19" x14ac:dyDescent="0.25">
      <c r="K2719" s="4" t="s">
        <v>421</v>
      </c>
      <c r="L2719" t="s">
        <v>422</v>
      </c>
      <c r="M2719" t="s">
        <v>443</v>
      </c>
      <c r="N2719" t="s">
        <v>443</v>
      </c>
      <c r="O2719" s="6" t="s">
        <v>612</v>
      </c>
      <c r="P2719" t="str">
        <f t="shared" si="318"/>
        <v>[1]</v>
      </c>
      <c r="Q2719">
        <f t="shared" si="319"/>
        <v>0</v>
      </c>
      <c r="R2719" t="str">
        <f t="shared" si="315"/>
        <v/>
      </c>
      <c r="S2719">
        <f>SUMIF(O2719:$O$2855,R2719,Q2719:$Q$2855)</f>
        <v>0</v>
      </c>
    </row>
    <row r="2720" spans="11:19" x14ac:dyDescent="0.25">
      <c r="K2720" s="4" t="s">
        <v>421</v>
      </c>
      <c r="L2720" t="s">
        <v>422</v>
      </c>
      <c r="M2720" t="s">
        <v>443</v>
      </c>
      <c r="N2720" t="s">
        <v>443</v>
      </c>
      <c r="O2720" s="6" t="s">
        <v>612</v>
      </c>
      <c r="P2720" t="str">
        <f t="shared" si="318"/>
        <v>[1]</v>
      </c>
      <c r="Q2720">
        <f t="shared" si="319"/>
        <v>0</v>
      </c>
      <c r="R2720" t="str">
        <f t="shared" ref="R2720:R2783" si="320">IF(O2720&lt;&gt;O2719,O2720,"")</f>
        <v/>
      </c>
      <c r="S2720">
        <f>SUMIF(O2720:$O$2855,R2720,Q2720:$Q$2855)</f>
        <v>0</v>
      </c>
    </row>
    <row r="2721" spans="11:19" x14ac:dyDescent="0.25">
      <c r="K2721" s="4" t="s">
        <v>421</v>
      </c>
      <c r="L2721" t="s">
        <v>422</v>
      </c>
      <c r="M2721" t="s">
        <v>443</v>
      </c>
      <c r="N2721" t="s">
        <v>443</v>
      </c>
      <c r="O2721" s="6" t="s">
        <v>612</v>
      </c>
      <c r="P2721" t="str">
        <f t="shared" si="318"/>
        <v>[1]</v>
      </c>
      <c r="Q2721">
        <f t="shared" si="319"/>
        <v>0</v>
      </c>
      <c r="R2721" t="str">
        <f t="shared" si="320"/>
        <v/>
      </c>
      <c r="S2721">
        <f>SUMIF(O2721:$O$2855,R2721,Q2721:$Q$2855)</f>
        <v>0</v>
      </c>
    </row>
    <row r="2722" spans="11:19" x14ac:dyDescent="0.25">
      <c r="K2722" s="4" t="s">
        <v>421</v>
      </c>
      <c r="L2722" t="s">
        <v>422</v>
      </c>
      <c r="M2722" t="s">
        <v>443</v>
      </c>
      <c r="N2722" t="s">
        <v>443</v>
      </c>
      <c r="O2722" s="6" t="s">
        <v>612</v>
      </c>
      <c r="P2722" t="str">
        <f t="shared" si="318"/>
        <v>[1]</v>
      </c>
      <c r="Q2722">
        <f t="shared" si="319"/>
        <v>0</v>
      </c>
      <c r="R2722" t="str">
        <f t="shared" si="320"/>
        <v/>
      </c>
      <c r="S2722">
        <f>SUMIF(O2722:$O$2855,R2722,Q2722:$Q$2855)</f>
        <v>0</v>
      </c>
    </row>
    <row r="2723" spans="11:19" x14ac:dyDescent="0.25">
      <c r="K2723" s="4" t="s">
        <v>421</v>
      </c>
      <c r="L2723" t="s">
        <v>422</v>
      </c>
      <c r="M2723" t="s">
        <v>443</v>
      </c>
      <c r="N2723" t="s">
        <v>443</v>
      </c>
      <c r="O2723" s="6" t="s">
        <v>612</v>
      </c>
      <c r="P2723" t="str">
        <f t="shared" si="318"/>
        <v>[1]</v>
      </c>
      <c r="Q2723">
        <f t="shared" si="319"/>
        <v>0</v>
      </c>
      <c r="R2723" t="str">
        <f t="shared" si="320"/>
        <v/>
      </c>
      <c r="S2723">
        <f>SUMIF(O2723:$O$2855,R2723,Q2723:$Q$2855)</f>
        <v>0</v>
      </c>
    </row>
    <row r="2724" spans="11:19" x14ac:dyDescent="0.25">
      <c r="K2724" s="4" t="s">
        <v>421</v>
      </c>
      <c r="L2724" t="s">
        <v>422</v>
      </c>
      <c r="M2724" t="s">
        <v>443</v>
      </c>
      <c r="N2724" t="s">
        <v>443</v>
      </c>
      <c r="O2724" s="6" t="s">
        <v>612</v>
      </c>
      <c r="P2724" t="str">
        <f t="shared" si="318"/>
        <v>[1]</v>
      </c>
      <c r="Q2724">
        <f t="shared" si="319"/>
        <v>0</v>
      </c>
      <c r="R2724" t="str">
        <f t="shared" si="320"/>
        <v/>
      </c>
      <c r="S2724">
        <f>SUMIF(O2724:$O$2855,R2724,Q2724:$Q$2855)</f>
        <v>0</v>
      </c>
    </row>
    <row r="2725" spans="11:19" x14ac:dyDescent="0.25">
      <c r="K2725" s="4" t="s">
        <v>421</v>
      </c>
      <c r="L2725" t="s">
        <v>422</v>
      </c>
      <c r="M2725" t="s">
        <v>443</v>
      </c>
      <c r="N2725" t="s">
        <v>443</v>
      </c>
      <c r="O2725" s="6" t="s">
        <v>612</v>
      </c>
      <c r="P2725" t="str">
        <f t="shared" si="318"/>
        <v>[1]</v>
      </c>
      <c r="Q2725">
        <f t="shared" si="319"/>
        <v>0</v>
      </c>
      <c r="R2725" t="str">
        <f t="shared" si="320"/>
        <v/>
      </c>
      <c r="S2725">
        <f>SUMIF(O2725:$O$2855,R2725,Q2725:$Q$2855)</f>
        <v>0</v>
      </c>
    </row>
    <row r="2726" spans="11:19" x14ac:dyDescent="0.25">
      <c r="K2726" s="4" t="s">
        <v>421</v>
      </c>
      <c r="L2726" t="s">
        <v>422</v>
      </c>
      <c r="M2726" t="s">
        <v>443</v>
      </c>
      <c r="N2726" t="s">
        <v>443</v>
      </c>
      <c r="O2726" s="6" t="s">
        <v>612</v>
      </c>
      <c r="P2726" t="str">
        <f t="shared" si="318"/>
        <v>[1]</v>
      </c>
      <c r="Q2726">
        <f t="shared" si="319"/>
        <v>0</v>
      </c>
      <c r="R2726" t="str">
        <f t="shared" si="320"/>
        <v/>
      </c>
      <c r="S2726">
        <f>SUMIF(O2726:$O$2855,R2726,Q2726:$Q$2855)</f>
        <v>0</v>
      </c>
    </row>
    <row r="2727" spans="11:19" x14ac:dyDescent="0.25">
      <c r="K2727" s="4" t="s">
        <v>421</v>
      </c>
      <c r="L2727" t="s">
        <v>422</v>
      </c>
      <c r="M2727" t="s">
        <v>443</v>
      </c>
      <c r="N2727" t="s">
        <v>443</v>
      </c>
      <c r="O2727" s="6" t="s">
        <v>612</v>
      </c>
      <c r="P2727" t="str">
        <f t="shared" si="318"/>
        <v>[1]</v>
      </c>
      <c r="Q2727">
        <f t="shared" si="319"/>
        <v>0</v>
      </c>
      <c r="R2727" t="str">
        <f t="shared" si="320"/>
        <v/>
      </c>
      <c r="S2727">
        <f>SUMIF(O2727:$O$2855,R2727,Q2727:$Q$2855)</f>
        <v>0</v>
      </c>
    </row>
    <row r="2728" spans="11:19" x14ac:dyDescent="0.25">
      <c r="K2728" s="4" t="s">
        <v>421</v>
      </c>
      <c r="L2728" t="s">
        <v>422</v>
      </c>
      <c r="M2728" t="s">
        <v>443</v>
      </c>
      <c r="N2728" t="s">
        <v>443</v>
      </c>
      <c r="O2728" s="6" t="s">
        <v>612</v>
      </c>
      <c r="P2728" t="str">
        <f t="shared" si="318"/>
        <v>[1]</v>
      </c>
      <c r="Q2728">
        <f t="shared" si="319"/>
        <v>0</v>
      </c>
      <c r="R2728" t="str">
        <f t="shared" si="320"/>
        <v/>
      </c>
      <c r="S2728">
        <f>SUMIF(O2728:$O$2855,R2728,Q2728:$Q$2855)</f>
        <v>0</v>
      </c>
    </row>
    <row r="2729" spans="11:19" x14ac:dyDescent="0.25">
      <c r="K2729" s="4" t="s">
        <v>421</v>
      </c>
      <c r="L2729" t="s">
        <v>422</v>
      </c>
      <c r="M2729" t="s">
        <v>443</v>
      </c>
      <c r="N2729" t="s">
        <v>443</v>
      </c>
      <c r="O2729" s="6" t="s">
        <v>612</v>
      </c>
      <c r="P2729" t="str">
        <f t="shared" si="318"/>
        <v>[1]</v>
      </c>
      <c r="Q2729">
        <f t="shared" si="319"/>
        <v>0</v>
      </c>
      <c r="R2729" t="str">
        <f t="shared" si="320"/>
        <v/>
      </c>
      <c r="S2729">
        <f>SUMIF(O2729:$O$2855,R2729,Q2729:$Q$2855)</f>
        <v>0</v>
      </c>
    </row>
    <row r="2730" spans="11:19" x14ac:dyDescent="0.25">
      <c r="K2730" s="4" t="s">
        <v>421</v>
      </c>
      <c r="L2730" t="s">
        <v>422</v>
      </c>
      <c r="M2730" t="s">
        <v>443</v>
      </c>
      <c r="N2730" t="s">
        <v>443</v>
      </c>
      <c r="O2730" s="6" t="s">
        <v>612</v>
      </c>
      <c r="P2730" t="str">
        <f t="shared" si="318"/>
        <v>[1]</v>
      </c>
      <c r="Q2730">
        <f t="shared" si="319"/>
        <v>0</v>
      </c>
      <c r="R2730" t="str">
        <f t="shared" si="320"/>
        <v/>
      </c>
      <c r="S2730">
        <f>SUMIF(O2730:$O$2855,R2730,Q2730:$Q$2855)</f>
        <v>0</v>
      </c>
    </row>
    <row r="2731" spans="11:19" x14ac:dyDescent="0.25">
      <c r="K2731" s="4" t="s">
        <v>421</v>
      </c>
      <c r="L2731" t="s">
        <v>422</v>
      </c>
      <c r="M2731" t="s">
        <v>443</v>
      </c>
      <c r="N2731" t="s">
        <v>443</v>
      </c>
      <c r="O2731" s="6" t="s">
        <v>612</v>
      </c>
      <c r="P2731" t="str">
        <f t="shared" si="318"/>
        <v>[1]</v>
      </c>
      <c r="Q2731">
        <f t="shared" si="319"/>
        <v>0</v>
      </c>
      <c r="R2731" t="str">
        <f t="shared" si="320"/>
        <v/>
      </c>
      <c r="S2731">
        <f>SUMIF(O2731:$O$2855,R2731,Q2731:$Q$2855)</f>
        <v>0</v>
      </c>
    </row>
    <row r="2732" spans="11:19" x14ac:dyDescent="0.25">
      <c r="K2732" s="4" t="s">
        <v>421</v>
      </c>
      <c r="L2732" t="s">
        <v>422</v>
      </c>
      <c r="M2732" t="s">
        <v>443</v>
      </c>
      <c r="N2732" t="s">
        <v>443</v>
      </c>
      <c r="O2732" s="6" t="s">
        <v>612</v>
      </c>
      <c r="P2732" t="str">
        <f t="shared" si="318"/>
        <v>[1]</v>
      </c>
      <c r="Q2732">
        <f t="shared" si="319"/>
        <v>0</v>
      </c>
      <c r="R2732" t="str">
        <f t="shared" si="320"/>
        <v/>
      </c>
      <c r="S2732">
        <f>SUMIF(O2732:$O$2855,R2732,Q2732:$Q$2855)</f>
        <v>0</v>
      </c>
    </row>
    <row r="2733" spans="11:19" x14ac:dyDescent="0.25">
      <c r="K2733" s="4" t="s">
        <v>421</v>
      </c>
      <c r="L2733" t="s">
        <v>422</v>
      </c>
      <c r="M2733" t="s">
        <v>443</v>
      </c>
      <c r="N2733" t="s">
        <v>443</v>
      </c>
      <c r="O2733" s="6" t="s">
        <v>612</v>
      </c>
      <c r="P2733" t="str">
        <f t="shared" si="318"/>
        <v>[1]</v>
      </c>
      <c r="Q2733">
        <f t="shared" si="319"/>
        <v>0</v>
      </c>
      <c r="R2733" t="str">
        <f t="shared" si="320"/>
        <v/>
      </c>
      <c r="S2733">
        <f>SUMIF(O2733:$O$2855,R2733,Q2733:$Q$2855)</f>
        <v>0</v>
      </c>
    </row>
    <row r="2734" spans="11:19" x14ac:dyDescent="0.25">
      <c r="K2734" s="4" t="s">
        <v>421</v>
      </c>
      <c r="L2734" t="s">
        <v>422</v>
      </c>
      <c r="M2734" t="s">
        <v>443</v>
      </c>
      <c r="N2734" t="s">
        <v>443</v>
      </c>
      <c r="O2734" s="6" t="s">
        <v>612</v>
      </c>
      <c r="P2734" t="str">
        <f t="shared" si="318"/>
        <v>[1]</v>
      </c>
      <c r="Q2734">
        <f t="shared" si="319"/>
        <v>0</v>
      </c>
      <c r="R2734" t="str">
        <f t="shared" si="320"/>
        <v/>
      </c>
      <c r="S2734">
        <f>SUMIF(O2734:$O$2855,R2734,Q2734:$Q$2855)</f>
        <v>0</v>
      </c>
    </row>
    <row r="2735" spans="11:19" x14ac:dyDescent="0.25">
      <c r="K2735" s="4" t="s">
        <v>421</v>
      </c>
      <c r="L2735" t="s">
        <v>422</v>
      </c>
      <c r="M2735" t="s">
        <v>443</v>
      </c>
      <c r="N2735" t="s">
        <v>443</v>
      </c>
      <c r="O2735" s="6" t="s">
        <v>612</v>
      </c>
      <c r="P2735" t="str">
        <f t="shared" si="318"/>
        <v>[1]</v>
      </c>
      <c r="Q2735">
        <f t="shared" si="319"/>
        <v>0</v>
      </c>
      <c r="R2735" t="str">
        <f t="shared" si="320"/>
        <v/>
      </c>
      <c r="S2735">
        <f>SUMIF(O2735:$O$2855,R2735,Q2735:$Q$2855)</f>
        <v>0</v>
      </c>
    </row>
    <row r="2736" spans="11:19" x14ac:dyDescent="0.25">
      <c r="K2736" s="4" t="s">
        <v>421</v>
      </c>
      <c r="L2736" t="s">
        <v>422</v>
      </c>
      <c r="M2736" t="s">
        <v>443</v>
      </c>
      <c r="N2736" t="s">
        <v>443</v>
      </c>
      <c r="O2736" s="6" t="s">
        <v>612</v>
      </c>
      <c r="P2736" t="str">
        <f t="shared" si="318"/>
        <v>[1]</v>
      </c>
      <c r="Q2736">
        <f t="shared" si="319"/>
        <v>0</v>
      </c>
      <c r="R2736" t="str">
        <f t="shared" si="320"/>
        <v/>
      </c>
      <c r="S2736">
        <f>SUMIF(O2736:$O$2855,R2736,Q2736:$Q$2855)</f>
        <v>0</v>
      </c>
    </row>
    <row r="2737" spans="11:19" x14ac:dyDescent="0.25">
      <c r="K2737" s="4" t="s">
        <v>421</v>
      </c>
      <c r="L2737" t="s">
        <v>422</v>
      </c>
      <c r="M2737" t="s">
        <v>443</v>
      </c>
      <c r="N2737" t="s">
        <v>443</v>
      </c>
      <c r="O2737" s="6" t="s">
        <v>612</v>
      </c>
      <c r="P2737" t="str">
        <f t="shared" si="318"/>
        <v>[1]</v>
      </c>
      <c r="Q2737">
        <f t="shared" si="319"/>
        <v>0</v>
      </c>
      <c r="R2737" t="str">
        <f t="shared" si="320"/>
        <v/>
      </c>
      <c r="S2737">
        <f>SUMIF(O2737:$O$2855,R2737,Q2737:$Q$2855)</f>
        <v>0</v>
      </c>
    </row>
    <row r="2738" spans="11:19" x14ac:dyDescent="0.25">
      <c r="K2738" s="4" t="s">
        <v>421</v>
      </c>
      <c r="L2738" t="s">
        <v>422</v>
      </c>
      <c r="M2738" t="s">
        <v>443</v>
      </c>
      <c r="N2738" t="s">
        <v>443</v>
      </c>
      <c r="O2738" s="6" t="s">
        <v>612</v>
      </c>
      <c r="P2738" t="str">
        <f t="shared" si="318"/>
        <v>[1]</v>
      </c>
      <c r="Q2738">
        <f t="shared" si="319"/>
        <v>0</v>
      </c>
      <c r="R2738" t="str">
        <f t="shared" si="320"/>
        <v/>
      </c>
      <c r="S2738">
        <f>SUMIF(O2738:$O$2855,R2738,Q2738:$Q$2855)</f>
        <v>0</v>
      </c>
    </row>
    <row r="2739" spans="11:19" x14ac:dyDescent="0.25">
      <c r="K2739" s="4" t="s">
        <v>421</v>
      </c>
      <c r="L2739" t="s">
        <v>422</v>
      </c>
      <c r="M2739" t="s">
        <v>443</v>
      </c>
      <c r="N2739" t="s">
        <v>443</v>
      </c>
      <c r="O2739" s="6" t="s">
        <v>612</v>
      </c>
      <c r="P2739" t="str">
        <f t="shared" si="318"/>
        <v>[1]</v>
      </c>
      <c r="Q2739">
        <f t="shared" si="319"/>
        <v>0</v>
      </c>
      <c r="R2739" t="str">
        <f t="shared" si="320"/>
        <v/>
      </c>
      <c r="S2739">
        <f>SUMIF(O2739:$O$2855,R2739,Q2739:$Q$2855)</f>
        <v>0</v>
      </c>
    </row>
    <row r="2740" spans="11:19" x14ac:dyDescent="0.25">
      <c r="K2740" s="4" t="s">
        <v>421</v>
      </c>
      <c r="L2740" t="s">
        <v>422</v>
      </c>
      <c r="M2740" t="s">
        <v>443</v>
      </c>
      <c r="N2740" t="s">
        <v>443</v>
      </c>
      <c r="O2740" s="6" t="s">
        <v>612</v>
      </c>
      <c r="P2740" t="str">
        <f t="shared" si="318"/>
        <v>[1]</v>
      </c>
      <c r="Q2740">
        <f t="shared" si="319"/>
        <v>0</v>
      </c>
      <c r="R2740" t="str">
        <f t="shared" si="320"/>
        <v/>
      </c>
      <c r="S2740">
        <f>SUMIF(O2740:$O$2855,R2740,Q2740:$Q$2855)</f>
        <v>0</v>
      </c>
    </row>
    <row r="2741" spans="11:19" x14ac:dyDescent="0.25">
      <c r="K2741" s="4" t="s">
        <v>421</v>
      </c>
      <c r="L2741" t="s">
        <v>422</v>
      </c>
      <c r="M2741" t="s">
        <v>443</v>
      </c>
      <c r="N2741" t="s">
        <v>443</v>
      </c>
      <c r="O2741" s="6" t="s">
        <v>612</v>
      </c>
      <c r="P2741" t="str">
        <f t="shared" si="318"/>
        <v>[1]</v>
      </c>
      <c r="Q2741">
        <f t="shared" ref="Q2741:Q2772" si="321">HEX2DEC(MID(N2741,3,LEN(N2741)-2))</f>
        <v>0</v>
      </c>
      <c r="R2741" t="str">
        <f t="shared" si="320"/>
        <v/>
      </c>
      <c r="S2741">
        <f>SUMIF(O2741:$O$2855,R2741,Q2741:$Q$2855)</f>
        <v>0</v>
      </c>
    </row>
    <row r="2742" spans="11:19" x14ac:dyDescent="0.25">
      <c r="K2742" s="4" t="s">
        <v>421</v>
      </c>
      <c r="L2742" t="s">
        <v>422</v>
      </c>
      <c r="M2742" t="s">
        <v>443</v>
      </c>
      <c r="N2742" t="s">
        <v>443</v>
      </c>
      <c r="O2742" s="6" t="s">
        <v>612</v>
      </c>
      <c r="P2742" t="str">
        <f t="shared" si="318"/>
        <v>[1]</v>
      </c>
      <c r="Q2742">
        <f t="shared" si="321"/>
        <v>0</v>
      </c>
      <c r="R2742" t="str">
        <f t="shared" si="320"/>
        <v/>
      </c>
      <c r="S2742">
        <f>SUMIF(O2742:$O$2855,R2742,Q2742:$Q$2855)</f>
        <v>0</v>
      </c>
    </row>
    <row r="2743" spans="11:19" x14ac:dyDescent="0.25">
      <c r="K2743" s="4" t="s">
        <v>421</v>
      </c>
      <c r="L2743" t="s">
        <v>422</v>
      </c>
      <c r="M2743" t="s">
        <v>443</v>
      </c>
      <c r="N2743" t="s">
        <v>443</v>
      </c>
      <c r="O2743" s="6" t="s">
        <v>612</v>
      </c>
      <c r="P2743" t="str">
        <f t="shared" si="318"/>
        <v>[1]</v>
      </c>
      <c r="Q2743">
        <f t="shared" si="321"/>
        <v>0</v>
      </c>
      <c r="R2743" t="str">
        <f t="shared" si="320"/>
        <v/>
      </c>
      <c r="S2743">
        <f>SUMIF(O2743:$O$2855,R2743,Q2743:$Q$2855)</f>
        <v>0</v>
      </c>
    </row>
    <row r="2744" spans="11:19" x14ac:dyDescent="0.25">
      <c r="K2744" s="4" t="s">
        <v>421</v>
      </c>
      <c r="L2744" t="s">
        <v>422</v>
      </c>
      <c r="M2744" t="s">
        <v>443</v>
      </c>
      <c r="N2744" t="s">
        <v>443</v>
      </c>
      <c r="O2744" s="6" t="s">
        <v>612</v>
      </c>
      <c r="P2744" t="str">
        <f t="shared" si="318"/>
        <v>[1]</v>
      </c>
      <c r="Q2744">
        <f t="shared" si="321"/>
        <v>0</v>
      </c>
      <c r="R2744" t="str">
        <f t="shared" si="320"/>
        <v/>
      </c>
      <c r="S2744">
        <f>SUMIF(O2744:$O$2855,R2744,Q2744:$Q$2855)</f>
        <v>0</v>
      </c>
    </row>
    <row r="2745" spans="11:19" x14ac:dyDescent="0.25">
      <c r="K2745" s="4" t="s">
        <v>421</v>
      </c>
      <c r="L2745" t="s">
        <v>422</v>
      </c>
      <c r="M2745" t="s">
        <v>443</v>
      </c>
      <c r="N2745" t="s">
        <v>443</v>
      </c>
      <c r="O2745" s="6" t="s">
        <v>612</v>
      </c>
      <c r="P2745" t="str">
        <f t="shared" si="318"/>
        <v>[1]</v>
      </c>
      <c r="Q2745">
        <f t="shared" si="321"/>
        <v>0</v>
      </c>
      <c r="R2745" t="str">
        <f t="shared" si="320"/>
        <v/>
      </c>
      <c r="S2745">
        <f>SUMIF(O2745:$O$2855,R2745,Q2745:$Q$2855)</f>
        <v>0</v>
      </c>
    </row>
    <row r="2746" spans="11:19" x14ac:dyDescent="0.25">
      <c r="K2746" s="4" t="s">
        <v>421</v>
      </c>
      <c r="L2746" t="s">
        <v>422</v>
      </c>
      <c r="M2746" t="s">
        <v>443</v>
      </c>
      <c r="N2746" t="s">
        <v>443</v>
      </c>
      <c r="O2746" s="6" t="s">
        <v>612</v>
      </c>
      <c r="P2746" t="str">
        <f t="shared" si="318"/>
        <v>[1]</v>
      </c>
      <c r="Q2746">
        <f t="shared" si="321"/>
        <v>0</v>
      </c>
      <c r="R2746" t="str">
        <f t="shared" si="320"/>
        <v/>
      </c>
      <c r="S2746">
        <f>SUMIF(O2746:$O$2855,R2746,Q2746:$Q$2855)</f>
        <v>0</v>
      </c>
    </row>
    <row r="2747" spans="11:19" x14ac:dyDescent="0.25">
      <c r="K2747" s="4" t="s">
        <v>421</v>
      </c>
      <c r="L2747" t="s">
        <v>422</v>
      </c>
      <c r="M2747" t="s">
        <v>443</v>
      </c>
      <c r="N2747" t="s">
        <v>443</v>
      </c>
      <c r="O2747" s="6" t="s">
        <v>612</v>
      </c>
      <c r="P2747" t="str">
        <f t="shared" si="318"/>
        <v>[1]</v>
      </c>
      <c r="Q2747">
        <f t="shared" si="321"/>
        <v>0</v>
      </c>
      <c r="R2747" t="str">
        <f t="shared" si="320"/>
        <v/>
      </c>
      <c r="S2747">
        <f>SUMIF(O2747:$O$2855,R2747,Q2747:$Q$2855)</f>
        <v>0</v>
      </c>
    </row>
    <row r="2748" spans="11:19" x14ac:dyDescent="0.25">
      <c r="K2748" s="4" t="s">
        <v>421</v>
      </c>
      <c r="L2748" t="s">
        <v>422</v>
      </c>
      <c r="M2748" t="s">
        <v>443</v>
      </c>
      <c r="N2748" t="s">
        <v>443</v>
      </c>
      <c r="O2748" s="6" t="s">
        <v>612</v>
      </c>
      <c r="P2748" t="str">
        <f t="shared" si="318"/>
        <v>[1]</v>
      </c>
      <c r="Q2748">
        <f t="shared" si="321"/>
        <v>0</v>
      </c>
      <c r="R2748" t="str">
        <f t="shared" si="320"/>
        <v/>
      </c>
      <c r="S2748">
        <f>SUMIF(O2748:$O$2855,R2748,Q2748:$Q$2855)</f>
        <v>0</v>
      </c>
    </row>
    <row r="2749" spans="11:19" x14ac:dyDescent="0.25">
      <c r="K2749" s="4" t="s">
        <v>421</v>
      </c>
      <c r="L2749" t="s">
        <v>422</v>
      </c>
      <c r="M2749" t="s">
        <v>443</v>
      </c>
      <c r="N2749" t="s">
        <v>443</v>
      </c>
      <c r="O2749" s="6" t="s">
        <v>612</v>
      </c>
      <c r="P2749" t="str">
        <f t="shared" si="318"/>
        <v>[1]</v>
      </c>
      <c r="Q2749">
        <f t="shared" si="321"/>
        <v>0</v>
      </c>
      <c r="R2749" t="str">
        <f t="shared" si="320"/>
        <v/>
      </c>
      <c r="S2749">
        <f>SUMIF(O2749:$O$2855,R2749,Q2749:$Q$2855)</f>
        <v>0</v>
      </c>
    </row>
    <row r="2750" spans="11:19" x14ac:dyDescent="0.25">
      <c r="K2750" s="4" t="s">
        <v>421</v>
      </c>
      <c r="L2750" t="s">
        <v>422</v>
      </c>
      <c r="M2750" t="s">
        <v>443</v>
      </c>
      <c r="N2750" t="s">
        <v>443</v>
      </c>
      <c r="O2750" s="6" t="s">
        <v>612</v>
      </c>
      <c r="P2750" t="str">
        <f t="shared" si="318"/>
        <v>[1]</v>
      </c>
      <c r="Q2750">
        <f t="shared" si="321"/>
        <v>0</v>
      </c>
      <c r="R2750" t="str">
        <f t="shared" si="320"/>
        <v/>
      </c>
      <c r="S2750">
        <f>SUMIF(O2750:$O$2855,R2750,Q2750:$Q$2855)</f>
        <v>0</v>
      </c>
    </row>
    <row r="2751" spans="11:19" x14ac:dyDescent="0.25">
      <c r="K2751" s="4" t="s">
        <v>421</v>
      </c>
      <c r="L2751" t="s">
        <v>422</v>
      </c>
      <c r="M2751" t="s">
        <v>443</v>
      </c>
      <c r="N2751" t="s">
        <v>443</v>
      </c>
      <c r="O2751" s="6" t="s">
        <v>612</v>
      </c>
      <c r="P2751" t="str">
        <f t="shared" si="318"/>
        <v>[1]</v>
      </c>
      <c r="Q2751">
        <f t="shared" si="321"/>
        <v>0</v>
      </c>
      <c r="R2751" t="str">
        <f t="shared" si="320"/>
        <v/>
      </c>
      <c r="S2751">
        <f>SUMIF(O2751:$O$2855,R2751,Q2751:$Q$2855)</f>
        <v>0</v>
      </c>
    </row>
    <row r="2752" spans="11:19" x14ac:dyDescent="0.25">
      <c r="K2752" s="4" t="s">
        <v>421</v>
      </c>
      <c r="L2752" t="s">
        <v>422</v>
      </c>
      <c r="M2752" t="s">
        <v>443</v>
      </c>
      <c r="N2752" t="s">
        <v>443</v>
      </c>
      <c r="O2752" s="6" t="s">
        <v>612</v>
      </c>
      <c r="P2752" t="str">
        <f t="shared" si="318"/>
        <v>[1]</v>
      </c>
      <c r="Q2752">
        <f t="shared" si="321"/>
        <v>0</v>
      </c>
      <c r="R2752" t="str">
        <f t="shared" si="320"/>
        <v/>
      </c>
      <c r="S2752">
        <f>SUMIF(O2752:$O$2855,R2752,Q2752:$Q$2855)</f>
        <v>0</v>
      </c>
    </row>
    <row r="2753" spans="11:19" x14ac:dyDescent="0.25">
      <c r="K2753" s="4" t="s">
        <v>421</v>
      </c>
      <c r="L2753" t="s">
        <v>422</v>
      </c>
      <c r="M2753" t="s">
        <v>443</v>
      </c>
      <c r="N2753" t="s">
        <v>443</v>
      </c>
      <c r="O2753" s="6" t="s">
        <v>612</v>
      </c>
      <c r="P2753" t="str">
        <f t="shared" si="318"/>
        <v>[1]</v>
      </c>
      <c r="Q2753">
        <f t="shared" si="321"/>
        <v>0</v>
      </c>
      <c r="R2753" t="str">
        <f t="shared" si="320"/>
        <v/>
      </c>
      <c r="S2753">
        <f>SUMIF(O2753:$O$2855,R2753,Q2753:$Q$2855)</f>
        <v>0</v>
      </c>
    </row>
    <row r="2754" spans="11:19" x14ac:dyDescent="0.25">
      <c r="K2754" s="4" t="s">
        <v>421</v>
      </c>
      <c r="L2754" t="s">
        <v>422</v>
      </c>
      <c r="M2754" t="s">
        <v>443</v>
      </c>
      <c r="N2754" t="s">
        <v>443</v>
      </c>
      <c r="O2754" s="6" t="s">
        <v>612</v>
      </c>
      <c r="P2754" t="str">
        <f t="shared" si="318"/>
        <v>[1]</v>
      </c>
      <c r="Q2754">
        <f t="shared" si="321"/>
        <v>0</v>
      </c>
      <c r="R2754" t="str">
        <f t="shared" si="320"/>
        <v/>
      </c>
      <c r="S2754">
        <f>SUMIF(O2754:$O$2855,R2754,Q2754:$Q$2855)</f>
        <v>0</v>
      </c>
    </row>
    <row r="2755" spans="11:19" x14ac:dyDescent="0.25">
      <c r="K2755" s="4" t="s">
        <v>421</v>
      </c>
      <c r="L2755" t="s">
        <v>422</v>
      </c>
      <c r="M2755" t="s">
        <v>443</v>
      </c>
      <c r="N2755" t="s">
        <v>443</v>
      </c>
      <c r="O2755" s="6" t="s">
        <v>612</v>
      </c>
      <c r="P2755" t="str">
        <f t="shared" si="318"/>
        <v>[1]</v>
      </c>
      <c r="Q2755">
        <f t="shared" si="321"/>
        <v>0</v>
      </c>
      <c r="R2755" t="str">
        <f t="shared" si="320"/>
        <v/>
      </c>
      <c r="S2755">
        <f>SUMIF(O2755:$O$2855,R2755,Q2755:$Q$2855)</f>
        <v>0</v>
      </c>
    </row>
    <row r="2756" spans="11:19" x14ac:dyDescent="0.25">
      <c r="K2756" s="4" t="s">
        <v>421</v>
      </c>
      <c r="L2756" t="s">
        <v>422</v>
      </c>
      <c r="M2756" t="s">
        <v>443</v>
      </c>
      <c r="N2756" t="s">
        <v>443</v>
      </c>
      <c r="O2756" s="6" t="s">
        <v>612</v>
      </c>
      <c r="P2756" t="str">
        <f t="shared" si="318"/>
        <v>[1]</v>
      </c>
      <c r="Q2756">
        <f t="shared" si="321"/>
        <v>0</v>
      </c>
      <c r="R2756" t="str">
        <f t="shared" si="320"/>
        <v/>
      </c>
      <c r="S2756">
        <f>SUMIF(O2756:$O$2855,R2756,Q2756:$Q$2855)</f>
        <v>0</v>
      </c>
    </row>
    <row r="2757" spans="11:19" x14ac:dyDescent="0.25">
      <c r="K2757" s="4" t="s">
        <v>421</v>
      </c>
      <c r="L2757" t="s">
        <v>422</v>
      </c>
      <c r="M2757" t="s">
        <v>443</v>
      </c>
      <c r="N2757" t="s">
        <v>443</v>
      </c>
      <c r="O2757" s="6" t="s">
        <v>612</v>
      </c>
      <c r="P2757" t="str">
        <f t="shared" si="318"/>
        <v>[1]</v>
      </c>
      <c r="Q2757">
        <f t="shared" si="321"/>
        <v>0</v>
      </c>
      <c r="R2757" t="str">
        <f t="shared" si="320"/>
        <v/>
      </c>
      <c r="S2757">
        <f>SUMIF(O2757:$O$2855,R2757,Q2757:$Q$2855)</f>
        <v>0</v>
      </c>
    </row>
    <row r="2758" spans="11:19" x14ac:dyDescent="0.25">
      <c r="K2758" s="4" t="s">
        <v>421</v>
      </c>
      <c r="L2758" t="s">
        <v>422</v>
      </c>
      <c r="M2758" t="s">
        <v>443</v>
      </c>
      <c r="N2758" t="s">
        <v>443</v>
      </c>
      <c r="O2758" s="6" t="s">
        <v>612</v>
      </c>
      <c r="P2758" t="str">
        <f t="shared" si="318"/>
        <v>[1]</v>
      </c>
      <c r="Q2758">
        <f t="shared" si="321"/>
        <v>0</v>
      </c>
      <c r="R2758" t="str">
        <f t="shared" si="320"/>
        <v/>
      </c>
      <c r="S2758">
        <f>SUMIF(O2758:$O$2855,R2758,Q2758:$Q$2855)</f>
        <v>0</v>
      </c>
    </row>
    <row r="2759" spans="11:19" x14ac:dyDescent="0.25">
      <c r="K2759" s="4" t="s">
        <v>421</v>
      </c>
      <c r="L2759" t="s">
        <v>422</v>
      </c>
      <c r="M2759" t="s">
        <v>443</v>
      </c>
      <c r="N2759" t="s">
        <v>443</v>
      </c>
      <c r="O2759" s="6" t="s">
        <v>612</v>
      </c>
      <c r="P2759" t="str">
        <f t="shared" si="318"/>
        <v>[1]</v>
      </c>
      <c r="Q2759">
        <f t="shared" si="321"/>
        <v>0</v>
      </c>
      <c r="R2759" t="str">
        <f t="shared" si="320"/>
        <v/>
      </c>
      <c r="S2759">
        <f>SUMIF(O2759:$O$2855,R2759,Q2759:$Q$2855)</f>
        <v>0</v>
      </c>
    </row>
    <row r="2760" spans="11:19" x14ac:dyDescent="0.25">
      <c r="K2760" s="4" t="s">
        <v>421</v>
      </c>
      <c r="L2760" t="s">
        <v>422</v>
      </c>
      <c r="M2760" t="s">
        <v>443</v>
      </c>
      <c r="N2760" t="s">
        <v>443</v>
      </c>
      <c r="O2760" s="6" t="s">
        <v>612</v>
      </c>
      <c r="P2760" t="str">
        <f t="shared" si="318"/>
        <v>[1]</v>
      </c>
      <c r="Q2760">
        <f t="shared" si="321"/>
        <v>0</v>
      </c>
      <c r="R2760" t="str">
        <f t="shared" si="320"/>
        <v/>
      </c>
      <c r="S2760">
        <f>SUMIF(O2760:$O$2855,R2760,Q2760:$Q$2855)</f>
        <v>0</v>
      </c>
    </row>
    <row r="2761" spans="11:19" x14ac:dyDescent="0.25">
      <c r="K2761" s="4" t="s">
        <v>421</v>
      </c>
      <c r="L2761" t="s">
        <v>422</v>
      </c>
      <c r="M2761" t="s">
        <v>443</v>
      </c>
      <c r="N2761" t="s">
        <v>443</v>
      </c>
      <c r="O2761" s="6" t="s">
        <v>612</v>
      </c>
      <c r="P2761" t="str">
        <f t="shared" si="318"/>
        <v>[1]</v>
      </c>
      <c r="Q2761">
        <f t="shared" si="321"/>
        <v>0</v>
      </c>
      <c r="R2761" t="str">
        <f t="shared" si="320"/>
        <v/>
      </c>
      <c r="S2761">
        <f>SUMIF(O2761:$O$2855,R2761,Q2761:$Q$2855)</f>
        <v>0</v>
      </c>
    </row>
    <row r="2762" spans="11:19" x14ac:dyDescent="0.25">
      <c r="K2762" s="4" t="s">
        <v>421</v>
      </c>
      <c r="L2762" t="s">
        <v>422</v>
      </c>
      <c r="M2762" t="s">
        <v>443</v>
      </c>
      <c r="N2762" t="s">
        <v>443</v>
      </c>
      <c r="O2762" s="6" t="s">
        <v>612</v>
      </c>
      <c r="P2762" t="str">
        <f t="shared" si="318"/>
        <v>[1]</v>
      </c>
      <c r="Q2762">
        <f t="shared" si="321"/>
        <v>0</v>
      </c>
      <c r="R2762" t="str">
        <f t="shared" si="320"/>
        <v/>
      </c>
      <c r="S2762">
        <f>SUMIF(O2762:$O$2855,R2762,Q2762:$Q$2855)</f>
        <v>0</v>
      </c>
    </row>
    <row r="2763" spans="11:19" x14ac:dyDescent="0.25">
      <c r="K2763" s="4" t="s">
        <v>421</v>
      </c>
      <c r="L2763" t="s">
        <v>422</v>
      </c>
      <c r="M2763" t="s">
        <v>443</v>
      </c>
      <c r="N2763" t="s">
        <v>443</v>
      </c>
      <c r="O2763" s="6" t="s">
        <v>612</v>
      </c>
      <c r="P2763" t="str">
        <f t="shared" si="318"/>
        <v>[1]</v>
      </c>
      <c r="Q2763">
        <f t="shared" si="321"/>
        <v>0</v>
      </c>
      <c r="R2763" t="str">
        <f t="shared" si="320"/>
        <v/>
      </c>
      <c r="S2763">
        <f>SUMIF(O2763:$O$2855,R2763,Q2763:$Q$2855)</f>
        <v>0</v>
      </c>
    </row>
    <row r="2764" spans="11:19" x14ac:dyDescent="0.25">
      <c r="K2764" s="4" t="s">
        <v>421</v>
      </c>
      <c r="L2764" t="s">
        <v>422</v>
      </c>
      <c r="M2764" t="s">
        <v>443</v>
      </c>
      <c r="N2764" t="s">
        <v>443</v>
      </c>
      <c r="O2764" s="6" t="s">
        <v>612</v>
      </c>
      <c r="P2764" t="str">
        <f t="shared" si="318"/>
        <v>[1]</v>
      </c>
      <c r="Q2764">
        <f t="shared" si="321"/>
        <v>0</v>
      </c>
      <c r="R2764" t="str">
        <f t="shared" si="320"/>
        <v/>
      </c>
      <c r="S2764">
        <f>SUMIF(O2764:$O$2855,R2764,Q2764:$Q$2855)</f>
        <v>0</v>
      </c>
    </row>
    <row r="2765" spans="11:19" x14ac:dyDescent="0.25">
      <c r="K2765" s="4" t="s">
        <v>421</v>
      </c>
      <c r="L2765" t="s">
        <v>422</v>
      </c>
      <c r="M2765" t="s">
        <v>443</v>
      </c>
      <c r="N2765" t="s">
        <v>443</v>
      </c>
      <c r="O2765" s="6" t="s">
        <v>612</v>
      </c>
      <c r="P2765" t="str">
        <f t="shared" si="318"/>
        <v>[1]</v>
      </c>
      <c r="Q2765">
        <f t="shared" si="321"/>
        <v>0</v>
      </c>
      <c r="R2765" t="str">
        <f t="shared" si="320"/>
        <v/>
      </c>
      <c r="S2765">
        <f>SUMIF(O2765:$O$2855,R2765,Q2765:$Q$2855)</f>
        <v>0</v>
      </c>
    </row>
    <row r="2766" spans="11:19" x14ac:dyDescent="0.25">
      <c r="K2766" s="4" t="s">
        <v>421</v>
      </c>
      <c r="L2766" t="s">
        <v>422</v>
      </c>
      <c r="M2766" t="s">
        <v>443</v>
      </c>
      <c r="N2766" t="s">
        <v>443</v>
      </c>
      <c r="O2766" s="6" t="s">
        <v>612</v>
      </c>
      <c r="P2766" t="str">
        <f t="shared" si="318"/>
        <v>[1]</v>
      </c>
      <c r="Q2766">
        <f t="shared" si="321"/>
        <v>0</v>
      </c>
      <c r="R2766" t="str">
        <f t="shared" si="320"/>
        <v/>
      </c>
      <c r="S2766">
        <f>SUMIF(O2766:$O$2855,R2766,Q2766:$Q$2855)</f>
        <v>0</v>
      </c>
    </row>
    <row r="2767" spans="11:19" x14ac:dyDescent="0.25">
      <c r="K2767" s="4" t="s">
        <v>421</v>
      </c>
      <c r="L2767" t="s">
        <v>422</v>
      </c>
      <c r="M2767" t="s">
        <v>443</v>
      </c>
      <c r="N2767" t="s">
        <v>443</v>
      </c>
      <c r="O2767" s="6" t="s">
        <v>612</v>
      </c>
      <c r="P2767" t="str">
        <f t="shared" si="318"/>
        <v>[1]</v>
      </c>
      <c r="Q2767">
        <f t="shared" si="321"/>
        <v>0</v>
      </c>
      <c r="R2767" t="str">
        <f t="shared" si="320"/>
        <v/>
      </c>
      <c r="S2767">
        <f>SUMIF(O2767:$O$2855,R2767,Q2767:$Q$2855)</f>
        <v>0</v>
      </c>
    </row>
    <row r="2768" spans="11:19" x14ac:dyDescent="0.25">
      <c r="K2768" s="4" t="s">
        <v>421</v>
      </c>
      <c r="L2768" t="s">
        <v>422</v>
      </c>
      <c r="M2768" t="s">
        <v>443</v>
      </c>
      <c r="N2768" t="s">
        <v>443</v>
      </c>
      <c r="O2768" s="6" t="s">
        <v>612</v>
      </c>
      <c r="P2768" t="str">
        <f t="shared" si="318"/>
        <v>[1]</v>
      </c>
      <c r="Q2768">
        <f t="shared" si="321"/>
        <v>0</v>
      </c>
      <c r="R2768" t="str">
        <f t="shared" si="320"/>
        <v/>
      </c>
      <c r="S2768">
        <f>SUMIF(O2768:$O$2855,R2768,Q2768:$Q$2855)</f>
        <v>0</v>
      </c>
    </row>
    <row r="2769" spans="11:19" x14ac:dyDescent="0.25">
      <c r="K2769" s="4" t="s">
        <v>421</v>
      </c>
      <c r="L2769" t="s">
        <v>422</v>
      </c>
      <c r="M2769" t="s">
        <v>443</v>
      </c>
      <c r="N2769" t="s">
        <v>443</v>
      </c>
      <c r="O2769" s="6" t="s">
        <v>612</v>
      </c>
      <c r="P2769" t="str">
        <f t="shared" si="318"/>
        <v>[1]</v>
      </c>
      <c r="Q2769">
        <f t="shared" si="321"/>
        <v>0</v>
      </c>
      <c r="R2769" t="str">
        <f t="shared" si="320"/>
        <v/>
      </c>
      <c r="S2769">
        <f>SUMIF(O2769:$O$2855,R2769,Q2769:$Q$2855)</f>
        <v>0</v>
      </c>
    </row>
    <row r="2770" spans="11:19" x14ac:dyDescent="0.25">
      <c r="K2770" s="4" t="s">
        <v>421</v>
      </c>
      <c r="L2770" t="s">
        <v>422</v>
      </c>
      <c r="M2770" t="s">
        <v>443</v>
      </c>
      <c r="N2770" t="s">
        <v>443</v>
      </c>
      <c r="O2770" s="6" t="s">
        <v>612</v>
      </c>
      <c r="P2770" t="str">
        <f t="shared" si="318"/>
        <v>[1]</v>
      </c>
      <c r="Q2770">
        <f t="shared" si="321"/>
        <v>0</v>
      </c>
      <c r="R2770" t="str">
        <f t="shared" si="320"/>
        <v/>
      </c>
      <c r="S2770">
        <f>SUMIF(O2770:$O$2855,R2770,Q2770:$Q$2855)</f>
        <v>0</v>
      </c>
    </row>
    <row r="2771" spans="11:19" x14ac:dyDescent="0.25">
      <c r="K2771" s="4" t="s">
        <v>421</v>
      </c>
      <c r="L2771" t="s">
        <v>422</v>
      </c>
      <c r="M2771" t="s">
        <v>443</v>
      </c>
      <c r="N2771" t="s">
        <v>443</v>
      </c>
      <c r="O2771" s="6" t="s">
        <v>612</v>
      </c>
      <c r="P2771" t="str">
        <f t="shared" si="318"/>
        <v>[1]</v>
      </c>
      <c r="Q2771">
        <f t="shared" si="321"/>
        <v>0</v>
      </c>
      <c r="R2771" t="str">
        <f t="shared" si="320"/>
        <v/>
      </c>
      <c r="S2771">
        <f>SUMIF(O2771:$O$2855,R2771,Q2771:$Q$2855)</f>
        <v>0</v>
      </c>
    </row>
    <row r="2772" spans="11:19" x14ac:dyDescent="0.25">
      <c r="K2772" s="4" t="s">
        <v>421</v>
      </c>
      <c r="L2772" t="s">
        <v>422</v>
      </c>
      <c r="M2772" t="s">
        <v>443</v>
      </c>
      <c r="N2772" t="s">
        <v>443</v>
      </c>
      <c r="O2772" s="6" t="s">
        <v>612</v>
      </c>
      <c r="P2772" t="str">
        <f t="shared" si="318"/>
        <v>[1]</v>
      </c>
      <c r="Q2772">
        <f t="shared" si="321"/>
        <v>0</v>
      </c>
      <c r="R2772" t="str">
        <f t="shared" si="320"/>
        <v/>
      </c>
      <c r="S2772">
        <f>SUMIF(O2772:$O$2855,R2772,Q2772:$Q$2855)</f>
        <v>0</v>
      </c>
    </row>
    <row r="2773" spans="11:19" x14ac:dyDescent="0.25">
      <c r="K2773" s="4" t="s">
        <v>421</v>
      </c>
      <c r="L2773" t="s">
        <v>422</v>
      </c>
      <c r="M2773" t="s">
        <v>443</v>
      </c>
      <c r="N2773" t="s">
        <v>443</v>
      </c>
      <c r="O2773" s="6" t="s">
        <v>612</v>
      </c>
      <c r="P2773" t="str">
        <f t="shared" si="318"/>
        <v>[1]</v>
      </c>
      <c r="Q2773">
        <f t="shared" si="319"/>
        <v>0</v>
      </c>
      <c r="R2773" t="str">
        <f t="shared" si="320"/>
        <v/>
      </c>
      <c r="S2773">
        <f>SUMIF(O2773:$O$2855,R2773,Q2773:$Q$2855)</f>
        <v>0</v>
      </c>
    </row>
    <row r="2774" spans="11:19" x14ac:dyDescent="0.25">
      <c r="K2774" s="4" t="s">
        <v>421</v>
      </c>
      <c r="L2774" t="s">
        <v>422</v>
      </c>
      <c r="M2774" t="s">
        <v>443</v>
      </c>
      <c r="N2774" t="s">
        <v>443</v>
      </c>
      <c r="O2774" s="6" t="s">
        <v>612</v>
      </c>
      <c r="P2774" t="str">
        <f t="shared" si="318"/>
        <v>[1]</v>
      </c>
      <c r="Q2774">
        <f t="shared" si="319"/>
        <v>0</v>
      </c>
      <c r="R2774" t="str">
        <f t="shared" si="320"/>
        <v/>
      </c>
      <c r="S2774">
        <f>SUMIF(O2774:$O$2855,R2774,Q2774:$Q$2855)</f>
        <v>0</v>
      </c>
    </row>
    <row r="2775" spans="11:19" x14ac:dyDescent="0.25">
      <c r="K2775" s="4" t="s">
        <v>421</v>
      </c>
      <c r="L2775" t="s">
        <v>422</v>
      </c>
      <c r="M2775" t="s">
        <v>443</v>
      </c>
      <c r="N2775" t="s">
        <v>443</v>
      </c>
      <c r="O2775" s="6" t="s">
        <v>612</v>
      </c>
      <c r="P2775" t="str">
        <f t="shared" si="318"/>
        <v>[1]</v>
      </c>
      <c r="Q2775">
        <f t="shared" si="319"/>
        <v>0</v>
      </c>
      <c r="R2775" t="str">
        <f t="shared" si="320"/>
        <v/>
      </c>
      <c r="S2775">
        <f>SUMIF(O2775:$O$2855,R2775,Q2775:$Q$2855)</f>
        <v>0</v>
      </c>
    </row>
    <row r="2776" spans="11:19" x14ac:dyDescent="0.25">
      <c r="K2776" s="4" t="s">
        <v>421</v>
      </c>
      <c r="L2776" t="s">
        <v>422</v>
      </c>
      <c r="M2776" t="s">
        <v>443</v>
      </c>
      <c r="N2776" t="s">
        <v>443</v>
      </c>
      <c r="O2776" s="6" t="s">
        <v>612</v>
      </c>
      <c r="P2776" t="str">
        <f t="shared" si="318"/>
        <v>[1]</v>
      </c>
      <c r="Q2776">
        <f t="shared" si="319"/>
        <v>0</v>
      </c>
      <c r="R2776" t="str">
        <f t="shared" si="320"/>
        <v/>
      </c>
      <c r="S2776">
        <f>SUMIF(O2776:$O$2855,R2776,Q2776:$Q$2855)</f>
        <v>0</v>
      </c>
    </row>
    <row r="2777" spans="11:19" x14ac:dyDescent="0.25">
      <c r="K2777" s="4" t="s">
        <v>421</v>
      </c>
      <c r="L2777" t="s">
        <v>422</v>
      </c>
      <c r="M2777" t="s">
        <v>443</v>
      </c>
      <c r="N2777" t="s">
        <v>443</v>
      </c>
      <c r="O2777" s="6" t="s">
        <v>612</v>
      </c>
      <c r="P2777" t="str">
        <f t="shared" si="318"/>
        <v>[1]</v>
      </c>
      <c r="Q2777">
        <f t="shared" si="319"/>
        <v>0</v>
      </c>
      <c r="R2777" t="str">
        <f t="shared" si="320"/>
        <v/>
      </c>
      <c r="S2777">
        <f>SUMIF(O2777:$O$2855,R2777,Q2777:$Q$2855)</f>
        <v>0</v>
      </c>
    </row>
    <row r="2778" spans="11:19" x14ac:dyDescent="0.25">
      <c r="K2778" s="4" t="s">
        <v>421</v>
      </c>
      <c r="L2778" t="s">
        <v>422</v>
      </c>
      <c r="M2778" t="s">
        <v>443</v>
      </c>
      <c r="N2778" t="s">
        <v>443</v>
      </c>
      <c r="O2778" s="6" t="s">
        <v>612</v>
      </c>
      <c r="P2778" t="str">
        <f t="shared" si="318"/>
        <v>[1]</v>
      </c>
      <c r="Q2778">
        <f t="shared" si="319"/>
        <v>0</v>
      </c>
      <c r="R2778" t="str">
        <f t="shared" si="320"/>
        <v/>
      </c>
      <c r="S2778">
        <f>SUMIF(O2778:$O$2855,R2778,Q2778:$Q$2855)</f>
        <v>0</v>
      </c>
    </row>
    <row r="2779" spans="11:19" x14ac:dyDescent="0.25">
      <c r="K2779" s="4" t="s">
        <v>421</v>
      </c>
      <c r="L2779" t="s">
        <v>422</v>
      </c>
      <c r="M2779" t="s">
        <v>443</v>
      </c>
      <c r="N2779" t="s">
        <v>443</v>
      </c>
      <c r="O2779" s="6" t="s">
        <v>612</v>
      </c>
      <c r="P2779" t="str">
        <f t="shared" si="318"/>
        <v>[1]</v>
      </c>
      <c r="Q2779">
        <f t="shared" si="319"/>
        <v>0</v>
      </c>
      <c r="R2779" t="str">
        <f t="shared" si="320"/>
        <v/>
      </c>
      <c r="S2779">
        <f>SUMIF(O2779:$O$2855,R2779,Q2779:$Q$2855)</f>
        <v>0</v>
      </c>
    </row>
    <row r="2780" spans="11:19" x14ac:dyDescent="0.25">
      <c r="K2780" s="4" t="s">
        <v>421</v>
      </c>
      <c r="L2780" t="s">
        <v>422</v>
      </c>
      <c r="M2780" t="s">
        <v>443</v>
      </c>
      <c r="N2780" t="s">
        <v>443</v>
      </c>
      <c r="O2780" s="6" t="s">
        <v>612</v>
      </c>
      <c r="P2780" t="str">
        <f t="shared" si="318"/>
        <v>[1]</v>
      </c>
      <c r="Q2780">
        <f t="shared" si="319"/>
        <v>0</v>
      </c>
      <c r="R2780" t="str">
        <f t="shared" si="320"/>
        <v/>
      </c>
      <c r="S2780">
        <f>SUMIF(O2780:$O$2855,R2780,Q2780:$Q$2855)</f>
        <v>0</v>
      </c>
    </row>
    <row r="2781" spans="11:19" x14ac:dyDescent="0.25">
      <c r="K2781" s="4" t="s">
        <v>421</v>
      </c>
      <c r="L2781" t="s">
        <v>422</v>
      </c>
      <c r="M2781" t="s">
        <v>443</v>
      </c>
      <c r="N2781" t="s">
        <v>443</v>
      </c>
      <c r="O2781" s="6" t="s">
        <v>612</v>
      </c>
      <c r="P2781" t="str">
        <f t="shared" si="318"/>
        <v>[1]</v>
      </c>
      <c r="Q2781">
        <f t="shared" si="319"/>
        <v>0</v>
      </c>
      <c r="R2781" t="str">
        <f t="shared" si="320"/>
        <v/>
      </c>
      <c r="S2781">
        <f>SUMIF(O2781:$O$2855,R2781,Q2781:$Q$2855)</f>
        <v>0</v>
      </c>
    </row>
    <row r="2782" spans="11:19" x14ac:dyDescent="0.25">
      <c r="K2782" s="4" t="s">
        <v>421</v>
      </c>
      <c r="L2782" t="s">
        <v>422</v>
      </c>
      <c r="M2782" t="s">
        <v>443</v>
      </c>
      <c r="N2782" t="s">
        <v>443</v>
      </c>
      <c r="O2782" s="6" t="s">
        <v>612</v>
      </c>
      <c r="P2782" t="str">
        <f t="shared" si="318"/>
        <v>[1]</v>
      </c>
      <c r="Q2782">
        <f t="shared" si="319"/>
        <v>0</v>
      </c>
      <c r="R2782" t="str">
        <f t="shared" si="320"/>
        <v/>
      </c>
      <c r="S2782">
        <f>SUMIF(O2782:$O$2855,R2782,Q2782:$Q$2855)</f>
        <v>0</v>
      </c>
    </row>
    <row r="2783" spans="11:19" x14ac:dyDescent="0.25">
      <c r="K2783" s="4" t="s">
        <v>421</v>
      </c>
      <c r="L2783" t="s">
        <v>422</v>
      </c>
      <c r="M2783" t="s">
        <v>443</v>
      </c>
      <c r="N2783" t="s">
        <v>443</v>
      </c>
      <c r="O2783" s="6" t="s">
        <v>612</v>
      </c>
      <c r="P2783" t="str">
        <f t="shared" si="318"/>
        <v>[1]</v>
      </c>
      <c r="Q2783">
        <f t="shared" si="319"/>
        <v>0</v>
      </c>
      <c r="R2783" t="str">
        <f t="shared" si="320"/>
        <v/>
      </c>
      <c r="S2783">
        <f>SUMIF(O2783:$O$2855,R2783,Q2783:$Q$2855)</f>
        <v>0</v>
      </c>
    </row>
    <row r="2784" spans="11:19" x14ac:dyDescent="0.25">
      <c r="K2784" s="4" t="s">
        <v>421</v>
      </c>
      <c r="L2784" t="s">
        <v>422</v>
      </c>
      <c r="M2784" t="s">
        <v>443</v>
      </c>
      <c r="N2784" t="s">
        <v>443</v>
      </c>
      <c r="O2784" s="6" t="s">
        <v>612</v>
      </c>
      <c r="P2784" t="str">
        <f t="shared" si="318"/>
        <v>[1]</v>
      </c>
      <c r="Q2784">
        <f t="shared" si="319"/>
        <v>0</v>
      </c>
      <c r="R2784" t="str">
        <f t="shared" ref="R2784:R2847" si="322">IF(O2784&lt;&gt;O2783,O2784,"")</f>
        <v/>
      </c>
      <c r="S2784">
        <f>SUMIF(O2784:$O$2855,R2784,Q2784:$Q$2855)</f>
        <v>0</v>
      </c>
    </row>
    <row r="2785" spans="11:19" x14ac:dyDescent="0.25">
      <c r="K2785" s="4" t="s">
        <v>421</v>
      </c>
      <c r="L2785" t="s">
        <v>422</v>
      </c>
      <c r="M2785" t="s">
        <v>443</v>
      </c>
      <c r="N2785" t="s">
        <v>443</v>
      </c>
      <c r="O2785" s="6" t="s">
        <v>612</v>
      </c>
      <c r="P2785" t="str">
        <f t="shared" si="318"/>
        <v>[1]</v>
      </c>
      <c r="Q2785">
        <f t="shared" si="319"/>
        <v>0</v>
      </c>
      <c r="R2785" t="str">
        <f t="shared" si="322"/>
        <v/>
      </c>
      <c r="S2785">
        <f>SUMIF(O2785:$O$2855,R2785,Q2785:$Q$2855)</f>
        <v>0</v>
      </c>
    </row>
    <row r="2786" spans="11:19" x14ac:dyDescent="0.25">
      <c r="K2786" s="4" t="s">
        <v>421</v>
      </c>
      <c r="L2786" t="s">
        <v>422</v>
      </c>
      <c r="M2786" t="s">
        <v>443</v>
      </c>
      <c r="N2786" t="s">
        <v>443</v>
      </c>
      <c r="O2786" s="6" t="s">
        <v>612</v>
      </c>
      <c r="P2786" t="str">
        <f t="shared" si="318"/>
        <v>[1]</v>
      </c>
      <c r="Q2786">
        <f t="shared" si="319"/>
        <v>0</v>
      </c>
      <c r="R2786" t="str">
        <f t="shared" si="322"/>
        <v/>
      </c>
      <c r="S2786">
        <f>SUMIF(O2786:$O$2855,R2786,Q2786:$Q$2855)</f>
        <v>0</v>
      </c>
    </row>
    <row r="2787" spans="11:19" x14ac:dyDescent="0.25">
      <c r="K2787" s="4" t="s">
        <v>421</v>
      </c>
      <c r="L2787" t="s">
        <v>422</v>
      </c>
      <c r="M2787" t="s">
        <v>443</v>
      </c>
      <c r="N2787" t="s">
        <v>443</v>
      </c>
      <c r="O2787" s="6" t="s">
        <v>612</v>
      </c>
      <c r="P2787" t="str">
        <f t="shared" si="318"/>
        <v>[1]</v>
      </c>
      <c r="Q2787">
        <f t="shared" si="319"/>
        <v>0</v>
      </c>
      <c r="R2787" t="str">
        <f t="shared" si="322"/>
        <v/>
      </c>
      <c r="S2787">
        <f>SUMIF(O2787:$O$2855,R2787,Q2787:$Q$2855)</f>
        <v>0</v>
      </c>
    </row>
    <row r="2788" spans="11:19" x14ac:dyDescent="0.25">
      <c r="K2788" s="4" t="s">
        <v>421</v>
      </c>
      <c r="L2788" t="s">
        <v>422</v>
      </c>
      <c r="M2788" t="s">
        <v>443</v>
      </c>
      <c r="N2788" t="s">
        <v>443</v>
      </c>
      <c r="O2788" s="6" t="s">
        <v>612</v>
      </c>
      <c r="P2788" t="str">
        <f t="shared" si="318"/>
        <v>[1]</v>
      </c>
      <c r="Q2788">
        <f t="shared" si="319"/>
        <v>0</v>
      </c>
      <c r="R2788" t="str">
        <f t="shared" si="322"/>
        <v/>
      </c>
      <c r="S2788">
        <f>SUMIF(O2788:$O$2855,R2788,Q2788:$Q$2855)</f>
        <v>0</v>
      </c>
    </row>
    <row r="2789" spans="11:19" x14ac:dyDescent="0.25">
      <c r="K2789" s="4" t="s">
        <v>421</v>
      </c>
      <c r="L2789" t="s">
        <v>422</v>
      </c>
      <c r="M2789" t="s">
        <v>443</v>
      </c>
      <c r="N2789" t="s">
        <v>443</v>
      </c>
      <c r="O2789" s="6" t="s">
        <v>612</v>
      </c>
      <c r="P2789" t="str">
        <f t="shared" si="318"/>
        <v>[1]</v>
      </c>
      <c r="Q2789">
        <f t="shared" si="319"/>
        <v>0</v>
      </c>
      <c r="R2789" t="str">
        <f t="shared" si="322"/>
        <v/>
      </c>
      <c r="S2789">
        <f>SUMIF(O2789:$O$2855,R2789,Q2789:$Q$2855)</f>
        <v>0</v>
      </c>
    </row>
    <row r="2790" spans="11:19" x14ac:dyDescent="0.25">
      <c r="K2790" s="4" t="s">
        <v>421</v>
      </c>
      <c r="L2790" t="s">
        <v>422</v>
      </c>
      <c r="M2790" t="s">
        <v>443</v>
      </c>
      <c r="N2790" t="s">
        <v>443</v>
      </c>
      <c r="O2790" s="6" t="s">
        <v>612</v>
      </c>
      <c r="P2790" t="str">
        <f t="shared" si="318"/>
        <v>[1]</v>
      </c>
      <c r="Q2790">
        <f t="shared" ref="Q2790:Q2831" si="323">HEX2DEC(MID(N2790,3,LEN(N2790)-2))</f>
        <v>0</v>
      </c>
      <c r="R2790" t="str">
        <f t="shared" si="322"/>
        <v/>
      </c>
      <c r="S2790">
        <f>SUMIF(O2790:$O$2855,R2790,Q2790:$Q$2855)</f>
        <v>0</v>
      </c>
    </row>
    <row r="2791" spans="11:19" x14ac:dyDescent="0.25">
      <c r="K2791" s="4" t="s">
        <v>421</v>
      </c>
      <c r="L2791" t="s">
        <v>422</v>
      </c>
      <c r="M2791" t="s">
        <v>443</v>
      </c>
      <c r="N2791" t="s">
        <v>443</v>
      </c>
      <c r="O2791" s="6" t="s">
        <v>612</v>
      </c>
      <c r="P2791" t="str">
        <f t="shared" si="318"/>
        <v>[1]</v>
      </c>
      <c r="Q2791">
        <f t="shared" si="323"/>
        <v>0</v>
      </c>
      <c r="R2791" t="str">
        <f t="shared" si="322"/>
        <v/>
      </c>
      <c r="S2791">
        <f>SUMIF(O2791:$O$2855,R2791,Q2791:$Q$2855)</f>
        <v>0</v>
      </c>
    </row>
    <row r="2792" spans="11:19" x14ac:dyDescent="0.25">
      <c r="K2792" s="4" t="s">
        <v>421</v>
      </c>
      <c r="L2792" t="s">
        <v>422</v>
      </c>
      <c r="M2792" t="s">
        <v>443</v>
      </c>
      <c r="N2792" t="s">
        <v>443</v>
      </c>
      <c r="O2792" s="6" t="s">
        <v>612</v>
      </c>
      <c r="P2792" t="str">
        <f t="shared" si="318"/>
        <v>[1]</v>
      </c>
      <c r="Q2792">
        <f t="shared" si="323"/>
        <v>0</v>
      </c>
      <c r="R2792" t="str">
        <f t="shared" si="322"/>
        <v/>
      </c>
      <c r="S2792">
        <f>SUMIF(O2792:$O$2855,R2792,Q2792:$Q$2855)</f>
        <v>0</v>
      </c>
    </row>
    <row r="2793" spans="11:19" x14ac:dyDescent="0.25">
      <c r="K2793" s="4" t="s">
        <v>421</v>
      </c>
      <c r="L2793" t="s">
        <v>422</v>
      </c>
      <c r="M2793" t="s">
        <v>443</v>
      </c>
      <c r="N2793" t="s">
        <v>443</v>
      </c>
      <c r="O2793" s="6" t="s">
        <v>612</v>
      </c>
      <c r="P2793" t="str">
        <f t="shared" si="318"/>
        <v>[1]</v>
      </c>
      <c r="Q2793">
        <f t="shared" si="323"/>
        <v>0</v>
      </c>
      <c r="R2793" t="str">
        <f t="shared" si="322"/>
        <v/>
      </c>
      <c r="S2793">
        <f>SUMIF(O2793:$O$2855,R2793,Q2793:$Q$2855)</f>
        <v>0</v>
      </c>
    </row>
    <row r="2794" spans="11:19" x14ac:dyDescent="0.25">
      <c r="K2794" s="4" t="s">
        <v>421</v>
      </c>
      <c r="L2794" t="s">
        <v>422</v>
      </c>
      <c r="M2794" t="s">
        <v>443</v>
      </c>
      <c r="N2794" t="s">
        <v>443</v>
      </c>
      <c r="O2794" s="6" t="s">
        <v>612</v>
      </c>
      <c r="P2794" t="str">
        <f t="shared" si="318"/>
        <v>[1]</v>
      </c>
      <c r="Q2794">
        <f t="shared" si="323"/>
        <v>0</v>
      </c>
      <c r="R2794" t="str">
        <f t="shared" si="322"/>
        <v/>
      </c>
      <c r="S2794">
        <f>SUMIF(O2794:$O$2855,R2794,Q2794:$Q$2855)</f>
        <v>0</v>
      </c>
    </row>
    <row r="2795" spans="11:19" x14ac:dyDescent="0.25">
      <c r="K2795" s="4" t="s">
        <v>421</v>
      </c>
      <c r="L2795" t="s">
        <v>422</v>
      </c>
      <c r="M2795" t="s">
        <v>443</v>
      </c>
      <c r="N2795" t="s">
        <v>443</v>
      </c>
      <c r="O2795" s="6" t="s">
        <v>612</v>
      </c>
      <c r="P2795" t="str">
        <f t="shared" si="318"/>
        <v>[1]</v>
      </c>
      <c r="Q2795">
        <f t="shared" si="323"/>
        <v>0</v>
      </c>
      <c r="R2795" t="str">
        <f t="shared" si="322"/>
        <v/>
      </c>
      <c r="S2795">
        <f>SUMIF(O2795:$O$2855,R2795,Q2795:$Q$2855)</f>
        <v>0</v>
      </c>
    </row>
    <row r="2796" spans="11:19" x14ac:dyDescent="0.25">
      <c r="K2796" s="4" t="s">
        <v>421</v>
      </c>
      <c r="L2796" t="s">
        <v>422</v>
      </c>
      <c r="M2796" t="s">
        <v>443</v>
      </c>
      <c r="N2796" t="s">
        <v>443</v>
      </c>
      <c r="O2796" s="6" t="s">
        <v>612</v>
      </c>
      <c r="P2796" t="str">
        <f t="shared" si="318"/>
        <v>[1]</v>
      </c>
      <c r="Q2796">
        <f t="shared" si="323"/>
        <v>0</v>
      </c>
      <c r="R2796" t="str">
        <f t="shared" si="322"/>
        <v/>
      </c>
      <c r="S2796">
        <f>SUMIF(O2796:$O$2855,R2796,Q2796:$Q$2855)</f>
        <v>0</v>
      </c>
    </row>
    <row r="2797" spans="11:19" x14ac:dyDescent="0.25">
      <c r="K2797" s="4" t="s">
        <v>421</v>
      </c>
      <c r="L2797" t="s">
        <v>422</v>
      </c>
      <c r="M2797" t="s">
        <v>443</v>
      </c>
      <c r="N2797" t="s">
        <v>443</v>
      </c>
      <c r="O2797" s="6" t="s">
        <v>612</v>
      </c>
      <c r="P2797" t="str">
        <f t="shared" si="318"/>
        <v>[1]</v>
      </c>
      <c r="Q2797">
        <f t="shared" si="323"/>
        <v>0</v>
      </c>
      <c r="R2797" t="str">
        <f t="shared" si="322"/>
        <v/>
      </c>
      <c r="S2797">
        <f>SUMIF(O2797:$O$2855,R2797,Q2797:$Q$2855)</f>
        <v>0</v>
      </c>
    </row>
    <row r="2798" spans="11:19" x14ac:dyDescent="0.25">
      <c r="K2798" s="4" t="s">
        <v>421</v>
      </c>
      <c r="L2798" t="s">
        <v>422</v>
      </c>
      <c r="M2798" t="s">
        <v>443</v>
      </c>
      <c r="N2798" t="s">
        <v>443</v>
      </c>
      <c r="O2798" s="6" t="s">
        <v>612</v>
      </c>
      <c r="P2798" t="str">
        <f t="shared" si="318"/>
        <v>[1]</v>
      </c>
      <c r="Q2798">
        <f t="shared" ref="Q2798:Q2824" si="324">HEX2DEC(MID(N2798,3,LEN(N2798)-2))</f>
        <v>0</v>
      </c>
      <c r="R2798" t="str">
        <f t="shared" si="322"/>
        <v/>
      </c>
      <c r="S2798">
        <f>SUMIF(O2798:$O$2855,R2798,Q2798:$Q$2855)</f>
        <v>0</v>
      </c>
    </row>
    <row r="2799" spans="11:19" x14ac:dyDescent="0.25">
      <c r="K2799" s="4" t="s">
        <v>421</v>
      </c>
      <c r="L2799" t="s">
        <v>422</v>
      </c>
      <c r="M2799" t="s">
        <v>443</v>
      </c>
      <c r="N2799" t="s">
        <v>443</v>
      </c>
      <c r="O2799" s="6" t="s">
        <v>612</v>
      </c>
      <c r="P2799" t="str">
        <f t="shared" si="318"/>
        <v>[1]</v>
      </c>
      <c r="Q2799">
        <f t="shared" si="324"/>
        <v>0</v>
      </c>
      <c r="R2799" t="str">
        <f t="shared" si="322"/>
        <v/>
      </c>
      <c r="S2799">
        <f>SUMIF(O2799:$O$2855,R2799,Q2799:$Q$2855)</f>
        <v>0</v>
      </c>
    </row>
    <row r="2800" spans="11:19" x14ac:dyDescent="0.25">
      <c r="K2800" s="4" t="s">
        <v>421</v>
      </c>
      <c r="L2800" t="s">
        <v>422</v>
      </c>
      <c r="M2800" t="s">
        <v>443</v>
      </c>
      <c r="N2800" t="s">
        <v>443</v>
      </c>
      <c r="O2800" s="6" t="s">
        <v>612</v>
      </c>
      <c r="P2800" t="str">
        <f t="shared" si="318"/>
        <v>[1]</v>
      </c>
      <c r="Q2800">
        <f t="shared" si="324"/>
        <v>0</v>
      </c>
      <c r="R2800" t="str">
        <f t="shared" si="322"/>
        <v/>
      </c>
      <c r="S2800">
        <f>SUMIF(O2800:$O$2855,R2800,Q2800:$Q$2855)</f>
        <v>0</v>
      </c>
    </row>
    <row r="2801" spans="11:19" x14ac:dyDescent="0.25">
      <c r="K2801" s="4" t="s">
        <v>421</v>
      </c>
      <c r="L2801" t="s">
        <v>422</v>
      </c>
      <c r="M2801" t="s">
        <v>443</v>
      </c>
      <c r="N2801" t="s">
        <v>443</v>
      </c>
      <c r="O2801" s="6" t="s">
        <v>612</v>
      </c>
      <c r="P2801" t="str">
        <f t="shared" si="318"/>
        <v>[1]</v>
      </c>
      <c r="Q2801">
        <f t="shared" si="324"/>
        <v>0</v>
      </c>
      <c r="R2801" t="str">
        <f t="shared" si="322"/>
        <v/>
      </c>
      <c r="S2801">
        <f>SUMIF(O2801:$O$2855,R2801,Q2801:$Q$2855)</f>
        <v>0</v>
      </c>
    </row>
    <row r="2802" spans="11:19" x14ac:dyDescent="0.25">
      <c r="K2802" s="4" t="s">
        <v>421</v>
      </c>
      <c r="L2802" t="s">
        <v>422</v>
      </c>
      <c r="M2802" t="s">
        <v>443</v>
      </c>
      <c r="N2802" t="s">
        <v>443</v>
      </c>
      <c r="O2802" s="6" t="s">
        <v>612</v>
      </c>
      <c r="P2802" t="str">
        <f t="shared" si="318"/>
        <v>[1]</v>
      </c>
      <c r="Q2802">
        <f t="shared" si="324"/>
        <v>0</v>
      </c>
      <c r="R2802" t="str">
        <f t="shared" si="322"/>
        <v/>
      </c>
      <c r="S2802">
        <f>SUMIF(O2802:$O$2855,R2802,Q2802:$Q$2855)</f>
        <v>0</v>
      </c>
    </row>
    <row r="2803" spans="11:19" x14ac:dyDescent="0.25">
      <c r="K2803" s="4" t="s">
        <v>421</v>
      </c>
      <c r="L2803" t="s">
        <v>422</v>
      </c>
      <c r="M2803" t="s">
        <v>443</v>
      </c>
      <c r="N2803" t="s">
        <v>443</v>
      </c>
      <c r="O2803" s="6" t="s">
        <v>612</v>
      </c>
      <c r="P2803" t="str">
        <f t="shared" si="318"/>
        <v>[1]</v>
      </c>
      <c r="Q2803">
        <f t="shared" si="324"/>
        <v>0</v>
      </c>
      <c r="R2803" t="str">
        <f t="shared" si="322"/>
        <v/>
      </c>
      <c r="S2803">
        <f>SUMIF(O2803:$O$2855,R2803,Q2803:$Q$2855)</f>
        <v>0</v>
      </c>
    </row>
    <row r="2804" spans="11:19" x14ac:dyDescent="0.25">
      <c r="K2804" s="4" t="s">
        <v>421</v>
      </c>
      <c r="L2804" t="s">
        <v>422</v>
      </c>
      <c r="M2804" t="s">
        <v>443</v>
      </c>
      <c r="N2804" t="s">
        <v>443</v>
      </c>
      <c r="O2804" s="6" t="s">
        <v>612</v>
      </c>
      <c r="P2804" t="str">
        <f t="shared" si="318"/>
        <v>[1]</v>
      </c>
      <c r="Q2804">
        <f t="shared" si="324"/>
        <v>0</v>
      </c>
      <c r="R2804" t="str">
        <f t="shared" si="322"/>
        <v/>
      </c>
      <c r="S2804">
        <f>SUMIF(O2804:$O$2855,R2804,Q2804:$Q$2855)</f>
        <v>0</v>
      </c>
    </row>
    <row r="2805" spans="11:19" x14ac:dyDescent="0.25">
      <c r="K2805" s="4" t="s">
        <v>421</v>
      </c>
      <c r="L2805" t="s">
        <v>422</v>
      </c>
      <c r="M2805" t="s">
        <v>443</v>
      </c>
      <c r="N2805" t="s">
        <v>443</v>
      </c>
      <c r="O2805" s="6" t="s">
        <v>612</v>
      </c>
      <c r="P2805" t="str">
        <f t="shared" si="318"/>
        <v>[1]</v>
      </c>
      <c r="Q2805">
        <f t="shared" si="324"/>
        <v>0</v>
      </c>
      <c r="R2805" t="str">
        <f t="shared" si="322"/>
        <v/>
      </c>
      <c r="S2805">
        <f>SUMIF(O2805:$O$2855,R2805,Q2805:$Q$2855)</f>
        <v>0</v>
      </c>
    </row>
    <row r="2806" spans="11:19" x14ac:dyDescent="0.25">
      <c r="K2806" s="4" t="s">
        <v>421</v>
      </c>
      <c r="L2806" t="s">
        <v>422</v>
      </c>
      <c r="M2806" t="s">
        <v>443</v>
      </c>
      <c r="N2806" t="s">
        <v>443</v>
      </c>
      <c r="O2806" s="6" t="s">
        <v>612</v>
      </c>
      <c r="P2806" t="str">
        <f t="shared" si="318"/>
        <v>[1]</v>
      </c>
      <c r="Q2806">
        <f t="shared" si="324"/>
        <v>0</v>
      </c>
      <c r="R2806" t="str">
        <f t="shared" si="322"/>
        <v/>
      </c>
      <c r="S2806">
        <f>SUMIF(O2806:$O$2855,R2806,Q2806:$Q$2855)</f>
        <v>0</v>
      </c>
    </row>
    <row r="2807" spans="11:19" x14ac:dyDescent="0.25">
      <c r="K2807" s="4" t="s">
        <v>421</v>
      </c>
      <c r="L2807" t="s">
        <v>422</v>
      </c>
      <c r="M2807" t="s">
        <v>443</v>
      </c>
      <c r="N2807" t="s">
        <v>443</v>
      </c>
      <c r="O2807" s="6" t="s">
        <v>612</v>
      </c>
      <c r="P2807" t="str">
        <f t="shared" si="318"/>
        <v>[1]</v>
      </c>
      <c r="Q2807">
        <f t="shared" si="324"/>
        <v>0</v>
      </c>
      <c r="R2807" t="str">
        <f t="shared" si="322"/>
        <v/>
      </c>
      <c r="S2807">
        <f>SUMIF(O2807:$O$2855,R2807,Q2807:$Q$2855)</f>
        <v>0</v>
      </c>
    </row>
    <row r="2808" spans="11:19" x14ac:dyDescent="0.25">
      <c r="K2808" s="4" t="s">
        <v>421</v>
      </c>
      <c r="L2808" t="s">
        <v>422</v>
      </c>
      <c r="M2808" t="s">
        <v>443</v>
      </c>
      <c r="N2808" t="s">
        <v>443</v>
      </c>
      <c r="O2808" s="6" t="s">
        <v>612</v>
      </c>
      <c r="P2808" t="str">
        <f t="shared" si="318"/>
        <v>[1]</v>
      </c>
      <c r="Q2808">
        <f t="shared" si="324"/>
        <v>0</v>
      </c>
      <c r="R2808" t="str">
        <f t="shared" si="322"/>
        <v/>
      </c>
      <c r="S2808">
        <f>SUMIF(O2808:$O$2855,R2808,Q2808:$Q$2855)</f>
        <v>0</v>
      </c>
    </row>
    <row r="2809" spans="11:19" x14ac:dyDescent="0.25">
      <c r="K2809" s="4" t="s">
        <v>421</v>
      </c>
      <c r="L2809" t="s">
        <v>422</v>
      </c>
      <c r="M2809" t="s">
        <v>443</v>
      </c>
      <c r="N2809" t="s">
        <v>443</v>
      </c>
      <c r="O2809" s="6" t="s">
        <v>612</v>
      </c>
      <c r="P2809" t="str">
        <f t="shared" si="318"/>
        <v>[1]</v>
      </c>
      <c r="Q2809">
        <f t="shared" si="324"/>
        <v>0</v>
      </c>
      <c r="R2809" t="str">
        <f t="shared" si="322"/>
        <v/>
      </c>
      <c r="S2809">
        <f>SUMIF(O2809:$O$2855,R2809,Q2809:$Q$2855)</f>
        <v>0</v>
      </c>
    </row>
    <row r="2810" spans="11:19" x14ac:dyDescent="0.25">
      <c r="K2810" s="4" t="s">
        <v>421</v>
      </c>
      <c r="L2810" t="s">
        <v>422</v>
      </c>
      <c r="M2810" t="s">
        <v>443</v>
      </c>
      <c r="N2810" t="s">
        <v>443</v>
      </c>
      <c r="O2810" s="6" t="s">
        <v>612</v>
      </c>
      <c r="P2810" t="str">
        <f t="shared" si="318"/>
        <v>[1]</v>
      </c>
      <c r="Q2810">
        <f t="shared" si="324"/>
        <v>0</v>
      </c>
      <c r="R2810" t="str">
        <f t="shared" si="322"/>
        <v/>
      </c>
      <c r="S2810">
        <f>SUMIF(O2810:$O$2855,R2810,Q2810:$Q$2855)</f>
        <v>0</v>
      </c>
    </row>
    <row r="2811" spans="11:19" x14ac:dyDescent="0.25">
      <c r="K2811" s="4" t="s">
        <v>421</v>
      </c>
      <c r="L2811" t="s">
        <v>422</v>
      </c>
      <c r="M2811" t="s">
        <v>443</v>
      </c>
      <c r="N2811" t="s">
        <v>443</v>
      </c>
      <c r="O2811" s="6" t="s">
        <v>612</v>
      </c>
      <c r="P2811" t="str">
        <f t="shared" si="318"/>
        <v>[1]</v>
      </c>
      <c r="Q2811">
        <f t="shared" si="324"/>
        <v>0</v>
      </c>
      <c r="R2811" t="str">
        <f t="shared" si="322"/>
        <v/>
      </c>
      <c r="S2811">
        <f>SUMIF(O2811:$O$2855,R2811,Q2811:$Q$2855)</f>
        <v>0</v>
      </c>
    </row>
    <row r="2812" spans="11:19" x14ac:dyDescent="0.25">
      <c r="K2812" s="4" t="s">
        <v>421</v>
      </c>
      <c r="L2812" t="s">
        <v>422</v>
      </c>
      <c r="M2812" t="s">
        <v>443</v>
      </c>
      <c r="N2812" t="s">
        <v>443</v>
      </c>
      <c r="O2812" s="6" t="s">
        <v>612</v>
      </c>
      <c r="P2812" t="str">
        <f t="shared" si="318"/>
        <v>[1]</v>
      </c>
      <c r="Q2812">
        <f t="shared" si="324"/>
        <v>0</v>
      </c>
      <c r="R2812" t="str">
        <f t="shared" si="322"/>
        <v/>
      </c>
      <c r="S2812">
        <f>SUMIF(O2812:$O$2855,R2812,Q2812:$Q$2855)</f>
        <v>0</v>
      </c>
    </row>
    <row r="2813" spans="11:19" x14ac:dyDescent="0.25">
      <c r="K2813" s="4" t="s">
        <v>421</v>
      </c>
      <c r="L2813" t="s">
        <v>422</v>
      </c>
      <c r="M2813" t="s">
        <v>443</v>
      </c>
      <c r="N2813" t="s">
        <v>443</v>
      </c>
      <c r="O2813" s="6" t="s">
        <v>612</v>
      </c>
      <c r="P2813" t="str">
        <f t="shared" si="318"/>
        <v>[1]</v>
      </c>
      <c r="Q2813">
        <f t="shared" si="324"/>
        <v>0</v>
      </c>
      <c r="R2813" t="str">
        <f t="shared" si="322"/>
        <v/>
      </c>
      <c r="S2813">
        <f>SUMIF(O2813:$O$2855,R2813,Q2813:$Q$2855)</f>
        <v>0</v>
      </c>
    </row>
    <row r="2814" spans="11:19" x14ac:dyDescent="0.25">
      <c r="K2814" s="4" t="s">
        <v>421</v>
      </c>
      <c r="L2814" t="s">
        <v>422</v>
      </c>
      <c r="M2814" t="s">
        <v>443</v>
      </c>
      <c r="N2814" t="s">
        <v>443</v>
      </c>
      <c r="O2814" s="6" t="s">
        <v>612</v>
      </c>
      <c r="P2814" t="str">
        <f t="shared" si="318"/>
        <v>[1]</v>
      </c>
      <c r="Q2814">
        <f t="shared" si="324"/>
        <v>0</v>
      </c>
      <c r="R2814" t="str">
        <f t="shared" si="322"/>
        <v/>
      </c>
      <c r="S2814">
        <f>SUMIF(O2814:$O$2855,R2814,Q2814:$Q$2855)</f>
        <v>0</v>
      </c>
    </row>
    <row r="2815" spans="11:19" x14ac:dyDescent="0.25">
      <c r="K2815" s="4" t="s">
        <v>421</v>
      </c>
      <c r="L2815" t="s">
        <v>422</v>
      </c>
      <c r="M2815" t="s">
        <v>443</v>
      </c>
      <c r="N2815" t="s">
        <v>443</v>
      </c>
      <c r="O2815" s="6" t="s">
        <v>612</v>
      </c>
      <c r="P2815" t="str">
        <f t="shared" si="318"/>
        <v>[1]</v>
      </c>
      <c r="Q2815">
        <f t="shared" si="324"/>
        <v>0</v>
      </c>
      <c r="R2815" t="str">
        <f t="shared" si="322"/>
        <v/>
      </c>
      <c r="S2815">
        <f>SUMIF(O2815:$O$2855,R2815,Q2815:$Q$2855)</f>
        <v>0</v>
      </c>
    </row>
    <row r="2816" spans="11:19" x14ac:dyDescent="0.25">
      <c r="K2816" s="4" t="s">
        <v>421</v>
      </c>
      <c r="L2816" t="s">
        <v>422</v>
      </c>
      <c r="M2816" t="s">
        <v>443</v>
      </c>
      <c r="N2816" t="s">
        <v>443</v>
      </c>
      <c r="O2816" s="6" t="s">
        <v>612</v>
      </c>
      <c r="P2816" t="str">
        <f t="shared" si="318"/>
        <v>[1]</v>
      </c>
      <c r="Q2816">
        <f t="shared" si="324"/>
        <v>0</v>
      </c>
      <c r="R2816" t="str">
        <f t="shared" si="322"/>
        <v/>
      </c>
      <c r="S2816">
        <f>SUMIF(O2816:$O$2855,R2816,Q2816:$Q$2855)</f>
        <v>0</v>
      </c>
    </row>
    <row r="2817" spans="11:19" x14ac:dyDescent="0.25">
      <c r="K2817" s="4" t="s">
        <v>421</v>
      </c>
      <c r="L2817" t="s">
        <v>422</v>
      </c>
      <c r="M2817" t="s">
        <v>443</v>
      </c>
      <c r="N2817" t="s">
        <v>443</v>
      </c>
      <c r="O2817" s="6" t="s">
        <v>612</v>
      </c>
      <c r="P2817" t="str">
        <f t="shared" si="318"/>
        <v>[1]</v>
      </c>
      <c r="Q2817">
        <f t="shared" si="324"/>
        <v>0</v>
      </c>
      <c r="R2817" t="str">
        <f t="shared" si="322"/>
        <v/>
      </c>
      <c r="S2817">
        <f>SUMIF(O2817:$O$2855,R2817,Q2817:$Q$2855)</f>
        <v>0</v>
      </c>
    </row>
    <row r="2818" spans="11:19" x14ac:dyDescent="0.25">
      <c r="K2818" s="4" t="s">
        <v>421</v>
      </c>
      <c r="L2818" t="s">
        <v>422</v>
      </c>
      <c r="M2818" t="s">
        <v>443</v>
      </c>
      <c r="N2818" t="s">
        <v>443</v>
      </c>
      <c r="O2818" s="6" t="s">
        <v>612</v>
      </c>
      <c r="P2818" t="str">
        <f t="shared" si="318"/>
        <v>[1]</v>
      </c>
      <c r="Q2818">
        <f t="shared" si="324"/>
        <v>0</v>
      </c>
      <c r="R2818" t="str">
        <f t="shared" si="322"/>
        <v/>
      </c>
      <c r="S2818">
        <f>SUMIF(O2818:$O$2855,R2818,Q2818:$Q$2855)</f>
        <v>0</v>
      </c>
    </row>
    <row r="2819" spans="11:19" x14ac:dyDescent="0.25">
      <c r="K2819" s="4" t="s">
        <v>421</v>
      </c>
      <c r="L2819" t="s">
        <v>422</v>
      </c>
      <c r="M2819" t="s">
        <v>443</v>
      </c>
      <c r="N2819" t="s">
        <v>443</v>
      </c>
      <c r="O2819" s="6" t="s">
        <v>612</v>
      </c>
      <c r="P2819" t="str">
        <f t="shared" si="318"/>
        <v>[1]</v>
      </c>
      <c r="Q2819">
        <f t="shared" si="324"/>
        <v>0</v>
      </c>
      <c r="R2819" t="str">
        <f t="shared" si="322"/>
        <v/>
      </c>
      <c r="S2819">
        <f>SUMIF(O2819:$O$2855,R2819,Q2819:$Q$2855)</f>
        <v>0</v>
      </c>
    </row>
    <row r="2820" spans="11:19" x14ac:dyDescent="0.25">
      <c r="K2820" s="4" t="s">
        <v>421</v>
      </c>
      <c r="L2820" t="s">
        <v>422</v>
      </c>
      <c r="M2820" t="s">
        <v>443</v>
      </c>
      <c r="N2820" t="s">
        <v>443</v>
      </c>
      <c r="O2820" s="6" t="s">
        <v>612</v>
      </c>
      <c r="P2820" t="str">
        <f t="shared" si="318"/>
        <v>[1]</v>
      </c>
      <c r="Q2820">
        <f t="shared" si="324"/>
        <v>0</v>
      </c>
      <c r="R2820" t="str">
        <f t="shared" si="322"/>
        <v/>
      </c>
      <c r="S2820">
        <f>SUMIF(O2820:$O$2855,R2820,Q2820:$Q$2855)</f>
        <v>0</v>
      </c>
    </row>
    <row r="2821" spans="11:19" x14ac:dyDescent="0.25">
      <c r="K2821" s="4" t="s">
        <v>421</v>
      </c>
      <c r="L2821" t="s">
        <v>422</v>
      </c>
      <c r="M2821" t="s">
        <v>443</v>
      </c>
      <c r="N2821" t="s">
        <v>443</v>
      </c>
      <c r="O2821" s="6" t="s">
        <v>612</v>
      </c>
      <c r="P2821" t="str">
        <f t="shared" si="318"/>
        <v>[1]</v>
      </c>
      <c r="Q2821">
        <f t="shared" si="324"/>
        <v>0</v>
      </c>
      <c r="R2821" t="str">
        <f t="shared" si="322"/>
        <v/>
      </c>
      <c r="S2821">
        <f>SUMIF(O2821:$O$2855,R2821,Q2821:$Q$2855)</f>
        <v>0</v>
      </c>
    </row>
    <row r="2822" spans="11:19" x14ac:dyDescent="0.25">
      <c r="K2822" s="4" t="s">
        <v>421</v>
      </c>
      <c r="L2822" t="s">
        <v>422</v>
      </c>
      <c r="M2822" t="s">
        <v>443</v>
      </c>
      <c r="N2822" t="s">
        <v>443</v>
      </c>
      <c r="O2822" s="6" t="s">
        <v>612</v>
      </c>
      <c r="P2822" t="str">
        <f t="shared" si="318"/>
        <v>[1]</v>
      </c>
      <c r="Q2822">
        <f t="shared" si="324"/>
        <v>0</v>
      </c>
      <c r="R2822" t="str">
        <f t="shared" si="322"/>
        <v/>
      </c>
      <c r="S2822">
        <f>SUMIF(O2822:$O$2855,R2822,Q2822:$Q$2855)</f>
        <v>0</v>
      </c>
    </row>
    <row r="2823" spans="11:19" x14ac:dyDescent="0.25">
      <c r="K2823" s="4" t="s">
        <v>421</v>
      </c>
      <c r="L2823" t="s">
        <v>422</v>
      </c>
      <c r="M2823" t="s">
        <v>443</v>
      </c>
      <c r="N2823" t="s">
        <v>443</v>
      </c>
      <c r="O2823" s="6" t="s">
        <v>612</v>
      </c>
      <c r="P2823" t="str">
        <f t="shared" si="318"/>
        <v>[1]</v>
      </c>
      <c r="Q2823">
        <f t="shared" si="324"/>
        <v>0</v>
      </c>
      <c r="R2823" t="str">
        <f t="shared" si="322"/>
        <v/>
      </c>
      <c r="S2823">
        <f>SUMIF(O2823:$O$2855,R2823,Q2823:$Q$2855)</f>
        <v>0</v>
      </c>
    </row>
    <row r="2824" spans="11:19" x14ac:dyDescent="0.25">
      <c r="K2824" s="4" t="s">
        <v>421</v>
      </c>
      <c r="L2824" t="s">
        <v>422</v>
      </c>
      <c r="M2824" t="s">
        <v>443</v>
      </c>
      <c r="N2824" t="s">
        <v>443</v>
      </c>
      <c r="O2824" s="6" t="s">
        <v>612</v>
      </c>
      <c r="P2824" t="str">
        <f t="shared" si="318"/>
        <v>[1]</v>
      </c>
      <c r="Q2824">
        <f t="shared" si="324"/>
        <v>0</v>
      </c>
      <c r="R2824" t="str">
        <f t="shared" si="322"/>
        <v/>
      </c>
      <c r="S2824">
        <f>SUMIF(O2824:$O$2855,R2824,Q2824:$Q$2855)</f>
        <v>0</v>
      </c>
    </row>
    <row r="2825" spans="11:19" x14ac:dyDescent="0.25">
      <c r="K2825" s="4" t="s">
        <v>421</v>
      </c>
      <c r="L2825" t="s">
        <v>422</v>
      </c>
      <c r="M2825" t="s">
        <v>443</v>
      </c>
      <c r="N2825" t="s">
        <v>443</v>
      </c>
      <c r="O2825" s="6" t="s">
        <v>612</v>
      </c>
      <c r="P2825" t="str">
        <f t="shared" si="318"/>
        <v>[1]</v>
      </c>
      <c r="Q2825">
        <f t="shared" si="323"/>
        <v>0</v>
      </c>
      <c r="R2825" t="str">
        <f t="shared" si="322"/>
        <v/>
      </c>
      <c r="S2825">
        <f>SUMIF(O2825:$O$2855,R2825,Q2825:$Q$2855)</f>
        <v>0</v>
      </c>
    </row>
    <row r="2826" spans="11:19" x14ac:dyDescent="0.25">
      <c r="K2826" s="4" t="s">
        <v>421</v>
      </c>
      <c r="L2826" t="s">
        <v>422</v>
      </c>
      <c r="M2826" t="s">
        <v>443</v>
      </c>
      <c r="N2826" t="s">
        <v>443</v>
      </c>
      <c r="O2826" s="6" t="s">
        <v>612</v>
      </c>
      <c r="P2826" t="str">
        <f t="shared" si="318"/>
        <v>[1]</v>
      </c>
      <c r="Q2826">
        <f t="shared" si="323"/>
        <v>0</v>
      </c>
      <c r="R2826" t="str">
        <f t="shared" si="322"/>
        <v/>
      </c>
      <c r="S2826">
        <f>SUMIF(O2826:$O$2855,R2826,Q2826:$Q$2855)</f>
        <v>0</v>
      </c>
    </row>
    <row r="2827" spans="11:19" x14ac:dyDescent="0.25">
      <c r="K2827" s="4" t="s">
        <v>421</v>
      </c>
      <c r="L2827" t="s">
        <v>422</v>
      </c>
      <c r="M2827" t="s">
        <v>443</v>
      </c>
      <c r="N2827" t="s">
        <v>443</v>
      </c>
      <c r="O2827" s="6" t="s">
        <v>612</v>
      </c>
      <c r="P2827" t="str">
        <f t="shared" si="318"/>
        <v>[1]</v>
      </c>
      <c r="Q2827">
        <f t="shared" si="323"/>
        <v>0</v>
      </c>
      <c r="R2827" t="str">
        <f t="shared" si="322"/>
        <v/>
      </c>
      <c r="S2827">
        <f>SUMIF(O2827:$O$2855,R2827,Q2827:$Q$2855)</f>
        <v>0</v>
      </c>
    </row>
    <row r="2828" spans="11:19" x14ac:dyDescent="0.25">
      <c r="K2828" s="4" t="s">
        <v>421</v>
      </c>
      <c r="L2828" t="s">
        <v>422</v>
      </c>
      <c r="M2828" t="s">
        <v>443</v>
      </c>
      <c r="N2828" t="s">
        <v>443</v>
      </c>
      <c r="O2828" s="6" t="s">
        <v>612</v>
      </c>
      <c r="P2828" t="str">
        <f t="shared" si="318"/>
        <v>[1]</v>
      </c>
      <c r="Q2828">
        <f t="shared" si="323"/>
        <v>0</v>
      </c>
      <c r="R2828" t="str">
        <f t="shared" si="322"/>
        <v/>
      </c>
      <c r="S2828">
        <f>SUMIF(O2828:$O$2855,R2828,Q2828:$Q$2855)</f>
        <v>0</v>
      </c>
    </row>
    <row r="2829" spans="11:19" x14ac:dyDescent="0.25">
      <c r="K2829" s="4" t="s">
        <v>421</v>
      </c>
      <c r="L2829" t="s">
        <v>422</v>
      </c>
      <c r="M2829" t="s">
        <v>443</v>
      </c>
      <c r="N2829" t="s">
        <v>443</v>
      </c>
      <c r="O2829" s="6" t="s">
        <v>612</v>
      </c>
      <c r="P2829" t="str">
        <f t="shared" si="318"/>
        <v>[1]</v>
      </c>
      <c r="Q2829">
        <f t="shared" si="323"/>
        <v>0</v>
      </c>
      <c r="R2829" t="str">
        <f t="shared" si="322"/>
        <v/>
      </c>
      <c r="S2829">
        <f>SUMIF(O2829:$O$2855,R2829,Q2829:$Q$2855)</f>
        <v>0</v>
      </c>
    </row>
    <row r="2830" spans="11:19" x14ac:dyDescent="0.25">
      <c r="K2830" s="4" t="s">
        <v>421</v>
      </c>
      <c r="L2830" t="s">
        <v>422</v>
      </c>
      <c r="M2830" t="s">
        <v>443</v>
      </c>
      <c r="N2830" t="s">
        <v>443</v>
      </c>
      <c r="O2830" s="6" t="s">
        <v>612</v>
      </c>
      <c r="P2830" t="str">
        <f t="shared" si="318"/>
        <v>[1]</v>
      </c>
      <c r="Q2830">
        <f t="shared" si="323"/>
        <v>0</v>
      </c>
      <c r="R2830" t="str">
        <f t="shared" si="322"/>
        <v/>
      </c>
      <c r="S2830">
        <f>SUMIF(O2830:$O$2855,R2830,Q2830:$Q$2855)</f>
        <v>0</v>
      </c>
    </row>
    <row r="2831" spans="11:19" x14ac:dyDescent="0.25">
      <c r="K2831" s="4" t="s">
        <v>421</v>
      </c>
      <c r="L2831" t="s">
        <v>422</v>
      </c>
      <c r="M2831" t="s">
        <v>443</v>
      </c>
      <c r="N2831" t="s">
        <v>443</v>
      </c>
      <c r="O2831" s="6" t="s">
        <v>612</v>
      </c>
      <c r="P2831" t="str">
        <f t="shared" si="318"/>
        <v>[1]</v>
      </c>
      <c r="Q2831">
        <f t="shared" si="323"/>
        <v>0</v>
      </c>
      <c r="R2831" t="str">
        <f t="shared" si="322"/>
        <v/>
      </c>
      <c r="S2831">
        <f>SUMIF(O2831:$O$2855,R2831,Q2831:$Q$2855)</f>
        <v>0</v>
      </c>
    </row>
    <row r="2832" spans="11:19" x14ac:dyDescent="0.25">
      <c r="K2832" s="4" t="s">
        <v>421</v>
      </c>
      <c r="L2832" t="s">
        <v>422</v>
      </c>
      <c r="M2832" t="s">
        <v>443</v>
      </c>
      <c r="N2832" t="s">
        <v>443</v>
      </c>
      <c r="O2832" s="6" t="s">
        <v>612</v>
      </c>
      <c r="P2832" t="str">
        <f t="shared" si="318"/>
        <v>[1]</v>
      </c>
      <c r="Q2832">
        <f t="shared" si="319"/>
        <v>0</v>
      </c>
      <c r="R2832" t="str">
        <f t="shared" si="322"/>
        <v/>
      </c>
      <c r="S2832">
        <f>SUMIF(O2832:$O$2855,R2832,Q2832:$Q$2855)</f>
        <v>0</v>
      </c>
    </row>
    <row r="2833" spans="11:19" x14ac:dyDescent="0.25">
      <c r="K2833" s="4" t="s">
        <v>421</v>
      </c>
      <c r="L2833" t="s">
        <v>422</v>
      </c>
      <c r="M2833" t="s">
        <v>443</v>
      </c>
      <c r="N2833" t="s">
        <v>443</v>
      </c>
      <c r="O2833" s="6" t="s">
        <v>612</v>
      </c>
      <c r="P2833" t="str">
        <f t="shared" si="318"/>
        <v>[1]</v>
      </c>
      <c r="Q2833">
        <f t="shared" si="319"/>
        <v>0</v>
      </c>
      <c r="R2833" t="str">
        <f t="shared" si="322"/>
        <v/>
      </c>
      <c r="S2833">
        <f>SUMIF(O2833:$O$2855,R2833,Q2833:$Q$2855)</f>
        <v>0</v>
      </c>
    </row>
    <row r="2834" spans="11:19" x14ac:dyDescent="0.25">
      <c r="K2834" s="4" t="s">
        <v>421</v>
      </c>
      <c r="L2834" t="s">
        <v>422</v>
      </c>
      <c r="M2834" t="s">
        <v>443</v>
      </c>
      <c r="N2834" t="s">
        <v>443</v>
      </c>
      <c r="O2834" s="6" t="s">
        <v>612</v>
      </c>
      <c r="P2834" t="str">
        <f t="shared" si="318"/>
        <v>[1]</v>
      </c>
      <c r="Q2834">
        <f t="shared" si="319"/>
        <v>0</v>
      </c>
      <c r="R2834" t="str">
        <f t="shared" si="322"/>
        <v/>
      </c>
      <c r="S2834">
        <f>SUMIF(O2834:$O$2855,R2834,Q2834:$Q$2855)</f>
        <v>0</v>
      </c>
    </row>
    <row r="2835" spans="11:19" x14ac:dyDescent="0.25">
      <c r="K2835" s="4" t="s">
        <v>421</v>
      </c>
      <c r="L2835" t="s">
        <v>422</v>
      </c>
      <c r="M2835" t="s">
        <v>443</v>
      </c>
      <c r="N2835" t="s">
        <v>443</v>
      </c>
      <c r="O2835" s="6" t="s">
        <v>612</v>
      </c>
      <c r="P2835" t="str">
        <f t="shared" si="318"/>
        <v>[1]</v>
      </c>
      <c r="Q2835">
        <f t="shared" si="319"/>
        <v>0</v>
      </c>
      <c r="R2835" t="str">
        <f t="shared" si="322"/>
        <v/>
      </c>
      <c r="S2835">
        <f>SUMIF(O2835:$O$2855,R2835,Q2835:$Q$2855)</f>
        <v>0</v>
      </c>
    </row>
    <row r="2836" spans="11:19" x14ac:dyDescent="0.25">
      <c r="K2836" s="4" t="s">
        <v>421</v>
      </c>
      <c r="L2836" t="s">
        <v>422</v>
      </c>
      <c r="M2836" t="s">
        <v>443</v>
      </c>
      <c r="N2836" t="s">
        <v>443</v>
      </c>
      <c r="O2836" s="6" t="s">
        <v>612</v>
      </c>
      <c r="P2836" t="str">
        <f t="shared" si="318"/>
        <v>[1]</v>
      </c>
      <c r="Q2836">
        <f t="shared" si="319"/>
        <v>0</v>
      </c>
      <c r="R2836" t="str">
        <f t="shared" si="322"/>
        <v/>
      </c>
      <c r="S2836">
        <f>SUMIF(O2836:$O$2855,R2836,Q2836:$Q$2855)</f>
        <v>0</v>
      </c>
    </row>
    <row r="2837" spans="11:19" x14ac:dyDescent="0.25">
      <c r="K2837" s="4" t="s">
        <v>421</v>
      </c>
      <c r="L2837" t="s">
        <v>422</v>
      </c>
      <c r="M2837" t="s">
        <v>443</v>
      </c>
      <c r="N2837" t="s">
        <v>443</v>
      </c>
      <c r="O2837" s="6" t="s">
        <v>612</v>
      </c>
      <c r="P2837" t="str">
        <f t="shared" si="318"/>
        <v>[1]</v>
      </c>
      <c r="Q2837">
        <f t="shared" si="319"/>
        <v>0</v>
      </c>
      <c r="R2837" t="str">
        <f t="shared" si="322"/>
        <v/>
      </c>
      <c r="S2837">
        <f>SUMIF(O2837:$O$2855,R2837,Q2837:$Q$2855)</f>
        <v>0</v>
      </c>
    </row>
    <row r="2838" spans="11:19" x14ac:dyDescent="0.25">
      <c r="K2838" s="4" t="s">
        <v>421</v>
      </c>
      <c r="L2838" t="s">
        <v>422</v>
      </c>
      <c r="M2838" t="s">
        <v>443</v>
      </c>
      <c r="N2838" t="s">
        <v>443</v>
      </c>
      <c r="O2838" s="6" t="s">
        <v>612</v>
      </c>
      <c r="P2838" t="str">
        <f t="shared" si="318"/>
        <v>[1]</v>
      </c>
      <c r="Q2838">
        <f t="shared" si="319"/>
        <v>0</v>
      </c>
      <c r="R2838" t="str">
        <f t="shared" si="322"/>
        <v/>
      </c>
      <c r="S2838">
        <f>SUMIF(O2838:$O$2855,R2838,Q2838:$Q$2855)</f>
        <v>0</v>
      </c>
    </row>
    <row r="2839" spans="11:19" x14ac:dyDescent="0.25">
      <c r="K2839" s="4" t="s">
        <v>421</v>
      </c>
      <c r="L2839" t="s">
        <v>422</v>
      </c>
      <c r="M2839" t="s">
        <v>443</v>
      </c>
      <c r="N2839" t="s">
        <v>443</v>
      </c>
      <c r="O2839" s="6" t="s">
        <v>612</v>
      </c>
      <c r="P2839" t="str">
        <f t="shared" si="318"/>
        <v>[1]</v>
      </c>
      <c r="Q2839">
        <f t="shared" si="319"/>
        <v>0</v>
      </c>
      <c r="R2839" t="str">
        <f t="shared" si="322"/>
        <v/>
      </c>
      <c r="S2839">
        <f>SUMIF(O2839:$O$2855,R2839,Q2839:$Q$2855)</f>
        <v>0</v>
      </c>
    </row>
    <row r="2840" spans="11:19" x14ac:dyDescent="0.25">
      <c r="K2840" s="4" t="s">
        <v>421</v>
      </c>
      <c r="L2840" t="s">
        <v>422</v>
      </c>
      <c r="M2840" t="s">
        <v>443</v>
      </c>
      <c r="N2840" t="s">
        <v>443</v>
      </c>
      <c r="O2840" s="6" t="s">
        <v>612</v>
      </c>
      <c r="P2840" t="str">
        <f t="shared" si="318"/>
        <v>[1]</v>
      </c>
      <c r="Q2840">
        <f t="shared" si="319"/>
        <v>0</v>
      </c>
      <c r="R2840" t="str">
        <f t="shared" si="322"/>
        <v/>
      </c>
      <c r="S2840">
        <f>SUMIF(O2840:$O$2855,R2840,Q2840:$Q$2855)</f>
        <v>0</v>
      </c>
    </row>
    <row r="2841" spans="11:19" x14ac:dyDescent="0.25">
      <c r="K2841" s="4" t="s">
        <v>421</v>
      </c>
      <c r="L2841" t="s">
        <v>422</v>
      </c>
      <c r="M2841" t="s">
        <v>443</v>
      </c>
      <c r="N2841" t="s">
        <v>443</v>
      </c>
      <c r="O2841" s="6" t="s">
        <v>612</v>
      </c>
      <c r="P2841" t="str">
        <f t="shared" si="318"/>
        <v>[1]</v>
      </c>
      <c r="Q2841">
        <f t="shared" si="319"/>
        <v>0</v>
      </c>
      <c r="R2841" t="str">
        <f t="shared" si="322"/>
        <v/>
      </c>
      <c r="S2841">
        <f>SUMIF(O2841:$O$2855,R2841,Q2841:$Q$2855)</f>
        <v>0</v>
      </c>
    </row>
    <row r="2842" spans="11:19" x14ac:dyDescent="0.25">
      <c r="K2842" s="4" t="s">
        <v>421</v>
      </c>
      <c r="L2842" t="s">
        <v>422</v>
      </c>
      <c r="M2842" t="s">
        <v>443</v>
      </c>
      <c r="N2842" t="s">
        <v>443</v>
      </c>
      <c r="O2842" s="6" t="s">
        <v>612</v>
      </c>
      <c r="P2842" t="str">
        <f t="shared" si="318"/>
        <v>[1]</v>
      </c>
      <c r="Q2842">
        <f t="shared" si="319"/>
        <v>0</v>
      </c>
      <c r="R2842" t="str">
        <f t="shared" si="322"/>
        <v/>
      </c>
      <c r="S2842">
        <f>SUMIF(O2842:$O$2855,R2842,Q2842:$Q$2855)</f>
        <v>0</v>
      </c>
    </row>
    <row r="2843" spans="11:19" x14ac:dyDescent="0.25">
      <c r="K2843" s="4" t="s">
        <v>421</v>
      </c>
      <c r="L2843" t="s">
        <v>422</v>
      </c>
      <c r="M2843" t="s">
        <v>443</v>
      </c>
      <c r="N2843" t="s">
        <v>443</v>
      </c>
      <c r="O2843" s="6" t="s">
        <v>612</v>
      </c>
      <c r="P2843" t="str">
        <f t="shared" si="318"/>
        <v>[1]</v>
      </c>
      <c r="Q2843">
        <f t="shared" ref="Q2843" si="325">HEX2DEC(MID(N2843,3,LEN(N2843)-2))</f>
        <v>0</v>
      </c>
      <c r="R2843" t="str">
        <f t="shared" si="322"/>
        <v/>
      </c>
      <c r="S2843">
        <f>SUMIF(O2843:$O$2855,R2843,Q2843:$Q$2855)</f>
        <v>0</v>
      </c>
    </row>
    <row r="2844" spans="11:19" x14ac:dyDescent="0.25">
      <c r="K2844" s="4" t="s">
        <v>421</v>
      </c>
      <c r="L2844" t="s">
        <v>422</v>
      </c>
      <c r="M2844" t="s">
        <v>443</v>
      </c>
      <c r="N2844" t="s">
        <v>443</v>
      </c>
      <c r="O2844" s="6" t="s">
        <v>612</v>
      </c>
      <c r="P2844" t="str">
        <f t="shared" si="318"/>
        <v>[1]</v>
      </c>
      <c r="Q2844">
        <f t="shared" ref="Q2844" si="326">HEX2DEC(MID(N2844,3,LEN(N2844)-2))</f>
        <v>0</v>
      </c>
      <c r="R2844" t="str">
        <f t="shared" si="322"/>
        <v/>
      </c>
      <c r="S2844">
        <f>SUMIF(O2844:$O$2855,R2844,Q2844:$Q$2855)</f>
        <v>0</v>
      </c>
    </row>
    <row r="2845" spans="11:19" x14ac:dyDescent="0.25">
      <c r="K2845" s="4" t="s">
        <v>421</v>
      </c>
      <c r="L2845" t="s">
        <v>422</v>
      </c>
      <c r="M2845" t="s">
        <v>443</v>
      </c>
      <c r="N2845" t="s">
        <v>443</v>
      </c>
      <c r="O2845" s="6" t="s">
        <v>612</v>
      </c>
      <c r="P2845" t="str">
        <f t="shared" si="318"/>
        <v>[1]</v>
      </c>
      <c r="Q2845">
        <f t="shared" ref="Q2845" si="327">HEX2DEC(MID(N2845,3,LEN(N2845)-2))</f>
        <v>0</v>
      </c>
      <c r="R2845" t="str">
        <f t="shared" si="322"/>
        <v/>
      </c>
      <c r="S2845">
        <f>SUMIF(O2845:$O$2855,R2845,Q2845:$Q$2855)</f>
        <v>0</v>
      </c>
    </row>
    <row r="2846" spans="11:19" x14ac:dyDescent="0.25">
      <c r="K2846" s="4" t="s">
        <v>421</v>
      </c>
      <c r="L2846" t="s">
        <v>422</v>
      </c>
      <c r="M2846" t="s">
        <v>443</v>
      </c>
      <c r="N2846" t="s">
        <v>443</v>
      </c>
      <c r="O2846" s="6" t="s">
        <v>612</v>
      </c>
      <c r="P2846" t="str">
        <f t="shared" si="318"/>
        <v>[1]</v>
      </c>
      <c r="Q2846">
        <f t="shared" ref="Q2846" si="328">HEX2DEC(MID(N2846,3,LEN(N2846)-2))</f>
        <v>0</v>
      </c>
      <c r="R2846" t="str">
        <f t="shared" si="322"/>
        <v/>
      </c>
      <c r="S2846">
        <f>SUMIF(O2846:$O$2855,R2846,Q2846:$Q$2855)</f>
        <v>0</v>
      </c>
    </row>
    <row r="2847" spans="11:19" x14ac:dyDescent="0.25">
      <c r="K2847" s="4" t="s">
        <v>421</v>
      </c>
      <c r="L2847" t="s">
        <v>422</v>
      </c>
      <c r="M2847" t="s">
        <v>443</v>
      </c>
      <c r="N2847" t="s">
        <v>443</v>
      </c>
      <c r="O2847" s="6" t="s">
        <v>612</v>
      </c>
      <c r="P2847" t="str">
        <f t="shared" si="318"/>
        <v>[1]</v>
      </c>
      <c r="Q2847">
        <f t="shared" ref="Q2847" si="329">HEX2DEC(MID(N2847,3,LEN(N2847)-2))</f>
        <v>0</v>
      </c>
      <c r="R2847" t="str">
        <f t="shared" si="322"/>
        <v/>
      </c>
      <c r="S2847">
        <f>SUMIF(O2847:$O$2855,R2847,Q2847:$Q$2855)</f>
        <v>0</v>
      </c>
    </row>
    <row r="2848" spans="11:19" x14ac:dyDescent="0.25">
      <c r="K2848" s="4" t="s">
        <v>421</v>
      </c>
      <c r="L2848" t="s">
        <v>422</v>
      </c>
      <c r="M2848" t="s">
        <v>443</v>
      </c>
      <c r="N2848" t="s">
        <v>443</v>
      </c>
      <c r="O2848" s="6" t="s">
        <v>612</v>
      </c>
      <c r="P2848" t="str">
        <f t="shared" si="318"/>
        <v>[1]</v>
      </c>
      <c r="Q2848">
        <f t="shared" ref="Q2848" si="330">HEX2DEC(MID(N2848,3,LEN(N2848)-2))</f>
        <v>0</v>
      </c>
      <c r="R2848" t="str">
        <f t="shared" ref="R2848" si="331">IF(O2848&lt;&gt;O2847,O2848,"")</f>
        <v/>
      </c>
      <c r="S2848">
        <f>SUMIF(O2848:$O$2855,R2848,Q2848:$Q$2855)</f>
        <v>0</v>
      </c>
    </row>
    <row r="2849" spans="11:19" x14ac:dyDescent="0.25">
      <c r="K2849" s="4" t="s">
        <v>421</v>
      </c>
      <c r="L2849" t="s">
        <v>422</v>
      </c>
      <c r="M2849" t="s">
        <v>443</v>
      </c>
      <c r="N2849" t="s">
        <v>443</v>
      </c>
      <c r="O2849" s="6" t="s">
        <v>612</v>
      </c>
      <c r="P2849" t="str">
        <f t="shared" si="318"/>
        <v>[1]</v>
      </c>
      <c r="Q2849">
        <f t="shared" ref="Q2849" si="332">HEX2DEC(MID(N2849,3,LEN(N2849)-2))</f>
        <v>0</v>
      </c>
      <c r="R2849" t="str">
        <f t="shared" ref="R2849" si="333">IF(O2849&lt;&gt;O2848,O2849,"")</f>
        <v/>
      </c>
      <c r="S2849">
        <f>SUMIF(O2849:$O$2855,R2849,Q2849:$Q$2855)</f>
        <v>0</v>
      </c>
    </row>
    <row r="2850" spans="11:19" x14ac:dyDescent="0.25">
      <c r="K2850" s="4" t="s">
        <v>421</v>
      </c>
      <c r="L2850" t="s">
        <v>422</v>
      </c>
      <c r="M2850" t="s">
        <v>443</v>
      </c>
      <c r="N2850" t="s">
        <v>443</v>
      </c>
      <c r="O2850" s="6" t="s">
        <v>612</v>
      </c>
      <c r="P2850" t="str">
        <f t="shared" si="318"/>
        <v>[1]</v>
      </c>
      <c r="Q2850">
        <f t="shared" ref="Q2850" si="334">HEX2DEC(MID(N2850,3,LEN(N2850)-2))</f>
        <v>0</v>
      </c>
      <c r="R2850" t="str">
        <f t="shared" ref="R2850" si="335">IF(O2850&lt;&gt;O2849,O2850,"")</f>
        <v/>
      </c>
      <c r="S2850">
        <f>SUMIF(O2850:$O$2855,R2850,Q2850:$Q$2855)</f>
        <v>0</v>
      </c>
    </row>
    <row r="2851" spans="11:19" x14ac:dyDescent="0.25">
      <c r="K2851" s="4" t="s">
        <v>421</v>
      </c>
      <c r="L2851" t="s">
        <v>422</v>
      </c>
      <c r="M2851" t="s">
        <v>443</v>
      </c>
      <c r="N2851" t="s">
        <v>443</v>
      </c>
      <c r="O2851" s="6" t="s">
        <v>612</v>
      </c>
      <c r="P2851" t="str">
        <f t="shared" si="318"/>
        <v>[1]</v>
      </c>
      <c r="Q2851">
        <f t="shared" ref="Q2851" si="336">HEX2DEC(MID(N2851,3,LEN(N2851)-2))</f>
        <v>0</v>
      </c>
      <c r="R2851" t="str">
        <f t="shared" ref="R2851" si="337">IF(O2851&lt;&gt;O2850,O2851,"")</f>
        <v/>
      </c>
      <c r="S2851">
        <f>SUMIF(O2851:$O$2855,R2851,Q2851:$Q$2855)</f>
        <v>0</v>
      </c>
    </row>
    <row r="2852" spans="11:19" x14ac:dyDescent="0.25">
      <c r="K2852" s="4" t="s">
        <v>421</v>
      </c>
      <c r="L2852" t="s">
        <v>422</v>
      </c>
      <c r="M2852" t="s">
        <v>443</v>
      </c>
      <c r="N2852" t="s">
        <v>443</v>
      </c>
      <c r="O2852" s="6" t="s">
        <v>612</v>
      </c>
      <c r="P2852" t="str">
        <f t="shared" si="318"/>
        <v>[1]</v>
      </c>
      <c r="Q2852">
        <f t="shared" ref="Q2852" si="338">HEX2DEC(MID(N2852,3,LEN(N2852)-2))</f>
        <v>0</v>
      </c>
      <c r="R2852" t="str">
        <f t="shared" ref="R2852" si="339">IF(O2852&lt;&gt;O2851,O2852,"")</f>
        <v/>
      </c>
      <c r="S2852">
        <f>SUMIF(O2852:$O$2855,R2852,Q2852:$Q$2855)</f>
        <v>0</v>
      </c>
    </row>
    <row r="2853" spans="11:19" x14ac:dyDescent="0.25">
      <c r="K2853" s="4" t="s">
        <v>421</v>
      </c>
      <c r="L2853" t="s">
        <v>422</v>
      </c>
      <c r="M2853" t="s">
        <v>443</v>
      </c>
      <c r="N2853" t="s">
        <v>443</v>
      </c>
      <c r="O2853" s="6" t="s">
        <v>612</v>
      </c>
      <c r="P2853" t="str">
        <f t="shared" si="318"/>
        <v>[1]</v>
      </c>
      <c r="Q2853">
        <f t="shared" ref="Q2853" si="340">HEX2DEC(MID(N2853,3,LEN(N2853)-2))</f>
        <v>0</v>
      </c>
      <c r="R2853" t="str">
        <f t="shared" ref="R2853" si="341">IF(O2853&lt;&gt;O2852,O2853,"")</f>
        <v/>
      </c>
      <c r="S2853">
        <f>SUMIF(O2853:$O$2855,R2853,Q2853:$Q$2855)</f>
        <v>0</v>
      </c>
    </row>
    <row r="2854" spans="11:19" x14ac:dyDescent="0.25">
      <c r="K2854" s="4" t="s">
        <v>421</v>
      </c>
      <c r="L2854" t="s">
        <v>422</v>
      </c>
      <c r="M2854" t="s">
        <v>443</v>
      </c>
      <c r="N2854" t="s">
        <v>443</v>
      </c>
      <c r="O2854" s="6" t="s">
        <v>612</v>
      </c>
      <c r="P2854" t="str">
        <f t="shared" si="318"/>
        <v>[1]</v>
      </c>
      <c r="Q2854">
        <f t="shared" si="319"/>
        <v>0</v>
      </c>
      <c r="R2854" t="str">
        <f>IF(O2854&lt;&gt;O2847,O2854,"")</f>
        <v/>
      </c>
      <c r="S2854">
        <f>SUMIF(O2854:$O$2855,R2854,Q2854:$Q$2855)</f>
        <v>0</v>
      </c>
    </row>
    <row r="2855" spans="11:19" x14ac:dyDescent="0.25">
      <c r="K2855" s="4" t="s">
        <v>421</v>
      </c>
      <c r="L2855" t="s">
        <v>422</v>
      </c>
      <c r="M2855" t="s">
        <v>443</v>
      </c>
      <c r="N2855" t="s">
        <v>443</v>
      </c>
      <c r="O2855" s="6" t="s">
        <v>612</v>
      </c>
      <c r="P2855" t="str">
        <f t="shared" si="318"/>
        <v>[1]</v>
      </c>
      <c r="Q2855">
        <f t="shared" si="319"/>
        <v>0</v>
      </c>
      <c r="R2855" t="str">
        <f t="shared" ref="R2855" si="342">IF(O2855&lt;&gt;O2854,O2855,"")</f>
        <v/>
      </c>
      <c r="S2855">
        <f>SUMIF(O2855:$O$2855,R2855,Q2855:$Q$2855)</f>
        <v>0</v>
      </c>
    </row>
    <row r="2856" spans="11:19" x14ac:dyDescent="0.25">
      <c r="Q2856">
        <f>SUM(Q31:Q2855)</f>
        <v>93577</v>
      </c>
      <c r="R2856" t="s">
        <v>538</v>
      </c>
      <c r="S2856">
        <f>SUM(S31:S2855)</f>
        <v>118029</v>
      </c>
    </row>
    <row r="2859" spans="11:19" x14ac:dyDescent="0.25">
      <c r="K2859" s="47" t="s">
        <v>947</v>
      </c>
      <c r="L2859" s="47"/>
      <c r="M2859" s="47"/>
      <c r="N2859" s="47"/>
      <c r="O2859" s="47"/>
      <c r="P2859" s="47"/>
      <c r="Q2859" s="47"/>
      <c r="R2859" s="47"/>
      <c r="S2859" s="47"/>
    </row>
    <row r="2860" spans="11:19" x14ac:dyDescent="0.25">
      <c r="K2860" s="4" t="s">
        <v>959</v>
      </c>
      <c r="L2860" t="s">
        <v>422</v>
      </c>
      <c r="M2860" t="s">
        <v>452</v>
      </c>
      <c r="N2860" t="s">
        <v>960</v>
      </c>
      <c r="O2860" t="s">
        <v>961</v>
      </c>
      <c r="P2860" t="str">
        <f>VLOOKUP($K$2859,$E$1:$F$26,2,FALSE)</f>
        <v>[2]</v>
      </c>
      <c r="Q2860">
        <f>HEX2DEC(MID(N2860,3,LEN(N2860)-2))</f>
        <v>16384</v>
      </c>
      <c r="R2860" t="str">
        <f>IF(O2860&lt;&gt;O2859,O2860,"")</f>
        <v>bootLoader.bin</v>
      </c>
      <c r="S2860">
        <f>SUMIF(O2860:$O$2860,R2860,Q2860:$Q$2860)</f>
        <v>16384</v>
      </c>
    </row>
    <row r="2861" spans="11:19" x14ac:dyDescent="0.25">
      <c r="K2861" t="s">
        <v>942</v>
      </c>
      <c r="L2861" t="str">
        <f ca="1">CELL("address",S2861)</f>
        <v>$S$2861</v>
      </c>
      <c r="Q2861">
        <f>SUM(Q2860)</f>
        <v>16384</v>
      </c>
      <c r="R2861" t="s">
        <v>964</v>
      </c>
      <c r="S2861">
        <f>SUM(S2860)</f>
        <v>16384</v>
      </c>
    </row>
    <row r="2864" spans="11:19" x14ac:dyDescent="0.25">
      <c r="K2864" t="s">
        <v>822</v>
      </c>
      <c r="L2864" t="str">
        <f ca="1">CELL("address",R2866)</f>
        <v>$R$2866</v>
      </c>
    </row>
    <row r="2865" spans="11:19" x14ac:dyDescent="0.25">
      <c r="K2865" s="50" t="s">
        <v>539</v>
      </c>
      <c r="L2865" s="50"/>
      <c r="M2865" s="50"/>
      <c r="N2865" s="50"/>
      <c r="O2865" s="50"/>
      <c r="P2865" s="50"/>
      <c r="Q2865" s="50"/>
      <c r="R2865" s="50"/>
      <c r="S2865" s="50"/>
    </row>
    <row r="2866" spans="11:19" x14ac:dyDescent="0.25">
      <c r="K2866" s="4" t="s">
        <v>421</v>
      </c>
      <c r="L2866" t="s">
        <v>422</v>
      </c>
      <c r="M2866" t="s">
        <v>1441</v>
      </c>
      <c r="N2866" t="s">
        <v>103</v>
      </c>
      <c r="O2866" t="s">
        <v>17</v>
      </c>
      <c r="P2866" t="str">
        <f t="shared" ref="P2866:P2875" si="343">VLOOKUP($K$2865,$E$1:$F$26,2,FALSE)</f>
        <v>[4]</v>
      </c>
      <c r="Q2866">
        <f t="shared" ref="Q2866:Q2874" si="344">HEX2DEC(MID(N2866,3,LEN(N2866)-2))</f>
        <v>64</v>
      </c>
      <c r="R2866" t="str">
        <f t="shared" ref="R2866:R2874" si="345">IF(O2866&lt;&gt;O2865,O2866,"")</f>
        <v>bsp_cm.o</v>
      </c>
      <c r="S2866">
        <f>SUMIF(O2866:$O$2875,R2866,Q2866:$Q$2875)</f>
        <v>64</v>
      </c>
    </row>
    <row r="2867" spans="11:19" x14ac:dyDescent="0.25">
      <c r="K2867" s="4" t="s">
        <v>421</v>
      </c>
      <c r="L2867" t="s">
        <v>422</v>
      </c>
      <c r="M2867" t="s">
        <v>1447</v>
      </c>
      <c r="N2867" t="s">
        <v>437</v>
      </c>
      <c r="O2867" t="s">
        <v>410</v>
      </c>
      <c r="P2867" t="str">
        <f t="shared" si="343"/>
        <v>[4]</v>
      </c>
      <c r="Q2867">
        <f t="shared" si="344"/>
        <v>24</v>
      </c>
      <c r="R2867" t="str">
        <f t="shared" si="345"/>
        <v>hwtimer_systick.o</v>
      </c>
      <c r="S2867">
        <f>SUMIF(O2867:$O$2875,R2867,Q2867:$Q$2875)</f>
        <v>24</v>
      </c>
    </row>
    <row r="2868" spans="11:19" x14ac:dyDescent="0.25">
      <c r="K2868" s="4" t="s">
        <v>421</v>
      </c>
      <c r="L2868" t="s">
        <v>422</v>
      </c>
      <c r="M2868" t="s">
        <v>1442</v>
      </c>
      <c r="N2868" t="s">
        <v>103</v>
      </c>
      <c r="O2868" t="s">
        <v>436</v>
      </c>
      <c r="P2868" t="str">
        <f t="shared" si="343"/>
        <v>[4]</v>
      </c>
      <c r="Q2868">
        <f t="shared" si="344"/>
        <v>64</v>
      </c>
      <c r="R2868" t="str">
        <f t="shared" si="345"/>
        <v>init_adc.o</v>
      </c>
      <c r="S2868">
        <f>SUMIF(O2868:$O$2875,R2868,Q2868:$Q$2875)</f>
        <v>64</v>
      </c>
    </row>
    <row r="2869" spans="11:19" x14ac:dyDescent="0.25">
      <c r="K2869" s="4" t="s">
        <v>421</v>
      </c>
      <c r="L2869" t="s">
        <v>422</v>
      </c>
      <c r="M2869" t="s">
        <v>1440</v>
      </c>
      <c r="N2869" t="s">
        <v>126</v>
      </c>
      <c r="O2869" t="s">
        <v>173</v>
      </c>
      <c r="P2869" t="str">
        <f t="shared" si="343"/>
        <v>[4]</v>
      </c>
      <c r="Q2869">
        <f t="shared" si="344"/>
        <v>8</v>
      </c>
      <c r="R2869" t="str">
        <f t="shared" si="345"/>
        <v>init_bsp.o</v>
      </c>
      <c r="S2869">
        <f>SUMIF(O2869:$O$2875,R2869,Q2869:$Q$2875)</f>
        <v>8</v>
      </c>
    </row>
    <row r="2870" spans="11:19" x14ac:dyDescent="0.25">
      <c r="K2870" s="4" t="s">
        <v>421</v>
      </c>
      <c r="L2870" t="s">
        <v>422</v>
      </c>
      <c r="M2870" t="s">
        <v>1443</v>
      </c>
      <c r="N2870" t="s">
        <v>437</v>
      </c>
      <c r="O2870" t="s">
        <v>439</v>
      </c>
      <c r="P2870" t="str">
        <f t="shared" si="343"/>
        <v>[4]</v>
      </c>
      <c r="Q2870">
        <f t="shared" si="344"/>
        <v>24</v>
      </c>
      <c r="R2870" t="str">
        <f t="shared" si="345"/>
        <v>init_dma.o</v>
      </c>
      <c r="S2870">
        <f>SUMIF(O2870:$O$2875,R2870,Q2870:$Q$2875)</f>
        <v>24</v>
      </c>
    </row>
    <row r="2871" spans="11:19" x14ac:dyDescent="0.25">
      <c r="K2871" s="4" t="s">
        <v>421</v>
      </c>
      <c r="L2871" t="s">
        <v>422</v>
      </c>
      <c r="M2871" t="s">
        <v>1444</v>
      </c>
      <c r="N2871" t="s">
        <v>165</v>
      </c>
      <c r="O2871" t="s">
        <v>441</v>
      </c>
      <c r="P2871" t="str">
        <f t="shared" si="343"/>
        <v>[4]</v>
      </c>
      <c r="Q2871">
        <f t="shared" si="344"/>
        <v>20</v>
      </c>
      <c r="R2871" t="str">
        <f t="shared" si="345"/>
        <v>init_i2c.o</v>
      </c>
      <c r="S2871">
        <f>SUMIF(O2871:$O$2875,R2871,Q2871:$Q$2875)</f>
        <v>20</v>
      </c>
    </row>
    <row r="2872" spans="11:19" x14ac:dyDescent="0.25">
      <c r="K2872" s="4" t="s">
        <v>421</v>
      </c>
      <c r="L2872" t="s">
        <v>422</v>
      </c>
      <c r="M2872" t="s">
        <v>1446</v>
      </c>
      <c r="N2872" t="s">
        <v>67</v>
      </c>
      <c r="O2872" t="s">
        <v>440</v>
      </c>
      <c r="P2872" t="str">
        <f t="shared" si="343"/>
        <v>[4]</v>
      </c>
      <c r="Q2872">
        <f t="shared" si="344"/>
        <v>48</v>
      </c>
      <c r="R2872" t="str">
        <f t="shared" si="345"/>
        <v>init_lwadc.o</v>
      </c>
      <c r="S2872">
        <f>SUMIF(O2872:$O$2875,R2872,Q2872:$Q$2875)</f>
        <v>48</v>
      </c>
    </row>
    <row r="2873" spans="11:19" x14ac:dyDescent="0.25">
      <c r="K2873" s="4" t="s">
        <v>421</v>
      </c>
      <c r="L2873" t="s">
        <v>422</v>
      </c>
      <c r="M2873" t="s">
        <v>1445</v>
      </c>
      <c r="N2873" t="s">
        <v>432</v>
      </c>
      <c r="O2873" t="s">
        <v>433</v>
      </c>
      <c r="P2873" t="str">
        <f t="shared" si="343"/>
        <v>[4]</v>
      </c>
      <c r="Q2873">
        <f t="shared" si="344"/>
        <v>180</v>
      </c>
      <c r="R2873" t="str">
        <f t="shared" si="345"/>
        <v>init_sci.o</v>
      </c>
      <c r="S2873">
        <f>SUMIF(O2873:$O$2875,R2873,Q2873:$Q$2875)</f>
        <v>180</v>
      </c>
    </row>
    <row r="2874" spans="11:19" x14ac:dyDescent="0.25">
      <c r="K2874" s="4" t="s">
        <v>421</v>
      </c>
      <c r="L2874" t="s">
        <v>422</v>
      </c>
      <c r="M2874" t="s">
        <v>1448</v>
      </c>
      <c r="N2874" t="s">
        <v>141</v>
      </c>
      <c r="O2874" t="s">
        <v>434</v>
      </c>
      <c r="P2874" t="str">
        <f t="shared" si="343"/>
        <v>[4]</v>
      </c>
      <c r="Q2874">
        <f t="shared" si="344"/>
        <v>104</v>
      </c>
      <c r="R2874" t="str">
        <f t="shared" si="345"/>
        <v>mqx_init.o</v>
      </c>
      <c r="S2874">
        <f>SUMIF(O2874:$O$2875,R2874,Q2874:$Q$2875)</f>
        <v>104</v>
      </c>
    </row>
    <row r="2875" spans="11:19" x14ac:dyDescent="0.25">
      <c r="K2875" s="4" t="s">
        <v>421</v>
      </c>
      <c r="L2875" t="s">
        <v>422</v>
      </c>
      <c r="M2875" t="s">
        <v>443</v>
      </c>
      <c r="N2875" t="s">
        <v>443</v>
      </c>
      <c r="O2875" t="s">
        <v>612</v>
      </c>
      <c r="P2875" t="str">
        <f t="shared" si="343"/>
        <v>[4]</v>
      </c>
      <c r="Q2875">
        <f t="shared" ref="Q2875" si="346">HEX2DEC(MID(N2875,3,LEN(N2875)-2))</f>
        <v>0</v>
      </c>
      <c r="R2875" t="str">
        <f t="shared" ref="R2875" si="347">IF(O2875&lt;&gt;O2874,O2875,"")</f>
        <v>placeholder</v>
      </c>
      <c r="S2875">
        <f>SUMIF(O2875:$O$2875,R2875,Q2875:$Q$2875)</f>
        <v>0</v>
      </c>
    </row>
    <row r="2876" spans="11:19" x14ac:dyDescent="0.25">
      <c r="Q2876">
        <f>SUM(Q2866:Q2875)</f>
        <v>536</v>
      </c>
      <c r="R2876" t="s">
        <v>692</v>
      </c>
      <c r="S2876">
        <f>SUM(S2866:S2875)</f>
        <v>536</v>
      </c>
    </row>
    <row r="2879" spans="11:19" x14ac:dyDescent="0.25">
      <c r="K2879" s="47" t="s">
        <v>539</v>
      </c>
      <c r="L2879" s="47"/>
      <c r="M2879" s="47"/>
      <c r="N2879" s="47"/>
      <c r="O2879" s="47"/>
      <c r="P2879" s="47"/>
      <c r="Q2879" s="47"/>
      <c r="R2879" s="47"/>
      <c r="S2879" s="47"/>
    </row>
    <row r="2880" spans="11:19" x14ac:dyDescent="0.25">
      <c r="K2880" s="4" t="s">
        <v>490</v>
      </c>
      <c r="L2880" t="s">
        <v>422</v>
      </c>
      <c r="M2880" t="s">
        <v>962</v>
      </c>
      <c r="N2880" t="s">
        <v>485</v>
      </c>
      <c r="O2880" t="s">
        <v>963</v>
      </c>
      <c r="P2880" t="str">
        <f>VLOOKUP($K$2879,$E$1:$F$26,2,FALSE)</f>
        <v>[4]</v>
      </c>
      <c r="Q2880">
        <f>HEX2DEC(MID(N2880,3,LEN(N2880)-2))</f>
        <v>1024</v>
      </c>
      <c r="R2880" t="str">
        <f>IF(O2880&lt;&gt;O2879,O2880,"")</f>
        <v>vectors.o</v>
      </c>
      <c r="S2880">
        <f>SUMIF(O2880:$O$2880,R2880,Q2880:$Q$2880)</f>
        <v>1024</v>
      </c>
    </row>
    <row r="2881" spans="11:19" x14ac:dyDescent="0.25">
      <c r="Q2881">
        <f>SUM(Q2880)</f>
        <v>1024</v>
      </c>
      <c r="R2881" t="s">
        <v>968</v>
      </c>
      <c r="S2881">
        <f>SUM(S2880)</f>
        <v>1024</v>
      </c>
    </row>
    <row r="2884" spans="11:19" x14ac:dyDescent="0.25">
      <c r="K2884" s="50" t="s">
        <v>758</v>
      </c>
      <c r="L2884" s="50"/>
      <c r="M2884" s="50"/>
      <c r="N2884" s="50"/>
      <c r="O2884" s="50"/>
      <c r="P2884" s="50"/>
      <c r="Q2884" s="50"/>
      <c r="R2884" s="50"/>
      <c r="S2884" s="50"/>
    </row>
    <row r="2885" spans="11:19" x14ac:dyDescent="0.25">
      <c r="K2885" t="s">
        <v>421</v>
      </c>
      <c r="L2885" t="s">
        <v>422</v>
      </c>
      <c r="M2885" s="6" t="s">
        <v>611</v>
      </c>
      <c r="N2885" s="6" t="s">
        <v>443</v>
      </c>
      <c r="O2885" s="6" t="s">
        <v>612</v>
      </c>
      <c r="P2885" t="str">
        <f>VLOOKUP($K$2884,$E$1:$F$26,2,FALSE)</f>
        <v>[5]</v>
      </c>
      <c r="Q2885">
        <f>HEX2DEC(MID(N2885,3,LEN(N2885)-2))</f>
        <v>0</v>
      </c>
      <c r="R2885" t="str">
        <f>IF(O2885&lt;&gt;O2884,O2885,"")</f>
        <v>placeholder</v>
      </c>
      <c r="S2885">
        <f>SUMIF(O2885:$O$2885,R2885,Q2885:$Q$2885)</f>
        <v>0</v>
      </c>
    </row>
    <row r="2886" spans="11:19" x14ac:dyDescent="0.25">
      <c r="Q2886">
        <f>SUM(Q2885)</f>
        <v>0</v>
      </c>
      <c r="R2886" t="s">
        <v>697</v>
      </c>
      <c r="S2886">
        <f>SUM(S2885)</f>
        <v>0</v>
      </c>
    </row>
    <row r="2889" spans="11:19" x14ac:dyDescent="0.25">
      <c r="K2889" s="50" t="s">
        <v>757</v>
      </c>
      <c r="L2889" s="50"/>
      <c r="M2889" s="50"/>
      <c r="N2889" s="50"/>
      <c r="O2889" s="50"/>
      <c r="P2889" s="50"/>
      <c r="Q2889" s="50"/>
      <c r="R2889" s="50"/>
      <c r="S2889" s="50"/>
    </row>
    <row r="2890" spans="11:19" x14ac:dyDescent="0.25">
      <c r="K2890" t="s">
        <v>421</v>
      </c>
      <c r="L2890" t="s">
        <v>422</v>
      </c>
      <c r="M2890" s="6" t="s">
        <v>611</v>
      </c>
      <c r="N2890" s="6" t="s">
        <v>443</v>
      </c>
      <c r="O2890" s="6" t="s">
        <v>612</v>
      </c>
      <c r="P2890" t="str">
        <f>VLOOKUP($K$2889,$E$1:$F$26,2,FALSE)</f>
        <v>[6]</v>
      </c>
      <c r="Q2890">
        <f>HEX2DEC(MID(N2890,3,LEN(N2890)-2))</f>
        <v>0</v>
      </c>
      <c r="R2890" t="str">
        <f>IF(O2890&lt;&gt;O2889,O2890,"")</f>
        <v>placeholder</v>
      </c>
      <c r="S2890">
        <f>SUMIF(O2890:$O$2890,R2890,Q2890:$Q$2890)</f>
        <v>0</v>
      </c>
    </row>
    <row r="2891" spans="11:19" x14ac:dyDescent="0.25">
      <c r="Q2891">
        <f>SUM(Q2890)</f>
        <v>0</v>
      </c>
      <c r="R2891" t="s">
        <v>693</v>
      </c>
      <c r="S2891">
        <f>SUM(S2890)</f>
        <v>0</v>
      </c>
    </row>
    <row r="2894" spans="11:19" x14ac:dyDescent="0.25">
      <c r="K2894" s="47" t="s">
        <v>540</v>
      </c>
      <c r="L2894" s="47"/>
      <c r="M2894" s="47"/>
      <c r="N2894" s="47"/>
      <c r="O2894" s="47"/>
      <c r="P2894" s="47"/>
      <c r="Q2894" s="47"/>
      <c r="R2894" s="47"/>
      <c r="S2894" s="47"/>
    </row>
    <row r="2895" spans="11:19" x14ac:dyDescent="0.25">
      <c r="K2895" s="4" t="s">
        <v>421</v>
      </c>
      <c r="L2895" t="s">
        <v>422</v>
      </c>
      <c r="M2895" t="s">
        <v>1384</v>
      </c>
      <c r="N2895" t="s">
        <v>211</v>
      </c>
      <c r="O2895" t="s">
        <v>106</v>
      </c>
      <c r="P2895" t="str">
        <f>VLOOKUP($K$2894,$E$1:$F$26,2,FALSE)</f>
        <v>[7]</v>
      </c>
      <c r="Q2895">
        <f>HEX2DEC(MID(N2895,3,LEN(N2895)-2))</f>
        <v>92</v>
      </c>
      <c r="R2895" t="str">
        <f>IF(O2895&lt;&gt;O2894,O2895,"")</f>
        <v>mqx.o</v>
      </c>
      <c r="S2895">
        <f>SUMIF(O2895:$O$2895,R2895,Q2895:$Q$2895)</f>
        <v>92</v>
      </c>
    </row>
    <row r="2896" spans="11:19" x14ac:dyDescent="0.25">
      <c r="K2896" s="4" t="s">
        <v>421</v>
      </c>
      <c r="L2896" t="s">
        <v>422</v>
      </c>
      <c r="M2896" t="s">
        <v>443</v>
      </c>
      <c r="N2896" t="s">
        <v>443</v>
      </c>
      <c r="O2896" t="s">
        <v>612</v>
      </c>
      <c r="P2896" t="str">
        <f>VLOOKUP($K$2894,$E$1:$F$26,2,FALSE)</f>
        <v>[7]</v>
      </c>
      <c r="Q2896">
        <f>HEX2DEC(MID(N2896,3,LEN(N2896)-2))</f>
        <v>0</v>
      </c>
      <c r="R2896" t="str">
        <f>IF(O2896&lt;&gt;O2895,O2896,"")</f>
        <v>placeholder</v>
      </c>
      <c r="S2896">
        <f>SUMIF(O$2895:$O2896,R2896,Q$2895:$Q2896)</f>
        <v>0</v>
      </c>
    </row>
    <row r="2897" spans="11:19" x14ac:dyDescent="0.25">
      <c r="Q2897">
        <f>SUM(Q2895)</f>
        <v>92</v>
      </c>
      <c r="R2897" t="s">
        <v>694</v>
      </c>
      <c r="S2897">
        <f>SUM(S2895:S2896)</f>
        <v>92</v>
      </c>
    </row>
    <row r="2900" spans="11:19" x14ac:dyDescent="0.25">
      <c r="K2900" s="47" t="s">
        <v>756</v>
      </c>
      <c r="L2900" s="47"/>
      <c r="M2900" s="47"/>
      <c r="N2900" s="47"/>
      <c r="O2900" s="47"/>
      <c r="P2900" s="47"/>
      <c r="Q2900" s="47"/>
      <c r="R2900" s="47"/>
      <c r="S2900" s="47"/>
    </row>
    <row r="2901" spans="11:19" x14ac:dyDescent="0.25">
      <c r="K2901" s="4" t="s">
        <v>421</v>
      </c>
      <c r="L2901" t="s">
        <v>422</v>
      </c>
      <c r="M2901" t="s">
        <v>1231</v>
      </c>
      <c r="N2901" s="6" t="s">
        <v>443</v>
      </c>
      <c r="O2901" t="s">
        <v>1189</v>
      </c>
      <c r="P2901" t="str">
        <f>VLOOKUP($K$2900,$E$1:$F$26,2,FALSE)</f>
        <v>[8]</v>
      </c>
      <c r="Q2901">
        <f>HEX2DEC(MID(N2901,3,LEN(N2901)-2))</f>
        <v>0</v>
      </c>
      <c r="R2901" t="str">
        <f>IF(O2901&lt;&gt;O2900,O2901,"")</f>
        <v>packbits_init.o</v>
      </c>
      <c r="S2901">
        <f>SUMIF(O2901:$O$2903,R2901,Q2901:$Q$2903)</f>
        <v>0</v>
      </c>
    </row>
    <row r="2902" spans="11:19" x14ac:dyDescent="0.25">
      <c r="K2902" s="4" t="s">
        <v>421</v>
      </c>
      <c r="L2902" t="s">
        <v>422</v>
      </c>
      <c r="M2902" t="s">
        <v>1231</v>
      </c>
      <c r="N2902" s="6" t="s">
        <v>443</v>
      </c>
      <c r="O2902" t="s">
        <v>32</v>
      </c>
      <c r="P2902" t="str">
        <f>VLOOKUP($K$2900,$E$1:$F$26,2,FALSE)</f>
        <v>[8]</v>
      </c>
      <c r="Q2902">
        <f>HEX2DEC(MID(N2902,3,LEN(N2902)-2))</f>
        <v>0</v>
      </c>
      <c r="R2902" t="str">
        <f>IF(O2902&lt;&gt;O2901,O2902,"")</f>
        <v>zero_init3.o</v>
      </c>
      <c r="S2902">
        <f>SUMIF(O2902:$O$2903,R2902,Q2902:$Q$2903)</f>
        <v>0</v>
      </c>
    </row>
    <row r="2903" spans="11:19" x14ac:dyDescent="0.25">
      <c r="K2903" s="4" t="s">
        <v>421</v>
      </c>
      <c r="L2903" s="35" t="s">
        <v>422</v>
      </c>
      <c r="M2903" s="35" t="s">
        <v>443</v>
      </c>
      <c r="N2903" s="35" t="s">
        <v>443</v>
      </c>
      <c r="O2903" s="35" t="s">
        <v>612</v>
      </c>
      <c r="P2903" t="str">
        <f>VLOOKUP($K$2900,$E$1:$F$26,2,FALSE)</f>
        <v>[8]</v>
      </c>
      <c r="Q2903" s="35">
        <f>HEX2DEC(MID(N2903,3,LEN(N2903)-2))</f>
        <v>0</v>
      </c>
      <c r="R2903" s="35" t="str">
        <f>IF(O2903&lt;&gt;O2902,O2903,"")</f>
        <v>placeholder</v>
      </c>
      <c r="S2903">
        <f>SUMIF(O2903:$O$2903,R2903,Q2903:$Q$2903)</f>
        <v>0</v>
      </c>
    </row>
    <row r="2904" spans="11:19" x14ac:dyDescent="0.25">
      <c r="Q2904">
        <f>SUM(Q2901:Q2903)</f>
        <v>0</v>
      </c>
      <c r="S2904">
        <f>SUM(S2901:S2903)</f>
        <v>0</v>
      </c>
    </row>
    <row r="2907" spans="11:19" x14ac:dyDescent="0.25">
      <c r="K2907" s="50" t="s">
        <v>756</v>
      </c>
      <c r="L2907" s="50"/>
      <c r="M2907" s="50"/>
      <c r="N2907" s="50"/>
      <c r="O2907" s="50"/>
      <c r="P2907" s="50"/>
      <c r="Q2907" s="50"/>
      <c r="R2907" s="50"/>
      <c r="S2907" s="50"/>
    </row>
    <row r="2908" spans="11:19" x14ac:dyDescent="0.25">
      <c r="K2908" s="35" t="s">
        <v>421</v>
      </c>
      <c r="L2908" s="35" t="s">
        <v>422</v>
      </c>
      <c r="M2908" s="36" t="s">
        <v>1014</v>
      </c>
      <c r="N2908" s="36" t="s">
        <v>443</v>
      </c>
      <c r="O2908" s="36" t="s">
        <v>1015</v>
      </c>
      <c r="P2908" s="35" t="str">
        <f>VLOOKUP($K$2907,$E$1:$F$26,2,FALSE)</f>
        <v>[8]</v>
      </c>
      <c r="Q2908" s="35">
        <f>HEX2DEC(MID(N2908,3,LEN(N2908)-2))</f>
        <v>0</v>
      </c>
      <c r="R2908" s="35" t="str">
        <f>IF(O2908&lt;&gt;O2907,O2908,"")</f>
        <v>lz77_init.o</v>
      </c>
      <c r="S2908" s="35">
        <f>SUMIF(O2908:$O$2909,R2908,Q2908:$Q$2909)</f>
        <v>0</v>
      </c>
    </row>
    <row r="2909" spans="11:19" x14ac:dyDescent="0.25">
      <c r="K2909" s="35" t="s">
        <v>421</v>
      </c>
      <c r="L2909" s="35" t="s">
        <v>422</v>
      </c>
      <c r="M2909" s="36" t="s">
        <v>1014</v>
      </c>
      <c r="N2909" s="36" t="s">
        <v>443</v>
      </c>
      <c r="O2909" s="36" t="s">
        <v>32</v>
      </c>
      <c r="P2909" s="35" t="str">
        <f>VLOOKUP($K$2907,$E$1:$F$26,2,FALSE)</f>
        <v>[8]</v>
      </c>
      <c r="Q2909" s="35">
        <f>HEX2DEC(MID(N2909,3,LEN(N2909)-2))</f>
        <v>0</v>
      </c>
      <c r="R2909" s="35" t="str">
        <f>IF(O2909&lt;&gt;O2908,O2909,"")</f>
        <v>zero_init3.o</v>
      </c>
      <c r="S2909" s="35">
        <f>SUMIF(O2909:$O$2909,R2909,Q2909:$Q$2909)</f>
        <v>0</v>
      </c>
    </row>
    <row r="2910" spans="11:19" x14ac:dyDescent="0.25">
      <c r="K2910" s="35"/>
      <c r="L2910" s="35"/>
      <c r="M2910" s="36"/>
      <c r="N2910" s="36"/>
      <c r="O2910" s="36"/>
      <c r="P2910" s="36"/>
      <c r="Q2910" s="35">
        <f>SUM(Q2908:Q2909)+Q2904</f>
        <v>0</v>
      </c>
      <c r="R2910" s="35" t="s">
        <v>695</v>
      </c>
      <c r="S2910" s="35">
        <f>SUM(S2908:S2909)+S2904</f>
        <v>0</v>
      </c>
    </row>
    <row r="2911" spans="11:19" x14ac:dyDescent="0.25">
      <c r="K2911" s="35"/>
      <c r="L2911" s="35"/>
      <c r="M2911" s="35"/>
      <c r="N2911" s="35"/>
      <c r="O2911" s="35"/>
      <c r="P2911" s="35"/>
      <c r="Q2911" s="35"/>
      <c r="R2911" s="35"/>
      <c r="S2911" s="35"/>
    </row>
    <row r="2912" spans="11:19" x14ac:dyDescent="0.25">
      <c r="K2912" s="35"/>
      <c r="L2912" s="35"/>
      <c r="M2912" s="35"/>
      <c r="N2912" s="35"/>
      <c r="O2912" s="35"/>
      <c r="P2912" s="35"/>
      <c r="Q2912" s="35"/>
      <c r="R2912" s="35"/>
      <c r="S2912" s="35"/>
    </row>
    <row r="2913" spans="11:19" x14ac:dyDescent="0.25">
      <c r="K2913" s="47" t="s">
        <v>759</v>
      </c>
      <c r="L2913" s="47"/>
      <c r="M2913" s="47"/>
      <c r="N2913" s="47"/>
      <c r="O2913" s="47"/>
      <c r="P2913" s="47"/>
      <c r="Q2913" s="47"/>
      <c r="R2913" s="47"/>
      <c r="S2913" s="47"/>
    </row>
    <row r="2914" spans="11:19" x14ac:dyDescent="0.25">
      <c r="K2914" t="s">
        <v>421</v>
      </c>
      <c r="L2914" t="s">
        <v>422</v>
      </c>
      <c r="M2914" s="6" t="s">
        <v>611</v>
      </c>
      <c r="N2914" s="6" t="s">
        <v>443</v>
      </c>
      <c r="O2914" s="6" t="s">
        <v>612</v>
      </c>
      <c r="P2914" t="str">
        <f>VLOOKUP($K$2913,$E$1:$F$26,2,FALSE)</f>
        <v>[9]</v>
      </c>
      <c r="Q2914">
        <f>HEX2DEC(MID(N2914,3,LEN(N2914)-2))</f>
        <v>0</v>
      </c>
      <c r="R2914" t="str">
        <f>IF(O2914&lt;&gt;O2913,O2914,"")</f>
        <v>placeholder</v>
      </c>
      <c r="S2914">
        <f>SUMIF(O2914:$O$2916,R2914,Q2914:$Q$2916)</f>
        <v>0</v>
      </c>
    </row>
    <row r="2915" spans="11:19" x14ac:dyDescent="0.25">
      <c r="K2915" t="s">
        <v>421</v>
      </c>
      <c r="L2915" t="s">
        <v>422</v>
      </c>
      <c r="M2915" s="6" t="s">
        <v>611</v>
      </c>
      <c r="N2915" s="6" t="s">
        <v>443</v>
      </c>
      <c r="O2915" s="6" t="s">
        <v>612</v>
      </c>
      <c r="P2915" t="str">
        <f>VLOOKUP($K$2913,$E$1:$F$26,2,FALSE)</f>
        <v>[9]</v>
      </c>
      <c r="Q2915">
        <f t="shared" ref="Q2915:Q2916" si="348">HEX2DEC(MID(N2915,3,LEN(N2915)-2))</f>
        <v>0</v>
      </c>
      <c r="R2915" t="str">
        <f t="shared" ref="R2915:R2916" si="349">IF(O2915&lt;&gt;O2914,O2915,"")</f>
        <v/>
      </c>
      <c r="S2915">
        <f>SUMIF(O2915:$O$2916,R2915,Q2915:$Q$2916)</f>
        <v>0</v>
      </c>
    </row>
    <row r="2916" spans="11:19" x14ac:dyDescent="0.25">
      <c r="K2916" t="s">
        <v>421</v>
      </c>
      <c r="L2916" t="s">
        <v>422</v>
      </c>
      <c r="M2916" s="6" t="s">
        <v>611</v>
      </c>
      <c r="N2916" s="6" t="s">
        <v>443</v>
      </c>
      <c r="O2916" s="6" t="s">
        <v>612</v>
      </c>
      <c r="P2916" t="str">
        <f>VLOOKUP($K$2913,$E$1:$F$26,2,FALSE)</f>
        <v>[9]</v>
      </c>
      <c r="Q2916">
        <f t="shared" si="348"/>
        <v>0</v>
      </c>
      <c r="R2916" t="str">
        <f t="shared" si="349"/>
        <v/>
      </c>
      <c r="S2916">
        <f>SUMIF(O2916:$O$2916,R2916,Q2916:$Q$2916)</f>
        <v>0</v>
      </c>
    </row>
    <row r="2917" spans="11:19" x14ac:dyDescent="0.25">
      <c r="M2917" s="6"/>
      <c r="N2917" s="6"/>
      <c r="O2917" s="6"/>
      <c r="P2917" s="6"/>
      <c r="Q2917">
        <f>SUM(Q2914:Q2916)</f>
        <v>0</v>
      </c>
      <c r="R2917" t="s">
        <v>696</v>
      </c>
      <c r="S2917">
        <f>SUM(S2914:S2916)</f>
        <v>0</v>
      </c>
    </row>
    <row r="2920" spans="11:19" x14ac:dyDescent="0.25">
      <c r="K2920" s="47" t="s">
        <v>760</v>
      </c>
      <c r="L2920" s="47"/>
      <c r="M2920" s="47"/>
      <c r="N2920" s="47"/>
      <c r="O2920" s="47"/>
      <c r="P2920" s="47"/>
      <c r="Q2920" s="47"/>
      <c r="R2920" s="47"/>
      <c r="S2920" s="47"/>
    </row>
    <row r="2921" spans="11:19" x14ac:dyDescent="0.25">
      <c r="K2921" t="s">
        <v>421</v>
      </c>
      <c r="L2921" t="s">
        <v>422</v>
      </c>
      <c r="M2921" t="s">
        <v>1470</v>
      </c>
      <c r="N2921" t="s">
        <v>488</v>
      </c>
      <c r="O2921" t="s">
        <v>317</v>
      </c>
      <c r="P2921" t="str">
        <f>VLOOKUP($K$2920,$E$1:$F$26,2,FALSE)</f>
        <v>[10]</v>
      </c>
      <c r="Q2921">
        <f>HEX2DEC(MID(N2921,3,LEN(N2921)-2))</f>
        <v>4096</v>
      </c>
      <c r="R2921" t="str">
        <f>IF(O2921&lt;&gt;O2920,O2921,"")</f>
        <v>aes.o</v>
      </c>
      <c r="S2921">
        <f>SUMIF(O2921:$O$2924,R2921,Q2921:$Q$2924)</f>
        <v>4096</v>
      </c>
    </row>
    <row r="2922" spans="11:19" x14ac:dyDescent="0.25">
      <c r="K2922" t="s">
        <v>421</v>
      </c>
      <c r="L2922" t="s">
        <v>422</v>
      </c>
      <c r="M2922" t="s">
        <v>1471</v>
      </c>
      <c r="N2922" t="s">
        <v>1265</v>
      </c>
      <c r="O2922" t="s">
        <v>318</v>
      </c>
      <c r="P2922" t="str">
        <f>VLOOKUP($K$2920,$E$1:$F$26,2,FALSE)</f>
        <v>[10]</v>
      </c>
      <c r="Q2922">
        <f>HEX2DEC(MID(N2922,3,LEN(N2922)-2))</f>
        <v>3700</v>
      </c>
      <c r="R2922" t="str">
        <f>IF(O2922&lt;&gt;O2921,O2922,"")</f>
        <v>ecc.o</v>
      </c>
      <c r="S2922">
        <f>SUMIF(O2922:$O$2924,R2922,Q2922:$Q$2924)</f>
        <v>3700</v>
      </c>
    </row>
    <row r="2923" spans="11:19" x14ac:dyDescent="0.25">
      <c r="K2923" t="s">
        <v>421</v>
      </c>
      <c r="L2923" t="s">
        <v>422</v>
      </c>
      <c r="M2923" t="s">
        <v>1279</v>
      </c>
      <c r="N2923" t="s">
        <v>1216</v>
      </c>
      <c r="O2923" t="s">
        <v>329</v>
      </c>
      <c r="P2923" t="str">
        <f>VLOOKUP($K$2920,$E$1:$F$26,2,FALSE)</f>
        <v>[10]</v>
      </c>
      <c r="Q2923">
        <f>HEX2DEC(MID(N2923,3,LEN(N2923)-2))</f>
        <v>456</v>
      </c>
      <c r="R2923" t="str">
        <f>IF(O2923&lt;&gt;O2922,O2923,"")</f>
        <v>internal.o</v>
      </c>
      <c r="S2923">
        <f>SUMIF(O2923:$O$2924,R2923,Q2923:$Q$2924)</f>
        <v>456</v>
      </c>
    </row>
    <row r="2924" spans="11:19" x14ac:dyDescent="0.25">
      <c r="K2924" t="s">
        <v>421</v>
      </c>
      <c r="L2924" t="s">
        <v>422</v>
      </c>
      <c r="M2924" t="s">
        <v>1472</v>
      </c>
      <c r="N2924" t="s">
        <v>126</v>
      </c>
      <c r="O2924" t="s">
        <v>1274</v>
      </c>
      <c r="P2924" t="str">
        <f>VLOOKUP($K$2920,$E$1:$F$26,2,FALSE)</f>
        <v>[10]</v>
      </c>
      <c r="Q2924">
        <f>HEX2DEC(MID(N2924,3,LEN(N2924)-2))</f>
        <v>8</v>
      </c>
      <c r="R2924" t="str">
        <f>IF(O2924&lt;&gt;O2923,O2924,"")</f>
        <v>wolfmath.o</v>
      </c>
      <c r="S2924">
        <f>SUMIF(O2924:$O$2924,R2924,Q2924:$Q$2924)</f>
        <v>8</v>
      </c>
    </row>
    <row r="2925" spans="11:19" x14ac:dyDescent="0.25">
      <c r="K2925" t="s">
        <v>823</v>
      </c>
      <c r="L2925" t="str">
        <f ca="1">CELL("address",S2925)</f>
        <v>$S$2925</v>
      </c>
      <c r="Q2925">
        <f>SUM(Q2921:Q2924)</f>
        <v>8260</v>
      </c>
      <c r="R2925" t="s">
        <v>783</v>
      </c>
      <c r="S2925">
        <f>SUM(S2921:S2924)</f>
        <v>8260</v>
      </c>
    </row>
    <row r="2928" spans="11:19" x14ac:dyDescent="0.25">
      <c r="K2928" t="s">
        <v>819</v>
      </c>
      <c r="L2928" t="str">
        <f ca="1">CELL("address",R2930)</f>
        <v>$R$2930</v>
      </c>
    </row>
    <row r="2929" spans="11:19" x14ac:dyDescent="0.25">
      <c r="K2929" s="47" t="s">
        <v>802</v>
      </c>
      <c r="L2929" s="47"/>
      <c r="M2929" s="47"/>
      <c r="N2929" s="47"/>
      <c r="O2929" s="47"/>
      <c r="P2929" s="47"/>
      <c r="Q2929" s="47"/>
      <c r="R2929" s="47"/>
      <c r="S2929" s="47"/>
    </row>
    <row r="2930" spans="11:19" x14ac:dyDescent="0.25">
      <c r="K2930" t="s">
        <v>421</v>
      </c>
      <c r="L2930" t="s">
        <v>422</v>
      </c>
      <c r="M2930" s="6" t="s">
        <v>611</v>
      </c>
      <c r="N2930" s="6" t="s">
        <v>443</v>
      </c>
      <c r="O2930" s="6" t="s">
        <v>612</v>
      </c>
      <c r="P2930" t="str">
        <f>VLOOKUP($K$2929,$E$1:$F$26,2,FALSE)</f>
        <v>[3]</v>
      </c>
      <c r="Q2930">
        <f>HEX2DEC(MID(N2930,3,LEN(N2930)-2))</f>
        <v>0</v>
      </c>
      <c r="R2930" t="str">
        <f>IF(O2930&lt;&gt;O2929,O2930,"")</f>
        <v>placeholder</v>
      </c>
      <c r="S2930">
        <f>SUMIF(O2930:$O$2930,R2930,Q2930:$Q$2930)</f>
        <v>0</v>
      </c>
    </row>
    <row r="2931" spans="11:19" x14ac:dyDescent="0.25">
      <c r="K2931" t="s">
        <v>820</v>
      </c>
      <c r="L2931" t="str">
        <f ca="1">CELL("address",S2931)</f>
        <v>$S$2931</v>
      </c>
      <c r="M2931" s="6"/>
      <c r="N2931" s="6"/>
      <c r="O2931" s="6"/>
      <c r="P2931" s="6"/>
      <c r="Q2931">
        <f>SUM(Q2930)</f>
        <v>0</v>
      </c>
      <c r="R2931" t="s">
        <v>804</v>
      </c>
      <c r="S2931">
        <f>SUM(S2930)</f>
        <v>0</v>
      </c>
    </row>
  </sheetData>
  <sortState xmlns:xlrd2="http://schemas.microsoft.com/office/spreadsheetml/2017/richdata2" ref="AR765:AU771">
    <sortCondition ref="AT765:AT771"/>
  </sortState>
  <mergeCells count="61">
    <mergeCell ref="AP30:AX30"/>
    <mergeCell ref="AP662:AX662"/>
    <mergeCell ref="AP682:AX682"/>
    <mergeCell ref="U143:AC143"/>
    <mergeCell ref="U110:AC110"/>
    <mergeCell ref="U116:AC116"/>
    <mergeCell ref="AE151:AM151"/>
    <mergeCell ref="AE156:AM156"/>
    <mergeCell ref="AE162:AM162"/>
    <mergeCell ref="AE126:AM126"/>
    <mergeCell ref="AE132:AM132"/>
    <mergeCell ref="U105:AC105"/>
    <mergeCell ref="AE172:AM172"/>
    <mergeCell ref="AE189:AM189"/>
    <mergeCell ref="U149:AC149"/>
    <mergeCell ref="A450:I450"/>
    <mergeCell ref="K2859:S2859"/>
    <mergeCell ref="AE30:AM30"/>
    <mergeCell ref="AE145:AM145"/>
    <mergeCell ref="A310:I310"/>
    <mergeCell ref="U122:AC122"/>
    <mergeCell ref="U128:AC128"/>
    <mergeCell ref="U133:AC133"/>
    <mergeCell ref="U138:AC138"/>
    <mergeCell ref="U99:AC99"/>
    <mergeCell ref="U30:AC30"/>
    <mergeCell ref="AE167:AM167"/>
    <mergeCell ref="AE177:AM177"/>
    <mergeCell ref="K30:S30"/>
    <mergeCell ref="A30:I30"/>
    <mergeCell ref="A178:I178"/>
    <mergeCell ref="A218:I218"/>
    <mergeCell ref="A263:I263"/>
    <mergeCell ref="A445:I445"/>
    <mergeCell ref="A383:I383"/>
    <mergeCell ref="A417:I417"/>
    <mergeCell ref="A411:I411"/>
    <mergeCell ref="AP713:AX713"/>
    <mergeCell ref="U155:AC155"/>
    <mergeCell ref="K2900:S2900"/>
    <mergeCell ref="K2894:S2894"/>
    <mergeCell ref="K2889:S2889"/>
    <mergeCell ref="K2884:S2884"/>
    <mergeCell ref="AP699:AX699"/>
    <mergeCell ref="AP656:AX656"/>
    <mergeCell ref="AP672:AX672"/>
    <mergeCell ref="AP677:AX677"/>
    <mergeCell ref="AP688:AX688"/>
    <mergeCell ref="AP694:AX694"/>
    <mergeCell ref="K2865:S2865"/>
    <mergeCell ref="K2879:S2879"/>
    <mergeCell ref="K2907:S2907"/>
    <mergeCell ref="AE183:AM183"/>
    <mergeCell ref="K2913:S2913"/>
    <mergeCell ref="K2920:S2920"/>
    <mergeCell ref="K2929:S2929"/>
    <mergeCell ref="A28:I28"/>
    <mergeCell ref="K28:S28"/>
    <mergeCell ref="U28:AC28"/>
    <mergeCell ref="AE28:AM28"/>
    <mergeCell ref="AP28:AX28"/>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8"/>
  <sheetViews>
    <sheetView zoomScaleNormal="100" workbookViewId="0">
      <selection activeCell="H6" sqref="H6"/>
    </sheetView>
  </sheetViews>
  <sheetFormatPr defaultRowHeight="15" x14ac:dyDescent="0.25"/>
  <cols>
    <col min="1" max="1" width="6.28515625" customWidth="1"/>
    <col min="2" max="2" width="14.42578125" bestFit="1" customWidth="1"/>
    <col min="3" max="3" width="2" bestFit="1" customWidth="1"/>
    <col min="4" max="4" width="2" customWidth="1"/>
    <col min="5" max="5" width="9.85546875" customWidth="1"/>
    <col min="6" max="6" width="6.28515625" bestFit="1" customWidth="1"/>
    <col min="7" max="8" width="8.42578125" bestFit="1" customWidth="1"/>
    <col min="9" max="9" width="11.140625" bestFit="1" customWidth="1"/>
    <col min="10" max="10" width="44.42578125" bestFit="1" customWidth="1"/>
    <col min="11" max="11" width="107.140625" bestFit="1" customWidth="1"/>
  </cols>
  <sheetData>
    <row r="1" spans="1:11" x14ac:dyDescent="0.25">
      <c r="B1" t="s">
        <v>584</v>
      </c>
      <c r="F1" s="3" t="str">
        <f ca="1">'.map data'!B11</f>
        <v>'.map data'!$AB$156:$AC$157</v>
      </c>
    </row>
    <row r="2" spans="1:11" x14ac:dyDescent="0.25">
      <c r="F2" t="s">
        <v>526</v>
      </c>
      <c r="G2">
        <f ca="1">VLOOKUP(B5,INDIRECT(GlobalPlcmnt!$B$133),GlobalPlcmnt!$B$138,FALSE)</f>
        <v>1</v>
      </c>
    </row>
    <row r="3" spans="1:11" x14ac:dyDescent="0.25">
      <c r="A3" t="s">
        <v>927</v>
      </c>
      <c r="B3" t="str">
        <f ca="1">CELL("address",B5)</f>
        <v>$B$5</v>
      </c>
      <c r="F3" t="s">
        <v>608</v>
      </c>
      <c r="G3">
        <f ca="1">VLOOKUP(B5,INDIRECT(GlobalPlcmnt!$B$133),GlobalPlcmnt!$C$138,FALSE)</f>
        <v>4</v>
      </c>
      <c r="K3" t="s">
        <v>600</v>
      </c>
    </row>
    <row r="4" spans="1:11" x14ac:dyDescent="0.25">
      <c r="C4">
        <f>MAX(C5)</f>
        <v>3</v>
      </c>
      <c r="F4" t="s">
        <v>542</v>
      </c>
    </row>
    <row r="5" spans="1:11" x14ac:dyDescent="0.25">
      <c r="A5" t="s">
        <v>599</v>
      </c>
      <c r="B5" t="str">
        <f>IF(A5&lt;&gt;A4,A5&amp;$B$1,"")</f>
        <v>IAR_DINIT</v>
      </c>
      <c r="C5">
        <f>LEN(A5)</f>
        <v>3</v>
      </c>
      <c r="E5" t="s">
        <v>562</v>
      </c>
      <c r="F5">
        <f ca="1">IF(E5="*",F6,VLOOKUP(E5,INDIRECT($F$1),2,FALSE))</f>
        <v>896</v>
      </c>
      <c r="H5">
        <f ca="1">VLOOKUP(B5,INDIRECT(GlobalPlcmnt!$B$133),GlobalPlcmnt!$A$138,FALSE)</f>
        <v>212640</v>
      </c>
      <c r="I5" t="str">
        <f ca="1">"0x"&amp;DEC2HEX(H5,8)</f>
        <v>0x00033EA0</v>
      </c>
      <c r="J5" s="4" t="str">
        <f ca="1">IF(E5&lt;&gt;"*","","define symbol "&amp;B5&amp;REPT(" ",$C$4-C5)&amp;" = "&amp;I5&amp;";")</f>
        <v>define symbol IAR_DINIT = 0x00033EA0;</v>
      </c>
      <c r="K5" s="4" t="str">
        <f>""""&amp;B5&amp;""": place at address mem: "&amp;B5&amp;" { "&amp;K3&amp;"};"</f>
        <v>"IAR_DINIT": place at address mem: IAR_DINIT { ro data section .iar.init_table object * };</v>
      </c>
    </row>
    <row r="6" spans="1:11" x14ac:dyDescent="0.25">
      <c r="B6" t="str">
        <f>B5&amp;"_end"</f>
        <v>IAR_DINIT_end</v>
      </c>
      <c r="F6">
        <f ca="1">VLOOKUP(B6,INDIRECT($F$1),2,FALSE)</f>
        <v>896</v>
      </c>
      <c r="G6">
        <f ca="1">INT(($G$2/100)*F6)</f>
        <v>8</v>
      </c>
      <c r="H6">
        <f ca="1">H5+F5+G6+IF(MOD(F5+H5+G6,$G$3)=0,0,$G$3-MOD(F5+H5+G6,$G$3))</f>
        <v>213544</v>
      </c>
      <c r="I6" t="str">
        <f ca="1">"0x"&amp;DEC2HEX(H6,8)</f>
        <v>0x00034228</v>
      </c>
      <c r="J6" s="4"/>
      <c r="K6" s="4"/>
    </row>
    <row r="8" spans="1:11" x14ac:dyDescent="0.25">
      <c r="A8" t="s">
        <v>928</v>
      </c>
      <c r="B8" t="str">
        <f ca="1">CELL("address",J6)</f>
        <v>$J$6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61"/>
  <sheetViews>
    <sheetView topLeftCell="A25" zoomScaleNormal="100" workbookViewId="0">
      <selection activeCell="H44" sqref="H44"/>
    </sheetView>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5.5703125" bestFit="1" customWidth="1"/>
    <col min="8" max="8" width="7" bestFit="1" customWidth="1"/>
    <col min="9" max="9" width="11.5703125" bestFit="1" customWidth="1"/>
    <col min="10" max="10" width="57.42578125" bestFit="1" customWidth="1"/>
    <col min="11" max="11" width="143.85546875" bestFit="1" customWidth="1"/>
  </cols>
  <sheetData>
    <row r="1" spans="1:11" x14ac:dyDescent="0.25">
      <c r="B1" t="s">
        <v>589</v>
      </c>
      <c r="F1" s="3" t="str">
        <f ca="1">'.map data'!B2</f>
        <v>'.map data'!$H$179:$I$447</v>
      </c>
      <c r="K1" t="s">
        <v>591</v>
      </c>
    </row>
    <row r="2" spans="1:11" x14ac:dyDescent="0.25">
      <c r="F2" t="s">
        <v>526</v>
      </c>
      <c r="G2">
        <f ca="1">VLOOKUP(B5,INDIRECT(GlobalPlcmnt!$B$133),GlobalPlcmnt!$B$138,FALSE)</f>
        <v>1</v>
      </c>
    </row>
    <row r="3" spans="1:11" x14ac:dyDescent="0.25">
      <c r="A3" t="s">
        <v>927</v>
      </c>
      <c r="B3" t="str">
        <f ca="1">CELL("address",B5)</f>
        <v>$B$5</v>
      </c>
      <c r="F3" t="s">
        <v>608</v>
      </c>
      <c r="G3">
        <f ca="1">VLOOKUP(B5,INDIRECT(GlobalPlcmnt!$B$133),GlobalPlcmnt!$C$138,FALSE)</f>
        <v>16</v>
      </c>
      <c r="K3">
        <f>2*$C$4+LEN("place at address mem: { ")+5</f>
        <v>69</v>
      </c>
    </row>
    <row r="4" spans="1:11" x14ac:dyDescent="0.25">
      <c r="C4">
        <f>MAX(C5:C44)</f>
        <v>20</v>
      </c>
      <c r="F4" t="s">
        <v>542</v>
      </c>
    </row>
    <row r="5" spans="1:11" x14ac:dyDescent="0.25">
      <c r="A5" t="s">
        <v>558</v>
      </c>
      <c r="B5" t="str">
        <f>IF(A5&lt;&gt;A3,A5&amp;$B$1,"")</f>
        <v>dl7M_tln_TEXT</v>
      </c>
      <c r="C5">
        <f>LEN(B5)</f>
        <v>13</v>
      </c>
      <c r="E5" t="s">
        <v>562</v>
      </c>
      <c r="F5">
        <f ca="1">IF(E5="*",$F$6,VLOOKUP(E5,INDIRECT($F$1),2,FALSE))</f>
        <v>9422</v>
      </c>
      <c r="H5">
        <f ca="1">VLOOKUP(B5,INDIRECT(GlobalPlcmnt!$B$133),GlobalPlcmnt!$A$138,FALSE)</f>
        <v>17408</v>
      </c>
      <c r="I5" t="str">
        <f ca="1">"0x"&amp;DEC2HEX(H5,8)</f>
        <v>0x00004400</v>
      </c>
      <c r="J5" s="4" t="str">
        <f ca="1">IF(E5&lt;&gt;"*","","define symbol "&amp;B5&amp;REPT(" ",$C$4-C5)&amp;" = "&amp;I5&amp;";")</f>
        <v>define symbol dl7M_tln_TEXT        = 0x00004400;</v>
      </c>
      <c r="K5" s="4" t="str">
        <f>IF(E5="*",""""&amp;B5&amp;""":"&amp;REPT(" ",$C$4-C5)&amp;" place at address mem: "&amp;B5&amp;REPT(" ",$C$4-C5)&amp;" { "&amp;$K$1&amp;E5&amp;"("&amp;A5&amp;".a)"&amp;IF(E6=""," };",","),IF(E5="","",REPT(" ",$K$3)&amp;$K$1&amp;E5&amp;"("&amp;A5&amp;".a)"&amp;IF(E6=""," };",",")))</f>
        <v>"dl7M_tln_TEXT":        place at address mem: dl7M_tln_TEXT        { ro code section .text object *(dl7M_tln.a) };</v>
      </c>
    </row>
    <row r="6" spans="1:11" x14ac:dyDescent="0.25">
      <c r="B6" t="str">
        <f>B5&amp;"_end"</f>
        <v>dl7M_tln_TEXT_end</v>
      </c>
      <c r="F6">
        <f ca="1">VLOOKUP(B6,INDIRECT($F$1),2,FALSE)</f>
        <v>9422</v>
      </c>
      <c r="G6">
        <f ca="1">INT(($G$2/100)*F6)</f>
        <v>94</v>
      </c>
      <c r="H6">
        <f ca="1">H5+F5+G6+IF(MOD(F5+H5+G6,$G$3)=0,0,$G$3-MOD(F5+H5+G6,$G$3))</f>
        <v>26928</v>
      </c>
      <c r="I6" t="str">
        <f ca="1">"0x"&amp;DEC2HEX(H6,8)</f>
        <v>0x00006930</v>
      </c>
      <c r="J6" s="4"/>
      <c r="K6" s="4" t="str">
        <f>IF(E6="*",""""&amp;B6&amp;""":"&amp;REPT(" ",$C$4-C6)&amp;" place at address mem: "&amp;B6&amp;REPT(" ",$C$4-C6)&amp;" { "&amp;$K$1&amp;E6&amp;"("&amp;A6&amp;".a)"&amp;IF(E7=""," };",","),IF(E6="","",REPT(" ",$K$3)&amp;$K$1&amp;E6&amp;"("&amp;A6&amp;".a)"&amp;IF(E7=""," };",",")))</f>
        <v/>
      </c>
    </row>
    <row r="7" spans="1:11" x14ac:dyDescent="0.25">
      <c r="J7" s="4"/>
      <c r="K7" s="4"/>
    </row>
    <row r="8" spans="1:11" x14ac:dyDescent="0.25">
      <c r="F8" t="s">
        <v>526</v>
      </c>
      <c r="G8">
        <f ca="1">VLOOKUP(B10,INDIRECT(GlobalPlcmnt!$B$133),GlobalPlcmnt!$B$138,FALSE)</f>
        <v>1</v>
      </c>
      <c r="J8" s="4"/>
      <c r="K8" s="4"/>
    </row>
    <row r="9" spans="1:11" x14ac:dyDescent="0.25">
      <c r="F9" t="s">
        <v>608</v>
      </c>
      <c r="G9">
        <f ca="1">VLOOKUP(B10,INDIRECT(GlobalPlcmnt!$B$133),GlobalPlcmnt!$C$138,FALSE)</f>
        <v>16</v>
      </c>
      <c r="J9" s="4"/>
      <c r="K9" s="4"/>
    </row>
    <row r="10" spans="1:11" x14ac:dyDescent="0.25">
      <c r="A10" t="s">
        <v>559</v>
      </c>
      <c r="B10" t="str">
        <f>IF(A10&lt;&gt;A7,A10&amp;$B$1,"")</f>
        <v>m7M_tls_TEXT</v>
      </c>
      <c r="C10">
        <f>LEN(B10)</f>
        <v>12</v>
      </c>
      <c r="E10" t="s">
        <v>562</v>
      </c>
      <c r="F10">
        <f ca="1">IF(E10="*",$F$11,VLOOKUP(E10,INDIRECT($F$1),2,FALSE))</f>
        <v>11298</v>
      </c>
      <c r="H10">
        <f ca="1">VLOOKUP(B10,INDIRECT(GlobalPlcmnt!$B$133),GlobalPlcmnt!$A$138,FALSE)</f>
        <v>28832</v>
      </c>
      <c r="I10" t="str">
        <f ca="1">"0x"&amp;DEC2HEX(H10,8)</f>
        <v>0x000070A0</v>
      </c>
      <c r="J10" s="4" t="str">
        <f ca="1">IF(E10&lt;&gt;"*","","define symbol "&amp;B10&amp;REPT(" ",$C$4-C10)&amp;" = "&amp;I10&amp;";")</f>
        <v>define symbol m7M_tls_TEXT         = 0x000070A0;</v>
      </c>
      <c r="K10" s="4" t="str">
        <f>IF(E10="*",""""&amp;B10&amp;""":"&amp;REPT(" ",$C$4-C10)&amp;" place at address mem: "&amp;B10&amp;REPT(" ",$C$4-C10)&amp;" { "&amp;$K$1&amp;E10&amp;"("&amp;A10&amp;".a)"&amp;IF(E11=""," };",","),IF(E10="","",REPT(" ",$K$3)&amp;$K$1&amp;E10&amp;"("&amp;A10&amp;".a)"&amp;IF(E11=""," };",",")))</f>
        <v>"m7M_tls_TEXT":         place at address mem: m7M_tls_TEXT         { ro code section .text object *(m7M_tls.a) };</v>
      </c>
    </row>
    <row r="11" spans="1:11" x14ac:dyDescent="0.25">
      <c r="B11" t="str">
        <f>B10&amp;"_end"</f>
        <v>m7M_tls_TEXT_end</v>
      </c>
      <c r="F11">
        <f ca="1">VLOOKUP(B11,INDIRECT($F$1),2,FALSE)</f>
        <v>11298</v>
      </c>
      <c r="G11">
        <f ca="1">INT(($G$8/100)*F11)</f>
        <v>112</v>
      </c>
      <c r="H11">
        <f ca="1">H10+F10+G11+IF(MOD(F10+H10+G11,$G$9)=0,0,$G$9-MOD(F10+H10+G11,$G$9))</f>
        <v>40256</v>
      </c>
      <c r="I11" t="str">
        <f ca="1">"0x"&amp;DEC2HEX(H11,8)</f>
        <v>0x00009D40</v>
      </c>
      <c r="J11" s="4"/>
      <c r="K11" s="4" t="str">
        <f>IF(E11="*",""""&amp;B11&amp;""":"&amp;REPT(" ",$C$4-C11)&amp;" place at address mem: "&amp;B11&amp;REPT(" ",$C$4-C11)&amp;" { "&amp;$K$1&amp;E11&amp;"("&amp;A11&amp;".a)"&amp;IF(E12=""," };",","),IF(E11="","",REPT(" ",$K$3)&amp;$K$1&amp;E11&amp;"("&amp;A11&amp;".a)"&amp;IF(E12=""," };",",")))</f>
        <v/>
      </c>
    </row>
    <row r="12" spans="1:11" x14ac:dyDescent="0.25">
      <c r="J12" s="4"/>
      <c r="K12" s="4"/>
    </row>
    <row r="13" spans="1:11" x14ac:dyDescent="0.25">
      <c r="F13" t="s">
        <v>526</v>
      </c>
      <c r="G13">
        <f ca="1">VLOOKUP(B15,INDIRECT(GlobalPlcmnt!$B$133),GlobalPlcmnt!$B$138,FALSE)</f>
        <v>0</v>
      </c>
      <c r="J13" s="4"/>
      <c r="K13" s="4"/>
    </row>
    <row r="14" spans="1:11" x14ac:dyDescent="0.25">
      <c r="F14" t="s">
        <v>608</v>
      </c>
      <c r="G14">
        <f ca="1">VLOOKUP(B15,INDIRECT(GlobalPlcmnt!$B$133),GlobalPlcmnt!$C$138,FALSE)</f>
        <v>16</v>
      </c>
      <c r="J14" s="4"/>
      <c r="K14" s="4"/>
    </row>
    <row r="15" spans="1:11" x14ac:dyDescent="0.25">
      <c r="A15" t="s">
        <v>560</v>
      </c>
      <c r="B15" t="str">
        <f>IF(A15&lt;&gt;A12,A15&amp;$B$1,"")</f>
        <v>rt7M_tl_TEXT</v>
      </c>
      <c r="C15">
        <f>LEN(B15)</f>
        <v>12</v>
      </c>
      <c r="E15" t="s">
        <v>562</v>
      </c>
      <c r="F15">
        <f ca="1">IF(E15="*",$F$16,VLOOKUP(E15,INDIRECT($F$1),2,FALSE))</f>
        <v>1598</v>
      </c>
      <c r="H15">
        <f ca="1">VLOOKUP(B15,INDIRECT(GlobalPlcmnt!$B$133),GlobalPlcmnt!$A$138,FALSE)</f>
        <v>40272</v>
      </c>
      <c r="I15" t="str">
        <f ca="1">"0x"&amp;DEC2HEX(H15,8)</f>
        <v>0x00009D50</v>
      </c>
      <c r="J15" s="4" t="str">
        <f ca="1">IF(E15&lt;&gt;"*","","define symbol "&amp;B15&amp;REPT(" ",$C$4-C15)&amp;" = "&amp;I15&amp;";")</f>
        <v>define symbol rt7M_tl_TEXT         = 0x00009D50;</v>
      </c>
      <c r="K15" s="4" t="str">
        <f>IF(E15="*",""""&amp;B15&amp;""":"&amp;REPT(" ",$C$4-C15)&amp;" place at address mem: "&amp;B15&amp;REPT(" ",$C$4-C15)&amp;" { "&amp;$K$1&amp;E15&amp;"("&amp;A15&amp;".a)"&amp;IF(E16=""," };",","),IF(E15="","",REPT(" ",$K$3)&amp;$K$1&amp;E15&amp;"("&amp;A15&amp;".a)"&amp;IF(E16=""," };",",")))</f>
        <v>"rt7M_tl_TEXT":         place at address mem: rt7M_tl_TEXT         { ro code section .text object *(rt7M_tl.a) };</v>
      </c>
    </row>
    <row r="16" spans="1:11" x14ac:dyDescent="0.25">
      <c r="B16" t="str">
        <f>B15&amp;"_end"</f>
        <v>rt7M_tl_TEXT_end</v>
      </c>
      <c r="F16">
        <f ca="1">VLOOKUP(B16,INDIRECT($F$1),2,FALSE)</f>
        <v>1598</v>
      </c>
      <c r="G16">
        <f ca="1">INT(($G$13/100)*F16)</f>
        <v>0</v>
      </c>
      <c r="H16">
        <f ca="1">H15+F15+G16+IF(MOD(F15+H15+G16,$G$14)=0,0,$G$14-MOD(F15+H15+G16,$G$14))</f>
        <v>41872</v>
      </c>
      <c r="I16" t="str">
        <f ca="1">"0x"&amp;DEC2HEX(H16,8)</f>
        <v>0x0000A390</v>
      </c>
      <c r="J16" s="4"/>
      <c r="K16" s="4" t="str">
        <f>IF(E16="*",""""&amp;B16&amp;""":"&amp;REPT(" ",$C$4-C16)&amp;" place at address mem: "&amp;B16&amp;REPT(" ",$C$4-C16)&amp;" { "&amp;$K$1&amp;E16&amp;"("&amp;A16&amp;".a)"&amp;IF(E17=""," };",","),IF(E16="","",REPT(" ",$K$3)&amp;$K$1&amp;E16&amp;"("&amp;A16&amp;".a)"&amp;IF(E17=""," };",",")))</f>
        <v/>
      </c>
    </row>
    <row r="17" spans="1:11" x14ac:dyDescent="0.25">
      <c r="J17" s="4"/>
      <c r="K17" s="4"/>
    </row>
    <row r="18" spans="1:11" x14ac:dyDescent="0.25">
      <c r="F18" t="s">
        <v>526</v>
      </c>
      <c r="G18">
        <f ca="1">VLOOKUP(B20,INDIRECT(GlobalPlcmnt!$B$133),GlobalPlcmnt!$B$138,FALSE)</f>
        <v>0</v>
      </c>
      <c r="J18" s="4"/>
      <c r="K18" s="4"/>
    </row>
    <row r="19" spans="1:11" x14ac:dyDescent="0.25">
      <c r="F19" t="s">
        <v>608</v>
      </c>
      <c r="G19">
        <f ca="1">VLOOKUP(B20,INDIRECT(GlobalPlcmnt!$B$133),GlobalPlcmnt!$C$138,FALSE)</f>
        <v>16</v>
      </c>
      <c r="J19" s="4"/>
      <c r="K19" s="4"/>
    </row>
    <row r="20" spans="1:11" x14ac:dyDescent="0.25">
      <c r="A20" t="s">
        <v>561</v>
      </c>
      <c r="B20" t="str">
        <f>IF(A20&lt;&gt;A17,A20&amp;$B$1,"")</f>
        <v>shb_l_TEXT</v>
      </c>
      <c r="C20">
        <f>LEN(B20)</f>
        <v>10</v>
      </c>
      <c r="E20" t="s">
        <v>562</v>
      </c>
      <c r="F20">
        <f ca="1">IF(E20="*",$F$21,VLOOKUP(E20,INDIRECT($F$1),2,FALSE))</f>
        <v>56</v>
      </c>
      <c r="H20">
        <f ca="1">VLOOKUP(B20,INDIRECT(GlobalPlcmnt!$B$133),GlobalPlcmnt!$A$138,FALSE)</f>
        <v>41904</v>
      </c>
      <c r="I20" t="str">
        <f ca="1">"0x"&amp;DEC2HEX(H20,8)</f>
        <v>0x0000A3B0</v>
      </c>
      <c r="J20" s="4" t="str">
        <f ca="1">IF(E20&lt;&gt;"*","","define symbol "&amp;B20&amp;REPT(" ",$C$4-C20)&amp;" = "&amp;I20&amp;";")</f>
        <v>define symbol shb_l_TEXT           = 0x0000A3B0;</v>
      </c>
      <c r="K20" s="4" t="str">
        <f>IF(E20="*",""""&amp;B20&amp;""":"&amp;REPT(" ",$C$4-C20)&amp;" place at address mem: "&amp;B20&amp;REPT(" ",$C$4-C20)&amp;" { "&amp;$K$1&amp;E20&amp;"("&amp;A20&amp;".a)"&amp;IF(E21=""," };",","),IF(E20="","",REPT(" ",$K$3)&amp;$K$1&amp;E20&amp;"("&amp;A20&amp;".a)"&amp;IF(E21=""," };",",")))</f>
        <v>"shb_l_TEXT":           place at address mem: shb_l_TEXT           { ro code section .text object *(shb_l.a) };</v>
      </c>
    </row>
    <row r="21" spans="1:11" x14ac:dyDescent="0.25">
      <c r="B21" t="str">
        <f>B20&amp;"_end"</f>
        <v>shb_l_TEXT_end</v>
      </c>
      <c r="F21">
        <f ca="1">VLOOKUP(B21,INDIRECT($F$1),2,FALSE)</f>
        <v>56</v>
      </c>
      <c r="G21">
        <f ca="1">INT(($G$18/100)*F21)</f>
        <v>0</v>
      </c>
      <c r="H21">
        <f ca="1">H20+F20+G21+IF(MOD(F20+H20+G21,$G$19)=0,0,$G$19-MOD(F20+H20+G21,$G$19))</f>
        <v>41968</v>
      </c>
      <c r="I21" t="str">
        <f ca="1">"0x"&amp;DEC2HEX(H21,8)</f>
        <v>0x0000A3F0</v>
      </c>
      <c r="J21" s="4"/>
      <c r="K21" s="4" t="str">
        <f>IF(E21="*",""""&amp;B21&amp;""":"&amp;REPT(" ",$C$4-C21)&amp;" place at address mem: "&amp;B21&amp;REPT(" ",$C$4-C21)&amp;" { "&amp;$K$1&amp;E21&amp;"("&amp;A21&amp;".a)"&amp;IF(E22=""," };",","),IF(E21="","",REPT(" ",$K$3)&amp;$K$1&amp;E21&amp;"("&amp;A21&amp;".a)"&amp;IF(E22=""," };",",")))</f>
        <v/>
      </c>
    </row>
    <row r="22" spans="1:11" x14ac:dyDescent="0.25">
      <c r="J22" s="4"/>
      <c r="K22" s="4"/>
    </row>
    <row r="23" spans="1:11" x14ac:dyDescent="0.25">
      <c r="F23" t="s">
        <v>526</v>
      </c>
      <c r="G23">
        <f ca="1">VLOOKUP(B25,INDIRECT(GlobalPlcmnt!$B$133),GlobalPlcmnt!$B$138,FALSE)</f>
        <v>1</v>
      </c>
      <c r="J23" s="4"/>
      <c r="K23" s="4"/>
    </row>
    <row r="24" spans="1:11" x14ac:dyDescent="0.25">
      <c r="F24" t="s">
        <v>608</v>
      </c>
      <c r="G24">
        <f ca="1">VLOOKUP(B25,INDIRECT(GlobalPlcmnt!$B$133),GlobalPlcmnt!$C$138,FALSE)</f>
        <v>16</v>
      </c>
      <c r="J24" s="4"/>
      <c r="K24" s="4"/>
    </row>
    <row r="25" spans="1:11" x14ac:dyDescent="0.25">
      <c r="A25" t="s">
        <v>539</v>
      </c>
      <c r="B25" t="str">
        <f>IF(A25&lt;&gt;A22,A25&amp;$B$1,"")</f>
        <v>BSP_TEXT</v>
      </c>
      <c r="C25">
        <f>LEN(B25)</f>
        <v>8</v>
      </c>
      <c r="E25" t="s">
        <v>562</v>
      </c>
      <c r="F25">
        <f ca="1">IF(E25="*",$F$27-SUM(F26),VLOOKUP(E25,INDIRECT($F$1),2,FALSE))</f>
        <v>16712</v>
      </c>
      <c r="H25">
        <f ca="1">VLOOKUP(B25,INDIRECT(GlobalPlcmnt!$B$133),GlobalPlcmnt!$A$138,FALSE)</f>
        <v>66720</v>
      </c>
      <c r="I25" t="str">
        <f ca="1">"0x"&amp;DEC2HEX(H25,8)</f>
        <v>0x000104A0</v>
      </c>
      <c r="J25" s="4" t="str">
        <f ca="1">IF(E25&lt;&gt;"*","","define symbol "&amp;B25&amp;REPT(" ",$C$4-C25)&amp;" = "&amp;I25&amp;";")</f>
        <v>define symbol BSP_TEXT             = 0x000104A0;</v>
      </c>
      <c r="K25" s="4" t="str">
        <f>IF(E25="*",""""&amp;B25&amp;""":"&amp;REPT(" ",$C$4-C25)&amp;" place at address mem: "&amp;B25&amp;REPT(" ",$C$4-C25)&amp;" { "&amp;$K$1&amp;E25&amp;"("&amp;A25&amp;".a)"&amp;IF(E26=""," };",","),IF(E25="","",REPT(" ",$K$3)&amp;$K$1&amp;E25&amp;"("&amp;A25&amp;".a)"&amp;IF(E26=""," };",",")))</f>
        <v>"BSP_TEXT":             place at address mem: BSP_TEXT             { ro code section .text object *(BSP.a),</v>
      </c>
    </row>
    <row r="26" spans="1:11" x14ac:dyDescent="0.25">
      <c r="A26" t="s">
        <v>539</v>
      </c>
      <c r="B26" t="str">
        <f>IF(A26&lt;&gt;A25,A26&amp;$B$1,"")</f>
        <v/>
      </c>
      <c r="E26" t="s">
        <v>273</v>
      </c>
      <c r="F26">
        <f ca="1">IF(E26="*",$F$27,VLOOKUP(E26,INDIRECT($F$1),2,FALSE))</f>
        <v>1096</v>
      </c>
      <c r="H26">
        <f ca="1">H25+F25+G25+IF(MOD(F25+H25+G25,$G$3)=0,0,$G$3-MOD(F25+H25+G25,$G$3))</f>
        <v>83440</v>
      </c>
      <c r="I26" t="str">
        <f t="shared" ref="I26:I35" ca="1" si="0">"0x"&amp;DEC2HEX(H26,8)</f>
        <v>0x000145F0</v>
      </c>
      <c r="J26" s="4" t="str">
        <f>IF(E26&lt;&gt;"*","","define symbol "&amp;B26&amp;REPT(" ",$C$4-C26)&amp;" = "&amp;I26&amp;";")</f>
        <v/>
      </c>
      <c r="K26" s="4" t="str">
        <f>IF(E26="*",""""&amp;B26&amp;""":"&amp;REPT(" ",$C$4-C26)&amp;" place at address mem: "&amp;B26&amp;REPT(" ",$C$4-C26)&amp;" { "&amp;$K$1&amp;E26&amp;"("&amp;A26&amp;".a)"&amp;IF(E27=""," };",","),IF(E26="","",REPT(" ",$K$3)&amp;$K$1&amp;E26&amp;"("&amp;A26&amp;".a)"&amp;IF(E27=""," };",",")))</f>
        <v xml:space="preserve">                                                                     ro code section .text object adc.o(BSP.a) };</v>
      </c>
    </row>
    <row r="27" spans="1:11" x14ac:dyDescent="0.25">
      <c r="B27" t="str">
        <f>B25&amp;"_end"</f>
        <v>BSP_TEXT_end</v>
      </c>
      <c r="F27">
        <f ca="1">VLOOKUP(B27,INDIRECT($F$1),2,FALSE)</f>
        <v>17808</v>
      </c>
      <c r="G27">
        <f ca="1">INT(($G$23/100)*F27)</f>
        <v>178</v>
      </c>
      <c r="H27">
        <f ca="1">H26+F26+G27+IF(MOD(F26+H26+G27,$G$24)=0,0,$G$24-MOD(F26+H26+G27,$G$24))</f>
        <v>84720</v>
      </c>
      <c r="I27" t="str">
        <f t="shared" ca="1" si="0"/>
        <v>0x00014AF0</v>
      </c>
      <c r="J27" s="4"/>
      <c r="K27" s="4" t="str">
        <f>IF(E27="*",""""&amp;B27&amp;""":"&amp;REPT(" ",$C$4-C27)&amp;" place at address mem: "&amp;B27&amp;REPT(" ",$C$4-C27)&amp;" { "&amp;$K$1&amp;E27&amp;"("&amp;A27&amp;".a)"&amp;IF(E28=""," };",","),IF(E27="","",REPT(" ",$K$3)&amp;$K$1&amp;E27&amp;"("&amp;A27&amp;".a)"&amp;IF(E28=""," };",",")))</f>
        <v/>
      </c>
    </row>
    <row r="28" spans="1:11" x14ac:dyDescent="0.25">
      <c r="J28" s="4"/>
      <c r="K28" s="4"/>
    </row>
    <row r="29" spans="1:11" x14ac:dyDescent="0.25">
      <c r="F29" t="s">
        <v>526</v>
      </c>
      <c r="G29">
        <f ca="1">VLOOKUP(B31,INDIRECT(GlobalPlcmnt!$B$133),GlobalPlcmnt!$B$138,FALSE)</f>
        <v>1</v>
      </c>
      <c r="J29" s="4"/>
      <c r="K29" s="4"/>
    </row>
    <row r="30" spans="1:11" x14ac:dyDescent="0.25">
      <c r="F30" t="s">
        <v>608</v>
      </c>
      <c r="G30">
        <f ca="1">VLOOKUP(B31,INDIRECT(GlobalPlcmnt!$B$133),GlobalPlcmnt!$C$138,FALSE)</f>
        <v>16</v>
      </c>
      <c r="J30" s="4"/>
      <c r="K30" s="4"/>
    </row>
    <row r="31" spans="1:11" x14ac:dyDescent="0.25">
      <c r="A31" t="s">
        <v>540</v>
      </c>
      <c r="B31" t="str">
        <f>IF(A31&lt;&gt;A28,A31&amp;$B$1,"")</f>
        <v>PSP_TEXT</v>
      </c>
      <c r="C31">
        <f>LEN(B31)</f>
        <v>8</v>
      </c>
      <c r="E31" t="s">
        <v>562</v>
      </c>
      <c r="F31">
        <f ca="1">IF(E31="*",$F$35-SUM(F32:F34),VLOOKUP(E31,INDIRECT($F$1),2,FALSE))</f>
        <v>18122</v>
      </c>
      <c r="H31">
        <f ca="1">VLOOKUP(B31,INDIRECT(GlobalPlcmnt!$B$133),GlobalPlcmnt!$A$138,FALSE)</f>
        <v>42080</v>
      </c>
      <c r="I31" t="str">
        <f t="shared" ca="1" si="0"/>
        <v>0x0000A460</v>
      </c>
      <c r="J31" s="4" t="str">
        <f ca="1">IF(E31&lt;&gt;"*","","define symbol "&amp;B31&amp;REPT(" ",$C$4-C31)&amp;" = "&amp;I31&amp;";")</f>
        <v>define symbol PSP_TEXT             = 0x0000A460;</v>
      </c>
      <c r="K31" s="4" t="str">
        <f>IF(E31="*",""""&amp;B31&amp;""":"&amp;REPT(" ",$C$4-C31)&amp;" place at address mem: "&amp;B31&amp;REPT(" ",$C$4-C31)&amp;" { "&amp;$K$1&amp;E31&amp;"("&amp;A31&amp;".a)"&amp;IF(E32=""," };",","),IF(E31="","",REPT(" ",$K$3)&amp;$K$1&amp;E31&amp;"("&amp;A31&amp;".a)"&amp;IF(E32=""," };",",")))</f>
        <v>"PSP_TEXT":             place at address mem: PSP_TEXT             { ro code section .text object *(PSP.a),</v>
      </c>
    </row>
    <row r="32" spans="1:11" x14ac:dyDescent="0.25">
      <c r="A32" t="s">
        <v>540</v>
      </c>
      <c r="B32" t="str">
        <f>IF(A32&lt;&gt;A31,A32&amp;$B$1,"")</f>
        <v/>
      </c>
      <c r="E32" t="s">
        <v>176</v>
      </c>
      <c r="F32">
        <f ca="1">IF(E32="*",$F$35,VLOOKUP(E32,INDIRECT($F$1),2,FALSE))</f>
        <v>1528</v>
      </c>
      <c r="H32">
        <f ca="1">H31+F31+G31+IF(MOD(F31+H31+G31,$G$30)=0,0,$G$30-MOD(F31+H31+G31,$G$30))</f>
        <v>60208</v>
      </c>
      <c r="I32" t="str">
        <f t="shared" ca="1" si="0"/>
        <v>0x0000EB30</v>
      </c>
      <c r="J32" s="4" t="str">
        <f>IF(E32&lt;&gt;"*","","define symbol "&amp;B32&amp;REPT(" ",$C$4-C32)&amp;" = "&amp;I32&amp;";")</f>
        <v/>
      </c>
      <c r="K32" s="4" t="str">
        <f>IF(E32="*",""""&amp;B32&amp;""":"&amp;REPT(" ",$C$4-C32)&amp;" place at address mem: "&amp;B32&amp;REPT(" ",$C$4-C32)&amp;" { "&amp;$K$1&amp;E32&amp;"("&amp;A32&amp;".a)"&amp;IF(E33=""," };",","),IF(E32="","",REPT(" ",$K$3)&amp;$K$1&amp;E32&amp;"("&amp;A32&amp;".a)"&amp;IF(E33=""," };",",")))</f>
        <v xml:space="preserve">                                                                     ro code section .text object mutex.o(PSP.a),</v>
      </c>
    </row>
    <row r="33" spans="1:11" x14ac:dyDescent="0.25">
      <c r="A33" t="s">
        <v>540</v>
      </c>
      <c r="B33" t="str">
        <f>IF(A33&lt;&gt;A32,A33&amp;$B$1,"")</f>
        <v/>
      </c>
      <c r="E33" t="s">
        <v>30</v>
      </c>
      <c r="F33">
        <f ca="1">IF(E33="*",$F$35,VLOOKUP(E33,INDIRECT($F$1),2,FALSE))</f>
        <v>274</v>
      </c>
      <c r="H33">
        <f t="shared" ref="H33:H34" ca="1" si="1">H32+F32+G32+IF(MOD(F32+H32+G32,$G$30)=0,0,$G$30-MOD(F32+H32+G32,$G$30))</f>
        <v>61744</v>
      </c>
      <c r="I33" t="str">
        <f t="shared" ca="1" si="0"/>
        <v>0x0000F130</v>
      </c>
      <c r="J33" s="4" t="str">
        <f>IF(E33&lt;&gt;"*","","define symbol "&amp;B33&amp;REPT(" ",$C$4-C33)&amp;" = "&amp;I33&amp;";")</f>
        <v/>
      </c>
      <c r="K33" s="4" t="str">
        <f>IF(E33="*",""""&amp;B33&amp;""":"&amp;REPT(" ",$C$4-C33)&amp;" place at address mem: "&amp;B33&amp;REPT(" ",$C$4-C33)&amp;" { "&amp;$K$1&amp;E33&amp;"("&amp;A33&amp;".a)"&amp;IF(E34=""," };",","),IF(E33="","",REPT(" ",$K$3)&amp;$K$1&amp;E33&amp;"("&amp;A33&amp;".a)"&amp;IF(E34=""," };",",")))</f>
        <v xml:space="preserve">                                                                     ro code section .text object queue.o(PSP.a),</v>
      </c>
    </row>
    <row r="34" spans="1:11" x14ac:dyDescent="0.25">
      <c r="A34" t="s">
        <v>540</v>
      </c>
      <c r="B34" t="str">
        <f>IF(A34&lt;&gt;A33,A34&amp;$B$1,"")</f>
        <v/>
      </c>
      <c r="E34" t="s">
        <v>25</v>
      </c>
      <c r="F34">
        <f ca="1">IF(E34="*",$F$35,VLOOKUP(E34,INDIRECT($F$1),2,FALSE))</f>
        <v>3002</v>
      </c>
      <c r="H34">
        <f t="shared" ca="1" si="1"/>
        <v>62032</v>
      </c>
      <c r="I34" t="str">
        <f t="shared" ca="1" si="0"/>
        <v>0x0000F250</v>
      </c>
      <c r="J34" s="4" t="str">
        <f>IF(E34&lt;&gt;"*","","define symbol "&amp;B34&amp;REPT(" ",$C$4-C34)&amp;" = "&amp;I34&amp;";")</f>
        <v/>
      </c>
      <c r="K34" s="4" t="str">
        <f>IF(E34="*",""""&amp;B34&amp;""":"&amp;REPT(" ",$C$4-C34)&amp;" place at address mem: "&amp;B34&amp;REPT(" ",$C$4-C34)&amp;" { "&amp;$K$1&amp;E34&amp;"("&amp;A34&amp;".a)"&amp;IF(E35=""," };",","),IF(E34="","",REPT(" ",$K$3)&amp;$K$1&amp;E34&amp;"("&amp;A34&amp;".a)"&amp;IF(E35=""," };",",")))</f>
        <v xml:space="preserve">                                                                     ro code section .text object task.o(PSP.a) };</v>
      </c>
    </row>
    <row r="35" spans="1:11" x14ac:dyDescent="0.25">
      <c r="B35" t="str">
        <f>B31&amp;"_end"</f>
        <v>PSP_TEXT_end</v>
      </c>
      <c r="F35">
        <f ca="1">VLOOKUP(B35,INDIRECT($F$1),2,FALSE)</f>
        <v>22926</v>
      </c>
      <c r="G35">
        <f ca="1">INT(($G$29/100)*F35)</f>
        <v>229</v>
      </c>
      <c r="H35">
        <f ca="1">H34+F34+G35+IF(MOD(F34+H34+G35,$G$30)=0,0,$G$30-MOD(F34+H34+G35,$G$30))</f>
        <v>65264</v>
      </c>
      <c r="I35" t="str">
        <f t="shared" ca="1" si="0"/>
        <v>0x0000FEF0</v>
      </c>
      <c r="K35" s="4" t="str">
        <f>IF(E35="*",""""&amp;B35&amp;""":"&amp;REPT(" ",$C$4-C35)&amp;" place at address mem: "&amp;B35&amp;REPT(" ",$C$4-C35)&amp;" { "&amp;$K$1&amp;E35&amp;"("&amp;A35&amp;".a)"&amp;IF(E36=""," };",","),IF(E35="","",REPT(" ",$K$3)&amp;$K$1&amp;E35&amp;"("&amp;A35&amp;".a)"&amp;IF(E36=""," };",",")))</f>
        <v/>
      </c>
    </row>
    <row r="37" spans="1:11" x14ac:dyDescent="0.25">
      <c r="F37" t="s">
        <v>526</v>
      </c>
      <c r="G37">
        <f ca="1">VLOOKUP(B39,INDIRECT(GlobalPlcmnt!$B$133),GlobalPlcmnt!$B$138,FALSE)</f>
        <v>0</v>
      </c>
    </row>
    <row r="38" spans="1:11" x14ac:dyDescent="0.25">
      <c r="F38" t="s">
        <v>608</v>
      </c>
      <c r="G38">
        <f ca="1">VLOOKUP(B39,INDIRECT(GlobalPlcmnt!$B$133),GlobalPlcmnt!$C$138,FALSE)</f>
        <v>16</v>
      </c>
    </row>
    <row r="39" spans="1:11" x14ac:dyDescent="0.25">
      <c r="A39" t="s">
        <v>419</v>
      </c>
      <c r="B39" t="str">
        <f>IF(A39&lt;&gt;A36,A39&amp;$B$1,"")</f>
        <v>KERNEL_TEXT</v>
      </c>
      <c r="C39">
        <f>LEN(B39)</f>
        <v>11</v>
      </c>
      <c r="E39" t="s">
        <v>562</v>
      </c>
      <c r="F39">
        <f ca="1">IF(E39="*",$F$40,VLOOKUP(E39,INDIRECT($F$1),2,FALSE))</f>
        <v>832</v>
      </c>
      <c r="H39">
        <f ca="1">VLOOKUP(B39,INDIRECT(GlobalPlcmnt!$B$133),GlobalPlcmnt!$A$138,FALSE)</f>
        <v>65264</v>
      </c>
      <c r="I39" t="str">
        <f ca="1">"0x"&amp;DEC2HEX(H39,8)</f>
        <v>0x0000FEF0</v>
      </c>
      <c r="J39" s="4" t="str">
        <f ca="1">IF(E39&lt;&gt;"*","","define symbol "&amp;B39&amp;REPT(" ",$C$4-C39)&amp;" = "&amp;I39&amp;";")</f>
        <v>define symbol KERNEL_TEXT          = 0x0000FEF0;</v>
      </c>
      <c r="K39" s="4" t="str">
        <f>""""&amp;A39&amp;$B$1&amp;""":"&amp;REPT(" ",$C$4-C39)&amp;" place at address mem: "&amp;A39&amp;$B$1&amp;REPT(" ",$C$4-C39)&amp;" { ro code section KERNEL object * };"</f>
        <v>"KERNEL_TEXT":          place at address mem: KERNEL_TEXT          { ro code section KERNEL object * };</v>
      </c>
    </row>
    <row r="40" spans="1:11" x14ac:dyDescent="0.25">
      <c r="B40" t="str">
        <f>B39&amp;"_end"</f>
        <v>KERNEL_TEXT_end</v>
      </c>
      <c r="F40">
        <f ca="1">VLOOKUP(B40,INDIRECT($F$1),2,FALSE)</f>
        <v>832</v>
      </c>
      <c r="G40">
        <f ca="1">INT(($G$37/100)*F40)</f>
        <v>0</v>
      </c>
      <c r="H40">
        <f ca="1">H39+F39+G40+IF(MOD(F39+H39+G40,$G$38)=0,0,$G$38-MOD(F39+H39+G40,$G$38))</f>
        <v>66096</v>
      </c>
      <c r="I40" t="str">
        <f ca="1">"0x"&amp;DEC2HEX(H40,8)</f>
        <v>0x00010230</v>
      </c>
      <c r="J40" s="4"/>
      <c r="K40" s="4"/>
    </row>
    <row r="41" spans="1:11" x14ac:dyDescent="0.25">
      <c r="J41" s="4"/>
      <c r="K41" s="4"/>
    </row>
    <row r="42" spans="1:11" x14ac:dyDescent="0.25">
      <c r="F42" t="s">
        <v>526</v>
      </c>
      <c r="G42">
        <f ca="1">VLOOKUP(B44,INDIRECT(GlobalPlcmnt!$B$133),GlobalPlcmnt!$B$138,FALSE)</f>
        <v>1</v>
      </c>
      <c r="J42" s="4"/>
      <c r="K42" s="4"/>
    </row>
    <row r="43" spans="1:11" x14ac:dyDescent="0.25">
      <c r="F43" t="s">
        <v>608</v>
      </c>
      <c r="G43">
        <f ca="1">VLOOKUP(B44,INDIRECT(GlobalPlcmnt!$B$133),GlobalPlcmnt!$C$138,FALSE)</f>
        <v>16</v>
      </c>
      <c r="J43" s="4"/>
      <c r="K43" s="4"/>
    </row>
    <row r="44" spans="1:11" x14ac:dyDescent="0.25">
      <c r="A44" t="s">
        <v>541</v>
      </c>
      <c r="B44" t="str">
        <f>SUBSTITUTE(IF(A44&lt;&gt;A41,A44&amp;$B$1,""),"-","_")</f>
        <v>wolfSSL_Lib_MTU_TEXT</v>
      </c>
      <c r="C44">
        <f>LEN(B44)</f>
        <v>20</v>
      </c>
      <c r="E44" t="s">
        <v>562</v>
      </c>
      <c r="F44">
        <f ca="1">IF(E44="*",$F$45,VLOOKUP(E44,INDIRECT($F$1),2,FALSE))</f>
        <v>118374</v>
      </c>
      <c r="H44">
        <f ca="1">VLOOKUP(B44,INDIRECT(GlobalPlcmnt!$B$133),GlobalPlcmnt!$A$138,FALSE)</f>
        <v>93072</v>
      </c>
      <c r="I44" t="str">
        <f ca="1">"0x"&amp;DEC2HEX(H44,8)</f>
        <v>0x00016B90</v>
      </c>
      <c r="J44" s="4" t="str">
        <f ca="1">IF(E44&lt;&gt;"*","","define symbol "&amp;B44&amp;REPT(" ",$C$4-C44)&amp;" = "&amp;I44&amp;";")</f>
        <v>define symbol wolfSSL_Lib_MTU_TEXT = 0x00016B90;</v>
      </c>
      <c r="K44" s="4" t="str">
        <f>IF(E44="*",""""&amp;B44&amp;""":"&amp;REPT(" ",$C$4-C44)&amp;" place at address mem: "&amp;B44&amp;REPT(" ",$C$4-C44)&amp;" { "&amp;$K$1&amp;E44&amp;"("&amp;A44&amp;".a)"&amp;IF(E45=""," };",","),IF(E44="","",REPT(" ",$K$3)&amp;$K$1&amp;E44&amp;IF(E45=""," };",",")))</f>
        <v>"wolfSSL_Lib_MTU_TEXT": place at address mem: wolfSSL_Lib_MTU_TEXT { ro code section .text object *(wolfSSL-Lib_MTU.a) };</v>
      </c>
    </row>
    <row r="45" spans="1:11" x14ac:dyDescent="0.25">
      <c r="B45" t="str">
        <f>B44&amp;"_end"</f>
        <v>wolfSSL_Lib_MTU_TEXT_end</v>
      </c>
      <c r="F45">
        <f ca="1">VLOOKUP(B45,INDIRECT($F$1),2,FALSE)</f>
        <v>118374</v>
      </c>
      <c r="G45">
        <f ca="1">INT(($G$42/100)*F45)</f>
        <v>1183</v>
      </c>
      <c r="H45">
        <f ca="1">H44+F44+G45+IF(MOD(F44+H44+G45,$G$43)=0,0,$G$43-MOD(F44+H44+G45,$G$43))</f>
        <v>212640</v>
      </c>
      <c r="I45" t="str">
        <f ca="1">"0x"&amp;DEC2HEX(H45,8)</f>
        <v>0x00033EA0</v>
      </c>
    </row>
    <row r="47" spans="1:11" x14ac:dyDescent="0.25">
      <c r="A47" t="s">
        <v>928</v>
      </c>
      <c r="B47" t="str">
        <f ca="1">CELL("address",J45)</f>
        <v>$J$45</v>
      </c>
      <c r="J47" s="2"/>
      <c r="K47" s="2"/>
    </row>
    <row r="50" spans="10:11" x14ac:dyDescent="0.25">
      <c r="J50" s="4" t="str">
        <f ca="1">J5</f>
        <v>define symbol dl7M_tln_TEXT        = 0x00004400;</v>
      </c>
      <c r="K50" s="4" t="str">
        <f>K5</f>
        <v>"dl7M_tln_TEXT":        place at address mem: dl7M_tln_TEXT        { ro code section .text object *(dl7M_tln.a) };</v>
      </c>
    </row>
    <row r="51" spans="10:11" x14ac:dyDescent="0.25">
      <c r="J51" s="4" t="str">
        <f ca="1">J10</f>
        <v>define symbol m7M_tls_TEXT         = 0x000070A0;</v>
      </c>
      <c r="K51" s="4" t="str">
        <f>K10</f>
        <v>"m7M_tls_TEXT":         place at address mem: m7M_tls_TEXT         { ro code section .text object *(m7M_tls.a) };</v>
      </c>
    </row>
    <row r="52" spans="10:11" x14ac:dyDescent="0.25">
      <c r="J52" s="4" t="str">
        <f ca="1">J15</f>
        <v>define symbol rt7M_tl_TEXT         = 0x00009D50;</v>
      </c>
      <c r="K52" s="4" t="str">
        <f>K15</f>
        <v>"rt7M_tl_TEXT":         place at address mem: rt7M_tl_TEXT         { ro code section .text object *(rt7M_tl.a) };</v>
      </c>
    </row>
    <row r="53" spans="10:11" x14ac:dyDescent="0.25">
      <c r="J53" s="4" t="str">
        <f ca="1">J20</f>
        <v>define symbol shb_l_TEXT           = 0x0000A3B0;</v>
      </c>
      <c r="K53" s="4" t="str">
        <f>K20</f>
        <v>"shb_l_TEXT":           place at address mem: shb_l_TEXT           { ro code section .text object *(shb_l.a) };</v>
      </c>
    </row>
    <row r="54" spans="10:11" x14ac:dyDescent="0.25">
      <c r="J54" s="4" t="str">
        <f ca="1">J25</f>
        <v>define symbol BSP_TEXT             = 0x000104A0;</v>
      </c>
      <c r="K54" s="4" t="str">
        <f>K25</f>
        <v>"BSP_TEXT":             place at address mem: BSP_TEXT             { ro code section .text object *(BSP.a),</v>
      </c>
    </row>
    <row r="55" spans="10:11" x14ac:dyDescent="0.25">
      <c r="J55" s="4" t="str">
        <f ca="1">J31</f>
        <v>define symbol PSP_TEXT             = 0x0000A460;</v>
      </c>
      <c r="K55" s="4" t="str">
        <f>K26</f>
        <v xml:space="preserve">                                                                     ro code section .text object adc.o(BSP.a) };</v>
      </c>
    </row>
    <row r="56" spans="10:11" x14ac:dyDescent="0.25">
      <c r="J56" s="4" t="str">
        <f ca="1">J39</f>
        <v>define symbol KERNEL_TEXT          = 0x0000FEF0;</v>
      </c>
      <c r="K56" s="4" t="str">
        <f>K31</f>
        <v>"PSP_TEXT":             place at address mem: PSP_TEXT             { ro code section .text object *(PSP.a),</v>
      </c>
    </row>
    <row r="57" spans="10:11" x14ac:dyDescent="0.25">
      <c r="J57" s="4" t="str">
        <f ca="1">J44</f>
        <v>define symbol wolfSSL_Lib_MTU_TEXT = 0x00016B90;</v>
      </c>
      <c r="K57" s="4" t="str">
        <f>K32</f>
        <v xml:space="preserve">                                                                     ro code section .text object mutex.o(PSP.a),</v>
      </c>
    </row>
    <row r="58" spans="10:11" x14ac:dyDescent="0.25">
      <c r="K58" s="4" t="str">
        <f>K33</f>
        <v xml:space="preserve">                                                                     ro code section .text object queue.o(PSP.a),</v>
      </c>
    </row>
    <row r="59" spans="10:11" x14ac:dyDescent="0.25">
      <c r="K59" s="4" t="str">
        <f>K34</f>
        <v xml:space="preserve">                                                                     ro code section .text object task.o(PSP.a) };</v>
      </c>
    </row>
    <row r="60" spans="10:11" x14ac:dyDescent="0.25">
      <c r="K60" s="4" t="str">
        <f>K39</f>
        <v>"KERNEL_TEXT":          place at address mem: KERNEL_TEXT          { ro code section KERNEL object * };</v>
      </c>
    </row>
    <row r="61" spans="10:11" x14ac:dyDescent="0.25">
      <c r="K61" s="4" t="str">
        <f>K44</f>
        <v>"wolfSSL_Lib_MTU_TEXT": place at address mem: wolfSSL_Lib_MTU_TEXT { ro code section .text object *(wolfSSL-Lib_MTU.a)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394"/>
  <sheetViews>
    <sheetView workbookViewId="0">
      <selection activeCell="K346" sqref="K346"/>
    </sheetView>
  </sheetViews>
  <sheetFormatPr defaultRowHeight="15" x14ac:dyDescent="0.25"/>
  <cols>
    <col min="1" max="1" width="14.140625" bestFit="1" customWidth="1"/>
    <col min="2" max="2" width="24" bestFit="1" customWidth="1"/>
    <col min="3" max="3" width="3" bestFit="1" customWidth="1"/>
    <col min="4" max="4" width="32.42578125" customWidth="1"/>
    <col min="5" max="5" width="31" customWidth="1"/>
    <col min="6" max="6" width="7" bestFit="1" customWidth="1"/>
    <col min="7" max="7" width="7.140625" bestFit="1" customWidth="1"/>
    <col min="8" max="8" width="12.28515625" customWidth="1"/>
    <col min="9" max="9" width="11.85546875" bestFit="1" customWidth="1"/>
    <col min="10" max="10" width="52.85546875" bestFit="1" customWidth="1"/>
    <col min="11" max="11" width="136.7109375" bestFit="1" customWidth="1"/>
  </cols>
  <sheetData>
    <row r="1" spans="1:11" x14ac:dyDescent="0.25">
      <c r="B1" t="s">
        <v>589</v>
      </c>
      <c r="F1" s="3" t="str">
        <f ca="1">'.map data'!$B$1</f>
        <v>'.map data'!$H$31:$I$174</v>
      </c>
    </row>
    <row r="2" spans="1:11" x14ac:dyDescent="0.25">
      <c r="F2" t="s">
        <v>526</v>
      </c>
      <c r="G2">
        <f ca="1">VLOOKUP(B5,INDIRECT(GlobalPlcmnt!$B$133),GlobalPlcmnt!$B$138,FALSE)</f>
        <v>1</v>
      </c>
      <c r="K2" t="str">
        <f>"ro code section .text object "</f>
        <v xml:space="preserve">ro code section .text object </v>
      </c>
    </row>
    <row r="3" spans="1:11" x14ac:dyDescent="0.25">
      <c r="A3" t="s">
        <v>927</v>
      </c>
      <c r="B3" t="str">
        <f ca="1">CELL("address",B5)</f>
        <v>$B$5</v>
      </c>
      <c r="C3">
        <f>MAX(C5:C225)+1</f>
        <v>16</v>
      </c>
      <c r="F3" t="s">
        <v>608</v>
      </c>
      <c r="G3">
        <f ca="1">VLOOKUP(B5,INDIRECT(GlobalPlcmnt!$B$133),GlobalPlcmnt!$C$138,FALSE)</f>
        <v>16</v>
      </c>
      <c r="K3">
        <f>$C$3+LEN("place at address mem: { ")+3</f>
        <v>43</v>
      </c>
    </row>
    <row r="4" spans="1:11" x14ac:dyDescent="0.25">
      <c r="F4" t="s">
        <v>542</v>
      </c>
      <c r="K4" s="4"/>
    </row>
    <row r="5" spans="1:11" x14ac:dyDescent="0.25">
      <c r="A5" t="s">
        <v>527</v>
      </c>
      <c r="B5" t="str">
        <f t="shared" ref="B5:B15" si="0">IF(A5&lt;&gt;A4,A5&amp;$B$1,"")</f>
        <v>utils_TEXT</v>
      </c>
      <c r="C5">
        <f t="shared" ref="C5:C15" si="1">LEN(B5)</f>
        <v>10</v>
      </c>
      <c r="D5" t="s">
        <v>322</v>
      </c>
      <c r="E5" t="str">
        <f t="shared" ref="E5:E6" si="2">SUBSTITUTE(D5,"-","_")</f>
        <v>ascii.o</v>
      </c>
      <c r="F5">
        <f ca="1">IFERROR(VLOOKUP(D5,INDIRECT($F$1),2,FALSE),0)</f>
        <v>40</v>
      </c>
      <c r="H5">
        <f ca="1">VLOOKUP(B5,INDIRECT(GlobalPlcmnt!$B$133),GlobalPlcmnt!$A$138,FALSE)</f>
        <v>309364</v>
      </c>
      <c r="I5" t="str">
        <f t="shared" ref="I5:I16" ca="1" si="3">"0x"&amp;DEC2HEX(H5,8)</f>
        <v>0x0004B874</v>
      </c>
      <c r="J5" s="4" t="str">
        <f ca="1">IF(B5="","","define symbol "&amp;B5&amp;REPT(" ",$C$3-C5)&amp;" = "&amp;I5&amp;";")</f>
        <v>define symbol utils_TEXT       = 0x0004B874;</v>
      </c>
      <c r="K5" s="4" t="str">
        <f t="shared" ref="K5:K15" si="4">IF(B5="",REPT(" ",$C$3+$K$3)&amp;$K$2&amp;D5&amp;IF(B6="",","," };"),""""&amp;B5&amp;""":"&amp;REPT(" ",$C$3-C5)&amp;"place at address mem: "&amp;B5&amp;REPT(" ",$C$3-C5)&amp;"{ "&amp;$K$2&amp;D5&amp;IF(B6="",","," };"))</f>
        <v>"utils_TEXT":      place at address mem: utils_TEXT      { ro code section .text object ascii.o,</v>
      </c>
    </row>
    <row r="6" spans="1:11" x14ac:dyDescent="0.25">
      <c r="A6" t="s">
        <v>527</v>
      </c>
      <c r="B6" t="str">
        <f t="shared" si="0"/>
        <v/>
      </c>
      <c r="C6">
        <f t="shared" si="1"/>
        <v>0</v>
      </c>
      <c r="D6" t="s">
        <v>565</v>
      </c>
      <c r="E6" t="str">
        <f t="shared" si="2"/>
        <v>bcd.o</v>
      </c>
      <c r="F6">
        <f t="shared" ref="F6" ca="1" si="5">IFERROR(VLOOKUP(D6,INDIRECT($F$1),2,FALSE),0)</f>
        <v>0</v>
      </c>
      <c r="H6">
        <f ca="1">H5+F5+G5+IF(MOD(F5+H5+G5,$G$3)=0,0,$G$3-MOD(F5+H5+G5,$G$3))</f>
        <v>309408</v>
      </c>
      <c r="I6" t="str">
        <f t="shared" ca="1" si="3"/>
        <v>0x0004B8A0</v>
      </c>
      <c r="J6" s="4" t="str">
        <f t="shared" ref="J6:J15" si="6">IF(B6="","","define symbol "&amp;B6&amp;REPT(" ",$C$3-C6)&amp;" = "&amp;I6&amp;";")</f>
        <v/>
      </c>
      <c r="K6" s="4" t="str">
        <f t="shared" si="4"/>
        <v xml:space="preserve">                                                           ro code section .text object bcd.o,</v>
      </c>
    </row>
    <row r="7" spans="1:11" x14ac:dyDescent="0.25">
      <c r="A7" t="s">
        <v>527</v>
      </c>
      <c r="B7" t="str">
        <f t="shared" si="0"/>
        <v/>
      </c>
      <c r="C7">
        <f t="shared" si="1"/>
        <v>0</v>
      </c>
      <c r="D7" t="s">
        <v>566</v>
      </c>
      <c r="E7" t="str">
        <f t="shared" ref="E7:E15" si="7">SUBSTITUTE(D7,"-","_")</f>
        <v>bit_util.o</v>
      </c>
      <c r="F7">
        <f t="shared" ref="F7:F15" ca="1" si="8">IFERROR(VLOOKUP(D7,INDIRECT($F$1),2,FALSE),0)</f>
        <v>0</v>
      </c>
      <c r="H7">
        <f t="shared" ref="H7:H15" ca="1" si="9">H6+F6+G6+IF(MOD(F6+H6+G6,$G$3)=0,0,$G$3-MOD(F6+H6+G6,$G$3))</f>
        <v>309408</v>
      </c>
      <c r="I7" t="str">
        <f t="shared" ref="I7:I15" ca="1" si="10">"0x"&amp;DEC2HEX(H7,8)</f>
        <v>0x0004B8A0</v>
      </c>
      <c r="J7" s="4" t="str">
        <f t="shared" si="6"/>
        <v/>
      </c>
      <c r="K7" s="4" t="str">
        <f t="shared" si="4"/>
        <v xml:space="preserve">                                                           ro code section .text object bit_util.o,</v>
      </c>
    </row>
    <row r="8" spans="1:11" x14ac:dyDescent="0.25">
      <c r="A8" t="s">
        <v>527</v>
      </c>
      <c r="B8" t="str">
        <f t="shared" si="0"/>
        <v/>
      </c>
      <c r="C8">
        <f t="shared" si="1"/>
        <v>0</v>
      </c>
      <c r="D8" t="s">
        <v>96</v>
      </c>
      <c r="E8" t="str">
        <f t="shared" si="7"/>
        <v>byteswap.o</v>
      </c>
      <c r="F8">
        <f t="shared" ca="1" si="8"/>
        <v>38</v>
      </c>
      <c r="H8">
        <f t="shared" ca="1" si="9"/>
        <v>309408</v>
      </c>
      <c r="I8" t="str">
        <f t="shared" ca="1" si="10"/>
        <v>0x0004B8A0</v>
      </c>
      <c r="J8" s="4" t="str">
        <f t="shared" si="6"/>
        <v/>
      </c>
      <c r="K8" s="4" t="str">
        <f t="shared" si="4"/>
        <v xml:space="preserve">                                                           ro code section .text object byteswap.o,</v>
      </c>
    </row>
    <row r="9" spans="1:11" x14ac:dyDescent="0.25">
      <c r="A9" t="s">
        <v>527</v>
      </c>
      <c r="B9" t="str">
        <f t="shared" si="0"/>
        <v/>
      </c>
      <c r="C9">
        <f t="shared" si="1"/>
        <v>0</v>
      </c>
      <c r="D9" t="s">
        <v>399</v>
      </c>
      <c r="E9" t="str">
        <f t="shared" si="7"/>
        <v>crc16_m.o</v>
      </c>
      <c r="F9">
        <f t="shared" ca="1" si="8"/>
        <v>116</v>
      </c>
      <c r="H9">
        <f t="shared" ca="1" si="9"/>
        <v>309456</v>
      </c>
      <c r="I9" t="str">
        <f t="shared" ca="1" si="10"/>
        <v>0x0004B8D0</v>
      </c>
      <c r="J9" s="4" t="str">
        <f t="shared" si="6"/>
        <v/>
      </c>
      <c r="K9" s="4" t="str">
        <f t="shared" si="4"/>
        <v xml:space="preserve">                                                           ro code section .text object crc16_m.o,</v>
      </c>
    </row>
    <row r="10" spans="1:11" x14ac:dyDescent="0.25">
      <c r="A10" t="s">
        <v>527</v>
      </c>
      <c r="B10" t="str">
        <f t="shared" si="0"/>
        <v/>
      </c>
      <c r="C10">
        <f t="shared" si="1"/>
        <v>0</v>
      </c>
      <c r="D10" t="s">
        <v>178</v>
      </c>
      <c r="E10" t="str">
        <f t="shared" si="7"/>
        <v>crc32.o</v>
      </c>
      <c r="F10">
        <f t="shared" ca="1" si="8"/>
        <v>84</v>
      </c>
      <c r="H10">
        <f t="shared" ca="1" si="9"/>
        <v>309584</v>
      </c>
      <c r="I10" t="str">
        <f t="shared" ca="1" si="10"/>
        <v>0x0004B950</v>
      </c>
      <c r="J10" s="4" t="str">
        <f t="shared" si="6"/>
        <v/>
      </c>
      <c r="K10" s="4" t="str">
        <f t="shared" si="4"/>
        <v xml:space="preserve">                                                           ro code section .text object crc32.o,</v>
      </c>
    </row>
    <row r="11" spans="1:11" x14ac:dyDescent="0.25">
      <c r="A11" t="s">
        <v>527</v>
      </c>
      <c r="B11" t="str">
        <f t="shared" si="0"/>
        <v/>
      </c>
      <c r="C11">
        <f t="shared" si="1"/>
        <v>0</v>
      </c>
      <c r="D11" t="s">
        <v>296</v>
      </c>
      <c r="E11" t="str">
        <f t="shared" si="7"/>
        <v>invert_bits.o</v>
      </c>
      <c r="F11">
        <f t="shared" ca="1" si="8"/>
        <v>46</v>
      </c>
      <c r="H11">
        <f t="shared" ca="1" si="9"/>
        <v>309680</v>
      </c>
      <c r="I11" t="str">
        <f t="shared" ca="1" si="10"/>
        <v>0x0004B9B0</v>
      </c>
      <c r="J11" s="4" t="str">
        <f t="shared" si="6"/>
        <v/>
      </c>
      <c r="K11" s="4" t="str">
        <f t="shared" si="4"/>
        <v xml:space="preserve">                                                           ro code section .text object invert_bits.o,</v>
      </c>
    </row>
    <row r="12" spans="1:11" x14ac:dyDescent="0.25">
      <c r="A12" t="s">
        <v>527</v>
      </c>
      <c r="B12" t="str">
        <f t="shared" si="0"/>
        <v/>
      </c>
      <c r="C12">
        <f t="shared" si="1"/>
        <v>0</v>
      </c>
      <c r="D12" t="s">
        <v>97</v>
      </c>
      <c r="E12" t="str">
        <f t="shared" si="7"/>
        <v>pack.o</v>
      </c>
      <c r="F12">
        <f t="shared" ca="1" si="8"/>
        <v>722</v>
      </c>
      <c r="H12">
        <f t="shared" ca="1" si="9"/>
        <v>309728</v>
      </c>
      <c r="I12" t="str">
        <f t="shared" ca="1" si="10"/>
        <v>0x0004B9E0</v>
      </c>
      <c r="J12" s="4" t="str">
        <f t="shared" si="6"/>
        <v/>
      </c>
      <c r="K12" s="4" t="str">
        <f t="shared" si="4"/>
        <v xml:space="preserve">                                                           ro code section .text object pack.o,</v>
      </c>
    </row>
    <row r="13" spans="1:11" x14ac:dyDescent="0.25">
      <c r="A13" t="s">
        <v>527</v>
      </c>
      <c r="B13" t="str">
        <f t="shared" si="0"/>
        <v/>
      </c>
      <c r="C13">
        <f t="shared" si="1"/>
        <v>0</v>
      </c>
      <c r="D13" t="s">
        <v>81</v>
      </c>
      <c r="E13" t="str">
        <f t="shared" si="7"/>
        <v>rand.o</v>
      </c>
      <c r="F13">
        <f t="shared" ca="1" si="8"/>
        <v>378</v>
      </c>
      <c r="H13">
        <f t="shared" ca="1" si="9"/>
        <v>310464</v>
      </c>
      <c r="I13" t="str">
        <f t="shared" ca="1" si="10"/>
        <v>0x0004BCC0</v>
      </c>
      <c r="J13" s="4" t="str">
        <f t="shared" si="6"/>
        <v/>
      </c>
      <c r="K13" s="4" t="str">
        <f t="shared" si="4"/>
        <v xml:space="preserve">                                                           ro code section .text object rand.o,</v>
      </c>
    </row>
    <row r="14" spans="1:11" x14ac:dyDescent="0.25">
      <c r="A14" t="s">
        <v>527</v>
      </c>
      <c r="B14" t="str">
        <f t="shared" si="0"/>
        <v/>
      </c>
      <c r="C14">
        <f t="shared" si="1"/>
        <v>0</v>
      </c>
      <c r="D14" t="s">
        <v>93</v>
      </c>
      <c r="E14" t="str">
        <f t="shared" si="7"/>
        <v>time_util.o</v>
      </c>
      <c r="F14">
        <f t="shared" ca="1" si="8"/>
        <v>1392</v>
      </c>
      <c r="H14">
        <f t="shared" ca="1" si="9"/>
        <v>310848</v>
      </c>
      <c r="I14" t="str">
        <f t="shared" ca="1" si="10"/>
        <v>0x0004BE40</v>
      </c>
      <c r="J14" s="4" t="str">
        <f t="shared" si="6"/>
        <v/>
      </c>
      <c r="K14" s="4" t="str">
        <f t="shared" si="4"/>
        <v xml:space="preserve">                                                           ro code section .text object time_util.o,</v>
      </c>
    </row>
    <row r="15" spans="1:11" x14ac:dyDescent="0.25">
      <c r="A15" t="s">
        <v>527</v>
      </c>
      <c r="B15" t="str">
        <f t="shared" si="0"/>
        <v/>
      </c>
      <c r="C15">
        <f t="shared" si="1"/>
        <v>0</v>
      </c>
      <c r="D15" t="s">
        <v>130</v>
      </c>
      <c r="E15" t="str">
        <f t="shared" si="7"/>
        <v>timer_util.o</v>
      </c>
      <c r="F15">
        <f t="shared" ca="1" si="8"/>
        <v>1048</v>
      </c>
      <c r="H15">
        <f t="shared" ca="1" si="9"/>
        <v>312240</v>
      </c>
      <c r="I15" t="str">
        <f t="shared" ca="1" si="10"/>
        <v>0x0004C3B0</v>
      </c>
      <c r="J15" s="4" t="str">
        <f t="shared" si="6"/>
        <v/>
      </c>
      <c r="K15" s="4" t="str">
        <f t="shared" si="4"/>
        <v xml:space="preserve">                                                           ro code section .text object timer_util.o };</v>
      </c>
    </row>
    <row r="16" spans="1:11" x14ac:dyDescent="0.25">
      <c r="B16" t="str">
        <f>B5&amp;"_end"</f>
        <v>utils_TEXT_end</v>
      </c>
      <c r="F16">
        <f ca="1">SUM(F5:F15)</f>
        <v>3864</v>
      </c>
      <c r="G16">
        <f ca="1">INT(($G$2/100)*F16)</f>
        <v>38</v>
      </c>
      <c r="H16">
        <f ca="1">H15+F15+G16+IF(MOD(F15+H15+G16,$G$3)=0,0,$G$3-MOD(F15+H15+G16,$G$3))</f>
        <v>313328</v>
      </c>
      <c r="I16" t="str">
        <f t="shared" ca="1" si="3"/>
        <v>0x0004C7F0</v>
      </c>
      <c r="J16" s="4"/>
      <c r="K16" s="4"/>
    </row>
    <row r="17" spans="1:11" x14ac:dyDescent="0.25">
      <c r="J17" s="4"/>
      <c r="K17" s="4"/>
    </row>
    <row r="18" spans="1:11" x14ac:dyDescent="0.25">
      <c r="F18" t="s">
        <v>526</v>
      </c>
      <c r="G18">
        <f ca="1">VLOOKUP(B21,INDIRECT(GlobalPlcmnt!$B$133),GlobalPlcmnt!$B$138,FALSE)</f>
        <v>1</v>
      </c>
      <c r="J18" s="4"/>
      <c r="K18" s="4"/>
    </row>
    <row r="19" spans="1:11" x14ac:dyDescent="0.25">
      <c r="F19" t="s">
        <v>608</v>
      </c>
      <c r="G19">
        <f ca="1">VLOOKUP(B21,INDIRECT(GlobalPlcmnt!$B$133),GlobalPlcmnt!$C$138,FALSE)</f>
        <v>16</v>
      </c>
      <c r="J19" s="4"/>
      <c r="K19" s="4"/>
    </row>
    <row r="20" spans="1:11" x14ac:dyDescent="0.25">
      <c r="F20" t="s">
        <v>542</v>
      </c>
      <c r="J20" s="4"/>
      <c r="K20" s="4"/>
    </row>
    <row r="21" spans="1:11" x14ac:dyDescent="0.25">
      <c r="A21" t="s">
        <v>528</v>
      </c>
      <c r="B21" t="str">
        <f>IF(A21&lt;&gt;A20,A21&amp;$B$1,"")</f>
        <v>dfw_TEXT</v>
      </c>
      <c r="C21">
        <f>LEN(B21)</f>
        <v>8</v>
      </c>
      <c r="D21" t="s">
        <v>228</v>
      </c>
      <c r="E21" t="str">
        <f>SUBSTITUTE(D21,"-","_")</f>
        <v>dfw_app.o</v>
      </c>
      <c r="F21">
        <f ca="1">IFERROR(VLOOKUP(D21,INDIRECT($F$1),2,FALSE),0)</f>
        <v>8804</v>
      </c>
      <c r="H21">
        <f ca="1">VLOOKUP(B21,INDIRECT(GlobalPlcmnt!$B$133),GlobalPlcmnt!$A$138,FALSE)</f>
        <v>313328</v>
      </c>
      <c r="I21" t="str">
        <f ca="1">"0x"&amp;DEC2HEX(H21,8)</f>
        <v>0x0004C7F0</v>
      </c>
      <c r="J21" s="4" t="str">
        <f ca="1">IF(B21="","","define symbol "&amp;B21&amp;REPT(" ",$C$3-C21)&amp;" = "&amp;I21&amp;";")</f>
        <v>define symbol dfw_TEXT         = 0x0004C7F0;</v>
      </c>
      <c r="K21" s="4" t="str">
        <f>IF(B21="",REPT(" ",$C$3+$K$3)&amp;$K$2&amp;D21&amp;IF(B22="",","," };"),""""&amp;B21&amp;""":"&amp;REPT(" ",$C$3-C21)&amp;"place at address mem: "&amp;B21&amp;REPT(" ",$C$3-C21)&amp;"{ "&amp;$K$2&amp;D21&amp;IF(B22="",","," };"))</f>
        <v>"dfw_TEXT":        place at address mem: dfw_TEXT        { ro code section .text object dfw_app.o,</v>
      </c>
    </row>
    <row r="22" spans="1:11" x14ac:dyDescent="0.25">
      <c r="A22" t="s">
        <v>528</v>
      </c>
      <c r="B22" t="str">
        <f>IF(A22&lt;&gt;A21,A22&amp;$B$1,"")</f>
        <v/>
      </c>
      <c r="C22">
        <f>LEN(B22)</f>
        <v>0</v>
      </c>
      <c r="D22" t="s">
        <v>193</v>
      </c>
      <c r="E22" t="str">
        <f>SUBSTITUTE(D22,"-","_")</f>
        <v>dfw_interface.o</v>
      </c>
      <c r="F22">
        <f ca="1">IFERROR(VLOOKUP(D22,INDIRECT($F$1),2,FALSE),0)</f>
        <v>11404</v>
      </c>
      <c r="H22">
        <f ca="1">H21+F21+G21+IF(MOD(F21+H21+G21,$G$19)=0,0,$G$19-MOD(F21+H21+G21,$G$19))</f>
        <v>322144</v>
      </c>
      <c r="I22" t="str">
        <f ca="1">"0x"&amp;DEC2HEX(H22,8)</f>
        <v>0x0004EA60</v>
      </c>
      <c r="J22" s="4" t="str">
        <f>IF(B22="","","define symbol "&amp;B22&amp;REPT(" ",$C$3-C22)&amp;" = "&amp;I22&amp;";")</f>
        <v/>
      </c>
      <c r="K22" s="4" t="str">
        <f>IF(B22="",REPT(" ",$C$3+$K$3)&amp;$K$2&amp;D22&amp;IF(B23="",","," };"),""""&amp;B22&amp;""":"&amp;REPT(" ",$C$3-C22)&amp;"place at address mem: "&amp;B22&amp;REPT(" ",$C$3-C22)&amp;"{ "&amp;$K$2&amp;D22&amp;IF(B23="",","," };"))</f>
        <v xml:space="preserve">                                                           ro code section .text object dfw_interface.o,</v>
      </c>
    </row>
    <row r="23" spans="1:11" x14ac:dyDescent="0.25">
      <c r="A23" t="s">
        <v>528</v>
      </c>
      <c r="B23" t="str">
        <f>IF(A23&lt;&gt;A22,A23&amp;$B$1,"")</f>
        <v/>
      </c>
      <c r="C23">
        <f>LEN(B23)</f>
        <v>0</v>
      </c>
      <c r="D23" t="s">
        <v>286</v>
      </c>
      <c r="E23" t="str">
        <f t="shared" ref="E23:E24" si="11">SUBSTITUTE(D23,"-","_")</f>
        <v>dfw_pckt.o</v>
      </c>
      <c r="F23">
        <f t="shared" ref="F23:F24" ca="1" si="12">IFERROR(VLOOKUP(D23,INDIRECT($F$1),2,FALSE),0)</f>
        <v>600</v>
      </c>
      <c r="H23">
        <f t="shared" ref="H23:H24" ca="1" si="13">H22+F22+G22+IF(MOD(F22+H22+G22,$G$19)=0,0,$G$19-MOD(F22+H22+G22,$G$19))</f>
        <v>333552</v>
      </c>
      <c r="I23" t="str">
        <f t="shared" ref="I23:I24" ca="1" si="14">"0x"&amp;DEC2HEX(H23,8)</f>
        <v>0x000516F0</v>
      </c>
      <c r="J23" s="4" t="str">
        <f>IF(B23="","","define symbol "&amp;B23&amp;REPT(" ",$C$3-C23)&amp;" = "&amp;I23&amp;";")</f>
        <v/>
      </c>
      <c r="K23" s="4" t="str">
        <f>IF(B23="",REPT(" ",$C$3+$K$3)&amp;$K$2&amp;D23&amp;IF(B24="",","," };"),""""&amp;B23&amp;""":"&amp;REPT(" ",$C$3-C23)&amp;"place at address mem: "&amp;B23&amp;REPT(" ",$C$3-C23)&amp;"{ "&amp;$K$2&amp;D23&amp;IF(B24="",","," };"))</f>
        <v xml:space="preserve">                                                           ro code section .text object dfw_pckt.o,</v>
      </c>
    </row>
    <row r="24" spans="1:11" x14ac:dyDescent="0.25">
      <c r="A24" t="s">
        <v>528</v>
      </c>
      <c r="B24" t="str">
        <f>IF(A24&lt;&gt;A23,A24&amp;$B$1,"")</f>
        <v/>
      </c>
      <c r="C24">
        <f>LEN(B24)</f>
        <v>0</v>
      </c>
      <c r="D24" t="s">
        <v>195</v>
      </c>
      <c r="E24" t="str">
        <f t="shared" si="11"/>
        <v>dfwtd_config.o</v>
      </c>
      <c r="F24">
        <f t="shared" ca="1" si="12"/>
        <v>492</v>
      </c>
      <c r="H24">
        <f t="shared" ca="1" si="13"/>
        <v>334160</v>
      </c>
      <c r="I24" t="str">
        <f t="shared" ca="1" si="14"/>
        <v>0x00051950</v>
      </c>
      <c r="J24" s="4" t="str">
        <f>IF(B24="","","define symbol "&amp;B24&amp;REPT(" ",$C$3-C24)&amp;" = "&amp;I24&amp;";")</f>
        <v/>
      </c>
      <c r="K24" s="4" t="str">
        <f>IF(B24="",REPT(" ",$C$3+$K$3)&amp;$K$2&amp;D24&amp;IF(B25="",","," };"),""""&amp;B24&amp;""":"&amp;REPT(" ",$C$3-C24)&amp;"place at address mem: "&amp;B24&amp;REPT(" ",$C$3-C24)&amp;"{ "&amp;$K$2&amp;D24&amp;IF(B25="",","," };"))</f>
        <v xml:space="preserve">                                                           ro code section .text object dfwtd_config.o };</v>
      </c>
    </row>
    <row r="25" spans="1:11" x14ac:dyDescent="0.25">
      <c r="B25" t="str">
        <f>B21&amp;"_end"</f>
        <v>dfw_TEXT_end</v>
      </c>
      <c r="F25">
        <f ca="1">SUM(F21:F24)</f>
        <v>21300</v>
      </c>
      <c r="G25">
        <f ca="1">INT(($G$18/100)*F25)</f>
        <v>213</v>
      </c>
      <c r="H25">
        <f ca="1">H24+F24+G25+IF(MOD(F24+H24+G25,$G$19)=0,0,$G$19-MOD(F24+H24+G25,$G$19))</f>
        <v>334880</v>
      </c>
      <c r="I25" t="str">
        <f ca="1">"0x"&amp;DEC2HEX(H25,8)</f>
        <v>0x00051C20</v>
      </c>
      <c r="J25" s="4"/>
      <c r="K25" s="4"/>
    </row>
    <row r="26" spans="1:11" x14ac:dyDescent="0.25">
      <c r="J26" s="4"/>
      <c r="K26" s="4"/>
    </row>
    <row r="27" spans="1:11" x14ac:dyDescent="0.25">
      <c r="F27" t="s">
        <v>526</v>
      </c>
      <c r="G27">
        <f ca="1">VLOOKUP(B30,INDIRECT(GlobalPlcmnt!$B$133),GlobalPlcmnt!$B$138,FALSE)</f>
        <v>1</v>
      </c>
      <c r="J27" s="4"/>
      <c r="K27" s="4"/>
    </row>
    <row r="28" spans="1:11" x14ac:dyDescent="0.25">
      <c r="F28" t="s">
        <v>608</v>
      </c>
      <c r="G28">
        <f ca="1">VLOOKUP(B30,INDIRECT(GlobalPlcmnt!$B$133),GlobalPlcmnt!$C$138,FALSE)</f>
        <v>16</v>
      </c>
      <c r="J28" s="4"/>
      <c r="K28" s="4"/>
    </row>
    <row r="29" spans="1:11" x14ac:dyDescent="0.25">
      <c r="F29" t="s">
        <v>542</v>
      </c>
      <c r="J29" s="4"/>
      <c r="K29" s="4"/>
    </row>
    <row r="30" spans="1:11" x14ac:dyDescent="0.25">
      <c r="A30" t="s">
        <v>529</v>
      </c>
      <c r="B30" t="str">
        <f t="shared" ref="B30:B36" si="15">IF(A30&lt;&gt;A29,A30&amp;$B$1,"")</f>
        <v>driver_TEXT</v>
      </c>
      <c r="C30">
        <f t="shared" ref="C30:C36" si="16">LEN(B30)</f>
        <v>11</v>
      </c>
      <c r="D30" t="s">
        <v>401</v>
      </c>
      <c r="E30" t="str">
        <f t="shared" ref="E30:E31" si="17">SUBSTITUTE(D30,"-","_")</f>
        <v>dvr_banked.o</v>
      </c>
      <c r="F30">
        <f t="shared" ref="F30:F31" ca="1" si="18">IFERROR(VLOOKUP(D30,INDIRECT($F$1),2,FALSE),0)</f>
        <v>858</v>
      </c>
      <c r="H30">
        <f ca="1">VLOOKUP(B30,INDIRECT(GlobalPlcmnt!$B$133),GlobalPlcmnt!$A$138,FALSE)</f>
        <v>334880</v>
      </c>
      <c r="I30" t="str">
        <f t="shared" ref="I30:I37" ca="1" si="19">"0x"&amp;DEC2HEX(H30,8)</f>
        <v>0x00051C20</v>
      </c>
      <c r="J30" s="4" t="str">
        <f ca="1">IF(B30="","","define symbol "&amp;B30&amp;REPT(" ",$C$3-C30)&amp;" = "&amp;I30&amp;";")</f>
        <v>define symbol driver_TEXT      = 0x00051C20;</v>
      </c>
      <c r="K30" s="4" t="str">
        <f t="shared" ref="K30:K36" si="20">IF(B30="",REPT(" ",$C$3+$K$3)&amp;$K$2&amp;D30&amp;IF(B31="",","," };"),""""&amp;B30&amp;""":"&amp;REPT(" ",$C$3-C30)&amp;"place at address mem: "&amp;B30&amp;REPT(" ",$C$3-C30)&amp;"{ "&amp;$K$2&amp;D30&amp;IF(B31="",","," };"))</f>
        <v>"driver_TEXT":     place at address mem: driver_TEXT     { ro code section .text object dvr_banked.o,</v>
      </c>
    </row>
    <row r="31" spans="1:11" x14ac:dyDescent="0.25">
      <c r="A31" t="s">
        <v>529</v>
      </c>
      <c r="B31" t="str">
        <f t="shared" si="15"/>
        <v/>
      </c>
      <c r="C31">
        <f t="shared" si="16"/>
        <v>0</v>
      </c>
      <c r="D31" t="s">
        <v>402</v>
      </c>
      <c r="E31" t="str">
        <f t="shared" si="17"/>
        <v>dvr_cache.o</v>
      </c>
      <c r="F31">
        <f t="shared" ca="1" si="18"/>
        <v>476</v>
      </c>
      <c r="H31">
        <f ca="1">H30+F30+G30+IF(MOD(F30+H30+G30,$G$28)=0,0,$G$28-MOD(F30+H30+G30,$G$28))</f>
        <v>335744</v>
      </c>
      <c r="I31" t="str">
        <f t="shared" ca="1" si="19"/>
        <v>0x00051F80</v>
      </c>
      <c r="J31" s="4" t="str">
        <f t="shared" ref="J31:J36" si="21">IF(B31="","","define symbol "&amp;B31&amp;REPT(" ",$C$3-C31)&amp;" = "&amp;I31&amp;";")</f>
        <v/>
      </c>
      <c r="K31" s="4" t="str">
        <f t="shared" si="20"/>
        <v xml:space="preserve">                                                           ro code section .text object dvr_cache.o,</v>
      </c>
    </row>
    <row r="32" spans="1:11" x14ac:dyDescent="0.25">
      <c r="A32" t="s">
        <v>529</v>
      </c>
      <c r="B32" t="str">
        <f t="shared" si="15"/>
        <v/>
      </c>
      <c r="C32">
        <f t="shared" si="16"/>
        <v>0</v>
      </c>
      <c r="D32" t="s">
        <v>199</v>
      </c>
      <c r="E32" t="str">
        <f t="shared" ref="E32:E36" si="22">SUBSTITUTE(D32,"-","_")</f>
        <v>dvr_extflash.o</v>
      </c>
      <c r="F32">
        <f t="shared" ref="F32:F36" ca="1" si="23">IFERROR(VLOOKUP(D32,INDIRECT($F$1),2,FALSE),0)</f>
        <v>4004</v>
      </c>
      <c r="H32">
        <f t="shared" ref="H32:H36" ca="1" si="24">H31+F31+G31+IF(MOD(F31+H31+G31,$G$28)=0,0,$G$28-MOD(F31+H31+G31,$G$28))</f>
        <v>336224</v>
      </c>
      <c r="I32" t="str">
        <f t="shared" ref="I32:I36" ca="1" si="25">"0x"&amp;DEC2HEX(H32,8)</f>
        <v>0x00052160</v>
      </c>
      <c r="J32" s="4" t="str">
        <f t="shared" si="21"/>
        <v/>
      </c>
      <c r="K32" s="4" t="str">
        <f t="shared" si="20"/>
        <v xml:space="preserve">                                                           ro code section .text object dvr_extflash.o,</v>
      </c>
    </row>
    <row r="33" spans="1:11" x14ac:dyDescent="0.25">
      <c r="A33" t="s">
        <v>529</v>
      </c>
      <c r="B33" t="str">
        <f t="shared" si="15"/>
        <v/>
      </c>
      <c r="C33">
        <f t="shared" si="16"/>
        <v>0</v>
      </c>
      <c r="D33" t="s">
        <v>403</v>
      </c>
      <c r="E33" t="str">
        <f t="shared" si="22"/>
        <v>dvr_sectPreErase.o</v>
      </c>
      <c r="F33">
        <f t="shared" ca="1" si="23"/>
        <v>362</v>
      </c>
      <c r="H33">
        <f t="shared" ca="1" si="24"/>
        <v>340240</v>
      </c>
      <c r="I33" t="str">
        <f t="shared" ca="1" si="25"/>
        <v>0x00053110</v>
      </c>
      <c r="J33" s="4" t="str">
        <f t="shared" si="21"/>
        <v/>
      </c>
      <c r="K33" s="4" t="str">
        <f t="shared" si="20"/>
        <v xml:space="preserve">                                                           ro code section .text object dvr_sectPreErase.o,</v>
      </c>
    </row>
    <row r="34" spans="1:11" x14ac:dyDescent="0.25">
      <c r="A34" t="s">
        <v>529</v>
      </c>
      <c r="B34" t="str">
        <f t="shared" si="15"/>
        <v/>
      </c>
      <c r="C34">
        <f t="shared" si="16"/>
        <v>0</v>
      </c>
      <c r="D34" t="s">
        <v>90</v>
      </c>
      <c r="E34" t="str">
        <f t="shared" si="22"/>
        <v>dvr_sharedMem.o</v>
      </c>
      <c r="F34">
        <f t="shared" ca="1" si="23"/>
        <v>80</v>
      </c>
      <c r="H34">
        <f t="shared" ca="1" si="24"/>
        <v>340608</v>
      </c>
      <c r="I34" t="str">
        <f t="shared" ca="1" si="25"/>
        <v>0x00053280</v>
      </c>
      <c r="J34" s="4" t="str">
        <f t="shared" si="21"/>
        <v/>
      </c>
      <c r="K34" s="4" t="str">
        <f t="shared" si="20"/>
        <v xml:space="preserve">                                                           ro code section .text object dvr_sharedMem.o,</v>
      </c>
    </row>
    <row r="35" spans="1:11" x14ac:dyDescent="0.25">
      <c r="A35" t="s">
        <v>529</v>
      </c>
      <c r="B35" t="str">
        <f t="shared" si="15"/>
        <v/>
      </c>
      <c r="C35">
        <f t="shared" si="16"/>
        <v>0</v>
      </c>
      <c r="D35" t="s">
        <v>406</v>
      </c>
      <c r="E35" t="str">
        <f t="shared" si="22"/>
        <v>IF_intFlash.o</v>
      </c>
      <c r="F35">
        <f t="shared" ca="1" si="23"/>
        <v>756</v>
      </c>
      <c r="H35">
        <f t="shared" ca="1" si="24"/>
        <v>340688</v>
      </c>
      <c r="I35" t="str">
        <f t="shared" ca="1" si="25"/>
        <v>0x000532D0</v>
      </c>
      <c r="J35" s="4" t="str">
        <f t="shared" si="21"/>
        <v/>
      </c>
      <c r="K35" s="4" t="str">
        <f t="shared" si="20"/>
        <v xml:space="preserve">                                                           ro code section .text object IF_intFlash.o,</v>
      </c>
    </row>
    <row r="36" spans="1:11" x14ac:dyDescent="0.25">
      <c r="A36" t="s">
        <v>529</v>
      </c>
      <c r="B36" t="str">
        <f t="shared" si="15"/>
        <v/>
      </c>
      <c r="C36">
        <f t="shared" si="16"/>
        <v>0</v>
      </c>
      <c r="D36" t="s">
        <v>294</v>
      </c>
      <c r="E36" t="str">
        <f t="shared" si="22"/>
        <v>spi_mstr.o</v>
      </c>
      <c r="F36">
        <f t="shared" ca="1" si="23"/>
        <v>2448</v>
      </c>
      <c r="H36">
        <f t="shared" ca="1" si="24"/>
        <v>341456</v>
      </c>
      <c r="I36" t="str">
        <f t="shared" ca="1" si="25"/>
        <v>0x000535D0</v>
      </c>
      <c r="J36" s="4" t="str">
        <f t="shared" si="21"/>
        <v/>
      </c>
      <c r="K36" s="4" t="str">
        <f t="shared" si="20"/>
        <v xml:space="preserve">                                                           ro code section .text object spi_mstr.o };</v>
      </c>
    </row>
    <row r="37" spans="1:11" x14ac:dyDescent="0.25">
      <c r="B37" t="str">
        <f>B30&amp;"_end"</f>
        <v>driver_TEXT_end</v>
      </c>
      <c r="F37">
        <f ca="1">SUM(F30:F36)</f>
        <v>8984</v>
      </c>
      <c r="G37">
        <f ca="1">INT(($G$27/100)*F37)</f>
        <v>89</v>
      </c>
      <c r="H37">
        <f ca="1">H36+F36+G37+IF(MOD(F36+H36+G37,$G$28)=0,0,$G$28-MOD(F36+H36+G37,$G$28))</f>
        <v>344000</v>
      </c>
      <c r="I37" t="str">
        <f t="shared" ca="1" si="19"/>
        <v>0x00053FC0</v>
      </c>
      <c r="J37" s="4"/>
      <c r="K37" s="4"/>
    </row>
    <row r="38" spans="1:11" x14ac:dyDescent="0.25">
      <c r="J38" s="4"/>
      <c r="K38" s="4"/>
    </row>
    <row r="39" spans="1:11" x14ac:dyDescent="0.25">
      <c r="F39" t="s">
        <v>526</v>
      </c>
      <c r="G39">
        <f ca="1">VLOOKUP(B42,INDIRECT(GlobalPlcmnt!$B$133),GlobalPlcmnt!$B$138,FALSE)</f>
        <v>1</v>
      </c>
      <c r="J39" s="4"/>
      <c r="K39" s="4"/>
    </row>
    <row r="40" spans="1:11" x14ac:dyDescent="0.25">
      <c r="F40" t="s">
        <v>608</v>
      </c>
      <c r="G40">
        <f ca="1">VLOOKUP(B42,INDIRECT(GlobalPlcmnt!$B$133),GlobalPlcmnt!$C$138,FALSE)</f>
        <v>16</v>
      </c>
      <c r="J40" s="4"/>
      <c r="K40" s="4"/>
    </row>
    <row r="41" spans="1:11" x14ac:dyDescent="0.25">
      <c r="F41" t="s">
        <v>542</v>
      </c>
      <c r="J41" s="4"/>
      <c r="K41" s="4"/>
    </row>
    <row r="42" spans="1:11" x14ac:dyDescent="0.25">
      <c r="A42" t="s">
        <v>530</v>
      </c>
      <c r="B42" t="str">
        <f t="shared" ref="B42:B51" si="26">IF(A42&lt;&gt;A41,A42&amp;$B$1,"")</f>
        <v>stack_TEXT</v>
      </c>
      <c r="C42">
        <f t="shared" ref="C42:C51" si="27">LEN(B42)</f>
        <v>10</v>
      </c>
      <c r="D42" t="s">
        <v>232</v>
      </c>
      <c r="E42" t="str">
        <f t="shared" ref="E42:E43" si="28">SUBSTITUTE(D42,"-","_")</f>
        <v>COMM.o</v>
      </c>
      <c r="F42">
        <f t="shared" ref="F42:F43" ca="1" si="29">IFERROR(VLOOKUP(D42,INDIRECT($F$1),2,FALSE),0)</f>
        <v>164</v>
      </c>
      <c r="H42">
        <f ca="1">VLOOKUP(B42,INDIRECT(GlobalPlcmnt!$B$133),GlobalPlcmnt!$A$138,FALSE)</f>
        <v>344000</v>
      </c>
      <c r="I42" t="str">
        <f t="shared" ref="I42:I43" ca="1" si="30">"0x"&amp;DEC2HEX(H42,8)</f>
        <v>0x00053FC0</v>
      </c>
      <c r="J42" s="4" t="str">
        <f ca="1">IF(B42="","","define symbol "&amp;B42&amp;REPT(" ",$C$3-C42)&amp;" = "&amp;I42&amp;";")</f>
        <v>define symbol stack_TEXT       = 0x00053FC0;</v>
      </c>
      <c r="K42" s="4" t="str">
        <f t="shared" ref="K42:K75" si="31">IF(B42="",REPT(" ",$C$3+$K$3)&amp;$K$2&amp;D42&amp;IF(B43="",","," };"),""""&amp;B42&amp;""":"&amp;REPT(" ",$C$3-C42)&amp;"place at address mem: "&amp;B42&amp;REPT(" ",$C$3-C42)&amp;"{ "&amp;$K$2&amp;D42&amp;IF(B43="",","," };"))</f>
        <v>"stack_TEXT":      place at address mem: stack_TEXT      { ro code section .text object COMM.o,</v>
      </c>
    </row>
    <row r="43" spans="1:11" x14ac:dyDescent="0.25">
      <c r="A43" t="s">
        <v>530</v>
      </c>
      <c r="B43" t="str">
        <f t="shared" si="26"/>
        <v/>
      </c>
      <c r="C43">
        <f t="shared" si="27"/>
        <v>0</v>
      </c>
      <c r="D43" t="s">
        <v>233</v>
      </c>
      <c r="E43" t="str">
        <f t="shared" si="28"/>
        <v>SM.o</v>
      </c>
      <c r="F43">
        <f t="shared" ca="1" si="29"/>
        <v>3604</v>
      </c>
      <c r="H43">
        <f ca="1">H42+F42+G42+IF(MOD(F42+H42+G42,$G$40)=0,0,$G$40-MOD(F42+H42+G42,$G$40))</f>
        <v>344176</v>
      </c>
      <c r="I43" t="str">
        <f t="shared" ca="1" si="30"/>
        <v>0x00054070</v>
      </c>
      <c r="J43" s="4" t="str">
        <f t="shared" ref="J43:J51" si="32">IF(B43="","","define symbol "&amp;B43&amp;REPT(" ",$C$3-C43)&amp;" = "&amp;I43&amp;";")</f>
        <v/>
      </c>
      <c r="K43" s="4" t="str">
        <f t="shared" si="31"/>
        <v xml:space="preserve">                                                           ro code section .text object SM.o,</v>
      </c>
    </row>
    <row r="44" spans="1:11" x14ac:dyDescent="0.25">
      <c r="A44" t="s">
        <v>530</v>
      </c>
      <c r="B44" t="str">
        <f t="shared" si="26"/>
        <v/>
      </c>
      <c r="C44">
        <f t="shared" si="27"/>
        <v>0</v>
      </c>
      <c r="D44" t="s">
        <v>226</v>
      </c>
      <c r="E44" t="str">
        <f t="shared" ref="E44:E75" si="33">SUBSTITUTE(D44,"-","_")</f>
        <v>smtd_config.o</v>
      </c>
      <c r="F44">
        <f t="shared" ref="F44:F75" ca="1" si="34">IFERROR(VLOOKUP(D44,INDIRECT($F$1),2,FALSE),0)</f>
        <v>604</v>
      </c>
      <c r="H44">
        <f t="shared" ref="H44:H75" ca="1" si="35">H43+F43+G43+IF(MOD(F43+H43+G43,$G$40)=0,0,$G$40-MOD(F43+H43+G43,$G$40))</f>
        <v>347792</v>
      </c>
      <c r="I44" t="str">
        <f t="shared" ref="I44:I75" ca="1" si="36">"0x"&amp;DEC2HEX(H44,8)</f>
        <v>0x00054E90</v>
      </c>
      <c r="J44" s="4" t="str">
        <f t="shared" si="32"/>
        <v/>
      </c>
      <c r="K44" s="4" t="str">
        <f t="shared" si="31"/>
        <v xml:space="preserve">                                                           ro code section .text object smtd_config.o,</v>
      </c>
    </row>
    <row r="45" spans="1:11" x14ac:dyDescent="0.25">
      <c r="A45" t="s">
        <v>530</v>
      </c>
      <c r="B45" t="str">
        <f t="shared" si="26"/>
        <v/>
      </c>
      <c r="C45">
        <f t="shared" si="27"/>
        <v>0</v>
      </c>
      <c r="D45" t="s">
        <v>137</v>
      </c>
      <c r="E45" t="str">
        <f t="shared" si="33"/>
        <v>dtls.o</v>
      </c>
      <c r="F45">
        <f t="shared" ca="1" si="34"/>
        <v>9844</v>
      </c>
      <c r="H45">
        <f t="shared" ca="1" si="35"/>
        <v>348400</v>
      </c>
      <c r="I45" t="str">
        <f t="shared" ca="1" si="36"/>
        <v>0x000550F0</v>
      </c>
      <c r="J45" s="4" t="str">
        <f t="shared" si="32"/>
        <v/>
      </c>
      <c r="K45" s="4" t="str">
        <f t="shared" si="31"/>
        <v xml:space="preserve">                                                           ro code section .text object dtls.o,</v>
      </c>
    </row>
    <row r="46" spans="1:11" x14ac:dyDescent="0.25">
      <c r="A46" t="s">
        <v>530</v>
      </c>
      <c r="B46" t="str">
        <f t="shared" si="26"/>
        <v/>
      </c>
      <c r="C46">
        <f t="shared" ref="C46" si="37">LEN(B46)</f>
        <v>0</v>
      </c>
      <c r="D46" t="s">
        <v>1046</v>
      </c>
      <c r="E46" t="str">
        <f t="shared" si="33"/>
        <v>mtls.o</v>
      </c>
      <c r="F46">
        <f t="shared" ca="1" si="34"/>
        <v>2400</v>
      </c>
      <c r="H46">
        <f t="shared" ca="1" si="35"/>
        <v>358256</v>
      </c>
      <c r="I46" t="str">
        <f t="shared" ca="1" si="36"/>
        <v>0x00057770</v>
      </c>
      <c r="J46" s="4" t="str">
        <f t="shared" si="32"/>
        <v/>
      </c>
      <c r="K46" s="4" t="str">
        <f t="shared" si="31"/>
        <v xml:space="preserve">                                                           ro code section .text object mtls.o,</v>
      </c>
    </row>
    <row r="47" spans="1:11" x14ac:dyDescent="0.25">
      <c r="A47" t="s">
        <v>530</v>
      </c>
      <c r="B47" t="str">
        <f t="shared" si="26"/>
        <v/>
      </c>
      <c r="C47">
        <f t="shared" si="27"/>
        <v>0</v>
      </c>
      <c r="D47" t="s">
        <v>138</v>
      </c>
      <c r="E47" t="str">
        <f t="shared" si="33"/>
        <v>STACK.o</v>
      </c>
      <c r="F47">
        <f t="shared" ca="1" si="34"/>
        <v>8172</v>
      </c>
      <c r="H47">
        <f t="shared" ca="1" si="35"/>
        <v>360656</v>
      </c>
      <c r="I47" t="str">
        <f t="shared" ca="1" si="36"/>
        <v>0x000580D0</v>
      </c>
      <c r="J47" s="4" t="str">
        <f t="shared" si="32"/>
        <v/>
      </c>
      <c r="K47" s="4" t="str">
        <f t="shared" si="31"/>
        <v xml:space="preserve">                                                           ro code section .text object STACK.o,</v>
      </c>
    </row>
    <row r="48" spans="1:11" x14ac:dyDescent="0.25">
      <c r="A48" t="s">
        <v>530</v>
      </c>
      <c r="B48" t="str">
        <f t="shared" si="26"/>
        <v/>
      </c>
      <c r="C48">
        <f t="shared" si="27"/>
        <v>0</v>
      </c>
      <c r="D48" t="s">
        <v>91</v>
      </c>
      <c r="E48" t="str">
        <f t="shared" si="33"/>
        <v>MAC.o</v>
      </c>
      <c r="F48">
        <f t="shared" ca="1" si="34"/>
        <v>13628</v>
      </c>
      <c r="H48">
        <f t="shared" ca="1" si="35"/>
        <v>368832</v>
      </c>
      <c r="I48" t="str">
        <f t="shared" ca="1" si="36"/>
        <v>0x0005A0C0</v>
      </c>
      <c r="J48" s="4" t="str">
        <f t="shared" si="32"/>
        <v/>
      </c>
      <c r="K48" s="4" t="str">
        <f t="shared" si="31"/>
        <v xml:space="preserve">                                                           ro code section .text object MAC.o,</v>
      </c>
    </row>
    <row r="49" spans="1:11" x14ac:dyDescent="0.25">
      <c r="A49" t="s">
        <v>530</v>
      </c>
      <c r="B49" t="str">
        <f t="shared" si="26"/>
        <v/>
      </c>
      <c r="C49">
        <f t="shared" si="27"/>
        <v>0</v>
      </c>
      <c r="D49" t="s">
        <v>160</v>
      </c>
      <c r="E49" t="str">
        <f t="shared" si="33"/>
        <v>MAC_FrameEncoder.o</v>
      </c>
      <c r="F49">
        <f t="shared" ca="1" si="34"/>
        <v>1486</v>
      </c>
      <c r="H49">
        <f t="shared" ca="1" si="35"/>
        <v>382464</v>
      </c>
      <c r="I49" t="str">
        <f t="shared" ca="1" si="36"/>
        <v>0x0005D600</v>
      </c>
      <c r="J49" s="4" t="str">
        <f t="shared" si="32"/>
        <v/>
      </c>
      <c r="K49" s="4" t="str">
        <f t="shared" si="31"/>
        <v xml:space="preserve">                                                           ro code section .text object MAC_FrameEncoder.o,</v>
      </c>
    </row>
    <row r="50" spans="1:11" x14ac:dyDescent="0.25">
      <c r="A50" t="s">
        <v>530</v>
      </c>
      <c r="B50" t="str">
        <f t="shared" si="26"/>
        <v/>
      </c>
      <c r="C50">
        <f t="shared" si="27"/>
        <v>0</v>
      </c>
      <c r="D50" t="s">
        <v>157</v>
      </c>
      <c r="E50" t="str">
        <f t="shared" si="33"/>
        <v>MAC_FrameManagement.o</v>
      </c>
      <c r="F50">
        <f t="shared" ca="1" si="34"/>
        <v>2828</v>
      </c>
      <c r="H50">
        <f t="shared" ca="1" si="35"/>
        <v>383952</v>
      </c>
      <c r="I50" t="str">
        <f t="shared" ca="1" si="36"/>
        <v>0x0005DBD0</v>
      </c>
      <c r="J50" s="4" t="str">
        <f t="shared" si="32"/>
        <v/>
      </c>
      <c r="K50" s="4" t="str">
        <f t="shared" si="31"/>
        <v xml:space="preserve">                                                           ro code section .text object MAC_FrameManagement.o,</v>
      </c>
    </row>
    <row r="51" spans="1:11" x14ac:dyDescent="0.25">
      <c r="A51" t="s">
        <v>530</v>
      </c>
      <c r="B51" t="str">
        <f t="shared" si="26"/>
        <v/>
      </c>
      <c r="C51">
        <f t="shared" si="27"/>
        <v>0</v>
      </c>
      <c r="D51" t="s">
        <v>158</v>
      </c>
      <c r="E51" t="str">
        <f t="shared" si="33"/>
        <v>MAC_PacketManagement.o</v>
      </c>
      <c r="F51">
        <f t="shared" ca="1" si="34"/>
        <v>1854</v>
      </c>
      <c r="H51">
        <f t="shared" ca="1" si="35"/>
        <v>386784</v>
      </c>
      <c r="I51" t="str">
        <f t="shared" ca="1" si="36"/>
        <v>0x0005E6E0</v>
      </c>
      <c r="J51" s="4" t="str">
        <f t="shared" si="32"/>
        <v/>
      </c>
      <c r="K51" s="4" t="str">
        <f t="shared" si="31"/>
        <v xml:space="preserve">                                                           ro code section .text object MAC_PacketManagement.o,</v>
      </c>
    </row>
    <row r="52" spans="1:11" x14ac:dyDescent="0.25">
      <c r="A52" t="s">
        <v>530</v>
      </c>
      <c r="B52" t="str">
        <f>IF(A52&lt;&gt;A46,A52&amp;$B$1,"")</f>
        <v/>
      </c>
      <c r="C52">
        <f t="shared" ref="C52" si="38">LEN(B52)</f>
        <v>0</v>
      </c>
      <c r="D52" t="s">
        <v>159</v>
      </c>
      <c r="E52" t="str">
        <f t="shared" si="33"/>
        <v>PHY.o</v>
      </c>
      <c r="F52">
        <f t="shared" ca="1" si="34"/>
        <v>11784</v>
      </c>
      <c r="H52">
        <f t="shared" ca="1" si="35"/>
        <v>388640</v>
      </c>
      <c r="I52" t="str">
        <f t="shared" ca="1" si="36"/>
        <v>0x0005EE20</v>
      </c>
      <c r="J52" s="4" t="str">
        <f t="shared" ref="J52" si="39">IF(B52="","","define symbol "&amp;B52&amp;REPT(" ",$C$3-C52)&amp;" = "&amp;I52&amp;";")</f>
        <v/>
      </c>
      <c r="K52" s="4" t="str">
        <f t="shared" si="31"/>
        <v xml:space="preserve">                                                           ro code section .text object PHY.o,</v>
      </c>
    </row>
    <row r="53" spans="1:11" x14ac:dyDescent="0.25">
      <c r="A53" t="s">
        <v>530</v>
      </c>
      <c r="B53" t="str">
        <f t="shared" ref="B53:B61" si="40">IF(A53&lt;&gt;A47,A53&amp;$B$1,"")</f>
        <v/>
      </c>
      <c r="C53">
        <f t="shared" ref="C53:C62" si="41">LEN(B53)</f>
        <v>0</v>
      </c>
      <c r="D53" t="s">
        <v>1106</v>
      </c>
      <c r="E53" t="str">
        <f t="shared" si="33"/>
        <v>EstimateCarrierFrequencyOffset.o</v>
      </c>
      <c r="F53">
        <f t="shared" ca="1" si="34"/>
        <v>268</v>
      </c>
      <c r="H53">
        <f t="shared" ca="1" si="35"/>
        <v>400432</v>
      </c>
      <c r="I53" t="str">
        <f t="shared" ca="1" si="36"/>
        <v>0x00061C30</v>
      </c>
      <c r="J53" s="4" t="str">
        <f t="shared" ref="J53:J75" si="42">IF(B53="","","define symbol "&amp;B53&amp;REPT(" ",$C$3-C53)&amp;" = "&amp;I53&amp;";")</f>
        <v/>
      </c>
      <c r="K53" s="4" t="str">
        <f t="shared" si="31"/>
        <v xml:space="preserve">                                                           ro code section .text object EstimateCarrierFrequencyOffset.o,</v>
      </c>
    </row>
    <row r="54" spans="1:11" x14ac:dyDescent="0.25">
      <c r="A54" t="s">
        <v>530</v>
      </c>
      <c r="B54" t="str">
        <f t="shared" si="40"/>
        <v/>
      </c>
      <c r="C54">
        <f t="shared" si="41"/>
        <v>0</v>
      </c>
      <c r="D54" t="s">
        <v>1107</v>
      </c>
      <c r="E54" t="str">
        <f t="shared" si="33"/>
        <v>MaximizeEyeOpening.o</v>
      </c>
      <c r="F54">
        <f t="shared" ca="1" si="34"/>
        <v>256</v>
      </c>
      <c r="H54">
        <f t="shared" ca="1" si="35"/>
        <v>400704</v>
      </c>
      <c r="I54" t="str">
        <f t="shared" ca="1" si="36"/>
        <v>0x00061D40</v>
      </c>
      <c r="J54" s="4" t="str">
        <f t="shared" si="42"/>
        <v/>
      </c>
      <c r="K54" s="4" t="str">
        <f t="shared" si="31"/>
        <v xml:space="preserve">                                                           ro code section .text object MaximizeEyeOpening.o,</v>
      </c>
    </row>
    <row r="55" spans="1:11" x14ac:dyDescent="0.25">
      <c r="A55" t="s">
        <v>530</v>
      </c>
      <c r="B55" t="str">
        <f t="shared" si="40"/>
        <v/>
      </c>
      <c r="C55">
        <f t="shared" si="41"/>
        <v>0</v>
      </c>
      <c r="D55" t="s">
        <v>1108</v>
      </c>
      <c r="E55" t="str">
        <f t="shared" si="33"/>
        <v>PerformCFOCompensation.o</v>
      </c>
      <c r="F55">
        <f t="shared" ca="1" si="34"/>
        <v>116</v>
      </c>
      <c r="H55">
        <f t="shared" ca="1" si="35"/>
        <v>400960</v>
      </c>
      <c r="I55" t="str">
        <f t="shared" ca="1" si="36"/>
        <v>0x00061E40</v>
      </c>
      <c r="J55" s="4" t="str">
        <f t="shared" si="42"/>
        <v/>
      </c>
      <c r="K55" s="4" t="str">
        <f t="shared" si="31"/>
        <v xml:space="preserve">                                                           ro code section .text object PerformCFOCompensation.o,</v>
      </c>
    </row>
    <row r="56" spans="1:11" x14ac:dyDescent="0.25">
      <c r="A56" t="s">
        <v>530</v>
      </c>
      <c r="B56" t="str">
        <f t="shared" si="40"/>
        <v/>
      </c>
      <c r="C56">
        <f t="shared" si="41"/>
        <v>0</v>
      </c>
      <c r="D56" t="s">
        <v>1109</v>
      </c>
      <c r="E56" t="str">
        <f t="shared" si="33"/>
        <v>preamble_detect.o</v>
      </c>
      <c r="F56">
        <f t="shared" ca="1" si="34"/>
        <v>696</v>
      </c>
      <c r="H56">
        <f t="shared" ca="1" si="35"/>
        <v>401088</v>
      </c>
      <c r="I56" t="str">
        <f t="shared" ca="1" si="36"/>
        <v>0x00061EC0</v>
      </c>
      <c r="J56" s="4" t="str">
        <f t="shared" si="42"/>
        <v/>
      </c>
      <c r="K56" s="4" t="str">
        <f t="shared" si="31"/>
        <v xml:space="preserve">                                                           ro code section .text object preamble_detect.o,</v>
      </c>
    </row>
    <row r="57" spans="1:11" x14ac:dyDescent="0.25">
      <c r="A57" t="s">
        <v>530</v>
      </c>
      <c r="B57" t="str">
        <f t="shared" si="40"/>
        <v/>
      </c>
      <c r="C57">
        <f t="shared" si="41"/>
        <v>0</v>
      </c>
      <c r="D57" t="s">
        <v>1110</v>
      </c>
      <c r="E57" t="str">
        <f t="shared" si="33"/>
        <v>preambleDetector.o</v>
      </c>
      <c r="F57">
        <f t="shared" ca="1" si="34"/>
        <v>256</v>
      </c>
      <c r="H57">
        <f t="shared" ca="1" si="35"/>
        <v>401792</v>
      </c>
      <c r="I57" t="str">
        <f t="shared" ca="1" si="36"/>
        <v>0x00062180</v>
      </c>
      <c r="J57" s="4" t="str">
        <f t="shared" si="42"/>
        <v/>
      </c>
      <c r="K57" s="4" t="str">
        <f t="shared" si="31"/>
        <v xml:space="preserve">                                                           ro code section .text object preambleDetector.o,</v>
      </c>
    </row>
    <row r="58" spans="1:11" x14ac:dyDescent="0.25">
      <c r="A58" t="s">
        <v>530</v>
      </c>
      <c r="B58" t="str">
        <f t="shared" si="40"/>
        <v/>
      </c>
      <c r="C58">
        <f t="shared" si="41"/>
        <v>0</v>
      </c>
      <c r="D58" t="s">
        <v>1127</v>
      </c>
      <c r="E58" t="str">
        <f t="shared" si="33"/>
        <v>preambleDetector_Data.o</v>
      </c>
      <c r="F58">
        <f t="shared" ca="1" si="34"/>
        <v>0</v>
      </c>
      <c r="H58">
        <f t="shared" ca="1" si="35"/>
        <v>402048</v>
      </c>
      <c r="I58" t="str">
        <f t="shared" ca="1" si="36"/>
        <v>0x00062280</v>
      </c>
      <c r="J58" s="4" t="str">
        <f t="shared" si="42"/>
        <v/>
      </c>
      <c r="K58" s="4" t="str">
        <f t="shared" si="31"/>
        <v xml:space="preserve">                                                           ro code section .text object preambleDetector_Data.o,</v>
      </c>
    </row>
    <row r="59" spans="1:11" x14ac:dyDescent="0.25">
      <c r="A59" t="s">
        <v>530</v>
      </c>
      <c r="B59" t="str">
        <f t="shared" si="40"/>
        <v/>
      </c>
      <c r="C59">
        <f t="shared" si="41"/>
        <v>0</v>
      </c>
      <c r="D59" t="s">
        <v>1112</v>
      </c>
      <c r="E59" t="str">
        <f t="shared" si="33"/>
        <v>preambleDetector_initialize.o</v>
      </c>
      <c r="F59">
        <f t="shared" ca="1" si="34"/>
        <v>148</v>
      </c>
      <c r="H59">
        <f t="shared" ca="1" si="35"/>
        <v>402048</v>
      </c>
      <c r="I59" t="str">
        <f t="shared" ca="1" si="36"/>
        <v>0x00062280</v>
      </c>
      <c r="J59" s="4" t="str">
        <f t="shared" si="42"/>
        <v/>
      </c>
      <c r="K59" s="4" t="str">
        <f t="shared" si="31"/>
        <v xml:space="preserve">                                                           ro code section .text object preambleDetector_initialize.o,</v>
      </c>
    </row>
    <row r="60" spans="1:11" x14ac:dyDescent="0.25">
      <c r="A60" t="s">
        <v>530</v>
      </c>
      <c r="B60" t="str">
        <f t="shared" si="40"/>
        <v/>
      </c>
      <c r="C60">
        <f t="shared" si="41"/>
        <v>0</v>
      </c>
      <c r="D60" t="s">
        <v>1128</v>
      </c>
      <c r="E60" t="str">
        <f t="shared" si="33"/>
        <v>processDerotatedSamples.o</v>
      </c>
      <c r="F60">
        <f t="shared" ca="1" si="34"/>
        <v>772</v>
      </c>
      <c r="H60">
        <f t="shared" ca="1" si="35"/>
        <v>402208</v>
      </c>
      <c r="I60" t="str">
        <f t="shared" ca="1" si="36"/>
        <v>0x00062320</v>
      </c>
      <c r="J60" s="4" t="str">
        <f t="shared" si="42"/>
        <v/>
      </c>
      <c r="K60" s="4" t="str">
        <f t="shared" si="31"/>
        <v xml:space="preserve">                                                           ro code section .text object processDerotatedSamples.o,</v>
      </c>
    </row>
    <row r="61" spans="1:11" x14ac:dyDescent="0.25">
      <c r="A61" t="s">
        <v>530</v>
      </c>
      <c r="B61" t="str">
        <f t="shared" si="40"/>
        <v/>
      </c>
      <c r="C61">
        <f t="shared" si="41"/>
        <v>0</v>
      </c>
      <c r="D61" t="s">
        <v>1113</v>
      </c>
      <c r="E61" t="str">
        <f t="shared" si="33"/>
        <v>ScaleClipFreq2phase.o</v>
      </c>
      <c r="F61">
        <f t="shared" ca="1" si="34"/>
        <v>120</v>
      </c>
      <c r="H61">
        <f t="shared" ca="1" si="35"/>
        <v>402992</v>
      </c>
      <c r="I61" t="str">
        <f t="shared" ca="1" si="36"/>
        <v>0x00062630</v>
      </c>
      <c r="J61" s="4" t="str">
        <f t="shared" si="42"/>
        <v/>
      </c>
      <c r="K61" s="4" t="str">
        <f t="shared" si="31"/>
        <v xml:space="preserve">                                                           ro code section .text object ScaleClipFreq2phase.o,</v>
      </c>
    </row>
    <row r="62" spans="1:11" x14ac:dyDescent="0.25">
      <c r="A62" t="s">
        <v>530</v>
      </c>
      <c r="B62" t="str">
        <f>IF(A62&lt;&gt;A56,A62&amp;$B$1,"")</f>
        <v/>
      </c>
      <c r="C62">
        <f t="shared" si="41"/>
        <v>0</v>
      </c>
      <c r="D62" t="s">
        <v>1114</v>
      </c>
      <c r="E62" t="str">
        <f t="shared" si="33"/>
        <v>sign.o</v>
      </c>
      <c r="F62">
        <f t="shared" ca="1" si="34"/>
        <v>40</v>
      </c>
      <c r="H62">
        <f t="shared" ca="1" si="35"/>
        <v>403120</v>
      </c>
      <c r="I62" t="str">
        <f t="shared" ca="1" si="36"/>
        <v>0x000626B0</v>
      </c>
      <c r="J62" s="4" t="str">
        <f t="shared" si="42"/>
        <v/>
      </c>
      <c r="K62" s="4" t="str">
        <f t="shared" si="31"/>
        <v xml:space="preserve">                                                           ro code section .text object sign.o,</v>
      </c>
    </row>
    <row r="63" spans="1:11" x14ac:dyDescent="0.25">
      <c r="A63" t="s">
        <v>530</v>
      </c>
      <c r="B63" t="str">
        <f t="shared" ref="B63:B66" si="43">IF(A63&lt;&gt;A57,A63&amp;$B$1,"")</f>
        <v/>
      </c>
      <c r="C63">
        <f t="shared" ref="C63:C66" si="44">LEN(B63)</f>
        <v>0</v>
      </c>
      <c r="D63" t="s">
        <v>1115</v>
      </c>
      <c r="E63" t="str">
        <f t="shared" si="33"/>
        <v>fir_filt_circ_buff.o</v>
      </c>
      <c r="F63">
        <f t="shared" ca="1" si="34"/>
        <v>344</v>
      </c>
      <c r="H63">
        <f t="shared" ca="1" si="35"/>
        <v>403168</v>
      </c>
      <c r="I63" t="str">
        <f t="shared" ca="1" si="36"/>
        <v>0x000626E0</v>
      </c>
      <c r="J63" s="4" t="str">
        <f t="shared" si="42"/>
        <v/>
      </c>
      <c r="K63" s="4" t="str">
        <f t="shared" si="31"/>
        <v xml:space="preserve">                                                           ro code section .text object fir_filt_circ_buff.o,</v>
      </c>
    </row>
    <row r="64" spans="1:11" x14ac:dyDescent="0.25">
      <c r="A64" t="s">
        <v>530</v>
      </c>
      <c r="B64" t="str">
        <f t="shared" si="43"/>
        <v/>
      </c>
      <c r="C64">
        <f t="shared" si="44"/>
        <v>0</v>
      </c>
      <c r="D64" t="s">
        <v>1116</v>
      </c>
      <c r="E64" t="str">
        <f t="shared" si="33"/>
        <v>gresample.o</v>
      </c>
      <c r="F64">
        <f t="shared" ca="1" si="34"/>
        <v>284</v>
      </c>
      <c r="H64">
        <f t="shared" ca="1" si="35"/>
        <v>403520</v>
      </c>
      <c r="I64" t="str">
        <f t="shared" ca="1" si="36"/>
        <v>0x00062840</v>
      </c>
      <c r="J64" s="4" t="str">
        <f t="shared" si="42"/>
        <v/>
      </c>
      <c r="K64" s="4" t="str">
        <f t="shared" si="31"/>
        <v xml:space="preserve">                                                           ro code section .text object gresample.o,</v>
      </c>
    </row>
    <row r="65" spans="1:11" x14ac:dyDescent="0.25">
      <c r="A65" t="s">
        <v>530</v>
      </c>
      <c r="B65" t="str">
        <f t="shared" si="43"/>
        <v/>
      </c>
      <c r="C65">
        <f t="shared" si="44"/>
        <v>0</v>
      </c>
      <c r="D65" t="s">
        <v>1117</v>
      </c>
      <c r="E65" t="str">
        <f t="shared" si="33"/>
        <v>phase2freq_wi_unwrap.o</v>
      </c>
      <c r="F65">
        <f t="shared" ca="1" si="34"/>
        <v>48</v>
      </c>
      <c r="H65">
        <f t="shared" ca="1" si="35"/>
        <v>403808</v>
      </c>
      <c r="I65" t="str">
        <f t="shared" ca="1" si="36"/>
        <v>0x00062960</v>
      </c>
      <c r="J65" s="4" t="str">
        <f t="shared" si="42"/>
        <v/>
      </c>
      <c r="K65" s="4" t="str">
        <f t="shared" si="31"/>
        <v xml:space="preserve">                                                           ro code section .text object phase2freq_wi_unwrap.o,</v>
      </c>
    </row>
    <row r="66" spans="1:11" x14ac:dyDescent="0.25">
      <c r="A66" t="s">
        <v>530</v>
      </c>
      <c r="B66" t="str">
        <f t="shared" si="43"/>
        <v/>
      </c>
      <c r="C66">
        <f t="shared" si="44"/>
        <v>0</v>
      </c>
      <c r="D66" t="s">
        <v>1118</v>
      </c>
      <c r="E66" t="str">
        <f t="shared" si="33"/>
        <v>findSYNC.o</v>
      </c>
      <c r="F66">
        <f t="shared" ca="1" si="34"/>
        <v>152</v>
      </c>
      <c r="H66">
        <f t="shared" ca="1" si="35"/>
        <v>403856</v>
      </c>
      <c r="I66" t="str">
        <f t="shared" ca="1" si="36"/>
        <v>0x00062990</v>
      </c>
      <c r="J66" s="4" t="str">
        <f t="shared" si="42"/>
        <v/>
      </c>
      <c r="K66" s="4" t="str">
        <f t="shared" si="31"/>
        <v xml:space="preserve">                                                           ro code section .text object findSYNC.o,</v>
      </c>
    </row>
    <row r="67" spans="1:11" x14ac:dyDescent="0.25">
      <c r="A67" t="s">
        <v>530</v>
      </c>
      <c r="B67" t="str">
        <f>IF(A67&lt;&gt;A57,A67&amp;$B$1,"")</f>
        <v/>
      </c>
      <c r="C67">
        <f t="shared" ref="C67:C68" si="45">LEN(B67)</f>
        <v>0</v>
      </c>
      <c r="D67" t="s">
        <v>1120</v>
      </c>
      <c r="E67" t="str">
        <f t="shared" si="33"/>
        <v>FreqDomMlseP4GfskStruct2.o</v>
      </c>
      <c r="F67">
        <f t="shared" ca="1" si="34"/>
        <v>580</v>
      </c>
      <c r="H67">
        <f t="shared" ca="1" si="35"/>
        <v>404016</v>
      </c>
      <c r="I67" t="str">
        <f t="shared" ca="1" si="36"/>
        <v>0x00062A30</v>
      </c>
      <c r="J67" s="4" t="str">
        <f t="shared" si="42"/>
        <v/>
      </c>
      <c r="K67" s="4" t="str">
        <f t="shared" si="31"/>
        <v xml:space="preserve">                                                           ro code section .text object FreqDomMlseP4GfskStruct2.o,</v>
      </c>
    </row>
    <row r="68" spans="1:11" x14ac:dyDescent="0.25">
      <c r="A68" t="s">
        <v>530</v>
      </c>
      <c r="B68" t="str">
        <f>IF(A68&lt;&gt;A58,A68&amp;$B$1,"")</f>
        <v/>
      </c>
      <c r="C68">
        <f t="shared" si="45"/>
        <v>0</v>
      </c>
      <c r="D68" t="s">
        <v>1121</v>
      </c>
      <c r="E68" t="str">
        <f t="shared" ref="E68:E71" si="46">SUBSTITUTE(D68,"-","_")</f>
        <v>processDerotatedSPDSamples.o</v>
      </c>
      <c r="F68">
        <f t="shared" ref="F68:F74" ca="1" si="47">IFERROR(VLOOKUP(D68,INDIRECT($F$1),2,FALSE),0)</f>
        <v>636</v>
      </c>
      <c r="H68">
        <f t="shared" ref="H68:H74" ca="1" si="48">H67+F67+G67+IF(MOD(F67+H67+G67,$G$40)=0,0,$G$40-MOD(F67+H67+G67,$G$40))</f>
        <v>404608</v>
      </c>
      <c r="I68" t="str">
        <f t="shared" ref="I68:I74" ca="1" si="49">"0x"&amp;DEC2HEX(H68,8)</f>
        <v>0x00062C80</v>
      </c>
      <c r="J68" s="4" t="str">
        <f t="shared" ref="J68:J74" si="50">IF(B68="","","define symbol "&amp;B68&amp;REPT(" ",$C$3-C68)&amp;" = "&amp;I68&amp;";")</f>
        <v/>
      </c>
      <c r="K68" s="4" t="str">
        <f t="shared" ref="K68:K74" si="51">IF(B68="",REPT(" ",$C$3+$K$3)&amp;$K$2&amp;D68&amp;IF(B69="",","," };"),""""&amp;B68&amp;""":"&amp;REPT(" ",$C$3-C68)&amp;"place at address mem: "&amp;B68&amp;REPT(" ",$C$3-C68)&amp;"{ "&amp;$K$2&amp;D68&amp;IF(B69="",","," };"))</f>
        <v xml:space="preserve">                                                           ro code section .text object processDerotatedSPDSamples.o,</v>
      </c>
    </row>
    <row r="69" spans="1:11" x14ac:dyDescent="0.25">
      <c r="A69" t="s">
        <v>530</v>
      </c>
      <c r="B69" t="str">
        <f t="shared" ref="B69:B71" si="52">IF(A69&lt;&gt;A59,A69&amp;$B$1,"")</f>
        <v/>
      </c>
      <c r="C69">
        <f t="shared" ref="C69:C71" si="53">LEN(B69)</f>
        <v>0</v>
      </c>
      <c r="D69" t="s">
        <v>1119</v>
      </c>
      <c r="E69" t="str">
        <f t="shared" si="46"/>
        <v>SyncAndPayloadDemodulator.o</v>
      </c>
      <c r="F69">
        <f t="shared" ca="1" si="47"/>
        <v>908</v>
      </c>
      <c r="H69">
        <f t="shared" ca="1" si="48"/>
        <v>405248</v>
      </c>
      <c r="I69" t="str">
        <f t="shared" ca="1" si="49"/>
        <v>0x00062F00</v>
      </c>
      <c r="J69" s="4" t="str">
        <f t="shared" si="50"/>
        <v/>
      </c>
      <c r="K69" s="4" t="str">
        <f t="shared" si="51"/>
        <v xml:space="preserve">                                                           ro code section .text object SyncAndPayloadDemodulator.o,</v>
      </c>
    </row>
    <row r="70" spans="1:11" x14ac:dyDescent="0.25">
      <c r="A70" t="s">
        <v>530</v>
      </c>
      <c r="B70" t="str">
        <f t="shared" si="52"/>
        <v/>
      </c>
      <c r="C70">
        <f t="shared" si="53"/>
        <v>0</v>
      </c>
      <c r="D70" t="s">
        <v>1122</v>
      </c>
      <c r="E70" t="str">
        <f t="shared" si="46"/>
        <v>SoftDemodulator.o</v>
      </c>
      <c r="F70">
        <f t="shared" ca="1" si="47"/>
        <v>6428</v>
      </c>
      <c r="H70">
        <f t="shared" ca="1" si="48"/>
        <v>406160</v>
      </c>
      <c r="I70" t="str">
        <f t="shared" ca="1" si="49"/>
        <v>0x00063290</v>
      </c>
      <c r="J70" s="4" t="str">
        <f t="shared" si="50"/>
        <v/>
      </c>
      <c r="K70" s="4" t="str">
        <f t="shared" si="51"/>
        <v xml:space="preserve">                                                           ro code section .text object SoftDemodulator.o,</v>
      </c>
    </row>
    <row r="71" spans="1:11" x14ac:dyDescent="0.25">
      <c r="A71" t="s">
        <v>530</v>
      </c>
      <c r="B71" t="str">
        <f t="shared" si="52"/>
        <v/>
      </c>
      <c r="C71">
        <f t="shared" si="53"/>
        <v>0</v>
      </c>
      <c r="D71" t="s">
        <v>259</v>
      </c>
      <c r="E71" t="str">
        <f t="shared" si="46"/>
        <v>rs.o</v>
      </c>
      <c r="F71">
        <f t="shared" ca="1" si="47"/>
        <v>4236</v>
      </c>
      <c r="H71">
        <f t="shared" ca="1" si="48"/>
        <v>412592</v>
      </c>
      <c r="I71" t="str">
        <f t="shared" ca="1" si="49"/>
        <v>0x00064BB0</v>
      </c>
      <c r="J71" s="4" t="str">
        <f t="shared" si="50"/>
        <v/>
      </c>
      <c r="K71" s="4" t="str">
        <f t="shared" si="51"/>
        <v xml:space="preserve">                                                           ro code section .text object rs.o,</v>
      </c>
    </row>
    <row r="72" spans="1:11" x14ac:dyDescent="0.25">
      <c r="A72" t="s">
        <v>530</v>
      </c>
      <c r="B72" t="str">
        <f t="shared" ref="B72" si="54">IF(A72&lt;&gt;A71,A72&amp;$B$1,"")</f>
        <v/>
      </c>
      <c r="C72">
        <f t="shared" ref="C72" si="55">LEN(B72)</f>
        <v>0</v>
      </c>
      <c r="D72" t="s">
        <v>1071</v>
      </c>
      <c r="E72" t="str">
        <f t="shared" si="33"/>
        <v>galois.o</v>
      </c>
      <c r="F72">
        <f t="shared" ca="1" si="47"/>
        <v>136</v>
      </c>
      <c r="H72">
        <f t="shared" ca="1" si="48"/>
        <v>416832</v>
      </c>
      <c r="I72" t="str">
        <f t="shared" ca="1" si="49"/>
        <v>0x00065C40</v>
      </c>
      <c r="J72" s="4" t="str">
        <f t="shared" si="50"/>
        <v/>
      </c>
      <c r="K72" s="4" t="str">
        <f t="shared" si="51"/>
        <v xml:space="preserve">                                                           ro code section .text object galois.o,</v>
      </c>
    </row>
    <row r="73" spans="1:11" x14ac:dyDescent="0.25">
      <c r="A73" t="s">
        <v>530</v>
      </c>
      <c r="B73" t="str">
        <f t="shared" ref="B73" si="56">IF(A73&lt;&gt;A72,A73&amp;$B$1,"")</f>
        <v/>
      </c>
      <c r="C73">
        <f t="shared" ref="C73" si="57">LEN(B73)</f>
        <v>0</v>
      </c>
      <c r="D73" t="s">
        <v>1072</v>
      </c>
      <c r="E73" t="str">
        <f t="shared" si="33"/>
        <v>rsdec.o</v>
      </c>
      <c r="F73">
        <f t="shared" ca="1" si="47"/>
        <v>1084</v>
      </c>
      <c r="H73">
        <f t="shared" ca="1" si="48"/>
        <v>416976</v>
      </c>
      <c r="I73" t="str">
        <f t="shared" ca="1" si="49"/>
        <v>0x00065CD0</v>
      </c>
      <c r="J73" s="4" t="str">
        <f t="shared" si="50"/>
        <v/>
      </c>
      <c r="K73" s="4" t="str">
        <f t="shared" si="51"/>
        <v xml:space="preserve">                                                           ro code section .text object rsdec.o,</v>
      </c>
    </row>
    <row r="74" spans="1:11" x14ac:dyDescent="0.25">
      <c r="A74" t="s">
        <v>530</v>
      </c>
      <c r="B74" t="str">
        <f t="shared" ref="B74" si="58">IF(A74&lt;&gt;A73,A74&amp;$B$1,"")</f>
        <v/>
      </c>
      <c r="C74">
        <f t="shared" ref="C74" si="59">LEN(B74)</f>
        <v>0</v>
      </c>
      <c r="D74" t="s">
        <v>1075</v>
      </c>
      <c r="E74" t="str">
        <f t="shared" si="33"/>
        <v>rsenc.o</v>
      </c>
      <c r="F74">
        <f t="shared" ca="1" si="47"/>
        <v>312</v>
      </c>
      <c r="H74">
        <f t="shared" ca="1" si="48"/>
        <v>418064</v>
      </c>
      <c r="I74" t="str">
        <f t="shared" ca="1" si="49"/>
        <v>0x00066110</v>
      </c>
      <c r="J74" s="4" t="str">
        <f t="shared" si="50"/>
        <v/>
      </c>
      <c r="K74" s="4" t="str">
        <f t="shared" si="51"/>
        <v xml:space="preserve">                                                           ro code section .text object rsenc.o,</v>
      </c>
    </row>
    <row r="75" spans="1:11" x14ac:dyDescent="0.25">
      <c r="A75" t="s">
        <v>530</v>
      </c>
      <c r="B75" t="str">
        <f>IF(A75&lt;&gt;A74,A75&amp;$B$1,"")</f>
        <v/>
      </c>
      <c r="C75">
        <f t="shared" ref="C75" si="60">LEN(B75)</f>
        <v>0</v>
      </c>
      <c r="D75" t="s">
        <v>1086</v>
      </c>
      <c r="E75" t="str">
        <f t="shared" si="33"/>
        <v>indication.o</v>
      </c>
      <c r="F75">
        <f t="shared" ca="1" si="34"/>
        <v>208</v>
      </c>
      <c r="H75">
        <f t="shared" ca="1" si="35"/>
        <v>418384</v>
      </c>
      <c r="I75" t="str">
        <f t="shared" ca="1" si="36"/>
        <v>0x00066250</v>
      </c>
      <c r="J75" s="4" t="str">
        <f t="shared" si="42"/>
        <v/>
      </c>
      <c r="K75" s="4" t="str">
        <f t="shared" si="31"/>
        <v xml:space="preserve">                                                           ro code section .text object indication.o };</v>
      </c>
    </row>
    <row r="76" spans="1:11" x14ac:dyDescent="0.25">
      <c r="B76" t="str">
        <f>B42&amp;"_end"</f>
        <v>stack_TEXT_end</v>
      </c>
      <c r="F76">
        <f ca="1">SUM(F42:F75)</f>
        <v>74396</v>
      </c>
      <c r="G76">
        <f ca="1">INT(($G$39/100)*F76)</f>
        <v>743</v>
      </c>
      <c r="H76">
        <f ca="1">H75+F75+G76+IF(MOD(F75+H75+G76,$G$40)=0,0,$G$40-MOD(F75+H75+G76,$G$40))</f>
        <v>419344</v>
      </c>
      <c r="I76" t="str">
        <f t="shared" ref="I76" ca="1" si="61">"0x"&amp;DEC2HEX(H76,8)</f>
        <v>0x00066610</v>
      </c>
      <c r="J76" s="4"/>
      <c r="K76" s="4"/>
    </row>
    <row r="77" spans="1:11" x14ac:dyDescent="0.25">
      <c r="J77" s="4"/>
      <c r="K77" s="4"/>
    </row>
    <row r="78" spans="1:11" x14ac:dyDescent="0.25">
      <c r="F78" t="s">
        <v>526</v>
      </c>
      <c r="G78">
        <f ca="1">VLOOKUP(B81,INDIRECT(GlobalPlcmnt!$B$133),GlobalPlcmnt!$B$138,FALSE)</f>
        <v>1</v>
      </c>
      <c r="J78" s="4"/>
      <c r="K78" s="4"/>
    </row>
    <row r="79" spans="1:11" x14ac:dyDescent="0.25">
      <c r="F79" t="s">
        <v>608</v>
      </c>
      <c r="G79">
        <f ca="1">VLOOKUP(B81,INDIRECT(GlobalPlcmnt!$B$133),GlobalPlcmnt!$C$138,FALSE)</f>
        <v>16</v>
      </c>
      <c r="J79" s="4"/>
      <c r="K79" s="4"/>
    </row>
    <row r="80" spans="1:11" x14ac:dyDescent="0.25">
      <c r="F80" t="s">
        <v>542</v>
      </c>
      <c r="J80" s="4"/>
      <c r="K80" s="4"/>
    </row>
    <row r="81" spans="1:11" x14ac:dyDescent="0.25">
      <c r="A81" t="s">
        <v>531</v>
      </c>
      <c r="B81" t="str">
        <f t="shared" ref="B81:B86" si="62">IF(A81&lt;&gt;A80,A81&amp;$B$1,"")</f>
        <v>OS_API_TEXT</v>
      </c>
      <c r="C81">
        <f t="shared" ref="C81:C86" si="63">LEN(B81)</f>
        <v>11</v>
      </c>
      <c r="D81" t="s">
        <v>239</v>
      </c>
      <c r="E81" t="str">
        <f t="shared" ref="E81:E82" si="64">SUBSTITUTE(D81,"-","_")</f>
        <v>Event.o</v>
      </c>
      <c r="F81">
        <f t="shared" ref="F81:F82" ca="1" si="65">IFERROR(VLOOKUP(D81,INDIRECT($F$1),2,FALSE),0)</f>
        <v>212</v>
      </c>
      <c r="H81">
        <f ca="1">VLOOKUP(B81,INDIRECT(GlobalPlcmnt!$B$133),GlobalPlcmnt!$A$138,FALSE)</f>
        <v>419344</v>
      </c>
      <c r="I81" t="str">
        <f t="shared" ref="I81:I87" ca="1" si="66">"0x"&amp;DEC2HEX(H81,8)</f>
        <v>0x00066610</v>
      </c>
      <c r="J81" s="4" t="str">
        <f t="shared" ref="J81:J86" ca="1" si="67">IF(B81="","","define symbol "&amp;B81&amp;REPT(" ",$C$3-C81)&amp;" = "&amp;I81&amp;";")</f>
        <v>define symbol OS_API_TEXT      = 0x00066610;</v>
      </c>
      <c r="K81" s="4" t="str">
        <f t="shared" ref="K81:K86" si="68">IF(B81="",REPT(" ",$C$3+$K$3)&amp;$K$2&amp;D81&amp;IF(B82="",","," };"),""""&amp;B81&amp;""":"&amp;REPT(" ",$C$3-C81)&amp;"place at address mem: "&amp;B81&amp;REPT(" ",$C$3-C81)&amp;"{ "&amp;$K$2&amp;D81&amp;IF(B82="",","," };"))</f>
        <v>"OS_API_TEXT":     place at address mem: OS_API_TEXT     { ro code section .text object Event.o,</v>
      </c>
    </row>
    <row r="82" spans="1:11" x14ac:dyDescent="0.25">
      <c r="A82" t="s">
        <v>531</v>
      </c>
      <c r="B82" t="str">
        <f t="shared" si="62"/>
        <v/>
      </c>
      <c r="C82">
        <f t="shared" si="63"/>
        <v>0</v>
      </c>
      <c r="D82" t="s">
        <v>115</v>
      </c>
      <c r="E82" t="str">
        <f t="shared" si="64"/>
        <v>MessageQ.o</v>
      </c>
      <c r="F82">
        <f t="shared" ca="1" si="65"/>
        <v>360</v>
      </c>
      <c r="H82">
        <f ca="1">H81+F81+G81+IF(MOD(F81+H81+G81,$G$79)=0,0,$G$79-MOD(F81+H81+G81,$G$79))</f>
        <v>419568</v>
      </c>
      <c r="I82" t="str">
        <f t="shared" ca="1" si="66"/>
        <v>0x000666F0</v>
      </c>
      <c r="J82" s="4" t="str">
        <f t="shared" si="67"/>
        <v/>
      </c>
      <c r="K82" s="4" t="str">
        <f t="shared" si="68"/>
        <v xml:space="preserve">                                                           ro code section .text object MessageQ.o,</v>
      </c>
    </row>
    <row r="83" spans="1:11" x14ac:dyDescent="0.25">
      <c r="A83" t="s">
        <v>531</v>
      </c>
      <c r="B83" t="str">
        <f t="shared" si="62"/>
        <v/>
      </c>
      <c r="C83">
        <f t="shared" si="63"/>
        <v>0</v>
      </c>
      <c r="D83" t="s">
        <v>117</v>
      </c>
      <c r="E83" t="str">
        <f t="shared" ref="E83:E86" si="69">SUBSTITUTE(D83,"-","_")</f>
        <v>Mutex.o</v>
      </c>
      <c r="F83">
        <f t="shared" ref="F83:F86" ca="1" si="70">IFERROR(VLOOKUP(D83,INDIRECT($F$1),2,FALSE),0)</f>
        <v>288</v>
      </c>
      <c r="H83">
        <f t="shared" ref="H83:H86" ca="1" si="71">H82+F82+G82+IF(MOD(F82+H82+G82,$G$79)=0,0,$G$79-MOD(F82+H82+G82,$G$79))</f>
        <v>419936</v>
      </c>
      <c r="I83" t="str">
        <f t="shared" ref="I83:I86" ca="1" si="72">"0x"&amp;DEC2HEX(H83,8)</f>
        <v>0x00066860</v>
      </c>
      <c r="J83" s="4" t="str">
        <f t="shared" si="67"/>
        <v/>
      </c>
      <c r="K83" s="4" t="str">
        <f t="shared" si="68"/>
        <v xml:space="preserve">                                                           ro code section .text object Mutex.o,</v>
      </c>
    </row>
    <row r="84" spans="1:11" x14ac:dyDescent="0.25">
      <c r="A84" t="s">
        <v>531</v>
      </c>
      <c r="B84" t="str">
        <f t="shared" si="62"/>
        <v/>
      </c>
      <c r="C84">
        <f t="shared" si="63"/>
        <v>0</v>
      </c>
      <c r="D84" t="s">
        <v>175</v>
      </c>
      <c r="E84" t="str">
        <f t="shared" si="69"/>
        <v>Queue.o</v>
      </c>
      <c r="F84">
        <f t="shared" ca="1" si="70"/>
        <v>94</v>
      </c>
      <c r="H84">
        <f t="shared" ca="1" si="71"/>
        <v>420224</v>
      </c>
      <c r="I84" t="str">
        <f t="shared" ca="1" si="72"/>
        <v>0x00066980</v>
      </c>
      <c r="J84" s="4" t="str">
        <f t="shared" si="67"/>
        <v/>
      </c>
      <c r="K84" s="4" t="str">
        <f t="shared" si="68"/>
        <v xml:space="preserve">                                                           ro code section .text object Queue.o,</v>
      </c>
    </row>
    <row r="85" spans="1:11" x14ac:dyDescent="0.25">
      <c r="A85" t="s">
        <v>531</v>
      </c>
      <c r="B85" t="str">
        <f t="shared" si="62"/>
        <v/>
      </c>
      <c r="C85">
        <f t="shared" si="63"/>
        <v>0</v>
      </c>
      <c r="D85" t="s">
        <v>80</v>
      </c>
      <c r="E85" t="str">
        <f t="shared" si="69"/>
        <v>Semaphore.o</v>
      </c>
      <c r="F85">
        <f t="shared" ca="1" si="70"/>
        <v>220</v>
      </c>
      <c r="H85">
        <f t="shared" ca="1" si="71"/>
        <v>420320</v>
      </c>
      <c r="I85" t="str">
        <f t="shared" ca="1" si="72"/>
        <v>0x000669E0</v>
      </c>
      <c r="J85" s="4" t="str">
        <f t="shared" si="67"/>
        <v/>
      </c>
      <c r="K85" s="4" t="str">
        <f t="shared" si="68"/>
        <v xml:space="preserve">                                                           ro code section .text object Semaphore.o,</v>
      </c>
    </row>
    <row r="86" spans="1:11" x14ac:dyDescent="0.25">
      <c r="A86" t="s">
        <v>531</v>
      </c>
      <c r="B86" t="str">
        <f t="shared" si="62"/>
        <v/>
      </c>
      <c r="C86">
        <f t="shared" si="63"/>
        <v>0</v>
      </c>
      <c r="D86" t="s">
        <v>85</v>
      </c>
      <c r="E86" t="str">
        <f t="shared" si="69"/>
        <v>TickTime.o</v>
      </c>
      <c r="F86">
        <f t="shared" ca="1" si="70"/>
        <v>122</v>
      </c>
      <c r="H86">
        <f t="shared" ca="1" si="71"/>
        <v>420544</v>
      </c>
      <c r="I86" t="str">
        <f t="shared" ca="1" si="72"/>
        <v>0x00066AC0</v>
      </c>
      <c r="J86" s="4" t="str">
        <f t="shared" si="67"/>
        <v/>
      </c>
      <c r="K86" s="4" t="str">
        <f t="shared" si="68"/>
        <v xml:space="preserve">                                                           ro code section .text object TickTime.o };</v>
      </c>
    </row>
    <row r="87" spans="1:11" x14ac:dyDescent="0.25">
      <c r="B87" t="str">
        <f>B81&amp;"_end"</f>
        <v>OS_API_TEXT_end</v>
      </c>
      <c r="F87">
        <f ca="1">SUM(F81:F86)</f>
        <v>1296</v>
      </c>
      <c r="G87">
        <f ca="1">INT(($G$78/100)*F87)</f>
        <v>12</v>
      </c>
      <c r="H87">
        <f ca="1">H86+F86+G87+IF(MOD(F86+H86+G87,$G$79)=0,0,$G$79-MOD(F86+H86+G87,$G$79))</f>
        <v>420688</v>
      </c>
      <c r="I87" t="str">
        <f t="shared" ca="1" si="66"/>
        <v>0x00066B50</v>
      </c>
      <c r="J87" s="4"/>
      <c r="K87" s="4"/>
    </row>
    <row r="88" spans="1:11" x14ac:dyDescent="0.25">
      <c r="J88" s="4"/>
      <c r="K88" s="4"/>
    </row>
    <row r="89" spans="1:11" x14ac:dyDescent="0.25">
      <c r="F89" t="s">
        <v>526</v>
      </c>
      <c r="G89">
        <f ca="1">VLOOKUP(B92,INDIRECT(GlobalPlcmnt!$B$133),GlobalPlcmnt!$B$138,FALSE)</f>
        <v>1</v>
      </c>
      <c r="J89" s="4"/>
      <c r="K89" s="4"/>
    </row>
    <row r="90" spans="1:11" x14ac:dyDescent="0.25">
      <c r="F90" t="s">
        <v>608</v>
      </c>
      <c r="G90">
        <f ca="1">VLOOKUP(B92,INDIRECT(GlobalPlcmnt!$B$133),GlobalPlcmnt!$C$138,FALSE)</f>
        <v>16</v>
      </c>
      <c r="J90" s="4"/>
      <c r="K90" s="4"/>
    </row>
    <row r="91" spans="1:11" x14ac:dyDescent="0.25">
      <c r="F91" t="s">
        <v>542</v>
      </c>
      <c r="J91" s="4"/>
      <c r="K91" s="4"/>
    </row>
    <row r="92" spans="1:11" x14ac:dyDescent="0.25">
      <c r="A92" t="s">
        <v>532</v>
      </c>
      <c r="B92" t="str">
        <f t="shared" ref="B92:B99" si="73">IF(A92&lt;&gt;A91,A92&amp;$B$1,"")</f>
        <v>radio_TEXT</v>
      </c>
      <c r="C92">
        <f t="shared" ref="C92:C99" si="74">LEN(B92)</f>
        <v>10</v>
      </c>
      <c r="D92" t="s">
        <v>235</v>
      </c>
      <c r="E92" t="str">
        <f t="shared" ref="E92:E93" si="75">SUBSTITUTE(D92,"-","_")</f>
        <v>radio.o</v>
      </c>
      <c r="F92">
        <f t="shared" ref="F92:F93" ca="1" si="76">IFERROR(VLOOKUP(D92,INDIRECT($F$1),2,FALSE),0)</f>
        <v>15244</v>
      </c>
      <c r="H92">
        <f ca="1">VLOOKUP(B92,INDIRECT(GlobalPlcmnt!$B$133),GlobalPlcmnt!$A$138,FALSE)</f>
        <v>420688</v>
      </c>
      <c r="I92" t="str">
        <f t="shared" ref="I92:I101" ca="1" si="77">"0x"&amp;DEC2HEX(H92,8)</f>
        <v>0x00066B50</v>
      </c>
      <c r="J92" s="4" t="str">
        <f ca="1">IF(B92="","","define symbol "&amp;B92&amp;REPT(" ",$C$3-C92)&amp;" = "&amp;I92&amp;";")</f>
        <v>define symbol radio_TEXT       = 0x00066B50;</v>
      </c>
      <c r="K92" s="4" t="str">
        <f t="shared" ref="K92:K100" si="78">IF(B92="",REPT(" ",$C$3+$K$3)&amp;$K$2&amp;D92&amp;IF(B93="",","," };"),""""&amp;B92&amp;""":"&amp;REPT(" ",$C$3-C92)&amp;"place at address mem: "&amp;B92&amp;REPT(" ",$C$3-C92)&amp;"{ "&amp;$K$2&amp;D92&amp;IF(B93="",","," };"))</f>
        <v>"radio_TEXT":      place at address mem: radio_TEXT      { ro code section .text object radio.o,</v>
      </c>
    </row>
    <row r="93" spans="1:11" x14ac:dyDescent="0.25">
      <c r="A93" t="s">
        <v>532</v>
      </c>
      <c r="B93" t="str">
        <f t="shared" si="73"/>
        <v/>
      </c>
      <c r="C93">
        <f t="shared" si="74"/>
        <v>0</v>
      </c>
      <c r="D93" t="s">
        <v>316</v>
      </c>
      <c r="E93" t="str">
        <f t="shared" si="75"/>
        <v>radio_comm.o</v>
      </c>
      <c r="F93">
        <f t="shared" ca="1" si="76"/>
        <v>716</v>
      </c>
      <c r="H93">
        <f ca="1">H92+F92+G92+IF(MOD(F92+H92+G92,$G$90)=0,0,$G$90-MOD(F92+H92+G92,$G$90))</f>
        <v>435936</v>
      </c>
      <c r="I93" t="str">
        <f ca="1">"0x"&amp;DEC2HEX(H93,8)</f>
        <v>0x0006A6E0</v>
      </c>
      <c r="J93" s="4" t="str">
        <f t="shared" ref="J93:J99" si="79">IF(B93="","","define symbol "&amp;B93&amp;REPT(" ",$C$3-C93)&amp;" = "&amp;I93&amp;";")</f>
        <v/>
      </c>
      <c r="K93" s="4" t="str">
        <f t="shared" si="78"/>
        <v xml:space="preserve">                                                           ro code section .text object radio_comm.o,</v>
      </c>
    </row>
    <row r="94" spans="1:11" x14ac:dyDescent="0.25">
      <c r="A94" t="s">
        <v>532</v>
      </c>
      <c r="B94" t="str">
        <f t="shared" si="73"/>
        <v/>
      </c>
      <c r="C94">
        <f t="shared" si="74"/>
        <v>0</v>
      </c>
      <c r="D94" t="s">
        <v>224</v>
      </c>
      <c r="E94" t="str">
        <f t="shared" ref="E94:E99" si="80">SUBSTITUTE(D94,"-","_")</f>
        <v>si446x_api_lib.o</v>
      </c>
      <c r="F94">
        <f t="shared" ref="F94:F99" ca="1" si="81">IFERROR(VLOOKUP(D94,INDIRECT($F$1),2,FALSE),0)</f>
        <v>1592</v>
      </c>
      <c r="H94">
        <f t="shared" ref="H94:H101" ca="1" si="82">H93+F93+G93+IF(MOD(F93+H93+G93,$G$90)=0,0,$G$90-MOD(F93+H93+G93,$G$90))</f>
        <v>436656</v>
      </c>
      <c r="I94" t="str">
        <f t="shared" ref="I94:I99" ca="1" si="83">"0x"&amp;DEC2HEX(H94,8)</f>
        <v>0x0006A9B0</v>
      </c>
      <c r="J94" s="4" t="str">
        <f t="shared" si="79"/>
        <v/>
      </c>
      <c r="K94" s="4" t="str">
        <f t="shared" si="78"/>
        <v xml:space="preserve">                                                           ro code section .text object si446x_api_lib.o,</v>
      </c>
    </row>
    <row r="95" spans="1:11" x14ac:dyDescent="0.25">
      <c r="A95" t="s">
        <v>532</v>
      </c>
      <c r="B95" t="str">
        <f t="shared" si="73"/>
        <v/>
      </c>
      <c r="C95">
        <f t="shared" si="74"/>
        <v>0</v>
      </c>
      <c r="D95" t="s">
        <v>423</v>
      </c>
      <c r="E95" t="str">
        <f t="shared" si="80"/>
        <v>radio_config_normal.o</v>
      </c>
      <c r="F95">
        <f t="shared" ca="1" si="81"/>
        <v>0</v>
      </c>
      <c r="H95">
        <f t="shared" ca="1" si="82"/>
        <v>438256</v>
      </c>
      <c r="I95" t="str">
        <f t="shared" ca="1" si="83"/>
        <v>0x0006AFF0</v>
      </c>
      <c r="J95" s="4" t="str">
        <f t="shared" si="79"/>
        <v/>
      </c>
      <c r="K95" s="4" t="str">
        <f t="shared" si="78"/>
        <v xml:space="preserve">                                                           ro code section .text object radio_config_normal.o,</v>
      </c>
    </row>
    <row r="96" spans="1:11" x14ac:dyDescent="0.25">
      <c r="A96" t="s">
        <v>532</v>
      </c>
      <c r="B96" t="str">
        <f t="shared" si="73"/>
        <v/>
      </c>
      <c r="C96">
        <f t="shared" si="74"/>
        <v>0</v>
      </c>
      <c r="D96" t="s">
        <v>426</v>
      </c>
      <c r="E96" t="str">
        <f t="shared" si="80"/>
        <v>radio_config_cw.o</v>
      </c>
      <c r="F96">
        <f t="shared" ca="1" si="81"/>
        <v>0</v>
      </c>
      <c r="H96">
        <f t="shared" ca="1" si="82"/>
        <v>438256</v>
      </c>
      <c r="I96" t="str">
        <f t="shared" ca="1" si="83"/>
        <v>0x0006AFF0</v>
      </c>
      <c r="J96" s="4" t="str">
        <f t="shared" si="79"/>
        <v/>
      </c>
      <c r="K96" s="4" t="str">
        <f t="shared" si="78"/>
        <v xml:space="preserve">                                                           ro code section .text object radio_config_cw.o,</v>
      </c>
    </row>
    <row r="97" spans="1:11" x14ac:dyDescent="0.25">
      <c r="A97" t="s">
        <v>532</v>
      </c>
      <c r="B97" t="str">
        <f t="shared" si="73"/>
        <v/>
      </c>
      <c r="C97">
        <f t="shared" si="74"/>
        <v>0</v>
      </c>
      <c r="D97" t="s">
        <v>425</v>
      </c>
      <c r="E97" t="str">
        <f t="shared" si="80"/>
        <v>radio_config_PN9.o</v>
      </c>
      <c r="F97">
        <f t="shared" ca="1" si="81"/>
        <v>0</v>
      </c>
      <c r="H97">
        <f t="shared" ca="1" si="82"/>
        <v>438256</v>
      </c>
      <c r="I97" t="str">
        <f t="shared" ca="1" si="83"/>
        <v>0x0006AFF0</v>
      </c>
      <c r="J97" s="4" t="str">
        <f t="shared" si="79"/>
        <v/>
      </c>
      <c r="K97" s="4" t="str">
        <f t="shared" si="78"/>
        <v xml:space="preserve">                                                           ro code section .text object radio_config_PN9.o,</v>
      </c>
    </row>
    <row r="98" spans="1:11" x14ac:dyDescent="0.25">
      <c r="A98" t="s">
        <v>532</v>
      </c>
      <c r="B98" t="str">
        <f t="shared" si="73"/>
        <v/>
      </c>
      <c r="C98">
        <f t="shared" si="74"/>
        <v>0</v>
      </c>
      <c r="D98" t="s">
        <v>424</v>
      </c>
      <c r="E98" t="str">
        <f t="shared" si="80"/>
        <v>radio_config_2GFSK_BER.o</v>
      </c>
      <c r="F98">
        <f t="shared" ca="1" si="81"/>
        <v>0</v>
      </c>
      <c r="H98">
        <f t="shared" ca="1" si="82"/>
        <v>438256</v>
      </c>
      <c r="I98" t="str">
        <f t="shared" ca="1" si="83"/>
        <v>0x0006AFF0</v>
      </c>
      <c r="J98" s="4" t="str">
        <f t="shared" si="79"/>
        <v/>
      </c>
      <c r="K98" s="4" t="str">
        <f t="shared" si="78"/>
        <v xml:space="preserve">                                                           ro code section .text object radio_config_2GFSK_BER.o,</v>
      </c>
    </row>
    <row r="99" spans="1:11" x14ac:dyDescent="0.25">
      <c r="A99" t="s">
        <v>532</v>
      </c>
      <c r="B99" t="str">
        <f t="shared" si="73"/>
        <v/>
      </c>
      <c r="C99">
        <f t="shared" si="74"/>
        <v>0</v>
      </c>
      <c r="D99" t="s">
        <v>427</v>
      </c>
      <c r="E99" t="str">
        <f t="shared" si="80"/>
        <v>radio_config_4GFSK_BER.o</v>
      </c>
      <c r="F99">
        <f t="shared" ca="1" si="81"/>
        <v>0</v>
      </c>
      <c r="H99">
        <f t="shared" ca="1" si="82"/>
        <v>438256</v>
      </c>
      <c r="I99" t="str">
        <f t="shared" ca="1" si="83"/>
        <v>0x0006AFF0</v>
      </c>
      <c r="J99" s="4" t="str">
        <f t="shared" si="79"/>
        <v/>
      </c>
      <c r="K99" s="4" t="str">
        <f t="shared" si="78"/>
        <v xml:space="preserve">                                                           ro code section .text object radio_config_4GFSK_BER.o,</v>
      </c>
    </row>
    <row r="100" spans="1:11" x14ac:dyDescent="0.25">
      <c r="A100" t="s">
        <v>532</v>
      </c>
      <c r="B100" t="str">
        <f t="shared" ref="B100" si="84">IF(A100&lt;&gt;A99,A100&amp;$B$1,"")</f>
        <v/>
      </c>
      <c r="C100">
        <f t="shared" ref="C100" si="85">LEN(B100)</f>
        <v>0</v>
      </c>
      <c r="D100" t="s">
        <v>1667</v>
      </c>
      <c r="E100" t="str">
        <f t="shared" ref="E100" si="86">SUBSTITUTE(D100,"-","_")</f>
        <v>radio_TCXO.o</v>
      </c>
      <c r="F100">
        <f t="shared" ref="F100" ca="1" si="87">IFERROR(VLOOKUP(D100,INDIRECT($F$1),2,FALSE),0)</f>
        <v>768</v>
      </c>
      <c r="H100">
        <f t="shared" ca="1" si="82"/>
        <v>438256</v>
      </c>
      <c r="I100" t="str">
        <f t="shared" ref="I100" ca="1" si="88">"0x"&amp;DEC2HEX(H100,8)</f>
        <v>0x0006AFF0</v>
      </c>
      <c r="J100" s="4" t="str">
        <f t="shared" ref="J100" si="89">IF(B100="","","define symbol "&amp;B100&amp;REPT(" ",$C$3-C100)&amp;" = "&amp;I100&amp;";")</f>
        <v/>
      </c>
      <c r="K100" s="4" t="str">
        <f t="shared" si="78"/>
        <v xml:space="preserve">                                                           ro code section .text object radio_TCXO.o };</v>
      </c>
    </row>
    <row r="101" spans="1:11" x14ac:dyDescent="0.25">
      <c r="B101" t="str">
        <f>B92&amp;"_end"</f>
        <v>radio_TEXT_end</v>
      </c>
      <c r="F101">
        <f ca="1">SUM(F92:F100)</f>
        <v>18320</v>
      </c>
      <c r="G101">
        <f ca="1">INT(($G$89/100)*F101)</f>
        <v>183</v>
      </c>
      <c r="H101">
        <f t="shared" ca="1" si="82"/>
        <v>439024</v>
      </c>
      <c r="I101" t="str">
        <f t="shared" ca="1" si="77"/>
        <v>0x0006B2F0</v>
      </c>
      <c r="J101" s="4"/>
      <c r="K101" s="4"/>
    </row>
    <row r="102" spans="1:11" x14ac:dyDescent="0.25">
      <c r="J102" s="4"/>
      <c r="K102" s="4"/>
    </row>
    <row r="103" spans="1:11" x14ac:dyDescent="0.25">
      <c r="F103" t="s">
        <v>526</v>
      </c>
      <c r="G103">
        <f ca="1">VLOOKUP(B106,INDIRECT(GlobalPlcmnt!$B$133),GlobalPlcmnt!$B$138,FALSE)</f>
        <v>1</v>
      </c>
      <c r="J103" s="4"/>
      <c r="K103" s="4"/>
    </row>
    <row r="104" spans="1:11" x14ac:dyDescent="0.25">
      <c r="F104" t="s">
        <v>608</v>
      </c>
      <c r="G104">
        <f ca="1">VLOOKUP(B106,INDIRECT(GlobalPlcmnt!$B$133),GlobalPlcmnt!$C$138,FALSE)</f>
        <v>16</v>
      </c>
      <c r="J104" s="4"/>
      <c r="K104" s="4"/>
    </row>
    <row r="105" spans="1:11" x14ac:dyDescent="0.25">
      <c r="F105" t="s">
        <v>542</v>
      </c>
      <c r="J105" s="4"/>
      <c r="K105" s="4"/>
    </row>
    <row r="106" spans="1:11" x14ac:dyDescent="0.25">
      <c r="A106" t="s">
        <v>533</v>
      </c>
      <c r="B106" t="str">
        <f t="shared" ref="B106:B111" si="90">IF(A106&lt;&gt;A105,A106&amp;$B$1,"")</f>
        <v>security_TEXT</v>
      </c>
      <c r="C106">
        <f t="shared" ref="C106:C111" si="91">LEN(B106)</f>
        <v>13</v>
      </c>
      <c r="D106" t="s">
        <v>302</v>
      </c>
      <c r="E106" t="str">
        <f t="shared" ref="E106:E107" si="92">SUBSTITUTE(D106,"-","_")</f>
        <v>cert_builder.o</v>
      </c>
      <c r="F106">
        <f t="shared" ref="F106" ca="1" si="93">IFERROR(VLOOKUP(D106,INDIRECT($F$1),2,FALSE),0)</f>
        <v>1410</v>
      </c>
      <c r="H106">
        <f ca="1">VLOOKUP(B106,INDIRECT(GlobalPlcmnt!$B$133),GlobalPlcmnt!$A$138,FALSE)</f>
        <v>439200</v>
      </c>
      <c r="I106" t="str">
        <f t="shared" ref="I106:I112" ca="1" si="94">"0x"&amp;DEC2HEX(H106,8)</f>
        <v>0x0006B3A0</v>
      </c>
      <c r="J106" s="4" t="str">
        <f t="shared" ref="J106:J111" ca="1" si="95">IF(B106="","","define symbol "&amp;B106&amp;REPT(" ",$C$3-C106)&amp;" = "&amp;I106&amp;";")</f>
        <v>define symbol security_TEXT    = 0x0006B3A0;</v>
      </c>
      <c r="K106" s="4" t="str">
        <f t="shared" ref="K106:K111" si="96">IF(B106="",REPT(" ",$C$3+$K$3)&amp;$K$2&amp;D106&amp;IF(B107="",","," };"),""""&amp;B106&amp;""":"&amp;REPT(" ",$C$3-C106)&amp;"place at address mem: "&amp;B106&amp;REPT(" ",$C$3-C106)&amp;"{ "&amp;$K$2&amp;D106&amp;IF(B107="",","," };"))</f>
        <v>"security_TEXT":   place at address mem: security_TEXT   { ro code section .text object cert-builder.o,</v>
      </c>
    </row>
    <row r="107" spans="1:11" x14ac:dyDescent="0.25">
      <c r="A107" t="s">
        <v>533</v>
      </c>
      <c r="B107" t="str">
        <f t="shared" si="90"/>
        <v/>
      </c>
      <c r="C107">
        <f t="shared" si="91"/>
        <v>0</v>
      </c>
      <c r="D107" t="s">
        <v>204</v>
      </c>
      <c r="E107" t="str">
        <f t="shared" si="92"/>
        <v>ecc108_apps.o</v>
      </c>
      <c r="F107">
        <f ca="1">IFERROR(VLOOKUP(D107,INDIRECT($F$1),2,FALSE),0)</f>
        <v>8768</v>
      </c>
      <c r="H107">
        <f ca="1">H106+F106+G106+IF(MOD(F106+H106+G106,$G$104)=0,0,$G$104-MOD(F106+H106+G106,$G$104))</f>
        <v>440624</v>
      </c>
      <c r="I107" t="str">
        <f ca="1">"0x"&amp;DEC2HEX(H107,8)</f>
        <v>0x0006B930</v>
      </c>
      <c r="J107" s="4" t="str">
        <f t="shared" si="95"/>
        <v/>
      </c>
      <c r="K107" s="4" t="str">
        <f t="shared" si="96"/>
        <v xml:space="preserve">                                                           ro code section .text object ecc108_apps.o,</v>
      </c>
    </row>
    <row r="108" spans="1:11" x14ac:dyDescent="0.25">
      <c r="A108" t="s">
        <v>533</v>
      </c>
      <c r="B108" t="str">
        <f t="shared" si="90"/>
        <v/>
      </c>
      <c r="C108">
        <f t="shared" si="91"/>
        <v>0</v>
      </c>
      <c r="D108" t="s">
        <v>299</v>
      </c>
      <c r="E108" t="str">
        <f t="shared" ref="E108:E111" si="97">SUBSTITUTE(D108,"-","_")</f>
        <v>ecc108_comm.o</v>
      </c>
      <c r="F108">
        <f t="shared" ref="F108:F111" ca="1" si="98">IFERROR(VLOOKUP(D108,INDIRECT($F$1),2,FALSE),0)</f>
        <v>478</v>
      </c>
      <c r="H108">
        <f t="shared" ref="H108:H111" ca="1" si="99">H107+F107+G107+IF(MOD(F107+H107+G107,$G$104)=0,0,$G$104-MOD(F107+H107+G107,$G$104))</f>
        <v>449392</v>
      </c>
      <c r="I108" t="str">
        <f t="shared" ref="I108:I111" ca="1" si="100">"0x"&amp;DEC2HEX(H108,8)</f>
        <v>0x0006DB70</v>
      </c>
      <c r="J108" s="4" t="str">
        <f t="shared" si="95"/>
        <v/>
      </c>
      <c r="K108" s="4" t="str">
        <f t="shared" si="96"/>
        <v xml:space="preserve">                                                           ro code section .text object ecc108_comm.o,</v>
      </c>
    </row>
    <row r="109" spans="1:11" x14ac:dyDescent="0.25">
      <c r="A109" t="s">
        <v>533</v>
      </c>
      <c r="B109" t="str">
        <f t="shared" si="90"/>
        <v/>
      </c>
      <c r="C109">
        <f t="shared" si="91"/>
        <v>0</v>
      </c>
      <c r="D109" t="s">
        <v>300</v>
      </c>
      <c r="E109" t="str">
        <f t="shared" si="97"/>
        <v>ecc108_comm_marshaling.o</v>
      </c>
      <c r="F109">
        <f t="shared" ca="1" si="98"/>
        <v>564</v>
      </c>
      <c r="H109">
        <f t="shared" ca="1" si="99"/>
        <v>449872</v>
      </c>
      <c r="I109" t="str">
        <f t="shared" ca="1" si="100"/>
        <v>0x0006DD50</v>
      </c>
      <c r="J109" s="4" t="str">
        <f t="shared" si="95"/>
        <v/>
      </c>
      <c r="K109" s="4" t="str">
        <f t="shared" si="96"/>
        <v xml:space="preserve">                                                           ro code section .text object ecc108_comm_marshaling.o,</v>
      </c>
    </row>
    <row r="110" spans="1:11" x14ac:dyDescent="0.25">
      <c r="A110" t="s">
        <v>533</v>
      </c>
      <c r="B110" t="str">
        <f t="shared" si="90"/>
        <v/>
      </c>
      <c r="C110">
        <f t="shared" si="91"/>
        <v>0</v>
      </c>
      <c r="D110" t="s">
        <v>298</v>
      </c>
      <c r="E110" t="str">
        <f t="shared" si="97"/>
        <v>ecc108_i2c.o</v>
      </c>
      <c r="F110">
        <f t="shared" ca="1" si="98"/>
        <v>24</v>
      </c>
      <c r="H110">
        <f t="shared" ca="1" si="99"/>
        <v>450448</v>
      </c>
      <c r="I110" t="str">
        <f t="shared" ca="1" si="100"/>
        <v>0x0006DF90</v>
      </c>
      <c r="J110" s="4" t="str">
        <f t="shared" si="95"/>
        <v/>
      </c>
      <c r="K110" s="4" t="str">
        <f t="shared" si="96"/>
        <v xml:space="preserve">                                                           ro code section .text object ecc108_i2c.o,</v>
      </c>
    </row>
    <row r="111" spans="1:11" x14ac:dyDescent="0.25">
      <c r="A111" t="s">
        <v>533</v>
      </c>
      <c r="B111" t="str">
        <f t="shared" si="90"/>
        <v/>
      </c>
      <c r="C111">
        <f t="shared" si="91"/>
        <v>0</v>
      </c>
      <c r="D111" t="s">
        <v>205</v>
      </c>
      <c r="E111" t="str">
        <f t="shared" si="97"/>
        <v>ecc108_mqx.o</v>
      </c>
      <c r="F111">
        <f t="shared" ca="1" si="98"/>
        <v>856</v>
      </c>
      <c r="H111">
        <f t="shared" ca="1" si="99"/>
        <v>450480</v>
      </c>
      <c r="I111" t="str">
        <f t="shared" ca="1" si="100"/>
        <v>0x0006DFB0</v>
      </c>
      <c r="J111" s="4" t="str">
        <f t="shared" si="95"/>
        <v/>
      </c>
      <c r="K111" s="4" t="str">
        <f t="shared" si="96"/>
        <v xml:space="preserve">                                                           ro code section .text object ecc108_mqx.o };</v>
      </c>
    </row>
    <row r="112" spans="1:11" x14ac:dyDescent="0.25">
      <c r="B112" t="str">
        <f>B106&amp;"_end"</f>
        <v>security_TEXT_end</v>
      </c>
      <c r="F112">
        <f ca="1">SUM(F106:F111)</f>
        <v>12100</v>
      </c>
      <c r="G112">
        <f ca="1">INT(($G$103/100)*F112)</f>
        <v>121</v>
      </c>
      <c r="H112">
        <f ca="1">H111+F111+G112+IF(MOD(F111+H111+G112,$G$104)=0,0,$G$104-MOD(F111+H111+G112,$G$104))</f>
        <v>451472</v>
      </c>
      <c r="I112" t="str">
        <f t="shared" ca="1" si="94"/>
        <v>0x0006E390</v>
      </c>
      <c r="J112" s="4"/>
      <c r="K112" s="4"/>
    </row>
    <row r="113" spans="1:11" x14ac:dyDescent="0.25">
      <c r="J113" s="4"/>
      <c r="K113" s="4"/>
    </row>
    <row r="114" spans="1:11" x14ac:dyDescent="0.25">
      <c r="F114" t="s">
        <v>526</v>
      </c>
      <c r="G114">
        <f ca="1">VLOOKUP(B117,INDIRECT(GlobalPlcmnt!$B$133),GlobalPlcmnt!$B$138,FALSE)</f>
        <v>1</v>
      </c>
      <c r="J114" s="4"/>
      <c r="K114" s="4"/>
    </row>
    <row r="115" spans="1:11" x14ac:dyDescent="0.25">
      <c r="F115" t="s">
        <v>608</v>
      </c>
      <c r="G115">
        <f ca="1">VLOOKUP(B117,INDIRECT(GlobalPlcmnt!$B$133),GlobalPlcmnt!$C$138,FALSE)</f>
        <v>16</v>
      </c>
      <c r="J115" s="4"/>
      <c r="K115" s="4"/>
    </row>
    <row r="116" spans="1:11" x14ac:dyDescent="0.25">
      <c r="F116" t="s">
        <v>542</v>
      </c>
      <c r="J116" s="4"/>
      <c r="K116" s="4"/>
    </row>
    <row r="117" spans="1:11" x14ac:dyDescent="0.25">
      <c r="A117" t="s">
        <v>534</v>
      </c>
      <c r="B117" t="str">
        <f t="shared" ref="B117:B127" si="101">IF(A117&lt;&gt;A116,A117&amp;$B$1,"")</f>
        <v>AclaraBSP_TEXT</v>
      </c>
      <c r="C117">
        <f t="shared" ref="C117:C127" si="102">LEN(B117)</f>
        <v>14</v>
      </c>
      <c r="D117" t="s">
        <v>99</v>
      </c>
      <c r="E117" t="str">
        <f t="shared" ref="E117:E118" si="103">SUBSTITUTE(D117,"-","_")</f>
        <v>ADC.o</v>
      </c>
      <c r="F117">
        <f t="shared" ref="F117:F118" ca="1" si="104">IFERROR(VLOOKUP(D117,INDIRECT($F$1),2,FALSE),0)</f>
        <v>1048</v>
      </c>
      <c r="H117">
        <f ca="1">VLOOKUP(B117,INDIRECT(GlobalPlcmnt!$B$133),GlobalPlcmnt!$A$138,FALSE)</f>
        <v>451472</v>
      </c>
      <c r="I117" t="str">
        <f t="shared" ref="I117:I128" ca="1" si="105">"0x"&amp;DEC2HEX(H117,8)</f>
        <v>0x0006E390</v>
      </c>
      <c r="J117" s="4" t="str">
        <f t="shared" ref="J117:J127" ca="1" si="106">IF(B117="","","define symbol "&amp;B117&amp;REPT(" ",$C$3-C117)&amp;" = "&amp;I117&amp;";")</f>
        <v>define symbol AclaraBSP_TEXT   = 0x0006E390;</v>
      </c>
      <c r="K117" s="4" t="str">
        <f>IF(B117="",REPT(" ",$C$3+$K$3)&amp;$K$2&amp;D117&amp;IF(B118="",","," };"),""""&amp;B117&amp;""":"&amp;REPT(" ",$C$3-C117)&amp;"place at address mem: "&amp;B117&amp;REPT(" ",$C$3-C117)&amp;"{ "&amp;$K$2&amp;D117&amp;IF(B118="",","," };"))</f>
        <v>"AclaraBSP_TEXT":  place at address mem: AclaraBSP_TEXT  { ro code section .text object ADC.o,</v>
      </c>
    </row>
    <row r="118" spans="1:11" x14ac:dyDescent="0.25">
      <c r="A118" t="s">
        <v>534</v>
      </c>
      <c r="B118" t="str">
        <f t="shared" si="101"/>
        <v/>
      </c>
      <c r="C118">
        <f t="shared" si="102"/>
        <v>0</v>
      </c>
      <c r="D118" t="s">
        <v>231</v>
      </c>
      <c r="E118" t="str">
        <f t="shared" si="103"/>
        <v>BSP_aclara.o</v>
      </c>
      <c r="F118">
        <f t="shared" ca="1" si="104"/>
        <v>144</v>
      </c>
      <c r="H118">
        <f t="shared" ref="H118:H127" ca="1" si="107">H117+F117+IF(MOD(F117+H117,$G$131)=0,0,$G$131-MOD(F117+H117,$G$131))</f>
        <v>452528</v>
      </c>
      <c r="I118" t="str">
        <f ca="1">"0x"&amp;DEC2HEX(H118,8)</f>
        <v>0x0006E7B0</v>
      </c>
      <c r="J118" s="4" t="str">
        <f t="shared" si="106"/>
        <v/>
      </c>
      <c r="K118" s="4" t="str">
        <f>IF(B118="",REPT(" ",$C$3+$K$3)&amp;$K$2&amp;D118&amp;IF(B119="",","," };"),""""&amp;B118&amp;""":"&amp;REPT(" ",$C$3-C118)&amp;"place at address mem: "&amp;B118&amp;REPT(" ",$C$3-C118)&amp;"{ "&amp;$K$2&amp;D118&amp;IF(B119="",","," };"))</f>
        <v xml:space="preserve">                                                           ro code section .text object BSP_aclara.o,</v>
      </c>
    </row>
    <row r="119" spans="1:11" x14ac:dyDescent="0.25">
      <c r="A119" t="s">
        <v>534</v>
      </c>
      <c r="B119" t="str">
        <f t="shared" si="101"/>
        <v/>
      </c>
      <c r="C119">
        <f t="shared" si="102"/>
        <v>0</v>
      </c>
      <c r="D119" t="s">
        <v>161</v>
      </c>
      <c r="E119" t="str">
        <f t="shared" ref="E119:E127" si="108">SUBSTITUTE(D119,"-","_")</f>
        <v>CRC.o</v>
      </c>
      <c r="F119">
        <f t="shared" ref="F119:F127" ca="1" si="109">IFERROR(VLOOKUP(D119,INDIRECT($F$1),2,FALSE),0)</f>
        <v>332</v>
      </c>
      <c r="H119">
        <f t="shared" ca="1" si="107"/>
        <v>452672</v>
      </c>
      <c r="I119" t="str">
        <f t="shared" ref="I119:I127" ca="1" si="110">"0x"&amp;DEC2HEX(H119,8)</f>
        <v>0x0006E840</v>
      </c>
      <c r="J119" s="4" t="str">
        <f t="shared" si="106"/>
        <v/>
      </c>
      <c r="K119" s="4" t="str">
        <f>IF(B119="",REPT(" ",$C$3+$K$3)&amp;$K$2&amp;D119&amp;IF(B120="",","," };"),""""&amp;B119&amp;""":"&amp;REPT(" ",$C$3-C119)&amp;"place at address mem: "&amp;B119&amp;REPT(" ",$C$3-C119)&amp;"{ "&amp;$K$2&amp;D119&amp;IF(B120="",","," };"))</f>
        <v xml:space="preserve">                                                           ro code section .text object CRC.o,</v>
      </c>
    </row>
    <row r="120" spans="1:11" x14ac:dyDescent="0.25">
      <c r="A120" t="s">
        <v>534</v>
      </c>
      <c r="B120" t="str">
        <f t="shared" si="101"/>
        <v/>
      </c>
      <c r="C120">
        <f t="shared" si="102"/>
        <v>0</v>
      </c>
      <c r="D120" t="s">
        <v>1039</v>
      </c>
      <c r="E120" t="str">
        <f t="shared" si="108"/>
        <v>gpio.o</v>
      </c>
      <c r="F120">
        <f t="shared" ca="1" si="109"/>
        <v>0</v>
      </c>
      <c r="H120">
        <f t="shared" ca="1" si="107"/>
        <v>453008</v>
      </c>
      <c r="I120" t="str">
        <f t="shared" ca="1" si="110"/>
        <v>0x0006E990</v>
      </c>
      <c r="J120" s="4" t="str">
        <f t="shared" si="106"/>
        <v/>
      </c>
      <c r="K120" s="4" t="str">
        <f>IF(B120="",REPT(" ",$C$3+$K$3)&amp;$K$2&amp;D120&amp;IF(B122="",","," };"),""""&amp;B120&amp;""":"&amp;REPT(" ",$C$3-C120)&amp;"place at address mem: "&amp;B120&amp;REPT(" ",$C$3-C120)&amp;"{ "&amp;$K$2&amp;D120&amp;IF(B122="",","," };"))</f>
        <v xml:space="preserve">                                                           ro code section .text object gpio.o,</v>
      </c>
    </row>
    <row r="121" spans="1:11" x14ac:dyDescent="0.25">
      <c r="A121" t="s">
        <v>534</v>
      </c>
      <c r="B121" t="str">
        <f t="shared" si="101"/>
        <v/>
      </c>
      <c r="C121">
        <f t="shared" si="102"/>
        <v>0</v>
      </c>
      <c r="D121" t="s">
        <v>134</v>
      </c>
      <c r="E121" t="str">
        <f t="shared" si="108"/>
        <v>LED.o</v>
      </c>
      <c r="F121">
        <f t="shared" ca="1" si="109"/>
        <v>1038</v>
      </c>
      <c r="H121">
        <f t="shared" ca="1" si="107"/>
        <v>453008</v>
      </c>
      <c r="I121" t="str">
        <f t="shared" ca="1" si="110"/>
        <v>0x0006E990</v>
      </c>
      <c r="J121" s="4" t="str">
        <f t="shared" si="106"/>
        <v/>
      </c>
      <c r="K121" s="4" t="str">
        <f>IF(B121="",REPT(" ",$C$3+$K$3)&amp;$K$2&amp;D121&amp;IF(B123="",","," };"),""""&amp;B121&amp;""":"&amp;REPT(" ",$C$3-C121)&amp;"place at address mem: "&amp;B121&amp;REPT(" ",$C$3-C121)&amp;"{ "&amp;$K$2&amp;D121&amp;IF(B123="",","," };"))</f>
        <v xml:space="preserve">                                                           ro code section .text object LED.o,</v>
      </c>
    </row>
    <row r="122" spans="1:11" x14ac:dyDescent="0.25">
      <c r="A122" t="s">
        <v>534</v>
      </c>
      <c r="B122" t="str">
        <f t="shared" si="101"/>
        <v/>
      </c>
      <c r="C122">
        <f t="shared" si="102"/>
        <v>0</v>
      </c>
      <c r="D122" t="s">
        <v>315</v>
      </c>
      <c r="E122" t="str">
        <f t="shared" si="108"/>
        <v>radio_hal.o</v>
      </c>
      <c r="F122">
        <f t="shared" ca="1" si="109"/>
        <v>416</v>
      </c>
      <c r="H122">
        <f t="shared" ca="1" si="107"/>
        <v>454048</v>
      </c>
      <c r="I122" t="str">
        <f t="shared" ca="1" si="110"/>
        <v>0x0006EDA0</v>
      </c>
      <c r="J122" s="4" t="str">
        <f t="shared" si="106"/>
        <v/>
      </c>
      <c r="K122" s="4" t="str">
        <f>IF(B122="",REPT(" ",$C$3+$K$3)&amp;$K$2&amp;D122&amp;IF(B124="",","," };"),""""&amp;B122&amp;""":"&amp;REPT(" ",$C$3-C122)&amp;"place at address mem: "&amp;B122&amp;REPT(" ",$C$3-C122)&amp;"{ "&amp;$K$2&amp;D122&amp;IF(B124="",","," };"))</f>
        <v xml:space="preserve">                                                           ro code section .text object radio_hal.o,</v>
      </c>
    </row>
    <row r="123" spans="1:11" x14ac:dyDescent="0.25">
      <c r="A123" t="s">
        <v>534</v>
      </c>
      <c r="B123" t="str">
        <f t="shared" si="101"/>
        <v/>
      </c>
      <c r="C123">
        <f t="shared" si="102"/>
        <v>0</v>
      </c>
      <c r="D123" t="s">
        <v>567</v>
      </c>
      <c r="E123" t="str">
        <f t="shared" si="108"/>
        <v>rng.o</v>
      </c>
      <c r="F123">
        <f t="shared" ca="1" si="109"/>
        <v>0</v>
      </c>
      <c r="H123">
        <f t="shared" ca="1" si="107"/>
        <v>454464</v>
      </c>
      <c r="I123" t="str">
        <f t="shared" ca="1" si="110"/>
        <v>0x0006EF40</v>
      </c>
      <c r="J123" s="4" t="str">
        <f t="shared" si="106"/>
        <v/>
      </c>
      <c r="K123" s="4" t="str">
        <f>IF(B123="",REPT(" ",$C$3+$K$3)&amp;$K$2&amp;D123&amp;IF(B124="",","," };"),""""&amp;B123&amp;""":"&amp;REPT(" ",$C$3-C123)&amp;"place at address mem: "&amp;B123&amp;REPT(" ",$C$3-C123)&amp;"{ "&amp;$K$2&amp;D123&amp;IF(B124="",","," };"))</f>
        <v xml:space="preserve">                                                           ro code section .text object rng.o,</v>
      </c>
    </row>
    <row r="124" spans="1:11" x14ac:dyDescent="0.25">
      <c r="A124" t="s">
        <v>534</v>
      </c>
      <c r="B124" t="str">
        <f t="shared" si="101"/>
        <v/>
      </c>
      <c r="C124">
        <f t="shared" si="102"/>
        <v>0</v>
      </c>
      <c r="D124" t="s">
        <v>163</v>
      </c>
      <c r="E124" t="str">
        <f t="shared" si="108"/>
        <v>RTC.o</v>
      </c>
      <c r="F124">
        <f t="shared" ca="1" si="109"/>
        <v>440</v>
      </c>
      <c r="H124">
        <f t="shared" ca="1" si="107"/>
        <v>454464</v>
      </c>
      <c r="I124" t="str">
        <f t="shared" ca="1" si="110"/>
        <v>0x0006EF40</v>
      </c>
      <c r="J124" s="4" t="str">
        <f t="shared" si="106"/>
        <v/>
      </c>
      <c r="K124" s="4" t="str">
        <f>IF(B124="",REPT(" ",$C$3+$K$3)&amp;$K$2&amp;D124&amp;IF(B125="",","," };"),""""&amp;B124&amp;""":"&amp;REPT(" ",$C$3-C124)&amp;"place at address mem: "&amp;B124&amp;REPT(" ",$C$3-C124)&amp;"{ "&amp;$K$2&amp;D124&amp;IF(B125="",","," };"))</f>
        <v xml:space="preserve">                                                           ro code section .text object RTC.o,</v>
      </c>
    </row>
    <row r="125" spans="1:11" x14ac:dyDescent="0.25">
      <c r="A125" t="s">
        <v>534</v>
      </c>
      <c r="B125" t="str">
        <f t="shared" si="101"/>
        <v/>
      </c>
      <c r="C125">
        <f t="shared" si="102"/>
        <v>0</v>
      </c>
      <c r="D125" t="s">
        <v>295</v>
      </c>
      <c r="E125" t="str">
        <f t="shared" si="108"/>
        <v>sys_clock.o</v>
      </c>
      <c r="F125">
        <f t="shared" ca="1" si="109"/>
        <v>34</v>
      </c>
      <c r="H125">
        <f t="shared" ca="1" si="107"/>
        <v>454912</v>
      </c>
      <c r="I125" t="str">
        <f t="shared" ca="1" si="110"/>
        <v>0x0006F100</v>
      </c>
      <c r="J125" s="4" t="str">
        <f t="shared" si="106"/>
        <v/>
      </c>
      <c r="K125" s="4" t="str">
        <f>IF(B125="",REPT(" ",$C$3+$K$3)&amp;$K$2&amp;D125&amp;IF(B126="",","," };"),""""&amp;B125&amp;""":"&amp;REPT(" ",$C$3-C125)&amp;"place at address mem: "&amp;B125&amp;REPT(" ",$C$3-C125)&amp;"{ "&amp;$K$2&amp;D125&amp;IF(B126="",","," };"))</f>
        <v xml:space="preserve">                                                           ro code section .text object sys_clock.o,</v>
      </c>
    </row>
    <row r="126" spans="1:11" x14ac:dyDescent="0.25">
      <c r="A126" t="s">
        <v>534</v>
      </c>
      <c r="B126" t="str">
        <f t="shared" si="101"/>
        <v/>
      </c>
      <c r="C126">
        <f t="shared" si="102"/>
        <v>0</v>
      </c>
      <c r="D126" t="s">
        <v>336</v>
      </c>
      <c r="E126" t="str">
        <f t="shared" si="108"/>
        <v>UART.o</v>
      </c>
      <c r="F126">
        <f t="shared" ca="1" si="109"/>
        <v>420</v>
      </c>
      <c r="H126">
        <f t="shared" ca="1" si="107"/>
        <v>454960</v>
      </c>
      <c r="I126" t="str">
        <f t="shared" ca="1" si="110"/>
        <v>0x0006F130</v>
      </c>
      <c r="J126" s="4" t="str">
        <f t="shared" si="106"/>
        <v/>
      </c>
      <c r="K126" s="4" t="str">
        <f>IF(B126="",REPT(" ",$C$3+$K$3)&amp;$K$2&amp;D126&amp;IF(B127="",","," };"),""""&amp;B126&amp;""":"&amp;REPT(" ",$C$3-C126)&amp;"place at address mem: "&amp;B126&amp;REPT(" ",$C$3-C126)&amp;"{ "&amp;$K$2&amp;D126&amp;IF(B127="",","," };"))</f>
        <v xml:space="preserve">                                                           ro code section .text object UART.o,</v>
      </c>
    </row>
    <row r="127" spans="1:11" x14ac:dyDescent="0.25">
      <c r="A127" t="s">
        <v>534</v>
      </c>
      <c r="B127" t="str">
        <f t="shared" si="101"/>
        <v/>
      </c>
      <c r="C127">
        <f t="shared" si="102"/>
        <v>0</v>
      </c>
      <c r="D127" t="s">
        <v>277</v>
      </c>
      <c r="E127" t="str">
        <f t="shared" si="108"/>
        <v>WDOG.o</v>
      </c>
      <c r="F127">
        <f t="shared" ca="1" si="109"/>
        <v>108</v>
      </c>
      <c r="H127">
        <f t="shared" ca="1" si="107"/>
        <v>455392</v>
      </c>
      <c r="I127" t="str">
        <f t="shared" ca="1" si="110"/>
        <v>0x0006F2E0</v>
      </c>
      <c r="J127" s="4" t="str">
        <f t="shared" si="106"/>
        <v/>
      </c>
      <c r="K127" s="4" t="str">
        <f>IF(B127="",REPT(" ",$C$3+$K$3)&amp;$K$2&amp;D127&amp;IF(B128="",","," };"),""""&amp;B127&amp;""":"&amp;REPT(" ",$C$3-C127)&amp;"place at address mem: "&amp;B127&amp;REPT(" ",$C$3-C127)&amp;"{ "&amp;$K$2&amp;D127&amp;IF(B128="",","," };"))</f>
        <v xml:space="preserve">                                                           ro code section .text object WDOG.o };</v>
      </c>
    </row>
    <row r="128" spans="1:11" x14ac:dyDescent="0.25">
      <c r="B128" t="str">
        <f>B117&amp;"_end"</f>
        <v>AclaraBSP_TEXT_end</v>
      </c>
      <c r="F128">
        <f ca="1">SUM(F117:F127)</f>
        <v>3980</v>
      </c>
      <c r="G128">
        <f ca="1">INT(($G$114/100)*F128)</f>
        <v>39</v>
      </c>
      <c r="H128">
        <f ca="1">H127+F127+G128+IF(MOD(F127+H127+G128,$G$115)=0,0,$G$115-MOD(F127+H127+G128,$G$115))</f>
        <v>455552</v>
      </c>
      <c r="I128" t="str">
        <f t="shared" ca="1" si="105"/>
        <v>0x0006F380</v>
      </c>
      <c r="J128" s="4"/>
      <c r="K128" s="4"/>
    </row>
    <row r="129" spans="1:11" x14ac:dyDescent="0.25">
      <c r="J129" s="4"/>
      <c r="K129" s="4"/>
    </row>
    <row r="130" spans="1:11" x14ac:dyDescent="0.25">
      <c r="F130" t="s">
        <v>526</v>
      </c>
      <c r="G130">
        <f ca="1">VLOOKUP(B133,INDIRECT(GlobalPlcmnt!$B$133),GlobalPlcmnt!$B$138,FALSE)</f>
        <v>1</v>
      </c>
      <c r="J130" s="4"/>
      <c r="K130" s="4"/>
    </row>
    <row r="131" spans="1:11" x14ac:dyDescent="0.25">
      <c r="F131" t="s">
        <v>608</v>
      </c>
      <c r="G131">
        <f ca="1">VLOOKUP(B133,INDIRECT(GlobalPlcmnt!$B$133),GlobalPlcmnt!$C$138,FALSE)</f>
        <v>16</v>
      </c>
      <c r="J131" s="4"/>
      <c r="K131" s="4"/>
    </row>
    <row r="132" spans="1:11" x14ac:dyDescent="0.25">
      <c r="F132" t="s">
        <v>542</v>
      </c>
      <c r="J132" s="4"/>
      <c r="K132" s="4"/>
    </row>
    <row r="133" spans="1:11" x14ac:dyDescent="0.25">
      <c r="A133" t="s">
        <v>536</v>
      </c>
      <c r="B133" t="str">
        <f t="shared" ref="B133:B153" si="111">IF(A133&lt;&gt;A132,A133&amp;$B$1,"")</f>
        <v>Common_TEXT</v>
      </c>
      <c r="C133">
        <f t="shared" ref="C133:C153" si="112">LEN(B133)</f>
        <v>11</v>
      </c>
      <c r="D133" t="s">
        <v>568</v>
      </c>
      <c r="E133" t="str">
        <f t="shared" ref="E133:E134" si="113">SUBSTITUTE(D133,"-","_")</f>
        <v>alarm_task.o</v>
      </c>
      <c r="F133">
        <f t="shared" ref="F133:F134" ca="1" si="114">IFERROR(VLOOKUP(D133,INDIRECT($F$1),2,FALSE),0)</f>
        <v>0</v>
      </c>
      <c r="H133">
        <f ca="1">VLOOKUP(B133,INDIRECT(GlobalPlcmnt!$B$133),GlobalPlcmnt!$A$138,FALSE)</f>
        <v>524288</v>
      </c>
      <c r="I133" t="str">
        <f t="shared" ref="I133:I164" ca="1" si="115">"0x"&amp;DEC2HEX(H133,8)</f>
        <v>0x00080000</v>
      </c>
      <c r="J133" s="4" t="str">
        <f t="shared" ref="J133:J153" ca="1" si="116">IF(B133="","","define symbol "&amp;B133&amp;REPT(" ",$C$3-C133)&amp;" = "&amp;I133&amp;";")</f>
        <v>define symbol Common_TEXT      = 0x00080000;</v>
      </c>
      <c r="K133" s="4" t="str">
        <f t="shared" ref="K133:K153" si="117">IF(B133="",REPT(" ",$C$3+$K$3)&amp;$K$2&amp;D133&amp;IF(B134="",","," };"),""""&amp;B133&amp;""":"&amp;REPT(" ",$C$3-C133)&amp;"place at address mem: "&amp;B133&amp;REPT(" ",$C$3-C133)&amp;"{ "&amp;$K$2&amp;D133&amp;IF(B134="",","," };"))</f>
        <v>"Common_TEXT":     place at address mem: Common_TEXT     { ro code section .text object alarm_task.o,</v>
      </c>
    </row>
    <row r="134" spans="1:11" x14ac:dyDescent="0.25">
      <c r="A134" t="s">
        <v>536</v>
      </c>
      <c r="B134" t="str">
        <f t="shared" si="111"/>
        <v/>
      </c>
      <c r="C134">
        <f t="shared" si="112"/>
        <v>0</v>
      </c>
      <c r="D134" t="s">
        <v>135</v>
      </c>
      <c r="E134" t="str">
        <f t="shared" si="113"/>
        <v>ALRM_Handler.o</v>
      </c>
      <c r="F134">
        <f t="shared" ca="1" si="114"/>
        <v>358</v>
      </c>
      <c r="H134">
        <f ca="1">H133+F133+IF(MOD(F133+H133,$G$131)=0,0,$G$131-MOD(F133+H133,$G$131))</f>
        <v>524288</v>
      </c>
      <c r="I134" t="str">
        <f t="shared" ca="1" si="115"/>
        <v>0x00080000</v>
      </c>
      <c r="J134" s="4" t="str">
        <f t="shared" si="116"/>
        <v/>
      </c>
      <c r="K134" s="4" t="str">
        <f t="shared" si="117"/>
        <v xml:space="preserve">                                                           ro code section .text object ALRM_Handler.o,</v>
      </c>
    </row>
    <row r="135" spans="1:11" x14ac:dyDescent="0.25">
      <c r="A135" t="s">
        <v>536</v>
      </c>
      <c r="B135" t="str">
        <f t="shared" si="111"/>
        <v/>
      </c>
      <c r="C135">
        <f t="shared" si="112"/>
        <v>0</v>
      </c>
      <c r="D135" t="s">
        <v>256</v>
      </c>
      <c r="E135" t="str">
        <f t="shared" ref="E135:E159" si="118">SUBSTITUTE(D135,"-","_")</f>
        <v>BUF_MemoryBuffers.o</v>
      </c>
      <c r="F135">
        <f t="shared" ref="F135:F159" ca="1" si="119">IFERROR(VLOOKUP(D135,INDIRECT($F$1),2,FALSE),0)</f>
        <v>180</v>
      </c>
      <c r="H135">
        <f t="shared" ref="H135:H164" ca="1" si="120">H134+F134+IF(MOD(F134+H134,$G$131)=0,0,$G$131-MOD(F134+H134,$G$131))</f>
        <v>524656</v>
      </c>
      <c r="I135" t="str">
        <f t="shared" ref="I135:I159" ca="1" si="121">"0x"&amp;DEC2HEX(H135,8)</f>
        <v>0x00080170</v>
      </c>
      <c r="J135" s="4" t="str">
        <f t="shared" si="116"/>
        <v/>
      </c>
      <c r="K135" s="4" t="str">
        <f t="shared" si="117"/>
        <v xml:space="preserve">                                                           ro code section .text object BUF_MemoryBuffers.o,</v>
      </c>
    </row>
    <row r="136" spans="1:11" x14ac:dyDescent="0.25">
      <c r="A136" t="s">
        <v>536</v>
      </c>
      <c r="B136" t="str">
        <f t="shared" si="111"/>
        <v/>
      </c>
      <c r="C136">
        <f t="shared" si="112"/>
        <v>0</v>
      </c>
      <c r="D136" t="s">
        <v>92</v>
      </c>
      <c r="E136" t="str">
        <f t="shared" si="118"/>
        <v>buffer.o</v>
      </c>
      <c r="F136">
        <f t="shared" ca="1" si="119"/>
        <v>1816</v>
      </c>
      <c r="H136">
        <f t="shared" ca="1" si="120"/>
        <v>524848</v>
      </c>
      <c r="I136" t="str">
        <f t="shared" ca="1" si="121"/>
        <v>0x00080230</v>
      </c>
      <c r="J136" s="4" t="str">
        <f t="shared" si="116"/>
        <v/>
      </c>
      <c r="K136" s="4" t="str">
        <f t="shared" si="117"/>
        <v xml:space="preserve">                                                           ro code section .text object buffer.o,</v>
      </c>
    </row>
    <row r="137" spans="1:11" x14ac:dyDescent="0.25">
      <c r="A137" t="s">
        <v>536</v>
      </c>
      <c r="B137" t="str">
        <f t="shared" si="111"/>
        <v/>
      </c>
      <c r="C137">
        <f t="shared" si="112"/>
        <v>0</v>
      </c>
      <c r="D137" t="s">
        <v>131</v>
      </c>
      <c r="E137" t="str">
        <f t="shared" si="118"/>
        <v>DBG_CommandLine.o</v>
      </c>
      <c r="F137">
        <f t="shared" ca="1" si="119"/>
        <v>20892</v>
      </c>
      <c r="H137">
        <f t="shared" ca="1" si="120"/>
        <v>526672</v>
      </c>
      <c r="I137" t="str">
        <f t="shared" ca="1" si="121"/>
        <v>0x00080950</v>
      </c>
      <c r="J137" s="4" t="str">
        <f t="shared" si="116"/>
        <v/>
      </c>
      <c r="K137" s="4" t="str">
        <f t="shared" si="117"/>
        <v xml:space="preserve">                                                           ro code section .text object DBG_CommandLine.o,</v>
      </c>
    </row>
    <row r="138" spans="1:11" x14ac:dyDescent="0.25">
      <c r="A138" t="s">
        <v>536</v>
      </c>
      <c r="B138" t="str">
        <f t="shared" si="111"/>
        <v/>
      </c>
      <c r="C138">
        <f t="shared" si="112"/>
        <v>0</v>
      </c>
      <c r="D138" t="s">
        <v>82</v>
      </c>
      <c r="E138" t="str">
        <f t="shared" si="118"/>
        <v>DBG_SerialDebug.o</v>
      </c>
      <c r="F138">
        <f t="shared" ca="1" si="119"/>
        <v>1624</v>
      </c>
      <c r="H138">
        <f t="shared" ca="1" si="120"/>
        <v>547568</v>
      </c>
      <c r="I138" t="str">
        <f t="shared" ca="1" si="121"/>
        <v>0x00085AF0</v>
      </c>
      <c r="J138" s="4" t="str">
        <f t="shared" si="116"/>
        <v/>
      </c>
      <c r="K138" s="4" t="str">
        <f t="shared" si="117"/>
        <v xml:space="preserve">                                                           ro code section .text object DBG_SerialDebug.o,</v>
      </c>
    </row>
    <row r="139" spans="1:11" x14ac:dyDescent="0.25">
      <c r="A139" t="s">
        <v>536</v>
      </c>
      <c r="B139" t="str">
        <f t="shared" si="111"/>
        <v/>
      </c>
      <c r="C139">
        <f t="shared" si="112"/>
        <v>0</v>
      </c>
      <c r="D139" t="s">
        <v>249</v>
      </c>
      <c r="E139" t="str">
        <f t="shared" si="118"/>
        <v>eng_res.o</v>
      </c>
      <c r="F139">
        <f t="shared" ca="1" si="119"/>
        <v>3164</v>
      </c>
      <c r="H139">
        <f t="shared" ca="1" si="120"/>
        <v>549200</v>
      </c>
      <c r="I139" t="str">
        <f t="shared" ca="1" si="121"/>
        <v>0x00086150</v>
      </c>
      <c r="J139" s="4" t="str">
        <f t="shared" si="116"/>
        <v/>
      </c>
      <c r="K139" s="4" t="str">
        <f t="shared" si="117"/>
        <v xml:space="preserve">                                                           ro code section .text object eng_res.o,</v>
      </c>
    </row>
    <row r="140" spans="1:11" x14ac:dyDescent="0.25">
      <c r="A140" t="s">
        <v>536</v>
      </c>
      <c r="B140" t="str">
        <f t="shared" si="111"/>
        <v/>
      </c>
      <c r="C140">
        <f t="shared" si="112"/>
        <v>0</v>
      </c>
      <c r="D140" t="s">
        <v>136</v>
      </c>
      <c r="E140" t="str">
        <f t="shared" si="118"/>
        <v>EVL_event_log.o</v>
      </c>
      <c r="F140">
        <f t="shared" ca="1" si="119"/>
        <v>8188</v>
      </c>
      <c r="H140">
        <f t="shared" ca="1" si="120"/>
        <v>552368</v>
      </c>
      <c r="I140" t="str">
        <f t="shared" ca="1" si="121"/>
        <v>0x00086DB0</v>
      </c>
      <c r="J140" s="4" t="str">
        <f t="shared" si="116"/>
        <v/>
      </c>
      <c r="K140" s="4" t="str">
        <f t="shared" si="117"/>
        <v xml:space="preserve">                                                           ro code section .text object EVL_event_log.o,</v>
      </c>
    </row>
    <row r="141" spans="1:11" x14ac:dyDescent="0.25">
      <c r="A141" t="s">
        <v>536</v>
      </c>
      <c r="B141" t="str">
        <f t="shared" si="111"/>
        <v/>
      </c>
      <c r="C141">
        <f t="shared" si="112"/>
        <v>0</v>
      </c>
      <c r="D141" t="s">
        <v>569</v>
      </c>
      <c r="E141" t="str">
        <f t="shared" si="118"/>
        <v>exe_list.o</v>
      </c>
      <c r="F141">
        <f t="shared" ca="1" si="119"/>
        <v>0</v>
      </c>
      <c r="H141">
        <f t="shared" ca="1" si="120"/>
        <v>560560</v>
      </c>
      <c r="I141" t="str">
        <f t="shared" ca="1" si="121"/>
        <v>0x00088DB0</v>
      </c>
      <c r="J141" s="4" t="str">
        <f t="shared" si="116"/>
        <v/>
      </c>
      <c r="K141" s="4" t="str">
        <f t="shared" si="117"/>
        <v xml:space="preserve">                                                           ro code section .text object exe_list.o,</v>
      </c>
    </row>
    <row r="142" spans="1:11" x14ac:dyDescent="0.25">
      <c r="A142" t="s">
        <v>536</v>
      </c>
      <c r="B142" t="str">
        <f t="shared" si="111"/>
        <v/>
      </c>
      <c r="C142">
        <f t="shared" si="112"/>
        <v>0</v>
      </c>
      <c r="D142" t="s">
        <v>118</v>
      </c>
      <c r="E142" t="str">
        <f t="shared" si="118"/>
        <v>file_io.o</v>
      </c>
      <c r="F142">
        <f t="shared" ca="1" si="119"/>
        <v>2424</v>
      </c>
      <c r="H142">
        <f t="shared" ca="1" si="120"/>
        <v>560560</v>
      </c>
      <c r="I142" t="str">
        <f t="shared" ca="1" si="121"/>
        <v>0x00088DB0</v>
      </c>
      <c r="J142" s="4" t="str">
        <f t="shared" si="116"/>
        <v/>
      </c>
      <c r="K142" s="4" t="str">
        <f t="shared" si="117"/>
        <v xml:space="preserve">                                                           ro code section .text object file_io.o,</v>
      </c>
    </row>
    <row r="143" spans="1:11" x14ac:dyDescent="0.25">
      <c r="A143" t="s">
        <v>536</v>
      </c>
      <c r="B143" t="str">
        <f t="shared" si="111"/>
        <v/>
      </c>
      <c r="C143">
        <f t="shared" si="112"/>
        <v>0</v>
      </c>
      <c r="D143" t="s">
        <v>87</v>
      </c>
      <c r="E143" t="str">
        <f t="shared" si="118"/>
        <v>HEEP_util.o</v>
      </c>
      <c r="F143">
        <f t="shared" ca="1" si="119"/>
        <v>8884</v>
      </c>
      <c r="H143">
        <f t="shared" ca="1" si="120"/>
        <v>562992</v>
      </c>
      <c r="I143" t="str">
        <f t="shared" ca="1" si="121"/>
        <v>0x00089730</v>
      </c>
      <c r="J143" s="4" t="str">
        <f t="shared" si="116"/>
        <v/>
      </c>
      <c r="K143" s="4" t="str">
        <f t="shared" si="117"/>
        <v xml:space="preserve">                                                           ro code section .text object HEEP_util.o,</v>
      </c>
    </row>
    <row r="144" spans="1:11" x14ac:dyDescent="0.25">
      <c r="A144" t="s">
        <v>536</v>
      </c>
      <c r="B144" t="str">
        <f t="shared" si="111"/>
        <v/>
      </c>
      <c r="C144">
        <f t="shared" si="112"/>
        <v>0</v>
      </c>
      <c r="D144" t="s">
        <v>570</v>
      </c>
      <c r="E144" t="str">
        <f t="shared" si="118"/>
        <v>mem_chk.o</v>
      </c>
      <c r="F144">
        <f t="shared" ca="1" si="119"/>
        <v>0</v>
      </c>
      <c r="H144">
        <f t="shared" ca="1" si="120"/>
        <v>571888</v>
      </c>
      <c r="I144" t="str">
        <f t="shared" ca="1" si="121"/>
        <v>0x0008B9F0</v>
      </c>
      <c r="J144" s="4" t="str">
        <f t="shared" si="116"/>
        <v/>
      </c>
      <c r="K144" s="4" t="str">
        <f t="shared" si="117"/>
        <v xml:space="preserve">                                                           ro code section .text object mem_chk.o,</v>
      </c>
    </row>
    <row r="145" spans="1:11" x14ac:dyDescent="0.25">
      <c r="A145" t="s">
        <v>536</v>
      </c>
      <c r="B145" t="str">
        <f t="shared" si="111"/>
        <v/>
      </c>
      <c r="C145">
        <f t="shared" si="112"/>
        <v>0</v>
      </c>
      <c r="D145" t="s">
        <v>248</v>
      </c>
      <c r="E145" t="str">
        <f t="shared" si="118"/>
        <v>MFG_Dtls.o</v>
      </c>
      <c r="F145">
        <f t="shared" ca="1" si="119"/>
        <v>1064</v>
      </c>
      <c r="H145">
        <f t="shared" ca="1" si="120"/>
        <v>571888</v>
      </c>
      <c r="I145" t="str">
        <f t="shared" ca="1" si="121"/>
        <v>0x0008B9F0</v>
      </c>
      <c r="J145" s="4" t="str">
        <f t="shared" si="116"/>
        <v/>
      </c>
      <c r="K145" s="4" t="str">
        <f t="shared" si="117"/>
        <v xml:space="preserve">                                                           ro code section .text object MFG_Dtls.o,</v>
      </c>
    </row>
    <row r="146" spans="1:11" x14ac:dyDescent="0.25">
      <c r="A146" t="s">
        <v>536</v>
      </c>
      <c r="B146" t="str">
        <f t="shared" si="111"/>
        <v/>
      </c>
      <c r="C146">
        <f t="shared" si="112"/>
        <v>0</v>
      </c>
      <c r="D146" t="s">
        <v>244</v>
      </c>
      <c r="E146" t="str">
        <f t="shared" si="118"/>
        <v>MFG_Port.o</v>
      </c>
      <c r="F146">
        <f t="shared" ca="1" si="119"/>
        <v>34560</v>
      </c>
      <c r="H146">
        <f t="shared" ca="1" si="120"/>
        <v>572960</v>
      </c>
      <c r="I146" t="str">
        <f t="shared" ca="1" si="121"/>
        <v>0x0008BE20</v>
      </c>
      <c r="J146" s="4" t="str">
        <f t="shared" si="116"/>
        <v/>
      </c>
      <c r="K146" s="4" t="str">
        <f t="shared" si="117"/>
        <v xml:space="preserve">                                                           ro code section .text object MFG_Port.o,</v>
      </c>
    </row>
    <row r="147" spans="1:11" x14ac:dyDescent="0.25">
      <c r="A147" t="s">
        <v>536</v>
      </c>
      <c r="B147" t="str">
        <f t="shared" si="111"/>
        <v/>
      </c>
      <c r="C147">
        <f t="shared" si="112"/>
        <v>0</v>
      </c>
      <c r="D147" t="s">
        <v>919</v>
      </c>
      <c r="E147" t="str">
        <f t="shared" si="118"/>
        <v>MIMT_info.o</v>
      </c>
      <c r="F147">
        <f t="shared" ca="1" si="119"/>
        <v>1956</v>
      </c>
      <c r="H147">
        <f t="shared" ca="1" si="120"/>
        <v>607520</v>
      </c>
      <c r="I147" t="str">
        <f t="shared" ca="1" si="121"/>
        <v>0x00094520</v>
      </c>
      <c r="J147" s="4" t="str">
        <f t="shared" si="116"/>
        <v/>
      </c>
      <c r="K147" s="4" t="str">
        <f t="shared" si="117"/>
        <v xml:space="preserve">                                                           ro code section .text object MIMT_info.o,</v>
      </c>
    </row>
    <row r="148" spans="1:11" x14ac:dyDescent="0.25">
      <c r="A148" t="s">
        <v>536</v>
      </c>
      <c r="B148" t="str">
        <f t="shared" si="111"/>
        <v/>
      </c>
      <c r="C148">
        <f t="shared" si="112"/>
        <v>0</v>
      </c>
      <c r="D148" t="s">
        <v>86</v>
      </c>
      <c r="E148" t="str">
        <f t="shared" si="118"/>
        <v>mode_config.o</v>
      </c>
      <c r="F148">
        <f t="shared" ca="1" si="119"/>
        <v>884</v>
      </c>
      <c r="H148">
        <f t="shared" ca="1" si="120"/>
        <v>609488</v>
      </c>
      <c r="I148" t="str">
        <f t="shared" ca="1" si="121"/>
        <v>0x00094CD0</v>
      </c>
      <c r="J148" s="4" t="str">
        <f t="shared" si="116"/>
        <v/>
      </c>
      <c r="K148" s="4" t="str">
        <f t="shared" si="117"/>
        <v xml:space="preserve">                                                           ro code section .text object mode_config.o,</v>
      </c>
    </row>
    <row r="149" spans="1:11" x14ac:dyDescent="0.25">
      <c r="A149" t="s">
        <v>536</v>
      </c>
      <c r="B149" t="str">
        <f t="shared" si="111"/>
        <v/>
      </c>
      <c r="C149">
        <f t="shared" si="112"/>
        <v>0</v>
      </c>
      <c r="D149" t="s">
        <v>308</v>
      </c>
      <c r="E149" t="str">
        <f t="shared" si="118"/>
        <v>object_list.o</v>
      </c>
      <c r="F149">
        <f t="shared" ca="1" si="119"/>
        <v>0</v>
      </c>
      <c r="H149">
        <f t="shared" ca="1" si="120"/>
        <v>610384</v>
      </c>
      <c r="I149" t="str">
        <f t="shared" ca="1" si="121"/>
        <v>0x00095050</v>
      </c>
      <c r="J149" s="4" t="str">
        <f t="shared" si="116"/>
        <v/>
      </c>
      <c r="K149" s="4" t="str">
        <f t="shared" si="117"/>
        <v xml:space="preserve">                                                           ro code section .text object object_list.o,</v>
      </c>
    </row>
    <row r="150" spans="1:11" x14ac:dyDescent="0.25">
      <c r="A150" t="s">
        <v>536</v>
      </c>
      <c r="B150" t="str">
        <f t="shared" si="111"/>
        <v/>
      </c>
      <c r="C150">
        <f t="shared" si="112"/>
        <v>0</v>
      </c>
      <c r="D150" t="s">
        <v>177</v>
      </c>
      <c r="E150" t="str">
        <f t="shared" si="118"/>
        <v>partitions.o</v>
      </c>
      <c r="F150">
        <f t="shared" ca="1" si="119"/>
        <v>1576</v>
      </c>
      <c r="H150">
        <f t="shared" ca="1" si="120"/>
        <v>610384</v>
      </c>
      <c r="I150" t="str">
        <f t="shared" ca="1" si="121"/>
        <v>0x00095050</v>
      </c>
      <c r="J150" s="4" t="str">
        <f t="shared" si="116"/>
        <v/>
      </c>
      <c r="K150" s="4" t="str">
        <f t="shared" si="117"/>
        <v xml:space="preserve">                                                           ro code section .text object partitions.o,</v>
      </c>
    </row>
    <row r="151" spans="1:11" x14ac:dyDescent="0.25">
      <c r="A151" t="s">
        <v>536</v>
      </c>
      <c r="B151" t="str">
        <f t="shared" si="111"/>
        <v/>
      </c>
      <c r="C151">
        <f t="shared" si="112"/>
        <v>0</v>
      </c>
      <c r="D151" t="s">
        <v>571</v>
      </c>
      <c r="E151" t="str">
        <f t="shared" si="118"/>
        <v>runTimeInit.o</v>
      </c>
      <c r="F151">
        <f t="shared" ca="1" si="119"/>
        <v>0</v>
      </c>
      <c r="H151">
        <f t="shared" ca="1" si="120"/>
        <v>611968</v>
      </c>
      <c r="I151" t="str">
        <f t="shared" ca="1" si="121"/>
        <v>0x00095680</v>
      </c>
      <c r="J151" s="4" t="str">
        <f t="shared" si="116"/>
        <v/>
      </c>
      <c r="K151" s="4" t="str">
        <f t="shared" si="117"/>
        <v xml:space="preserve">                                                           ro code section .text object runTimeInit.o,</v>
      </c>
    </row>
    <row r="152" spans="1:11" x14ac:dyDescent="0.25">
      <c r="A152" t="s">
        <v>536</v>
      </c>
      <c r="B152" t="str">
        <f t="shared" si="111"/>
        <v/>
      </c>
      <c r="C152">
        <f t="shared" si="112"/>
        <v>0</v>
      </c>
      <c r="D152" t="s">
        <v>223</v>
      </c>
      <c r="E152" t="str">
        <f t="shared" si="118"/>
        <v>SELF_test.o</v>
      </c>
      <c r="F152">
        <f t="shared" ca="1" si="119"/>
        <v>952</v>
      </c>
      <c r="H152">
        <f t="shared" ca="1" si="120"/>
        <v>611968</v>
      </c>
      <c r="I152" t="str">
        <f t="shared" ca="1" si="121"/>
        <v>0x00095680</v>
      </c>
      <c r="J152" s="4" t="str">
        <f t="shared" si="116"/>
        <v/>
      </c>
      <c r="K152" s="4" t="str">
        <f t="shared" si="117"/>
        <v xml:space="preserve">                                                           ro code section .text object SELF_test.o,</v>
      </c>
    </row>
    <row r="153" spans="1:11" x14ac:dyDescent="0.25">
      <c r="A153" t="s">
        <v>536</v>
      </c>
      <c r="B153" t="str">
        <f t="shared" si="111"/>
        <v/>
      </c>
      <c r="C153">
        <f t="shared" si="112"/>
        <v>0</v>
      </c>
      <c r="D153" t="s">
        <v>133</v>
      </c>
      <c r="E153" t="str">
        <f t="shared" si="118"/>
        <v>stack_check.o</v>
      </c>
      <c r="F153">
        <f t="shared" ca="1" si="119"/>
        <v>164</v>
      </c>
      <c r="H153">
        <f t="shared" ca="1" si="120"/>
        <v>612928</v>
      </c>
      <c r="I153" t="str">
        <f t="shared" ca="1" si="121"/>
        <v>0x00095A40</v>
      </c>
      <c r="J153" s="4" t="str">
        <f t="shared" si="116"/>
        <v/>
      </c>
      <c r="K153" s="4" t="str">
        <f t="shared" si="117"/>
        <v xml:space="preserve">                                                           ro code section .text object stack_check.o,</v>
      </c>
    </row>
    <row r="154" spans="1:11" x14ac:dyDescent="0.25">
      <c r="A154" t="s">
        <v>536</v>
      </c>
      <c r="B154" t="str">
        <f t="shared" ref="B154:B159" si="122">IF(A154&lt;&gt;A153,A154&amp;$B$1,"")</f>
        <v/>
      </c>
      <c r="C154">
        <f t="shared" ref="C154:C159" si="123">LEN(B154)</f>
        <v>0</v>
      </c>
      <c r="D154" t="s">
        <v>309</v>
      </c>
      <c r="E154" t="str">
        <f t="shared" si="118"/>
        <v>sys_busy.o</v>
      </c>
      <c r="F154">
        <f t="shared" ca="1" si="119"/>
        <v>208</v>
      </c>
      <c r="H154">
        <f t="shared" ca="1" si="120"/>
        <v>613104</v>
      </c>
      <c r="I154" t="str">
        <f t="shared" ca="1" si="121"/>
        <v>0x00095AF0</v>
      </c>
      <c r="J154" s="4" t="str">
        <f t="shared" ref="J154:J159" si="124">IF(B154="","","define symbol "&amp;B154&amp;REPT(" ",$C$3-C154)&amp;" = "&amp;I154&amp;";")</f>
        <v/>
      </c>
      <c r="K154" s="4" t="str">
        <f t="shared" ref="K154:K163" si="125">IF(B154="",REPT(" ",$C$3+$K$3)&amp;$K$2&amp;D154&amp;IF(B155="",","," };"),""""&amp;B154&amp;""":"&amp;REPT(" ",$C$3-C154)&amp;"place at address mem: "&amp;B154&amp;REPT(" ",$C$3-C154)&amp;"{ "&amp;$K$2&amp;D154&amp;IF(B155="",","," };"))</f>
        <v xml:space="preserve">                                                           ro code section .text object sys_busy.o,</v>
      </c>
    </row>
    <row r="155" spans="1:11" x14ac:dyDescent="0.25">
      <c r="A155" t="s">
        <v>536</v>
      </c>
      <c r="B155" t="str">
        <f t="shared" si="122"/>
        <v/>
      </c>
      <c r="C155">
        <f t="shared" si="123"/>
        <v>0</v>
      </c>
      <c r="D155" t="s">
        <v>1094</v>
      </c>
      <c r="E155" t="str">
        <f t="shared" si="118"/>
        <v>temperature.o</v>
      </c>
      <c r="F155">
        <f t="shared" ca="1" si="119"/>
        <v>516</v>
      </c>
      <c r="H155">
        <f t="shared" ca="1" si="120"/>
        <v>613312</v>
      </c>
      <c r="I155" t="str">
        <f t="shared" ca="1" si="121"/>
        <v>0x00095BC0</v>
      </c>
      <c r="J155" s="4" t="str">
        <f t="shared" si="124"/>
        <v/>
      </c>
      <c r="K155" s="4" t="str">
        <f t="shared" si="125"/>
        <v xml:space="preserve">                                                           ro code section .text object temperature.o,</v>
      </c>
    </row>
    <row r="156" spans="1:11" x14ac:dyDescent="0.25">
      <c r="A156" t="s">
        <v>536</v>
      </c>
      <c r="B156" t="str">
        <f t="shared" si="122"/>
        <v/>
      </c>
      <c r="C156">
        <f t="shared" si="123"/>
        <v>0</v>
      </c>
      <c r="D156" t="s">
        <v>206</v>
      </c>
      <c r="E156" t="str">
        <f t="shared" si="118"/>
        <v>time_DST.o</v>
      </c>
      <c r="F156">
        <f t="shared" ca="1" si="119"/>
        <v>2936</v>
      </c>
      <c r="H156">
        <f t="shared" ca="1" si="120"/>
        <v>613840</v>
      </c>
      <c r="I156" t="str">
        <f t="shared" ca="1" si="121"/>
        <v>0x00095DD0</v>
      </c>
      <c r="J156" s="4" t="str">
        <f t="shared" si="124"/>
        <v/>
      </c>
      <c r="K156" s="4" t="str">
        <f t="shared" si="125"/>
        <v xml:space="preserve">                                                           ro code section .text object time_DST.o,</v>
      </c>
    </row>
    <row r="157" spans="1:11" x14ac:dyDescent="0.25">
      <c r="A157" t="s">
        <v>536</v>
      </c>
      <c r="B157" t="str">
        <f t="shared" si="122"/>
        <v/>
      </c>
      <c r="C157">
        <f t="shared" si="123"/>
        <v>0</v>
      </c>
      <c r="D157" t="s">
        <v>1038</v>
      </c>
      <c r="E157" t="str">
        <f t="shared" si="118"/>
        <v>time_sync.o</v>
      </c>
      <c r="F157">
        <f t="shared" ca="1" si="119"/>
        <v>2248</v>
      </c>
      <c r="H157">
        <f t="shared" ca="1" si="120"/>
        <v>616784</v>
      </c>
      <c r="I157" t="str">
        <f t="shared" ca="1" si="121"/>
        <v>0x00096950</v>
      </c>
      <c r="J157" s="4" t="str">
        <f t="shared" si="124"/>
        <v/>
      </c>
      <c r="K157" s="4" t="str">
        <f t="shared" si="125"/>
        <v xml:space="preserve">                                                           ro code section .text object time_sync.o,</v>
      </c>
    </row>
    <row r="158" spans="1:11" x14ac:dyDescent="0.25">
      <c r="A158" t="s">
        <v>536</v>
      </c>
      <c r="B158" t="str">
        <f t="shared" si="122"/>
        <v/>
      </c>
      <c r="C158">
        <f t="shared" si="123"/>
        <v>0</v>
      </c>
      <c r="D158" t="s">
        <v>162</v>
      </c>
      <c r="E158" t="str">
        <f t="shared" si="118"/>
        <v>time_sys.o</v>
      </c>
      <c r="F158">
        <f t="shared" ca="1" si="119"/>
        <v>4836</v>
      </c>
      <c r="H158">
        <f t="shared" ca="1" si="120"/>
        <v>619040</v>
      </c>
      <c r="I158" t="str">
        <f t="shared" ca="1" si="121"/>
        <v>0x00097220</v>
      </c>
      <c r="J158" s="4" t="str">
        <f t="shared" si="124"/>
        <v/>
      </c>
      <c r="K158" s="4" t="str">
        <f t="shared" si="125"/>
        <v xml:space="preserve">                                                           ro code section .text object time_sys.o,</v>
      </c>
    </row>
    <row r="159" spans="1:11" x14ac:dyDescent="0.25">
      <c r="A159" t="s">
        <v>536</v>
      </c>
      <c r="B159" t="str">
        <f t="shared" si="122"/>
        <v/>
      </c>
      <c r="C159">
        <f t="shared" si="123"/>
        <v>0</v>
      </c>
      <c r="D159" t="s">
        <v>291</v>
      </c>
      <c r="E159" t="str">
        <f t="shared" si="118"/>
        <v>virgin_device.o</v>
      </c>
      <c r="F159">
        <f t="shared" ca="1" si="119"/>
        <v>456</v>
      </c>
      <c r="H159">
        <f t="shared" ca="1" si="120"/>
        <v>623888</v>
      </c>
      <c r="I159" t="str">
        <f t="shared" ca="1" si="121"/>
        <v>0x00098510</v>
      </c>
      <c r="J159" s="4" t="str">
        <f t="shared" si="124"/>
        <v/>
      </c>
      <c r="K159" s="4" t="str">
        <f t="shared" si="125"/>
        <v xml:space="preserve">                                                           ro code section .text object virgin_device.o,</v>
      </c>
    </row>
    <row r="160" spans="1:11" x14ac:dyDescent="0.25">
      <c r="A160" t="s">
        <v>536</v>
      </c>
      <c r="B160" t="str">
        <f t="shared" ref="B160" si="126">IF(A160&lt;&gt;A159,A160&amp;$B$1,"")</f>
        <v/>
      </c>
      <c r="C160">
        <f t="shared" ref="C160" si="127">LEN(B160)</f>
        <v>0</v>
      </c>
      <c r="D160" t="s">
        <v>1668</v>
      </c>
      <c r="E160" t="str">
        <f t="shared" ref="E160" si="128">SUBSTITUTE(D160,"-","_")</f>
        <v>FTM0.o</v>
      </c>
      <c r="F160">
        <f t="shared" ref="F160" ca="1" si="129">IFERROR(VLOOKUP(D160,INDIRECT($F$1),2,FALSE),0)</f>
        <v>0</v>
      </c>
      <c r="H160">
        <f t="shared" ca="1" si="120"/>
        <v>624352</v>
      </c>
      <c r="I160" t="str">
        <f t="shared" ref="I160" ca="1" si="130">"0x"&amp;DEC2HEX(H160,8)</f>
        <v>0x000986E0</v>
      </c>
      <c r="J160" s="4" t="str">
        <f t="shared" ref="J160" si="131">IF(B160="","","define symbol "&amp;B160&amp;REPT(" ",$C$3-C160)&amp;" = "&amp;I160&amp;";")</f>
        <v/>
      </c>
      <c r="K160" s="4" t="str">
        <f t="shared" si="125"/>
        <v xml:space="preserve">                                                           ro code section .text object FTM0.o,</v>
      </c>
    </row>
    <row r="161" spans="1:11" x14ac:dyDescent="0.25">
      <c r="A161" t="s">
        <v>536</v>
      </c>
      <c r="B161" t="str">
        <f t="shared" ref="B161" si="132">IF(A161&lt;&gt;A160,A161&amp;$B$1,"")</f>
        <v/>
      </c>
      <c r="C161">
        <f t="shared" ref="C161" si="133">LEN(B161)</f>
        <v>0</v>
      </c>
      <c r="D161" t="s">
        <v>1669</v>
      </c>
      <c r="E161" t="str">
        <f t="shared" ref="E161" si="134">SUBSTITUTE(D161,"-","_")</f>
        <v>FTM1.o</v>
      </c>
      <c r="F161">
        <f t="shared" ref="F161" ca="1" si="135">IFERROR(VLOOKUP(D161,INDIRECT($F$1),2,FALSE),0)</f>
        <v>340</v>
      </c>
      <c r="H161">
        <f t="shared" ca="1" si="120"/>
        <v>624352</v>
      </c>
      <c r="I161" t="str">
        <f t="shared" ref="I161" ca="1" si="136">"0x"&amp;DEC2HEX(H161,8)</f>
        <v>0x000986E0</v>
      </c>
      <c r="J161" s="4" t="str">
        <f t="shared" ref="J161" si="137">IF(B161="","","define symbol "&amp;B161&amp;REPT(" ",$C$3-C161)&amp;" = "&amp;I161&amp;";")</f>
        <v/>
      </c>
      <c r="K161" s="4" t="str">
        <f t="shared" si="125"/>
        <v xml:space="preserve">                                                           ro code section .text object FTM1.o,</v>
      </c>
    </row>
    <row r="162" spans="1:11" x14ac:dyDescent="0.25">
      <c r="A162" t="s">
        <v>536</v>
      </c>
      <c r="B162" t="str">
        <f t="shared" ref="B162" si="138">IF(A162&lt;&gt;A161,A162&amp;$B$1,"")</f>
        <v/>
      </c>
      <c r="C162">
        <f t="shared" ref="C162" si="139">LEN(B162)</f>
        <v>0</v>
      </c>
      <c r="D162" t="s">
        <v>1670</v>
      </c>
      <c r="E162" t="str">
        <f t="shared" ref="E162" si="140">SUBSTITUTE(D162,"-","_")</f>
        <v>FTM2.o</v>
      </c>
      <c r="F162">
        <f t="shared" ref="F162" ca="1" si="141">IFERROR(VLOOKUP(D162,INDIRECT($F$1),2,FALSE),0)</f>
        <v>0</v>
      </c>
      <c r="H162">
        <f t="shared" ca="1" si="120"/>
        <v>624704</v>
      </c>
      <c r="I162" t="str">
        <f t="shared" ref="I162" ca="1" si="142">"0x"&amp;DEC2HEX(H162,8)</f>
        <v>0x00098840</v>
      </c>
      <c r="J162" s="4" t="str">
        <f t="shared" ref="J162" si="143">IF(B162="","","define symbol "&amp;B162&amp;REPT(" ",$C$3-C162)&amp;" = "&amp;I162&amp;";")</f>
        <v/>
      </c>
      <c r="K162" s="4" t="str">
        <f t="shared" si="125"/>
        <v xml:space="preserve">                                                           ro code section .text object FTM2.o,</v>
      </c>
    </row>
    <row r="163" spans="1:11" x14ac:dyDescent="0.25">
      <c r="A163" t="s">
        <v>536</v>
      </c>
      <c r="B163" t="str">
        <f t="shared" ref="B163" si="144">IF(A163&lt;&gt;A162,A163&amp;$B$1,"")</f>
        <v/>
      </c>
      <c r="C163">
        <f t="shared" ref="C163" si="145">LEN(B163)</f>
        <v>0</v>
      </c>
      <c r="D163" t="s">
        <v>1671</v>
      </c>
      <c r="E163" t="str">
        <f t="shared" ref="E163" si="146">SUBSTITUTE(D163,"-","_")</f>
        <v>FTM3.o</v>
      </c>
      <c r="F163">
        <f t="shared" ref="F163" ca="1" si="147">IFERROR(VLOOKUP(D163,INDIRECT($F$1),2,FALSE),0)</f>
        <v>0</v>
      </c>
      <c r="H163">
        <f t="shared" ca="1" si="120"/>
        <v>624704</v>
      </c>
      <c r="I163" t="str">
        <f t="shared" ref="I163" ca="1" si="148">"0x"&amp;DEC2HEX(H163,8)</f>
        <v>0x00098840</v>
      </c>
      <c r="J163" s="4" t="str">
        <f t="shared" ref="J163" si="149">IF(B163="","","define symbol "&amp;B163&amp;REPT(" ",$C$3-C163)&amp;" = "&amp;I163&amp;";")</f>
        <v/>
      </c>
      <c r="K163" s="4" t="str">
        <f t="shared" si="125"/>
        <v xml:space="preserve">                                                           ro code section .text object FTM3.o };</v>
      </c>
    </row>
    <row r="164" spans="1:11" x14ac:dyDescent="0.25">
      <c r="B164" t="str">
        <f>B133&amp;"_end"</f>
        <v>Common_TEXT_end</v>
      </c>
      <c r="F164">
        <f ca="1">SUM(F133:F163)</f>
        <v>100226</v>
      </c>
      <c r="G164">
        <f ca="1">INT(($G$130/100)*F164)</f>
        <v>1002</v>
      </c>
      <c r="H164">
        <f t="shared" ca="1" si="120"/>
        <v>624704</v>
      </c>
      <c r="I164" t="str">
        <f t="shared" ca="1" si="115"/>
        <v>0x00098840</v>
      </c>
      <c r="J164" s="4"/>
      <c r="K164" s="4"/>
    </row>
    <row r="165" spans="1:11" x14ac:dyDescent="0.25">
      <c r="J165" s="4"/>
      <c r="K165" s="4"/>
    </row>
    <row r="166" spans="1:11" x14ac:dyDescent="0.25">
      <c r="F166" t="s">
        <v>526</v>
      </c>
      <c r="G166">
        <f ca="1">VLOOKUP(B169,INDIRECT(GlobalPlcmnt!$B$133),GlobalPlcmnt!$B$138,FALSE)</f>
        <v>1</v>
      </c>
      <c r="J166" s="4"/>
      <c r="K166" s="4"/>
    </row>
    <row r="167" spans="1:11" x14ac:dyDescent="0.25">
      <c r="F167" t="s">
        <v>608</v>
      </c>
      <c r="G167">
        <f ca="1">VLOOKUP(B169,INDIRECT(GlobalPlcmnt!$B$133),GlobalPlcmnt!$C$138,FALSE)</f>
        <v>16</v>
      </c>
      <c r="J167" s="4"/>
      <c r="K167" s="4"/>
    </row>
    <row r="168" spans="1:11" x14ac:dyDescent="0.25">
      <c r="F168" t="s">
        <v>542</v>
      </c>
      <c r="J168" s="4"/>
      <c r="K168" s="4"/>
    </row>
    <row r="169" spans="1:11" x14ac:dyDescent="0.25">
      <c r="A169" t="s">
        <v>535</v>
      </c>
      <c r="B169" t="str">
        <f t="shared" ref="B169:B186" si="150">IF(A169&lt;&gt;A168,A169&amp;$B$1,"")</f>
        <v>HMC_TEXT</v>
      </c>
      <c r="C169">
        <f t="shared" ref="C169:C185" si="151">LEN(B169)</f>
        <v>8</v>
      </c>
      <c r="D169" t="s">
        <v>341</v>
      </c>
      <c r="E169" t="str">
        <f t="shared" ref="E169:E170" si="152">SUBSTITUTE(D169,"-","_")</f>
        <v>hmc_app.o</v>
      </c>
      <c r="F169">
        <f t="shared" ref="F169:F170" ca="1" si="153">IFERROR(VLOOKUP(D169,INDIRECT($F$1),2,FALSE),0)</f>
        <v>0</v>
      </c>
      <c r="H169">
        <f ca="1">VLOOKUP(B169,INDIRECT(GlobalPlcmnt!$B$133),GlobalPlcmnt!$A$138,FALSE)</f>
        <v>626016</v>
      </c>
      <c r="I169" t="str">
        <f t="shared" ref="I169:I189" ca="1" si="154">"0x"&amp;DEC2HEX(H169,8)</f>
        <v>0x00098D60</v>
      </c>
      <c r="J169" s="4" t="str">
        <f t="shared" ref="J169:J186" ca="1" si="155">IF(B169="","","define symbol "&amp;B169&amp;REPT(" ",$C$3-C169)&amp;" = "&amp;I169&amp;";")</f>
        <v>define symbol HMC_TEXT         = 0x00098D60;</v>
      </c>
      <c r="K169" s="4" t="str">
        <f t="shared" ref="K169:K188" si="156">IF(B169="",REPT(" ",$C$3+$K$3)&amp;$K$2&amp;D169&amp;IF(B170="",","," };"),""""&amp;B169&amp;""":"&amp;REPT(" ",$C$3-C169)&amp;"place at address mem: "&amp;B169&amp;REPT(" ",$C$3-C169)&amp;"{ "&amp;$K$2&amp;D169&amp;IF(B170="",","," };"))</f>
        <v>"HMC_TEXT":        place at address mem: HMC_TEXT        { ro code section .text object hmc_app.o,</v>
      </c>
    </row>
    <row r="170" spans="1:11" x14ac:dyDescent="0.25">
      <c r="A170" t="s">
        <v>535</v>
      </c>
      <c r="B170" t="str">
        <f t="shared" si="150"/>
        <v/>
      </c>
      <c r="C170">
        <f t="shared" si="151"/>
        <v>0</v>
      </c>
      <c r="D170" t="s">
        <v>572</v>
      </c>
      <c r="E170" t="str">
        <f t="shared" si="152"/>
        <v>hmc_demand.o</v>
      </c>
      <c r="F170">
        <f t="shared" ca="1" si="153"/>
        <v>0</v>
      </c>
      <c r="H170">
        <f ca="1">H169+F169+G169+IF(MOD(F169+H169+G169,$G$167)=0,0,$G$167-MOD(F169+H169+G169,$G$167))</f>
        <v>626016</v>
      </c>
      <c r="I170" t="str">
        <f t="shared" ca="1" si="154"/>
        <v>0x00098D60</v>
      </c>
      <c r="J170" s="4" t="str">
        <f t="shared" si="155"/>
        <v/>
      </c>
      <c r="K170" s="4" t="str">
        <f t="shared" si="156"/>
        <v xml:space="preserve">                                                           ro code section .text object hmc_demand.o,</v>
      </c>
    </row>
    <row r="171" spans="1:11" x14ac:dyDescent="0.25">
      <c r="A171" t="s">
        <v>535</v>
      </c>
      <c r="B171" t="str">
        <f t="shared" si="150"/>
        <v/>
      </c>
      <c r="C171">
        <f t="shared" si="151"/>
        <v>0</v>
      </c>
      <c r="D171" t="s">
        <v>573</v>
      </c>
      <c r="E171" t="str">
        <f t="shared" ref="E171:E187" si="157">SUBSTITUTE(D171,"-","_")</f>
        <v>hmc_diags.o</v>
      </c>
      <c r="F171">
        <f t="shared" ref="F171:F187" ca="1" si="158">IFERROR(VLOOKUP(D171,INDIRECT($F$1),2,FALSE),0)</f>
        <v>0</v>
      </c>
      <c r="H171">
        <f t="shared" ref="H171:H189" ca="1" si="159">H170+F170+G170+IF(MOD(F170+H170+G170,$G$167)=0,0,$G$167-MOD(F170+H170+G170,$G$167))</f>
        <v>626016</v>
      </c>
      <c r="I171" t="str">
        <f t="shared" ref="I171:I187" ca="1" si="160">"0x"&amp;DEC2HEX(H171,8)</f>
        <v>0x00098D60</v>
      </c>
      <c r="J171" s="4" t="str">
        <f t="shared" si="155"/>
        <v/>
      </c>
      <c r="K171" s="4" t="str">
        <f t="shared" si="156"/>
        <v xml:space="preserve">                                                           ro code section .text object hmc_diags.o,</v>
      </c>
    </row>
    <row r="172" spans="1:11" x14ac:dyDescent="0.25">
      <c r="A172" t="s">
        <v>535</v>
      </c>
      <c r="B172" t="str">
        <f t="shared" si="150"/>
        <v/>
      </c>
      <c r="C172">
        <f t="shared" si="151"/>
        <v>0</v>
      </c>
      <c r="D172" t="s">
        <v>217</v>
      </c>
      <c r="E172" t="str">
        <f t="shared" si="157"/>
        <v>hmc_ds.o</v>
      </c>
      <c r="F172">
        <f t="shared" ca="1" si="158"/>
        <v>0</v>
      </c>
      <c r="H172">
        <f t="shared" ca="1" si="159"/>
        <v>626016</v>
      </c>
      <c r="I172" t="str">
        <f t="shared" ca="1" si="160"/>
        <v>0x00098D60</v>
      </c>
      <c r="J172" s="4" t="str">
        <f t="shared" si="155"/>
        <v/>
      </c>
      <c r="K172" s="4" t="str">
        <f t="shared" si="156"/>
        <v xml:space="preserve">                                                           ro code section .text object hmc_ds.o,</v>
      </c>
    </row>
    <row r="173" spans="1:11" x14ac:dyDescent="0.25">
      <c r="A173" t="s">
        <v>535</v>
      </c>
      <c r="B173" t="str">
        <f t="shared" si="150"/>
        <v/>
      </c>
      <c r="C173">
        <f t="shared" si="151"/>
        <v>0</v>
      </c>
      <c r="D173" t="s">
        <v>219</v>
      </c>
      <c r="E173" t="str">
        <f t="shared" si="157"/>
        <v>hmc_eng.o</v>
      </c>
      <c r="F173">
        <f t="shared" ca="1" si="158"/>
        <v>0</v>
      </c>
      <c r="H173">
        <f t="shared" ca="1" si="159"/>
        <v>626016</v>
      </c>
      <c r="I173" t="str">
        <f t="shared" ca="1" si="160"/>
        <v>0x00098D60</v>
      </c>
      <c r="J173" s="4" t="str">
        <f t="shared" si="155"/>
        <v/>
      </c>
      <c r="K173" s="4" t="str">
        <f t="shared" si="156"/>
        <v xml:space="preserve">                                                           ro code section .text object hmc_eng.o,</v>
      </c>
    </row>
    <row r="174" spans="1:11" x14ac:dyDescent="0.25">
      <c r="A174" t="s">
        <v>535</v>
      </c>
      <c r="B174" t="str">
        <f t="shared" si="150"/>
        <v/>
      </c>
      <c r="C174">
        <f t="shared" si="151"/>
        <v>0</v>
      </c>
      <c r="D174" t="s">
        <v>366</v>
      </c>
      <c r="E174" t="str">
        <f t="shared" si="157"/>
        <v>hmc_finish.o</v>
      </c>
      <c r="F174">
        <f t="shared" ca="1" si="158"/>
        <v>0</v>
      </c>
      <c r="H174">
        <f t="shared" ca="1" si="159"/>
        <v>626016</v>
      </c>
      <c r="I174" t="str">
        <f t="shared" ca="1" si="160"/>
        <v>0x00098D60</v>
      </c>
      <c r="J174" s="4" t="str">
        <f t="shared" si="155"/>
        <v/>
      </c>
      <c r="K174" s="4" t="str">
        <f t="shared" si="156"/>
        <v xml:space="preserve">                                                           ro code section .text object hmc_finish.o,</v>
      </c>
    </row>
    <row r="175" spans="1:11" x14ac:dyDescent="0.25">
      <c r="A175" t="s">
        <v>535</v>
      </c>
      <c r="B175" t="str">
        <f t="shared" si="150"/>
        <v/>
      </c>
      <c r="C175">
        <f t="shared" si="151"/>
        <v>0</v>
      </c>
      <c r="D175" t="s">
        <v>390</v>
      </c>
      <c r="E175" t="str">
        <f t="shared" si="157"/>
        <v>hmc_msg.o</v>
      </c>
      <c r="F175">
        <f t="shared" ca="1" si="158"/>
        <v>0</v>
      </c>
      <c r="H175">
        <f t="shared" ca="1" si="159"/>
        <v>626016</v>
      </c>
      <c r="I175" t="str">
        <f t="shared" ca="1" si="160"/>
        <v>0x00098D60</v>
      </c>
      <c r="J175" s="4" t="str">
        <f t="shared" si="155"/>
        <v/>
      </c>
      <c r="K175" s="4" t="str">
        <f t="shared" si="156"/>
        <v xml:space="preserve">                                                           ro code section .text object hmc_msg.o,</v>
      </c>
    </row>
    <row r="176" spans="1:11" x14ac:dyDescent="0.25">
      <c r="A176" t="s">
        <v>535</v>
      </c>
      <c r="B176" t="str">
        <f t="shared" si="150"/>
        <v/>
      </c>
      <c r="C176">
        <f t="shared" si="151"/>
        <v>0</v>
      </c>
      <c r="D176" t="s">
        <v>216</v>
      </c>
      <c r="E176" t="str">
        <f t="shared" si="157"/>
        <v>hmc_mtr_info.o</v>
      </c>
      <c r="F176">
        <f t="shared" ca="1" si="158"/>
        <v>0</v>
      </c>
      <c r="H176">
        <f t="shared" ca="1" si="159"/>
        <v>626016</v>
      </c>
      <c r="I176" t="str">
        <f t="shared" ca="1" si="160"/>
        <v>0x00098D60</v>
      </c>
      <c r="J176" s="4" t="str">
        <f t="shared" si="155"/>
        <v/>
      </c>
      <c r="K176" s="4" t="str">
        <f t="shared" si="156"/>
        <v xml:space="preserve">                                                           ro code section .text object hmc_mtr_info.o,</v>
      </c>
    </row>
    <row r="177" spans="1:11" x14ac:dyDescent="0.25">
      <c r="A177" t="s">
        <v>535</v>
      </c>
      <c r="B177" t="str">
        <f t="shared" si="150"/>
        <v/>
      </c>
      <c r="C177">
        <f t="shared" si="151"/>
        <v>0</v>
      </c>
      <c r="D177" t="s">
        <v>574</v>
      </c>
      <c r="E177" t="str">
        <f t="shared" si="157"/>
        <v>hmc_mtr_lp.o</v>
      </c>
      <c r="F177">
        <f t="shared" ca="1" si="158"/>
        <v>0</v>
      </c>
      <c r="H177">
        <f t="shared" ca="1" si="159"/>
        <v>626016</v>
      </c>
      <c r="I177" t="str">
        <f t="shared" ca="1" si="160"/>
        <v>0x00098D60</v>
      </c>
      <c r="J177" s="4" t="str">
        <f t="shared" si="155"/>
        <v/>
      </c>
      <c r="K177" s="4" t="str">
        <f t="shared" si="156"/>
        <v xml:space="preserve">                                                           ro code section .text object hmc_mtr_lp.o,</v>
      </c>
    </row>
    <row r="178" spans="1:11" x14ac:dyDescent="0.25">
      <c r="A178" t="s">
        <v>535</v>
      </c>
      <c r="B178" t="str">
        <f t="shared" si="150"/>
        <v/>
      </c>
      <c r="C178">
        <f t="shared" si="151"/>
        <v>0</v>
      </c>
      <c r="D178" t="s">
        <v>378</v>
      </c>
      <c r="E178" t="str">
        <f t="shared" si="157"/>
        <v>hmc_prot.o</v>
      </c>
      <c r="F178">
        <f t="shared" ca="1" si="158"/>
        <v>0</v>
      </c>
      <c r="H178">
        <f t="shared" ca="1" si="159"/>
        <v>626016</v>
      </c>
      <c r="I178" t="str">
        <f t="shared" ca="1" si="160"/>
        <v>0x00098D60</v>
      </c>
      <c r="J178" s="4" t="str">
        <f t="shared" si="155"/>
        <v/>
      </c>
      <c r="K178" s="4" t="str">
        <f t="shared" si="156"/>
        <v xml:space="preserve">                                                           ro code section .text object hmc_prot.o,</v>
      </c>
    </row>
    <row r="179" spans="1:11" x14ac:dyDescent="0.25">
      <c r="A179" t="s">
        <v>535</v>
      </c>
      <c r="B179" t="str">
        <f t="shared" si="150"/>
        <v/>
      </c>
      <c r="C179">
        <f t="shared" si="151"/>
        <v>0</v>
      </c>
      <c r="D179" t="s">
        <v>404</v>
      </c>
      <c r="E179" t="str">
        <f t="shared" si="157"/>
        <v>hmc_request.o</v>
      </c>
      <c r="F179">
        <f t="shared" ca="1" si="158"/>
        <v>0</v>
      </c>
      <c r="H179">
        <f t="shared" ca="1" si="159"/>
        <v>626016</v>
      </c>
      <c r="I179" t="str">
        <f t="shared" ca="1" si="160"/>
        <v>0x00098D60</v>
      </c>
      <c r="J179" s="4" t="str">
        <f t="shared" si="155"/>
        <v/>
      </c>
      <c r="K179" s="4" t="str">
        <f t="shared" si="156"/>
        <v xml:space="preserve">                                                           ro code section .text object hmc_request.o,</v>
      </c>
    </row>
    <row r="180" spans="1:11" x14ac:dyDescent="0.25">
      <c r="A180" t="s">
        <v>535</v>
      </c>
      <c r="B180" t="str">
        <f t="shared" si="150"/>
        <v/>
      </c>
      <c r="C180">
        <f t="shared" si="151"/>
        <v>0</v>
      </c>
      <c r="D180" t="s">
        <v>575</v>
      </c>
      <c r="E180" t="str">
        <f t="shared" si="157"/>
        <v>hmc_seq_id.o</v>
      </c>
      <c r="F180">
        <f t="shared" ca="1" si="158"/>
        <v>0</v>
      </c>
      <c r="H180">
        <f t="shared" ca="1" si="159"/>
        <v>626016</v>
      </c>
      <c r="I180" t="str">
        <f t="shared" ca="1" si="160"/>
        <v>0x00098D60</v>
      </c>
      <c r="J180" s="4" t="str">
        <f t="shared" si="155"/>
        <v/>
      </c>
      <c r="K180" s="4" t="str">
        <f t="shared" si="156"/>
        <v xml:space="preserve">                                                           ro code section .text object hmc_seq_id.o,</v>
      </c>
    </row>
    <row r="181" spans="1:11" x14ac:dyDescent="0.25">
      <c r="A181" t="s">
        <v>535</v>
      </c>
      <c r="B181" t="str">
        <f t="shared" si="150"/>
        <v/>
      </c>
      <c r="C181">
        <f t="shared" si="151"/>
        <v>0</v>
      </c>
      <c r="D181" t="s">
        <v>405</v>
      </c>
      <c r="E181" t="str">
        <f t="shared" si="157"/>
        <v>hmc_snapshot.o</v>
      </c>
      <c r="F181">
        <f t="shared" ca="1" si="158"/>
        <v>0</v>
      </c>
      <c r="H181">
        <f t="shared" ca="1" si="159"/>
        <v>626016</v>
      </c>
      <c r="I181" t="str">
        <f t="shared" ca="1" si="160"/>
        <v>0x00098D60</v>
      </c>
      <c r="J181" s="4" t="str">
        <f t="shared" si="155"/>
        <v/>
      </c>
      <c r="K181" s="4" t="str">
        <f t="shared" si="156"/>
        <v xml:space="preserve">                                                           ro code section .text object hmc_snapshot.o,</v>
      </c>
    </row>
    <row r="182" spans="1:11" x14ac:dyDescent="0.25">
      <c r="A182" t="s">
        <v>535</v>
      </c>
      <c r="B182" t="str">
        <f t="shared" si="150"/>
        <v/>
      </c>
      <c r="C182">
        <f t="shared" si="151"/>
        <v>0</v>
      </c>
      <c r="D182" t="s">
        <v>311</v>
      </c>
      <c r="E182" t="str">
        <f t="shared" si="157"/>
        <v>hmc_start.o</v>
      </c>
      <c r="F182">
        <f t="shared" ca="1" si="158"/>
        <v>0</v>
      </c>
      <c r="H182">
        <f t="shared" ca="1" si="159"/>
        <v>626016</v>
      </c>
      <c r="I182" t="str">
        <f t="shared" ca="1" si="160"/>
        <v>0x00098D60</v>
      </c>
      <c r="J182" s="4" t="str">
        <f t="shared" si="155"/>
        <v/>
      </c>
      <c r="K182" s="4" t="str">
        <f t="shared" si="156"/>
        <v xml:space="preserve">                                                           ro code section .text object hmc_start.o,</v>
      </c>
    </row>
    <row r="183" spans="1:11" x14ac:dyDescent="0.25">
      <c r="A183" t="s">
        <v>535</v>
      </c>
      <c r="B183" t="str">
        <f t="shared" si="150"/>
        <v/>
      </c>
      <c r="C183">
        <f t="shared" si="151"/>
        <v>0</v>
      </c>
      <c r="D183" t="s">
        <v>576</v>
      </c>
      <c r="E183" t="str">
        <f t="shared" si="157"/>
        <v>hmc_sync.o</v>
      </c>
      <c r="F183">
        <f t="shared" ca="1" si="158"/>
        <v>0</v>
      </c>
      <c r="H183">
        <f t="shared" ca="1" si="159"/>
        <v>626016</v>
      </c>
      <c r="I183" t="str">
        <f t="shared" ca="1" si="160"/>
        <v>0x00098D60</v>
      </c>
      <c r="J183" s="4" t="str">
        <f t="shared" si="155"/>
        <v/>
      </c>
      <c r="K183" s="4" t="str">
        <f t="shared" si="156"/>
        <v xml:space="preserve">                                                           ro code section .text object hmc_sync.o,</v>
      </c>
    </row>
    <row r="184" spans="1:11" x14ac:dyDescent="0.25">
      <c r="A184" t="s">
        <v>535</v>
      </c>
      <c r="B184" t="str">
        <f t="shared" si="150"/>
        <v/>
      </c>
      <c r="C184">
        <f t="shared" si="151"/>
        <v>0</v>
      </c>
      <c r="D184" t="s">
        <v>577</v>
      </c>
      <c r="E184" t="str">
        <f t="shared" si="157"/>
        <v>hmc_time.o</v>
      </c>
      <c r="F184">
        <f t="shared" ca="1" si="158"/>
        <v>0</v>
      </c>
      <c r="H184">
        <f t="shared" ca="1" si="159"/>
        <v>626016</v>
      </c>
      <c r="I184" t="str">
        <f t="shared" ca="1" si="160"/>
        <v>0x00098D60</v>
      </c>
      <c r="J184" s="4" t="str">
        <f t="shared" si="155"/>
        <v/>
      </c>
      <c r="K184" s="4" t="str">
        <f t="shared" si="156"/>
        <v xml:space="preserve">                                                           ro code section .text object hmc_time.o,</v>
      </c>
    </row>
    <row r="185" spans="1:11" x14ac:dyDescent="0.25">
      <c r="A185" t="s">
        <v>535</v>
      </c>
      <c r="B185" t="str">
        <f t="shared" si="150"/>
        <v/>
      </c>
      <c r="C185">
        <f t="shared" si="151"/>
        <v>0</v>
      </c>
      <c r="D185" t="s">
        <v>438</v>
      </c>
      <c r="E185" t="str">
        <f t="shared" si="157"/>
        <v>hmc_tsk_lst.o</v>
      </c>
      <c r="F185">
        <f t="shared" ca="1" si="158"/>
        <v>0</v>
      </c>
      <c r="H185">
        <f t="shared" ca="1" si="159"/>
        <v>626016</v>
      </c>
      <c r="I185" t="str">
        <f t="shared" ca="1" si="160"/>
        <v>0x00098D60</v>
      </c>
      <c r="J185" s="4" t="str">
        <f t="shared" si="155"/>
        <v/>
      </c>
      <c r="K185" s="4" t="str">
        <f t="shared" si="156"/>
        <v xml:space="preserve">                                                           ro code section .text object hmc_tsk_lst.o,</v>
      </c>
    </row>
    <row r="186" spans="1:11" x14ac:dyDescent="0.25">
      <c r="A186" t="s">
        <v>535</v>
      </c>
      <c r="B186" t="str">
        <f t="shared" si="150"/>
        <v/>
      </c>
      <c r="C186">
        <f t="shared" ref="C186:C225" si="161">LEN(B186)</f>
        <v>0</v>
      </c>
      <c r="D186" t="s">
        <v>214</v>
      </c>
      <c r="E186" t="str">
        <f t="shared" si="157"/>
        <v>intf_cim_cmd.o</v>
      </c>
      <c r="F186">
        <f t="shared" ca="1" si="158"/>
        <v>74</v>
      </c>
      <c r="H186">
        <f t="shared" ca="1" si="159"/>
        <v>626016</v>
      </c>
      <c r="I186" t="str">
        <f t="shared" ca="1" si="160"/>
        <v>0x00098D60</v>
      </c>
      <c r="J186" s="4" t="str">
        <f t="shared" si="155"/>
        <v/>
      </c>
      <c r="K186" s="4" t="str">
        <f t="shared" si="156"/>
        <v xml:space="preserve">                                                           ro code section .text object intf_cim_cmd.o,</v>
      </c>
    </row>
    <row r="187" spans="1:11" x14ac:dyDescent="0.25">
      <c r="A187" t="s">
        <v>535</v>
      </c>
      <c r="B187" t="str">
        <f t="shared" ref="B187" si="162">IF(A187&lt;&gt;A186,A187&amp;$B$1,"")</f>
        <v/>
      </c>
      <c r="C187">
        <f t="shared" ref="C187" si="163">LEN(B187)</f>
        <v>0</v>
      </c>
      <c r="D187" t="s">
        <v>1085</v>
      </c>
      <c r="E187" t="str">
        <f t="shared" si="157"/>
        <v>hmc_prg_mtr.o</v>
      </c>
      <c r="F187">
        <f t="shared" ca="1" si="158"/>
        <v>0</v>
      </c>
      <c r="H187">
        <f t="shared" ca="1" si="159"/>
        <v>626096</v>
      </c>
      <c r="I187" t="str">
        <f t="shared" ca="1" si="160"/>
        <v>0x00098DB0</v>
      </c>
      <c r="J187" s="4" t="str">
        <f t="shared" ref="J187" si="164">IF(B187="","","define symbol "&amp;B187&amp;REPT(" ",$C$3-C187)&amp;" = "&amp;I187&amp;";")</f>
        <v/>
      </c>
      <c r="K187" s="4" t="str">
        <f t="shared" si="156"/>
        <v xml:space="preserve">                                                           ro code section .text object hmc_prg_mtr.o,</v>
      </c>
    </row>
    <row r="188" spans="1:11" x14ac:dyDescent="0.25">
      <c r="A188" t="s">
        <v>535</v>
      </c>
      <c r="B188" t="str">
        <f t="shared" ref="B188" si="165">IF(A188&lt;&gt;A187,A188&amp;$B$1,"")</f>
        <v/>
      </c>
      <c r="C188">
        <f t="shared" ref="C188" si="166">LEN(B188)</f>
        <v>0</v>
      </c>
      <c r="D188" t="s">
        <v>1727</v>
      </c>
      <c r="E188" t="str">
        <f t="shared" ref="E188" si="167">SUBSTITUTE(D188,"-","_")</f>
        <v>hmc_display.o</v>
      </c>
      <c r="F188">
        <f t="shared" ref="F188" ca="1" si="168">IFERROR(VLOOKUP(D188,INDIRECT($F$1),2,FALSE),0)</f>
        <v>0</v>
      </c>
      <c r="H188">
        <f t="shared" ca="1" si="159"/>
        <v>626096</v>
      </c>
      <c r="I188" t="str">
        <f t="shared" ref="I188" ca="1" si="169">"0x"&amp;DEC2HEX(H188,8)</f>
        <v>0x00098DB0</v>
      </c>
      <c r="J188" s="4" t="str">
        <f t="shared" ref="J188" si="170">IF(B188="","","define symbol "&amp;B188&amp;REPT(" ",$C$3-C188)&amp;" = "&amp;I188&amp;";")</f>
        <v/>
      </c>
      <c r="K188" s="4" t="str">
        <f t="shared" si="156"/>
        <v xml:space="preserve">                                                           ro code section .text object hmc_display.o };</v>
      </c>
    </row>
    <row r="189" spans="1:11" x14ac:dyDescent="0.25">
      <c r="B189" t="str">
        <f>B169&amp;"_end"</f>
        <v>HMC_TEXT_end</v>
      </c>
      <c r="F189">
        <f ca="1">SUM(F169:F188)</f>
        <v>74</v>
      </c>
      <c r="G189">
        <f ca="1">INT(($G$166/100)*F189)</f>
        <v>0</v>
      </c>
      <c r="H189">
        <f t="shared" ca="1" si="159"/>
        <v>626096</v>
      </c>
      <c r="I189" t="str">
        <f t="shared" ca="1" si="154"/>
        <v>0x00098DB0</v>
      </c>
      <c r="J189" s="4"/>
      <c r="K189" s="4"/>
    </row>
    <row r="190" spans="1:11" x14ac:dyDescent="0.25">
      <c r="J190" s="4"/>
      <c r="K190" s="4"/>
    </row>
    <row r="191" spans="1:11" x14ac:dyDescent="0.25">
      <c r="F191" t="s">
        <v>526</v>
      </c>
      <c r="G191">
        <f ca="1">VLOOKUP(B194,INDIRECT(GlobalPlcmnt!$B$133),GlobalPlcmnt!$B$138,FALSE)</f>
        <v>1</v>
      </c>
      <c r="J191" s="4"/>
      <c r="K191" s="4"/>
    </row>
    <row r="192" spans="1:11" x14ac:dyDescent="0.25">
      <c r="F192" t="s">
        <v>608</v>
      </c>
      <c r="G192">
        <f ca="1">VLOOKUP(B194,INDIRECT(GlobalPlcmnt!$B$133),GlobalPlcmnt!$C$138,FALSE)</f>
        <v>16</v>
      </c>
      <c r="J192" s="4"/>
      <c r="K192" s="4"/>
    </row>
    <row r="193" spans="1:11" x14ac:dyDescent="0.25">
      <c r="F193" t="s">
        <v>542</v>
      </c>
      <c r="J193" s="4"/>
      <c r="K193" s="4"/>
    </row>
    <row r="194" spans="1:11" x14ac:dyDescent="0.25">
      <c r="A194" t="s">
        <v>1129</v>
      </c>
      <c r="B194" t="str">
        <f t="shared" ref="B194:B195" si="171">IF(A194&lt;&gt;A193,A194&amp;$B$1,"")</f>
        <v>AclaraDA_TEXT</v>
      </c>
      <c r="C194">
        <f t="shared" ref="C194:C202" si="172">LEN(B194)</f>
        <v>13</v>
      </c>
      <c r="D194" t="s">
        <v>1130</v>
      </c>
      <c r="E194" t="str">
        <f t="shared" ref="E194:E202" si="173">SUBSTITUTE(D194,"-","_")</f>
        <v>b2b.o</v>
      </c>
      <c r="F194">
        <f t="shared" ref="F194:F202" ca="1" si="174">IFERROR(VLOOKUP(D194,INDIRECT($F$1),2,FALSE),0)</f>
        <v>830</v>
      </c>
      <c r="H194">
        <f ca="1">VLOOKUP(B194,INDIRECT(GlobalPlcmnt!$B$133),GlobalPlcmnt!$A$138,FALSE)</f>
        <v>626096</v>
      </c>
      <c r="I194" t="str">
        <f t="shared" ref="I194:I203" ca="1" si="175">"0x"&amp;DEC2HEX(H194,8)</f>
        <v>0x00098DB0</v>
      </c>
      <c r="J194" s="4" t="str">
        <f ca="1">IF(B194="","","define symbol "&amp;B194&amp;REPT(" ",$C$3-C194)&amp;" = "&amp;I194&amp;";")</f>
        <v>define symbol AclaraDA_TEXT    = 0x00098DB0;</v>
      </c>
      <c r="K194" s="4" t="str">
        <f t="shared" ref="K194:K202" si="176">IF(B194="",REPT(" ",$C$3+$K$3)&amp;$K$2&amp;D194&amp;IF(B195="",","," };"),""""&amp;B194&amp;""":"&amp;REPT(" ",$C$3-C194)&amp;"place at address mem: "&amp;B194&amp;REPT(" ",$C$3-C194)&amp;"{ "&amp;$K$2&amp;D194&amp;IF(B195="",","," };"))</f>
        <v>"AclaraDA_TEXT":   place at address mem: AclaraDA_TEXT   { ro code section .text object b2b.o,</v>
      </c>
    </row>
    <row r="195" spans="1:11" x14ac:dyDescent="0.25">
      <c r="A195" t="s">
        <v>1129</v>
      </c>
      <c r="B195" t="str">
        <f t="shared" si="171"/>
        <v/>
      </c>
      <c r="C195">
        <f t="shared" si="172"/>
        <v>0</v>
      </c>
      <c r="D195" t="s">
        <v>1131</v>
      </c>
      <c r="E195" t="str">
        <f t="shared" si="173"/>
        <v>b2b_req_handler.o</v>
      </c>
      <c r="F195">
        <f t="shared" ca="1" si="174"/>
        <v>2024</v>
      </c>
      <c r="H195">
        <f ca="1">H194+F194+G194+IF(MOD(F194+H194+G194,$G$192)=0,0,$G$192-MOD(F194+H194+G194,$G$192))</f>
        <v>626928</v>
      </c>
      <c r="I195" t="str">
        <f t="shared" ca="1" si="175"/>
        <v>0x000990F0</v>
      </c>
      <c r="J195" s="4" t="str">
        <f t="shared" ref="J195:J202" si="177">IF(B195="","","define symbol "&amp;B195&amp;REPT(" ",$C$4-C195)&amp;" = "&amp;I195&amp;";")</f>
        <v/>
      </c>
      <c r="K195" s="4" t="str">
        <f t="shared" si="176"/>
        <v xml:space="preserve">                                                           ro code section .text object b2b_req_handler.o,</v>
      </c>
    </row>
    <row r="196" spans="1:11" x14ac:dyDescent="0.25">
      <c r="A196" t="s">
        <v>1129</v>
      </c>
      <c r="C196">
        <f t="shared" si="172"/>
        <v>0</v>
      </c>
      <c r="D196" t="s">
        <v>1132</v>
      </c>
      <c r="E196" t="str">
        <f t="shared" si="173"/>
        <v>b2bMessage.o</v>
      </c>
      <c r="F196">
        <f t="shared" ca="1" si="174"/>
        <v>1204</v>
      </c>
      <c r="H196">
        <f t="shared" ref="H196:H202" ca="1" si="178">H195+F195+G195+IF(MOD(F195+H195+G195,$G$192)=0,0,$G$192-MOD(F195+H195+G195,$G$192))</f>
        <v>628960</v>
      </c>
      <c r="I196" t="str">
        <f t="shared" ca="1" si="175"/>
        <v>0x000998E0</v>
      </c>
      <c r="J196" s="4" t="str">
        <f t="shared" si="177"/>
        <v/>
      </c>
      <c r="K196" s="4" t="str">
        <f t="shared" si="176"/>
        <v xml:space="preserve">                                                           ro code section .text object b2bMessage.o,</v>
      </c>
    </row>
    <row r="197" spans="1:11" x14ac:dyDescent="0.25">
      <c r="A197" t="s">
        <v>1129</v>
      </c>
      <c r="C197">
        <f t="shared" si="172"/>
        <v>0</v>
      </c>
      <c r="D197" t="s">
        <v>1133</v>
      </c>
      <c r="E197" t="str">
        <f t="shared" si="173"/>
        <v>da_srfn_reg.o</v>
      </c>
      <c r="F197">
        <f t="shared" ca="1" si="174"/>
        <v>294</v>
      </c>
      <c r="H197">
        <f t="shared" ca="1" si="178"/>
        <v>630176</v>
      </c>
      <c r="I197" t="str">
        <f t="shared" ca="1" si="175"/>
        <v>0x00099DA0</v>
      </c>
      <c r="J197" s="4" t="str">
        <f t="shared" si="177"/>
        <v/>
      </c>
      <c r="K197" s="4" t="str">
        <f t="shared" si="176"/>
        <v xml:space="preserve">                                                           ro code section .text object da_srfn_reg.o,</v>
      </c>
    </row>
    <row r="198" spans="1:11" x14ac:dyDescent="0.25">
      <c r="A198" t="s">
        <v>1129</v>
      </c>
      <c r="C198">
        <f t="shared" si="172"/>
        <v>0</v>
      </c>
      <c r="D198" t="s">
        <v>1134</v>
      </c>
      <c r="E198" t="str">
        <f t="shared" si="173"/>
        <v>hdlc_frame.o</v>
      </c>
      <c r="F198">
        <f t="shared" ca="1" si="174"/>
        <v>750</v>
      </c>
      <c r="H198">
        <f t="shared" ca="1" si="178"/>
        <v>630480</v>
      </c>
      <c r="I198" t="str">
        <f t="shared" ca="1" si="175"/>
        <v>0x00099ED0</v>
      </c>
      <c r="J198" s="4" t="str">
        <f t="shared" si="177"/>
        <v/>
      </c>
      <c r="K198" s="4" t="str">
        <f t="shared" si="176"/>
        <v xml:space="preserve">                                                           ro code section .text object hdlc_frame.o,</v>
      </c>
    </row>
    <row r="199" spans="1:11" x14ac:dyDescent="0.25">
      <c r="A199" t="s">
        <v>1129</v>
      </c>
      <c r="C199">
        <f t="shared" si="172"/>
        <v>0</v>
      </c>
      <c r="D199" t="s">
        <v>1135</v>
      </c>
      <c r="E199" t="str">
        <f t="shared" si="173"/>
        <v>host_reset.o</v>
      </c>
      <c r="F199">
        <f t="shared" ca="1" si="174"/>
        <v>256</v>
      </c>
      <c r="H199">
        <f t="shared" ca="1" si="178"/>
        <v>631232</v>
      </c>
      <c r="I199" t="str">
        <f t="shared" ca="1" si="175"/>
        <v>0x0009A1C0</v>
      </c>
      <c r="J199" s="4" t="str">
        <f t="shared" si="177"/>
        <v/>
      </c>
      <c r="K199" s="4" t="str">
        <f t="shared" si="176"/>
        <v xml:space="preserve">                                                           ro code section .text object host_reset.o,</v>
      </c>
    </row>
    <row r="200" spans="1:11" x14ac:dyDescent="0.25">
      <c r="A200" t="s">
        <v>1129</v>
      </c>
      <c r="C200">
        <f t="shared" si="172"/>
        <v>0</v>
      </c>
      <c r="D200" t="s">
        <v>1136</v>
      </c>
      <c r="E200" t="str">
        <f t="shared" si="173"/>
        <v>nw_connected.o</v>
      </c>
      <c r="F200">
        <f t="shared" ca="1" si="174"/>
        <v>140</v>
      </c>
      <c r="H200">
        <f t="shared" ca="1" si="178"/>
        <v>631488</v>
      </c>
      <c r="I200" t="str">
        <f t="shared" ca="1" si="175"/>
        <v>0x0009A2C0</v>
      </c>
      <c r="J200" s="4" t="str">
        <f t="shared" si="177"/>
        <v/>
      </c>
      <c r="K200" s="4" t="str">
        <f t="shared" si="176"/>
        <v xml:space="preserve">                                                           ro code section .text object nw_connected.o,</v>
      </c>
    </row>
    <row r="201" spans="1:11" x14ac:dyDescent="0.25">
      <c r="A201" t="s">
        <v>1129</v>
      </c>
      <c r="C201">
        <f t="shared" si="172"/>
        <v>0</v>
      </c>
      <c r="D201" t="s">
        <v>1137</v>
      </c>
      <c r="E201" t="str">
        <f t="shared" si="173"/>
        <v>TUNNEL_MSG_Handler.o</v>
      </c>
      <c r="F201">
        <f t="shared" ca="1" si="174"/>
        <v>188</v>
      </c>
      <c r="H201">
        <f t="shared" ca="1" si="178"/>
        <v>631632</v>
      </c>
      <c r="I201" t="str">
        <f t="shared" ca="1" si="175"/>
        <v>0x0009A350</v>
      </c>
      <c r="J201" s="4" t="str">
        <f t="shared" si="177"/>
        <v/>
      </c>
      <c r="K201" s="4" t="str">
        <f t="shared" si="176"/>
        <v xml:space="preserve">                                                           ro code section .text object TUNNEL_MSG_Handler.o,</v>
      </c>
    </row>
    <row r="202" spans="1:11" x14ac:dyDescent="0.25">
      <c r="A202" t="s">
        <v>1129</v>
      </c>
      <c r="C202">
        <f t="shared" si="172"/>
        <v>0</v>
      </c>
      <c r="D202" t="s">
        <v>1138</v>
      </c>
      <c r="E202" t="str">
        <f t="shared" si="173"/>
        <v>tunnel_Util.o</v>
      </c>
      <c r="F202">
        <f t="shared" ca="1" si="174"/>
        <v>176</v>
      </c>
      <c r="H202">
        <f t="shared" ca="1" si="178"/>
        <v>631824</v>
      </c>
      <c r="I202" t="str">
        <f t="shared" ca="1" si="175"/>
        <v>0x0009A410</v>
      </c>
      <c r="J202" s="4" t="str">
        <f t="shared" si="177"/>
        <v/>
      </c>
      <c r="K202" s="4" t="str">
        <f t="shared" si="176"/>
        <v xml:space="preserve">                                                           ro code section .text object tunnel_Util.o };</v>
      </c>
    </row>
    <row r="203" spans="1:11" x14ac:dyDescent="0.25">
      <c r="B203" t="str">
        <f>B194&amp;"_end"</f>
        <v>AclaraDA_TEXT_end</v>
      </c>
      <c r="F203">
        <f ca="1">SUM(F194:F202)</f>
        <v>5862</v>
      </c>
      <c r="G203">
        <f ca="1">INT(($G$191/100)*F203)</f>
        <v>58</v>
      </c>
      <c r="H203">
        <f ca="1">H202+F202+G203+IF(MOD(F202+H202+G203,$G$192)=0,0,$G$192-MOD(F202+H202+G203,$G$192))</f>
        <v>632064</v>
      </c>
      <c r="I203" t="str">
        <f t="shared" ca="1" si="175"/>
        <v>0x0009A500</v>
      </c>
      <c r="J203" s="4"/>
      <c r="K203" s="4"/>
    </row>
    <row r="204" spans="1:11" x14ac:dyDescent="0.25">
      <c r="J204" s="4"/>
      <c r="K204" s="4"/>
    </row>
    <row r="205" spans="1:11" x14ac:dyDescent="0.25">
      <c r="F205" t="s">
        <v>526</v>
      </c>
      <c r="G205">
        <f ca="1">VLOOKUP(B208,INDIRECT(GlobalPlcmnt!$B$133),GlobalPlcmnt!$B$138,FALSE)</f>
        <v>1</v>
      </c>
      <c r="J205" s="4"/>
      <c r="K205" s="4"/>
    </row>
    <row r="206" spans="1:11" x14ac:dyDescent="0.25">
      <c r="F206" t="s">
        <v>608</v>
      </c>
      <c r="G206">
        <f ca="1">VLOOKUP(B208,INDIRECT(GlobalPlcmnt!$B$133),GlobalPlcmnt!$C$138,FALSE)</f>
        <v>16</v>
      </c>
      <c r="J206" s="4"/>
      <c r="K206" s="4"/>
    </row>
    <row r="207" spans="1:11" x14ac:dyDescent="0.25">
      <c r="F207" t="s">
        <v>542</v>
      </c>
      <c r="J207" s="4"/>
      <c r="K207" s="4"/>
    </row>
    <row r="208" spans="1:11" x14ac:dyDescent="0.25">
      <c r="A208" t="s">
        <v>537</v>
      </c>
      <c r="B208" t="str">
        <f t="shared" ref="B208:B225" si="179">IF(A208&lt;&gt;A207,A208&amp;$B$1,"")</f>
        <v>MTU_Common_TEXT</v>
      </c>
      <c r="C208">
        <f t="shared" si="161"/>
        <v>15</v>
      </c>
      <c r="D208" t="s">
        <v>221</v>
      </c>
      <c r="E208" t="str">
        <f t="shared" ref="E208:E209" si="180">SUBSTITUTE(D208,"-","_")</f>
        <v>APP_MSG_Handler.o</v>
      </c>
      <c r="F208">
        <f t="shared" ref="F208:F209" ca="1" si="181">IFERROR(VLOOKUP(D208,INDIRECT($F$1),2,FALSE),0)</f>
        <v>2488</v>
      </c>
      <c r="H208">
        <f ca="1">VLOOKUP(B208,INDIRECT(GlobalPlcmnt!$B$133),GlobalPlcmnt!$A$138,FALSE)</f>
        <v>632064</v>
      </c>
      <c r="I208" t="str">
        <f t="shared" ref="I208:I226" ca="1" si="182">"0x"&amp;DEC2HEX(H208,8)</f>
        <v>0x0009A500</v>
      </c>
      <c r="J208" s="4" t="str">
        <f t="shared" ref="J208:J225" ca="1" si="183">IF(B208="","","define symbol "&amp;B208&amp;REPT(" ",$C$3-C208)&amp;" = "&amp;I208&amp;";")</f>
        <v>define symbol MTU_Common_TEXT  = 0x0009A500;</v>
      </c>
      <c r="K208" s="4" t="str">
        <f t="shared" ref="K208:K225" si="184">IF(B208="",REPT(" ",$C$3+$K$3)&amp;$K$2&amp;D208&amp;IF(B209="",","," };"),""""&amp;B208&amp;""":"&amp;REPT(" ",$C$3-C208)&amp;"place at address mem: "&amp;B208&amp;REPT(" ",$C$3-C208)&amp;"{ "&amp;$K$2&amp;D208&amp;IF(B209="",","," };"))</f>
        <v>"MTU_Common_TEXT": place at address mem: MTU_Common_TEXT { ro code section .text object APP_MSG_Handler.o,</v>
      </c>
    </row>
    <row r="209" spans="1:11" x14ac:dyDescent="0.25">
      <c r="A209" t="s">
        <v>537</v>
      </c>
      <c r="B209" t="str">
        <f t="shared" si="179"/>
        <v/>
      </c>
      <c r="C209">
        <f t="shared" si="161"/>
        <v>0</v>
      </c>
      <c r="D209" t="s">
        <v>222</v>
      </c>
      <c r="E209" t="str">
        <f t="shared" si="180"/>
        <v>demand.o</v>
      </c>
      <c r="F209">
        <f t="shared" ca="1" si="181"/>
        <v>0</v>
      </c>
      <c r="H209">
        <f ca="1">H208+F208+G208+IF(MOD(F208+H208+G208,$G$206)=0,0,$G$206-MOD(F208+H208+G208,$G$206))</f>
        <v>634560</v>
      </c>
      <c r="I209" t="str">
        <f t="shared" ca="1" si="182"/>
        <v>0x0009AEC0</v>
      </c>
      <c r="J209" s="4" t="str">
        <f t="shared" si="183"/>
        <v/>
      </c>
      <c r="K209" s="4" t="str">
        <f t="shared" si="184"/>
        <v xml:space="preserve">                                                           ro code section .text object demand.o,</v>
      </c>
    </row>
    <row r="210" spans="1:11" x14ac:dyDescent="0.25">
      <c r="A210" t="s">
        <v>537</v>
      </c>
      <c r="B210" t="str">
        <f t="shared" si="179"/>
        <v/>
      </c>
      <c r="C210">
        <f t="shared" si="161"/>
        <v>0</v>
      </c>
      <c r="D210" t="s">
        <v>227</v>
      </c>
      <c r="E210" t="str">
        <f t="shared" ref="E210:E225" si="185">SUBSTITUTE(D210,"-","_")</f>
        <v>ed_config.o</v>
      </c>
      <c r="F210">
        <f t="shared" ref="F210:F225" ca="1" si="186">IFERROR(VLOOKUP(D210,INDIRECT($F$1),2,FALSE),0)</f>
        <v>742</v>
      </c>
      <c r="H210">
        <f t="shared" ref="H210:H225" ca="1" si="187">H209+F209+G209+IF(MOD(F209+H209+G209,$G$206)=0,0,$G$206-MOD(F209+H209+G209,$G$206))</f>
        <v>634560</v>
      </c>
      <c r="I210" t="str">
        <f t="shared" ref="I210:I225" ca="1" si="188">"0x"&amp;DEC2HEX(H210,8)</f>
        <v>0x0009AEC0</v>
      </c>
      <c r="J210" s="4" t="str">
        <f t="shared" si="183"/>
        <v/>
      </c>
      <c r="K210" s="4" t="str">
        <f t="shared" si="184"/>
        <v xml:space="preserve">                                                           ro code section .text object ed_config.o,</v>
      </c>
    </row>
    <row r="211" spans="1:11" x14ac:dyDescent="0.25">
      <c r="A211" t="s">
        <v>537</v>
      </c>
      <c r="B211" t="str">
        <f t="shared" si="179"/>
        <v/>
      </c>
      <c r="C211">
        <f t="shared" si="161"/>
        <v>0</v>
      </c>
      <c r="D211" t="s">
        <v>367</v>
      </c>
      <c r="E211" t="str">
        <f t="shared" si="185"/>
        <v>endpt_cim_cmd.o</v>
      </c>
      <c r="F211">
        <f t="shared" ca="1" si="186"/>
        <v>1000</v>
      </c>
      <c r="H211">
        <f t="shared" ca="1" si="187"/>
        <v>635312</v>
      </c>
      <c r="I211" t="str">
        <f t="shared" ca="1" si="188"/>
        <v>0x0009B1B0</v>
      </c>
      <c r="J211" s="4" t="str">
        <f t="shared" si="183"/>
        <v/>
      </c>
      <c r="K211" s="4" t="str">
        <f t="shared" si="184"/>
        <v xml:space="preserve">                                                           ro code section .text object endpt_cim_cmd.o,</v>
      </c>
    </row>
    <row r="212" spans="1:11" x14ac:dyDescent="0.25">
      <c r="A212" t="s">
        <v>537</v>
      </c>
      <c r="B212" t="str">
        <f t="shared" si="179"/>
        <v/>
      </c>
      <c r="C212">
        <f t="shared" si="161"/>
        <v>0</v>
      </c>
      <c r="D212" t="s">
        <v>218</v>
      </c>
      <c r="E212" t="str">
        <f t="shared" si="185"/>
        <v>historyd.o</v>
      </c>
      <c r="F212">
        <f t="shared" ca="1" si="186"/>
        <v>0</v>
      </c>
      <c r="H212">
        <f t="shared" ca="1" si="187"/>
        <v>636320</v>
      </c>
      <c r="I212" t="str">
        <f t="shared" ca="1" si="188"/>
        <v>0x0009B5A0</v>
      </c>
      <c r="J212" s="4" t="str">
        <f t="shared" si="183"/>
        <v/>
      </c>
      <c r="K212" s="4" t="str">
        <f t="shared" si="184"/>
        <v xml:space="preserve">                                                           ro code section .text object historyd.o,</v>
      </c>
    </row>
    <row r="213" spans="1:11" x14ac:dyDescent="0.25">
      <c r="A213" t="s">
        <v>537</v>
      </c>
      <c r="B213" t="str">
        <f t="shared" si="179"/>
        <v/>
      </c>
      <c r="C213">
        <f t="shared" si="161"/>
        <v>0</v>
      </c>
      <c r="D213" t="s">
        <v>215</v>
      </c>
      <c r="E213" t="str">
        <f t="shared" si="185"/>
        <v>ID_intervalTask.o</v>
      </c>
      <c r="F213">
        <f t="shared" ca="1" si="186"/>
        <v>0</v>
      </c>
      <c r="H213">
        <f t="shared" ca="1" si="187"/>
        <v>636320</v>
      </c>
      <c r="I213" t="str">
        <f t="shared" ca="1" si="188"/>
        <v>0x0009B5A0</v>
      </c>
      <c r="J213" s="4" t="str">
        <f t="shared" si="183"/>
        <v/>
      </c>
      <c r="K213" s="4" t="str">
        <f t="shared" si="184"/>
        <v xml:space="preserve">                                                           ro code section .text object ID_intervalTask.o,</v>
      </c>
    </row>
    <row r="214" spans="1:11" x14ac:dyDescent="0.25">
      <c r="A214" t="s">
        <v>537</v>
      </c>
      <c r="B214" t="str">
        <f t="shared" si="179"/>
        <v/>
      </c>
      <c r="C214">
        <f t="shared" si="161"/>
        <v>0</v>
      </c>
      <c r="D214" t="s">
        <v>292</v>
      </c>
      <c r="E214" t="str">
        <f t="shared" si="185"/>
        <v>IDL_IdleProcess.o</v>
      </c>
      <c r="F214">
        <f t="shared" ca="1" si="186"/>
        <v>24</v>
      </c>
      <c r="H214">
        <f t="shared" ca="1" si="187"/>
        <v>636320</v>
      </c>
      <c r="I214" t="str">
        <f t="shared" ca="1" si="188"/>
        <v>0x0009B5A0</v>
      </c>
      <c r="J214" s="4" t="str">
        <f t="shared" si="183"/>
        <v/>
      </c>
      <c r="K214" s="4" t="str">
        <f t="shared" si="184"/>
        <v xml:space="preserve">                                                           ro code section .text object IDL_IdleProcess.o,</v>
      </c>
    </row>
    <row r="215" spans="1:11" x14ac:dyDescent="0.25">
      <c r="A215" t="s">
        <v>537</v>
      </c>
      <c r="B215" t="str">
        <f t="shared" si="179"/>
        <v/>
      </c>
      <c r="C215">
        <f t="shared" si="161"/>
        <v>0</v>
      </c>
      <c r="D215" t="s">
        <v>210</v>
      </c>
      <c r="E215" t="str">
        <f t="shared" si="185"/>
        <v>OR_MR_Handler.o</v>
      </c>
      <c r="F215">
        <f t="shared" ca="1" si="186"/>
        <v>0</v>
      </c>
      <c r="H215">
        <f t="shared" ca="1" si="187"/>
        <v>636352</v>
      </c>
      <c r="I215" t="str">
        <f t="shared" ca="1" si="188"/>
        <v>0x0009B5C0</v>
      </c>
      <c r="J215" s="4" t="str">
        <f t="shared" si="183"/>
        <v/>
      </c>
      <c r="K215" s="4" t="str">
        <f t="shared" si="184"/>
        <v xml:space="preserve">                                                           ro code section .text object OR_MR_Handler.o,</v>
      </c>
    </row>
    <row r="216" spans="1:11" x14ac:dyDescent="0.25">
      <c r="A216" t="s">
        <v>537</v>
      </c>
      <c r="B216" t="str">
        <f t="shared" si="179"/>
        <v/>
      </c>
      <c r="C216">
        <f t="shared" si="161"/>
        <v>0</v>
      </c>
      <c r="D216" t="s">
        <v>98</v>
      </c>
      <c r="E216" t="str">
        <f t="shared" si="185"/>
        <v>pwr_config.o</v>
      </c>
      <c r="F216">
        <f t="shared" ca="1" si="186"/>
        <v>862</v>
      </c>
      <c r="H216">
        <f t="shared" ca="1" si="187"/>
        <v>636352</v>
      </c>
      <c r="I216" t="str">
        <f t="shared" ca="1" si="188"/>
        <v>0x0009B5C0</v>
      </c>
      <c r="J216" s="4" t="str">
        <f t="shared" si="183"/>
        <v/>
      </c>
      <c r="K216" s="4" t="str">
        <f t="shared" si="184"/>
        <v xml:space="preserve">                                                           ro code section .text object pwr_config.o,</v>
      </c>
    </row>
    <row r="217" spans="1:11" x14ac:dyDescent="0.25">
      <c r="A217" t="s">
        <v>537</v>
      </c>
      <c r="B217" t="str">
        <f t="shared" si="179"/>
        <v/>
      </c>
      <c r="C217">
        <f t="shared" si="161"/>
        <v>0</v>
      </c>
      <c r="D217" t="s">
        <v>36</v>
      </c>
      <c r="E217" t="str">
        <f t="shared" si="185"/>
        <v>pwr_last_gasp.o</v>
      </c>
      <c r="F217">
        <f t="shared" ca="1" si="186"/>
        <v>5672</v>
      </c>
      <c r="H217">
        <f t="shared" ca="1" si="187"/>
        <v>637216</v>
      </c>
      <c r="I217" t="str">
        <f t="shared" ca="1" si="188"/>
        <v>0x0009B920</v>
      </c>
      <c r="J217" s="4" t="str">
        <f t="shared" si="183"/>
        <v/>
      </c>
      <c r="K217" s="4" t="str">
        <f t="shared" si="184"/>
        <v xml:space="preserve">                                                           ro code section .text object pwr_last_gasp.o,</v>
      </c>
    </row>
    <row r="218" spans="1:11" x14ac:dyDescent="0.25">
      <c r="A218" t="s">
        <v>537</v>
      </c>
      <c r="B218" t="str">
        <f t="shared" si="179"/>
        <v/>
      </c>
      <c r="C218">
        <f t="shared" si="161"/>
        <v>0</v>
      </c>
      <c r="D218" t="s">
        <v>312</v>
      </c>
      <c r="E218" t="str">
        <f t="shared" si="185"/>
        <v>pwr_restore.o</v>
      </c>
      <c r="F218">
        <f t="shared" ca="1" si="186"/>
        <v>1668</v>
      </c>
      <c r="H218">
        <f t="shared" ca="1" si="187"/>
        <v>642896</v>
      </c>
      <c r="I218" t="str">
        <f t="shared" ca="1" si="188"/>
        <v>0x0009CF50</v>
      </c>
      <c r="J218" s="4" t="str">
        <f t="shared" si="183"/>
        <v/>
      </c>
      <c r="K218" s="4" t="str">
        <f t="shared" si="184"/>
        <v xml:space="preserve">                                                           ro code section .text object pwr_restore.o,</v>
      </c>
    </row>
    <row r="219" spans="1:11" x14ac:dyDescent="0.25">
      <c r="A219" t="s">
        <v>537</v>
      </c>
      <c r="B219" t="str">
        <f t="shared" si="179"/>
        <v/>
      </c>
      <c r="C219">
        <f t="shared" si="161"/>
        <v>0</v>
      </c>
      <c r="D219" t="s">
        <v>220</v>
      </c>
      <c r="E219" t="str">
        <f t="shared" si="185"/>
        <v>pwr_task.o</v>
      </c>
      <c r="F219">
        <f t="shared" ca="1" si="186"/>
        <v>2296</v>
      </c>
      <c r="H219">
        <f t="shared" ca="1" si="187"/>
        <v>644576</v>
      </c>
      <c r="I219" t="str">
        <f t="shared" ca="1" si="188"/>
        <v>0x0009D5E0</v>
      </c>
      <c r="J219" s="4" t="str">
        <f t="shared" si="183"/>
        <v/>
      </c>
      <c r="K219" s="4" t="str">
        <f t="shared" si="184"/>
        <v xml:space="preserve">                                                           ro code section .text object pwr_task.o,</v>
      </c>
    </row>
    <row r="220" spans="1:11" x14ac:dyDescent="0.25">
      <c r="A220" t="s">
        <v>537</v>
      </c>
      <c r="B220" t="str">
        <f t="shared" si="179"/>
        <v/>
      </c>
      <c r="C220">
        <f t="shared" si="161"/>
        <v>0</v>
      </c>
      <c r="D220" t="s">
        <v>408</v>
      </c>
      <c r="E220" t="str">
        <f t="shared" si="185"/>
        <v>RG_CF_Handler.o</v>
      </c>
      <c r="F220">
        <f t="shared" ca="1" si="186"/>
        <v>116</v>
      </c>
      <c r="H220">
        <f t="shared" ca="1" si="187"/>
        <v>646880</v>
      </c>
      <c r="I220" t="str">
        <f t="shared" ca="1" si="188"/>
        <v>0x0009DEE0</v>
      </c>
      <c r="J220" s="4" t="str">
        <f t="shared" si="183"/>
        <v/>
      </c>
      <c r="K220" s="4" t="str">
        <f t="shared" si="184"/>
        <v xml:space="preserve">                                                           ro code section .text object RG_CF_Handler.o,</v>
      </c>
    </row>
    <row r="221" spans="1:11" x14ac:dyDescent="0.25">
      <c r="A221" t="s">
        <v>537</v>
      </c>
      <c r="B221" t="str">
        <f t="shared" si="179"/>
        <v/>
      </c>
      <c r="C221">
        <f t="shared" si="161"/>
        <v>0</v>
      </c>
      <c r="D221" t="s">
        <v>313</v>
      </c>
      <c r="E221" t="str">
        <f t="shared" si="185"/>
        <v>RG_MD_Handler.o</v>
      </c>
      <c r="F221">
        <f t="shared" ca="1" si="186"/>
        <v>1252</v>
      </c>
      <c r="H221">
        <f t="shared" ca="1" si="187"/>
        <v>647008</v>
      </c>
      <c r="I221" t="str">
        <f t="shared" ca="1" si="188"/>
        <v>0x0009DF60</v>
      </c>
      <c r="J221" s="4" t="str">
        <f t="shared" si="183"/>
        <v/>
      </c>
      <c r="K221" s="4" t="str">
        <f t="shared" si="184"/>
        <v xml:space="preserve">                                                           ro code section .text object RG_MD_Handler.o,</v>
      </c>
    </row>
    <row r="222" spans="1:11" x14ac:dyDescent="0.25">
      <c r="A222" t="s">
        <v>537</v>
      </c>
      <c r="B222" t="str">
        <f t="shared" si="179"/>
        <v/>
      </c>
      <c r="C222">
        <f t="shared" si="161"/>
        <v>0</v>
      </c>
      <c r="D222" t="s">
        <v>198</v>
      </c>
      <c r="E222" t="str">
        <f t="shared" si="185"/>
        <v>STRT_Startup.o</v>
      </c>
      <c r="F222">
        <f t="shared" ca="1" si="186"/>
        <v>436</v>
      </c>
      <c r="H222">
        <f t="shared" ca="1" si="187"/>
        <v>648272</v>
      </c>
      <c r="I222" t="str">
        <f t="shared" ca="1" si="188"/>
        <v>0x0009E450</v>
      </c>
      <c r="J222" s="4" t="str">
        <f t="shared" si="183"/>
        <v/>
      </c>
      <c r="K222" s="4" t="str">
        <f t="shared" si="184"/>
        <v xml:space="preserve">                                                           ro code section .text object STRT_Startup.o,</v>
      </c>
    </row>
    <row r="223" spans="1:11" x14ac:dyDescent="0.25">
      <c r="A223" t="s">
        <v>537</v>
      </c>
      <c r="B223" t="str">
        <f t="shared" si="179"/>
        <v/>
      </c>
      <c r="C223">
        <f t="shared" si="161"/>
        <v>0</v>
      </c>
      <c r="D223" t="s">
        <v>83</v>
      </c>
      <c r="E223" t="str">
        <f t="shared" si="185"/>
        <v>Task.o</v>
      </c>
      <c r="F223">
        <f t="shared" ca="1" si="186"/>
        <v>2480</v>
      </c>
      <c r="H223">
        <f t="shared" ca="1" si="187"/>
        <v>648720</v>
      </c>
      <c r="I223" t="str">
        <f t="shared" ca="1" si="188"/>
        <v>0x0009E610</v>
      </c>
      <c r="J223" s="4" t="str">
        <f t="shared" si="183"/>
        <v/>
      </c>
      <c r="K223" s="4" t="str">
        <f t="shared" si="184"/>
        <v xml:space="preserve">                                                           ro code section .text object Task.o,</v>
      </c>
    </row>
    <row r="224" spans="1:11" x14ac:dyDescent="0.25">
      <c r="A224" t="s">
        <v>537</v>
      </c>
      <c r="B224" t="str">
        <f t="shared" si="179"/>
        <v/>
      </c>
      <c r="C224">
        <f t="shared" si="161"/>
        <v>0</v>
      </c>
      <c r="D224" t="s">
        <v>409</v>
      </c>
      <c r="E224" t="str">
        <f t="shared" si="185"/>
        <v>vbat_reg.o</v>
      </c>
      <c r="F224">
        <f t="shared" ca="1" si="186"/>
        <v>108</v>
      </c>
      <c r="H224">
        <f t="shared" ca="1" si="187"/>
        <v>651200</v>
      </c>
      <c r="I224" t="str">
        <f t="shared" ca="1" si="188"/>
        <v>0x0009EFC0</v>
      </c>
      <c r="J224" s="4" t="str">
        <f t="shared" si="183"/>
        <v/>
      </c>
      <c r="K224" s="4" t="str">
        <f t="shared" si="184"/>
        <v xml:space="preserve">                                                           ro code section .text object vbat_reg.o,</v>
      </c>
    </row>
    <row r="225" spans="1:11" x14ac:dyDescent="0.25">
      <c r="A225" t="s">
        <v>537</v>
      </c>
      <c r="B225" t="str">
        <f t="shared" si="179"/>
        <v/>
      </c>
      <c r="C225">
        <f t="shared" si="161"/>
        <v>0</v>
      </c>
      <c r="D225" t="s">
        <v>229</v>
      </c>
      <c r="E225" t="str">
        <f t="shared" si="185"/>
        <v>version.o</v>
      </c>
      <c r="F225">
        <f t="shared" ca="1" si="186"/>
        <v>324</v>
      </c>
      <c r="H225">
        <f t="shared" ca="1" si="187"/>
        <v>651312</v>
      </c>
      <c r="I225" t="str">
        <f t="shared" ca="1" si="188"/>
        <v>0x0009F030</v>
      </c>
      <c r="J225" s="4" t="str">
        <f t="shared" si="183"/>
        <v/>
      </c>
      <c r="K225" s="4" t="str">
        <f t="shared" si="184"/>
        <v xml:space="preserve">                                                           ro code section .text object version.o };</v>
      </c>
    </row>
    <row r="226" spans="1:11" x14ac:dyDescent="0.25">
      <c r="B226" t="str">
        <f>B208&amp;"_end"</f>
        <v>MTU_Common_TEXT_end</v>
      </c>
      <c r="F226">
        <f ca="1">SUM(F208:F225)</f>
        <v>19468</v>
      </c>
      <c r="G226">
        <f ca="1">INT(($G$205/100)*F226)</f>
        <v>194</v>
      </c>
      <c r="H226">
        <f ca="1">H225+F225+G226+IF(MOD(F225+H225+G226,$G$206)=0,0,$G$206-MOD(F225+H225+G226,$G$206))</f>
        <v>651840</v>
      </c>
      <c r="I226" t="str">
        <f t="shared" ca="1" si="182"/>
        <v>0x0009F240</v>
      </c>
      <c r="J226" s="4"/>
    </row>
    <row r="228" spans="1:11" x14ac:dyDescent="0.25">
      <c r="A228" t="s">
        <v>928</v>
      </c>
      <c r="B228" t="str">
        <f ca="1">CELL("address",J226)</f>
        <v>$J$226</v>
      </c>
    </row>
    <row r="229" spans="1:11" x14ac:dyDescent="0.25">
      <c r="J229" s="4" t="str">
        <f ca="1">J5</f>
        <v>define symbol utils_TEXT       = 0x0004B874;</v>
      </c>
      <c r="K229" t="str">
        <f>K5</f>
        <v>"utils_TEXT":      place at address mem: utils_TEXT      { ro code section .text object ascii.o,</v>
      </c>
    </row>
    <row r="230" spans="1:11" x14ac:dyDescent="0.25">
      <c r="J230" s="4" t="str">
        <f ca="1">J21</f>
        <v>define symbol dfw_TEXT         = 0x0004C7F0;</v>
      </c>
      <c r="K230" t="str">
        <f t="shared" ref="K230:K239" si="189">K6</f>
        <v xml:space="preserve">                                                           ro code section .text object bcd.o,</v>
      </c>
    </row>
    <row r="231" spans="1:11" x14ac:dyDescent="0.25">
      <c r="J231" s="4" t="str">
        <f ca="1">J30</f>
        <v>define symbol driver_TEXT      = 0x00051C20;</v>
      </c>
      <c r="K231" t="str">
        <f t="shared" si="189"/>
        <v xml:space="preserve">                                                           ro code section .text object bit_util.o,</v>
      </c>
    </row>
    <row r="232" spans="1:11" x14ac:dyDescent="0.25">
      <c r="J232" s="4" t="str">
        <f ca="1">J42</f>
        <v>define symbol stack_TEXT       = 0x00053FC0;</v>
      </c>
      <c r="K232" t="str">
        <f t="shared" si="189"/>
        <v xml:space="preserve">                                                           ro code section .text object byteswap.o,</v>
      </c>
    </row>
    <row r="233" spans="1:11" x14ac:dyDescent="0.25">
      <c r="J233" s="4" t="str">
        <f ca="1">J81</f>
        <v>define symbol OS_API_TEXT      = 0x00066610;</v>
      </c>
      <c r="K233" t="str">
        <f t="shared" si="189"/>
        <v xml:space="preserve">                                                           ro code section .text object crc16_m.o,</v>
      </c>
    </row>
    <row r="234" spans="1:11" x14ac:dyDescent="0.25">
      <c r="J234" s="4" t="str">
        <f ca="1">J92</f>
        <v>define symbol radio_TEXT       = 0x00066B50;</v>
      </c>
      <c r="K234" t="str">
        <f t="shared" si="189"/>
        <v xml:space="preserve">                                                           ro code section .text object crc32.o,</v>
      </c>
    </row>
    <row r="235" spans="1:11" x14ac:dyDescent="0.25">
      <c r="J235" s="4" t="str">
        <f ca="1">J106</f>
        <v>define symbol security_TEXT    = 0x0006B3A0;</v>
      </c>
      <c r="K235" t="str">
        <f t="shared" si="189"/>
        <v xml:space="preserve">                                                           ro code section .text object invert_bits.o,</v>
      </c>
    </row>
    <row r="236" spans="1:11" x14ac:dyDescent="0.25">
      <c r="J236" s="4" t="str">
        <f ca="1">J117</f>
        <v>define symbol AclaraBSP_TEXT   = 0x0006E390;</v>
      </c>
      <c r="K236" t="str">
        <f t="shared" si="189"/>
        <v xml:space="preserve">                                                           ro code section .text object pack.o,</v>
      </c>
    </row>
    <row r="237" spans="1:11" x14ac:dyDescent="0.25">
      <c r="J237" s="4" t="str">
        <f ca="1">J133</f>
        <v>define symbol Common_TEXT      = 0x00080000;</v>
      </c>
      <c r="K237" t="str">
        <f t="shared" si="189"/>
        <v xml:space="preserve">                                                           ro code section .text object rand.o,</v>
      </c>
    </row>
    <row r="238" spans="1:11" x14ac:dyDescent="0.25">
      <c r="J238" s="4" t="str">
        <f ca="1">J169</f>
        <v>define symbol HMC_TEXT         = 0x00098D60;</v>
      </c>
      <c r="K238" t="str">
        <f t="shared" si="189"/>
        <v xml:space="preserve">                                                           ro code section .text object time_util.o,</v>
      </c>
    </row>
    <row r="239" spans="1:11" x14ac:dyDescent="0.25">
      <c r="J239" s="4" t="str">
        <f ca="1">J208</f>
        <v>define symbol MTU_Common_TEXT  = 0x0009A500;</v>
      </c>
      <c r="K239" t="str">
        <f t="shared" si="189"/>
        <v xml:space="preserve">                                                           ro code section .text object timer_util.o };</v>
      </c>
    </row>
    <row r="240" spans="1:11" x14ac:dyDescent="0.25">
      <c r="J240" s="4"/>
      <c r="K240" t="str">
        <f>K21</f>
        <v>"dfw_TEXT":        place at address mem: dfw_TEXT        { ro code section .text object dfw_app.o,</v>
      </c>
    </row>
    <row r="241" spans="11:11" x14ac:dyDescent="0.25">
      <c r="K241" t="str">
        <f>K22</f>
        <v xml:space="preserve">                                                           ro code section .text object dfw_interface.o,</v>
      </c>
    </row>
    <row r="242" spans="11:11" x14ac:dyDescent="0.25">
      <c r="K242" t="str">
        <f>K23</f>
        <v xml:space="preserve">                                                           ro code section .text object dfw_pckt.o,</v>
      </c>
    </row>
    <row r="243" spans="11:11" x14ac:dyDescent="0.25">
      <c r="K243" t="str">
        <f>K24</f>
        <v xml:space="preserve">                                                           ro code section .text object dfwtd_config.o };</v>
      </c>
    </row>
    <row r="244" spans="11:11" x14ac:dyDescent="0.25">
      <c r="K244" t="str">
        <f t="shared" ref="K244:K250" si="190">K30</f>
        <v>"driver_TEXT":     place at address mem: driver_TEXT     { ro code section .text object dvr_banked.o,</v>
      </c>
    </row>
    <row r="245" spans="11:11" x14ac:dyDescent="0.25">
      <c r="K245" t="str">
        <f t="shared" si="190"/>
        <v xml:space="preserve">                                                           ro code section .text object dvr_cache.o,</v>
      </c>
    </row>
    <row r="246" spans="11:11" x14ac:dyDescent="0.25">
      <c r="K246" t="str">
        <f t="shared" si="190"/>
        <v xml:space="preserve">                                                           ro code section .text object dvr_extflash.o,</v>
      </c>
    </row>
    <row r="247" spans="11:11" x14ac:dyDescent="0.25">
      <c r="K247" t="str">
        <f t="shared" si="190"/>
        <v xml:space="preserve">                                                           ro code section .text object dvr_sectPreErase.o,</v>
      </c>
    </row>
    <row r="248" spans="11:11" x14ac:dyDescent="0.25">
      <c r="K248" t="str">
        <f t="shared" si="190"/>
        <v xml:space="preserve">                                                           ro code section .text object dvr_sharedMem.o,</v>
      </c>
    </row>
    <row r="249" spans="11:11" x14ac:dyDescent="0.25">
      <c r="K249" t="str">
        <f t="shared" si="190"/>
        <v xml:space="preserve">                                                           ro code section .text object IF_intFlash.o,</v>
      </c>
    </row>
    <row r="250" spans="11:11" x14ac:dyDescent="0.25">
      <c r="K250" t="str">
        <f t="shared" si="190"/>
        <v xml:space="preserve">                                                           ro code section .text object spi_mstr.o };</v>
      </c>
    </row>
    <row r="251" spans="11:11" x14ac:dyDescent="0.25">
      <c r="K251" t="str">
        <f t="shared" ref="K251:K284" si="191">K42</f>
        <v>"stack_TEXT":      place at address mem: stack_TEXT      { ro code section .text object COMM.o,</v>
      </c>
    </row>
    <row r="252" spans="11:11" x14ac:dyDescent="0.25">
      <c r="K252" t="str">
        <f t="shared" si="191"/>
        <v xml:space="preserve">                                                           ro code section .text object SM.o,</v>
      </c>
    </row>
    <row r="253" spans="11:11" x14ac:dyDescent="0.25">
      <c r="K253" t="str">
        <f t="shared" si="191"/>
        <v xml:space="preserve">                                                           ro code section .text object smtd_config.o,</v>
      </c>
    </row>
    <row r="254" spans="11:11" x14ac:dyDescent="0.25">
      <c r="K254" t="str">
        <f t="shared" si="191"/>
        <v xml:space="preserve">                                                           ro code section .text object dtls.o,</v>
      </c>
    </row>
    <row r="255" spans="11:11" x14ac:dyDescent="0.25">
      <c r="K255" t="str">
        <f t="shared" si="191"/>
        <v xml:space="preserve">                                                           ro code section .text object mtls.o,</v>
      </c>
    </row>
    <row r="256" spans="11:11" x14ac:dyDescent="0.25">
      <c r="K256" t="str">
        <f t="shared" si="191"/>
        <v xml:space="preserve">                                                           ro code section .text object STACK.o,</v>
      </c>
    </row>
    <row r="257" spans="11:11" x14ac:dyDescent="0.25">
      <c r="K257" t="str">
        <f t="shared" si="191"/>
        <v xml:space="preserve">                                                           ro code section .text object MAC.o,</v>
      </c>
    </row>
    <row r="258" spans="11:11" x14ac:dyDescent="0.25">
      <c r="K258" t="str">
        <f t="shared" si="191"/>
        <v xml:space="preserve">                                                           ro code section .text object MAC_FrameEncoder.o,</v>
      </c>
    </row>
    <row r="259" spans="11:11" x14ac:dyDescent="0.25">
      <c r="K259" t="str">
        <f t="shared" si="191"/>
        <v xml:space="preserve">                                                           ro code section .text object MAC_FrameManagement.o,</v>
      </c>
    </row>
    <row r="260" spans="11:11" x14ac:dyDescent="0.25">
      <c r="K260" t="str">
        <f t="shared" si="191"/>
        <v xml:space="preserve">                                                           ro code section .text object MAC_PacketManagement.o,</v>
      </c>
    </row>
    <row r="261" spans="11:11" x14ac:dyDescent="0.25">
      <c r="K261" t="str">
        <f t="shared" si="191"/>
        <v xml:space="preserve">                                                           ro code section .text object PHY.o,</v>
      </c>
    </row>
    <row r="262" spans="11:11" x14ac:dyDescent="0.25">
      <c r="K262" t="str">
        <f t="shared" si="191"/>
        <v xml:space="preserve">                                                           ro code section .text object EstimateCarrierFrequencyOffset.o,</v>
      </c>
    </row>
    <row r="263" spans="11:11" x14ac:dyDescent="0.25">
      <c r="K263" t="str">
        <f t="shared" si="191"/>
        <v xml:space="preserve">                                                           ro code section .text object MaximizeEyeOpening.o,</v>
      </c>
    </row>
    <row r="264" spans="11:11" x14ac:dyDescent="0.25">
      <c r="K264" t="str">
        <f t="shared" si="191"/>
        <v xml:space="preserve">                                                           ro code section .text object PerformCFOCompensation.o,</v>
      </c>
    </row>
    <row r="265" spans="11:11" x14ac:dyDescent="0.25">
      <c r="K265" t="str">
        <f t="shared" si="191"/>
        <v xml:space="preserve">                                                           ro code section .text object preamble_detect.o,</v>
      </c>
    </row>
    <row r="266" spans="11:11" x14ac:dyDescent="0.25">
      <c r="K266" t="str">
        <f t="shared" si="191"/>
        <v xml:space="preserve">                                                           ro code section .text object preambleDetector.o,</v>
      </c>
    </row>
    <row r="267" spans="11:11" x14ac:dyDescent="0.25">
      <c r="K267" t="str">
        <f t="shared" si="191"/>
        <v xml:space="preserve">                                                           ro code section .text object preambleDetector_Data.o,</v>
      </c>
    </row>
    <row r="268" spans="11:11" x14ac:dyDescent="0.25">
      <c r="K268" t="str">
        <f t="shared" si="191"/>
        <v xml:space="preserve">                                                           ro code section .text object preambleDetector_initialize.o,</v>
      </c>
    </row>
    <row r="269" spans="11:11" x14ac:dyDescent="0.25">
      <c r="K269" t="str">
        <f t="shared" si="191"/>
        <v xml:space="preserve">                                                           ro code section .text object processDerotatedSamples.o,</v>
      </c>
    </row>
    <row r="270" spans="11:11" x14ac:dyDescent="0.25">
      <c r="K270" t="str">
        <f t="shared" si="191"/>
        <v xml:space="preserve">                                                           ro code section .text object ScaleClipFreq2phase.o,</v>
      </c>
    </row>
    <row r="271" spans="11:11" x14ac:dyDescent="0.25">
      <c r="K271" t="str">
        <f t="shared" si="191"/>
        <v xml:space="preserve">                                                           ro code section .text object sign.o,</v>
      </c>
    </row>
    <row r="272" spans="11:11" x14ac:dyDescent="0.25">
      <c r="K272" t="str">
        <f t="shared" si="191"/>
        <v xml:space="preserve">                                                           ro code section .text object fir_filt_circ_buff.o,</v>
      </c>
    </row>
    <row r="273" spans="11:11" x14ac:dyDescent="0.25">
      <c r="K273" t="str">
        <f t="shared" si="191"/>
        <v xml:space="preserve">                                                           ro code section .text object gresample.o,</v>
      </c>
    </row>
    <row r="274" spans="11:11" x14ac:dyDescent="0.25">
      <c r="K274" t="str">
        <f t="shared" si="191"/>
        <v xml:space="preserve">                                                           ro code section .text object phase2freq_wi_unwrap.o,</v>
      </c>
    </row>
    <row r="275" spans="11:11" x14ac:dyDescent="0.25">
      <c r="K275" t="str">
        <f t="shared" si="191"/>
        <v xml:space="preserve">                                                           ro code section .text object findSYNC.o,</v>
      </c>
    </row>
    <row r="276" spans="11:11" x14ac:dyDescent="0.25">
      <c r="K276" t="str">
        <f t="shared" si="191"/>
        <v xml:space="preserve">                                                           ro code section .text object FreqDomMlseP4GfskStruct2.o,</v>
      </c>
    </row>
    <row r="277" spans="11:11" x14ac:dyDescent="0.25">
      <c r="K277" t="str">
        <f t="shared" si="191"/>
        <v xml:space="preserve">                                                           ro code section .text object processDerotatedSPDSamples.o,</v>
      </c>
    </row>
    <row r="278" spans="11:11" x14ac:dyDescent="0.25">
      <c r="K278" t="str">
        <f t="shared" si="191"/>
        <v xml:space="preserve">                                                           ro code section .text object SyncAndPayloadDemodulator.o,</v>
      </c>
    </row>
    <row r="279" spans="11:11" x14ac:dyDescent="0.25">
      <c r="K279" t="str">
        <f t="shared" si="191"/>
        <v xml:space="preserve">                                                           ro code section .text object SoftDemodulator.o,</v>
      </c>
    </row>
    <row r="280" spans="11:11" x14ac:dyDescent="0.25">
      <c r="K280" t="str">
        <f t="shared" si="191"/>
        <v xml:space="preserve">                                                           ro code section .text object rs.o,</v>
      </c>
    </row>
    <row r="281" spans="11:11" x14ac:dyDescent="0.25">
      <c r="K281" t="str">
        <f t="shared" si="191"/>
        <v xml:space="preserve">                                                           ro code section .text object galois.o,</v>
      </c>
    </row>
    <row r="282" spans="11:11" x14ac:dyDescent="0.25">
      <c r="K282" t="str">
        <f t="shared" si="191"/>
        <v xml:space="preserve">                                                           ro code section .text object rsdec.o,</v>
      </c>
    </row>
    <row r="283" spans="11:11" x14ac:dyDescent="0.25">
      <c r="K283" t="str">
        <f t="shared" si="191"/>
        <v xml:space="preserve">                                                           ro code section .text object rsenc.o,</v>
      </c>
    </row>
    <row r="284" spans="11:11" x14ac:dyDescent="0.25">
      <c r="K284" t="str">
        <f t="shared" si="191"/>
        <v xml:space="preserve">                                                           ro code section .text object indication.o };</v>
      </c>
    </row>
    <row r="285" spans="11:11" x14ac:dyDescent="0.25">
      <c r="K285" t="str">
        <f t="shared" ref="K285:K290" si="192">K81</f>
        <v>"OS_API_TEXT":     place at address mem: OS_API_TEXT     { ro code section .text object Event.o,</v>
      </c>
    </row>
    <row r="286" spans="11:11" x14ac:dyDescent="0.25">
      <c r="K286" t="str">
        <f t="shared" si="192"/>
        <v xml:space="preserve">                                                           ro code section .text object MessageQ.o,</v>
      </c>
    </row>
    <row r="287" spans="11:11" x14ac:dyDescent="0.25">
      <c r="K287" t="str">
        <f t="shared" si="192"/>
        <v xml:space="preserve">                                                           ro code section .text object Mutex.o,</v>
      </c>
    </row>
    <row r="288" spans="11:11" x14ac:dyDescent="0.25">
      <c r="K288" t="str">
        <f t="shared" si="192"/>
        <v xml:space="preserve">                                                           ro code section .text object Queue.o,</v>
      </c>
    </row>
    <row r="289" spans="11:11" x14ac:dyDescent="0.25">
      <c r="K289" t="str">
        <f t="shared" si="192"/>
        <v xml:space="preserve">                                                           ro code section .text object Semaphore.o,</v>
      </c>
    </row>
    <row r="290" spans="11:11" x14ac:dyDescent="0.25">
      <c r="K290" t="str">
        <f t="shared" si="192"/>
        <v xml:space="preserve">                                                           ro code section .text object TickTime.o };</v>
      </c>
    </row>
    <row r="291" spans="11:11" x14ac:dyDescent="0.25">
      <c r="K291" t="str">
        <f t="shared" ref="K291:K299" si="193">K92</f>
        <v>"radio_TEXT":      place at address mem: radio_TEXT      { ro code section .text object radio.o,</v>
      </c>
    </row>
    <row r="292" spans="11:11" x14ac:dyDescent="0.25">
      <c r="K292" t="str">
        <f t="shared" si="193"/>
        <v xml:space="preserve">                                                           ro code section .text object radio_comm.o,</v>
      </c>
    </row>
    <row r="293" spans="11:11" x14ac:dyDescent="0.25">
      <c r="K293" t="str">
        <f t="shared" si="193"/>
        <v xml:space="preserve">                                                           ro code section .text object si446x_api_lib.o,</v>
      </c>
    </row>
    <row r="294" spans="11:11" x14ac:dyDescent="0.25">
      <c r="K294" t="str">
        <f t="shared" si="193"/>
        <v xml:space="preserve">                                                           ro code section .text object radio_config_normal.o,</v>
      </c>
    </row>
    <row r="295" spans="11:11" x14ac:dyDescent="0.25">
      <c r="K295" t="str">
        <f t="shared" si="193"/>
        <v xml:space="preserve">                                                           ro code section .text object radio_config_cw.o,</v>
      </c>
    </row>
    <row r="296" spans="11:11" x14ac:dyDescent="0.25">
      <c r="K296" t="str">
        <f t="shared" si="193"/>
        <v xml:space="preserve">                                                           ro code section .text object radio_config_PN9.o,</v>
      </c>
    </row>
    <row r="297" spans="11:11" x14ac:dyDescent="0.25">
      <c r="K297" t="str">
        <f t="shared" si="193"/>
        <v xml:space="preserve">                                                           ro code section .text object radio_config_2GFSK_BER.o,</v>
      </c>
    </row>
    <row r="298" spans="11:11" x14ac:dyDescent="0.25">
      <c r="K298" t="str">
        <f t="shared" si="193"/>
        <v xml:space="preserve">                                                           ro code section .text object radio_config_4GFSK_BER.o,</v>
      </c>
    </row>
    <row r="299" spans="11:11" x14ac:dyDescent="0.25">
      <c r="K299" t="str">
        <f t="shared" si="193"/>
        <v xml:space="preserve">                                                           ro code section .text object radio_TCXO.o };</v>
      </c>
    </row>
    <row r="300" spans="11:11" x14ac:dyDescent="0.25">
      <c r="K300" t="str">
        <f t="shared" ref="K300:K305" si="194">K106</f>
        <v>"security_TEXT":   place at address mem: security_TEXT   { ro code section .text object cert-builder.o,</v>
      </c>
    </row>
    <row r="301" spans="11:11" x14ac:dyDescent="0.25">
      <c r="K301" t="str">
        <f t="shared" si="194"/>
        <v xml:space="preserve">                                                           ro code section .text object ecc108_apps.o,</v>
      </c>
    </row>
    <row r="302" spans="11:11" x14ac:dyDescent="0.25">
      <c r="K302" t="str">
        <f t="shared" si="194"/>
        <v xml:space="preserve">                                                           ro code section .text object ecc108_comm.o,</v>
      </c>
    </row>
    <row r="303" spans="11:11" x14ac:dyDescent="0.25">
      <c r="K303" t="str">
        <f t="shared" si="194"/>
        <v xml:space="preserve">                                                           ro code section .text object ecc108_comm_marshaling.o,</v>
      </c>
    </row>
    <row r="304" spans="11:11" x14ac:dyDescent="0.25">
      <c r="K304" t="str">
        <f t="shared" si="194"/>
        <v xml:space="preserve">                                                           ro code section .text object ecc108_i2c.o,</v>
      </c>
    </row>
    <row r="305" spans="11:11" x14ac:dyDescent="0.25">
      <c r="K305" t="str">
        <f t="shared" si="194"/>
        <v xml:space="preserve">                                                           ro code section .text object ecc108_mqx.o };</v>
      </c>
    </row>
    <row r="306" spans="11:11" x14ac:dyDescent="0.25">
      <c r="K306" t="str">
        <f t="shared" ref="K306:K316" si="195">K117</f>
        <v>"AclaraBSP_TEXT":  place at address mem: AclaraBSP_TEXT  { ro code section .text object ADC.o,</v>
      </c>
    </row>
    <row r="307" spans="11:11" x14ac:dyDescent="0.25">
      <c r="K307" t="str">
        <f t="shared" si="195"/>
        <v xml:space="preserve">                                                           ro code section .text object BSP_aclara.o,</v>
      </c>
    </row>
    <row r="308" spans="11:11" x14ac:dyDescent="0.25">
      <c r="K308" t="str">
        <f t="shared" si="195"/>
        <v xml:space="preserve">                                                           ro code section .text object CRC.o,</v>
      </c>
    </row>
    <row r="309" spans="11:11" x14ac:dyDescent="0.25">
      <c r="K309" t="str">
        <f t="shared" si="195"/>
        <v xml:space="preserve">                                                           ro code section .text object gpio.o,</v>
      </c>
    </row>
    <row r="310" spans="11:11" x14ac:dyDescent="0.25">
      <c r="K310" t="str">
        <f t="shared" si="195"/>
        <v xml:space="preserve">                                                           ro code section .text object LED.o,</v>
      </c>
    </row>
    <row r="311" spans="11:11" x14ac:dyDescent="0.25">
      <c r="K311" t="str">
        <f t="shared" si="195"/>
        <v xml:space="preserve">                                                           ro code section .text object radio_hal.o,</v>
      </c>
    </row>
    <row r="312" spans="11:11" x14ac:dyDescent="0.25">
      <c r="K312" t="str">
        <f t="shared" si="195"/>
        <v xml:space="preserve">                                                           ro code section .text object rng.o,</v>
      </c>
    </row>
    <row r="313" spans="11:11" x14ac:dyDescent="0.25">
      <c r="K313" t="str">
        <f t="shared" si="195"/>
        <v xml:space="preserve">                                                           ro code section .text object RTC.o,</v>
      </c>
    </row>
    <row r="314" spans="11:11" x14ac:dyDescent="0.25">
      <c r="K314" t="str">
        <f t="shared" si="195"/>
        <v xml:space="preserve">                                                           ro code section .text object sys_clock.o,</v>
      </c>
    </row>
    <row r="315" spans="11:11" x14ac:dyDescent="0.25">
      <c r="K315" t="str">
        <f t="shared" si="195"/>
        <v xml:space="preserve">                                                           ro code section .text object UART.o,</v>
      </c>
    </row>
    <row r="316" spans="11:11" x14ac:dyDescent="0.25">
      <c r="K316" t="str">
        <f t="shared" si="195"/>
        <v xml:space="preserve">                                                           ro code section .text object WDOG.o };</v>
      </c>
    </row>
    <row r="317" spans="11:11" x14ac:dyDescent="0.25">
      <c r="K317" t="str">
        <f t="shared" ref="K317:K347" si="196">K133</f>
        <v>"Common_TEXT":     place at address mem: Common_TEXT     { ro code section .text object alarm_task.o,</v>
      </c>
    </row>
    <row r="318" spans="11:11" x14ac:dyDescent="0.25">
      <c r="K318" t="str">
        <f t="shared" si="196"/>
        <v xml:space="preserve">                                                           ro code section .text object ALRM_Handler.o,</v>
      </c>
    </row>
    <row r="319" spans="11:11" x14ac:dyDescent="0.25">
      <c r="K319" t="str">
        <f t="shared" si="196"/>
        <v xml:space="preserve">                                                           ro code section .text object BUF_MemoryBuffers.o,</v>
      </c>
    </row>
    <row r="320" spans="11:11" x14ac:dyDescent="0.25">
      <c r="K320" t="str">
        <f t="shared" si="196"/>
        <v xml:space="preserve">                                                           ro code section .text object buffer.o,</v>
      </c>
    </row>
    <row r="321" spans="11:11" x14ac:dyDescent="0.25">
      <c r="K321" t="str">
        <f t="shared" si="196"/>
        <v xml:space="preserve">                                                           ro code section .text object DBG_CommandLine.o,</v>
      </c>
    </row>
    <row r="322" spans="11:11" x14ac:dyDescent="0.25">
      <c r="K322" t="str">
        <f t="shared" si="196"/>
        <v xml:space="preserve">                                                           ro code section .text object DBG_SerialDebug.o,</v>
      </c>
    </row>
    <row r="323" spans="11:11" x14ac:dyDescent="0.25">
      <c r="K323" t="str">
        <f t="shared" si="196"/>
        <v xml:space="preserve">                                                           ro code section .text object eng_res.o,</v>
      </c>
    </row>
    <row r="324" spans="11:11" x14ac:dyDescent="0.25">
      <c r="K324" t="str">
        <f t="shared" si="196"/>
        <v xml:space="preserve">                                                           ro code section .text object EVL_event_log.o,</v>
      </c>
    </row>
    <row r="325" spans="11:11" x14ac:dyDescent="0.25">
      <c r="K325" t="str">
        <f t="shared" si="196"/>
        <v xml:space="preserve">                                                           ro code section .text object exe_list.o,</v>
      </c>
    </row>
    <row r="326" spans="11:11" x14ac:dyDescent="0.25">
      <c r="K326" t="str">
        <f t="shared" si="196"/>
        <v xml:space="preserve">                                                           ro code section .text object file_io.o,</v>
      </c>
    </row>
    <row r="327" spans="11:11" x14ac:dyDescent="0.25">
      <c r="K327" t="str">
        <f t="shared" si="196"/>
        <v xml:space="preserve">                                                           ro code section .text object HEEP_util.o,</v>
      </c>
    </row>
    <row r="328" spans="11:11" x14ac:dyDescent="0.25">
      <c r="K328" t="str">
        <f t="shared" si="196"/>
        <v xml:space="preserve">                                                           ro code section .text object mem_chk.o,</v>
      </c>
    </row>
    <row r="329" spans="11:11" x14ac:dyDescent="0.25">
      <c r="K329" t="str">
        <f t="shared" si="196"/>
        <v xml:space="preserve">                                                           ro code section .text object MFG_Dtls.o,</v>
      </c>
    </row>
    <row r="330" spans="11:11" x14ac:dyDescent="0.25">
      <c r="K330" t="str">
        <f t="shared" si="196"/>
        <v xml:space="preserve">                                                           ro code section .text object MFG_Port.o,</v>
      </c>
    </row>
    <row r="331" spans="11:11" x14ac:dyDescent="0.25">
      <c r="K331" t="str">
        <f t="shared" si="196"/>
        <v xml:space="preserve">                                                           ro code section .text object MIMT_info.o,</v>
      </c>
    </row>
    <row r="332" spans="11:11" x14ac:dyDescent="0.25">
      <c r="K332" t="str">
        <f t="shared" si="196"/>
        <v xml:space="preserve">                                                           ro code section .text object mode_config.o,</v>
      </c>
    </row>
    <row r="333" spans="11:11" x14ac:dyDescent="0.25">
      <c r="K333" t="str">
        <f t="shared" si="196"/>
        <v xml:space="preserve">                                                           ro code section .text object object_list.o,</v>
      </c>
    </row>
    <row r="334" spans="11:11" x14ac:dyDescent="0.25">
      <c r="K334" t="str">
        <f t="shared" si="196"/>
        <v xml:space="preserve">                                                           ro code section .text object partitions.o,</v>
      </c>
    </row>
    <row r="335" spans="11:11" x14ac:dyDescent="0.25">
      <c r="K335" t="str">
        <f t="shared" si="196"/>
        <v xml:space="preserve">                                                           ro code section .text object runTimeInit.o,</v>
      </c>
    </row>
    <row r="336" spans="11:11" x14ac:dyDescent="0.25">
      <c r="K336" t="str">
        <f t="shared" si="196"/>
        <v xml:space="preserve">                                                           ro code section .text object SELF_test.o,</v>
      </c>
    </row>
    <row r="337" spans="11:11" x14ac:dyDescent="0.25">
      <c r="K337" t="str">
        <f t="shared" si="196"/>
        <v xml:space="preserve">                                                           ro code section .text object stack_check.o,</v>
      </c>
    </row>
    <row r="338" spans="11:11" x14ac:dyDescent="0.25">
      <c r="K338" t="str">
        <f t="shared" si="196"/>
        <v xml:space="preserve">                                                           ro code section .text object sys_busy.o,</v>
      </c>
    </row>
    <row r="339" spans="11:11" x14ac:dyDescent="0.25">
      <c r="K339" t="str">
        <f t="shared" si="196"/>
        <v xml:space="preserve">                                                           ro code section .text object temperature.o,</v>
      </c>
    </row>
    <row r="340" spans="11:11" x14ac:dyDescent="0.25">
      <c r="K340" t="str">
        <f t="shared" si="196"/>
        <v xml:space="preserve">                                                           ro code section .text object time_DST.o,</v>
      </c>
    </row>
    <row r="341" spans="11:11" x14ac:dyDescent="0.25">
      <c r="K341" t="str">
        <f t="shared" si="196"/>
        <v xml:space="preserve">                                                           ro code section .text object time_sync.o,</v>
      </c>
    </row>
    <row r="342" spans="11:11" x14ac:dyDescent="0.25">
      <c r="K342" t="str">
        <f t="shared" si="196"/>
        <v xml:space="preserve">                                                           ro code section .text object time_sys.o,</v>
      </c>
    </row>
    <row r="343" spans="11:11" x14ac:dyDescent="0.25">
      <c r="K343" t="str">
        <f t="shared" si="196"/>
        <v xml:space="preserve">                                                           ro code section .text object virgin_device.o,</v>
      </c>
    </row>
    <row r="344" spans="11:11" x14ac:dyDescent="0.25">
      <c r="K344" t="str">
        <f t="shared" si="196"/>
        <v xml:space="preserve">                                                           ro code section .text object FTM0.o,</v>
      </c>
    </row>
    <row r="345" spans="11:11" x14ac:dyDescent="0.25">
      <c r="K345" t="str">
        <f t="shared" si="196"/>
        <v xml:space="preserve">                                                           ro code section .text object FTM1.o,</v>
      </c>
    </row>
    <row r="346" spans="11:11" x14ac:dyDescent="0.25">
      <c r="K346" t="str">
        <f t="shared" si="196"/>
        <v xml:space="preserve">                                                           ro code section .text object FTM2.o,</v>
      </c>
    </row>
    <row r="347" spans="11:11" x14ac:dyDescent="0.25">
      <c r="K347" t="str">
        <f t="shared" si="196"/>
        <v xml:space="preserve">                                                           ro code section .text object FTM3.o };</v>
      </c>
    </row>
    <row r="348" spans="11:11" x14ac:dyDescent="0.25">
      <c r="K348" t="str">
        <f t="shared" ref="K348:K367" si="197">K169</f>
        <v>"HMC_TEXT":        place at address mem: HMC_TEXT        { ro code section .text object hmc_app.o,</v>
      </c>
    </row>
    <row r="349" spans="11:11" x14ac:dyDescent="0.25">
      <c r="K349" t="str">
        <f t="shared" si="197"/>
        <v xml:space="preserve">                                                           ro code section .text object hmc_demand.o,</v>
      </c>
    </row>
    <row r="350" spans="11:11" x14ac:dyDescent="0.25">
      <c r="K350" t="str">
        <f t="shared" si="197"/>
        <v xml:space="preserve">                                                           ro code section .text object hmc_diags.o,</v>
      </c>
    </row>
    <row r="351" spans="11:11" x14ac:dyDescent="0.25">
      <c r="K351" t="str">
        <f t="shared" si="197"/>
        <v xml:space="preserve">                                                           ro code section .text object hmc_ds.o,</v>
      </c>
    </row>
    <row r="352" spans="11:11" x14ac:dyDescent="0.25">
      <c r="K352" t="str">
        <f t="shared" si="197"/>
        <v xml:space="preserve">                                                           ro code section .text object hmc_eng.o,</v>
      </c>
    </row>
    <row r="353" spans="11:11" x14ac:dyDescent="0.25">
      <c r="K353" t="str">
        <f t="shared" si="197"/>
        <v xml:space="preserve">                                                           ro code section .text object hmc_finish.o,</v>
      </c>
    </row>
    <row r="354" spans="11:11" x14ac:dyDescent="0.25">
      <c r="K354" t="str">
        <f t="shared" si="197"/>
        <v xml:space="preserve">                                                           ro code section .text object hmc_msg.o,</v>
      </c>
    </row>
    <row r="355" spans="11:11" x14ac:dyDescent="0.25">
      <c r="K355" t="str">
        <f t="shared" si="197"/>
        <v xml:space="preserve">                                                           ro code section .text object hmc_mtr_info.o,</v>
      </c>
    </row>
    <row r="356" spans="11:11" x14ac:dyDescent="0.25">
      <c r="K356" t="str">
        <f t="shared" si="197"/>
        <v xml:space="preserve">                                                           ro code section .text object hmc_mtr_lp.o,</v>
      </c>
    </row>
    <row r="357" spans="11:11" x14ac:dyDescent="0.25">
      <c r="K357" t="str">
        <f t="shared" si="197"/>
        <v xml:space="preserve">                                                           ro code section .text object hmc_prot.o,</v>
      </c>
    </row>
    <row r="358" spans="11:11" x14ac:dyDescent="0.25">
      <c r="K358" t="str">
        <f t="shared" si="197"/>
        <v xml:space="preserve">                                                           ro code section .text object hmc_request.o,</v>
      </c>
    </row>
    <row r="359" spans="11:11" x14ac:dyDescent="0.25">
      <c r="K359" t="str">
        <f t="shared" si="197"/>
        <v xml:space="preserve">                                                           ro code section .text object hmc_seq_id.o,</v>
      </c>
    </row>
    <row r="360" spans="11:11" x14ac:dyDescent="0.25">
      <c r="K360" t="str">
        <f t="shared" si="197"/>
        <v xml:space="preserve">                                                           ro code section .text object hmc_snapshot.o,</v>
      </c>
    </row>
    <row r="361" spans="11:11" x14ac:dyDescent="0.25">
      <c r="K361" t="str">
        <f t="shared" si="197"/>
        <v xml:space="preserve">                                                           ro code section .text object hmc_start.o,</v>
      </c>
    </row>
    <row r="362" spans="11:11" x14ac:dyDescent="0.25">
      <c r="K362" t="str">
        <f t="shared" si="197"/>
        <v xml:space="preserve">                                                           ro code section .text object hmc_sync.o,</v>
      </c>
    </row>
    <row r="363" spans="11:11" x14ac:dyDescent="0.25">
      <c r="K363" t="str">
        <f t="shared" si="197"/>
        <v xml:space="preserve">                                                           ro code section .text object hmc_time.o,</v>
      </c>
    </row>
    <row r="364" spans="11:11" x14ac:dyDescent="0.25">
      <c r="K364" t="str">
        <f t="shared" si="197"/>
        <v xml:space="preserve">                                                           ro code section .text object hmc_tsk_lst.o,</v>
      </c>
    </row>
    <row r="365" spans="11:11" x14ac:dyDescent="0.25">
      <c r="K365" t="str">
        <f t="shared" si="197"/>
        <v xml:space="preserve">                                                           ro code section .text object intf_cim_cmd.o,</v>
      </c>
    </row>
    <row r="366" spans="11:11" x14ac:dyDescent="0.25">
      <c r="K366" t="str">
        <f t="shared" si="197"/>
        <v xml:space="preserve">                                                           ro code section .text object hmc_prg_mtr.o,</v>
      </c>
    </row>
    <row r="367" spans="11:11" x14ac:dyDescent="0.25">
      <c r="K367" t="str">
        <f t="shared" si="197"/>
        <v xml:space="preserve">                                                           ro code section .text object hmc_display.o };</v>
      </c>
    </row>
    <row r="368" spans="11:11" x14ac:dyDescent="0.25">
      <c r="K368" t="str">
        <f>K194</f>
        <v>"AclaraDA_TEXT":   place at address mem: AclaraDA_TEXT   { ro code section .text object b2b.o,</v>
      </c>
    </row>
    <row r="369" spans="11:11" x14ac:dyDescent="0.25">
      <c r="K369" t="str">
        <f t="shared" ref="K369:K376" si="198">K195</f>
        <v xml:space="preserve">                                                           ro code section .text object b2b_req_handler.o,</v>
      </c>
    </row>
    <row r="370" spans="11:11" x14ac:dyDescent="0.25">
      <c r="K370" t="str">
        <f t="shared" si="198"/>
        <v xml:space="preserve">                                                           ro code section .text object b2bMessage.o,</v>
      </c>
    </row>
    <row r="371" spans="11:11" x14ac:dyDescent="0.25">
      <c r="K371" t="str">
        <f t="shared" si="198"/>
        <v xml:space="preserve">                                                           ro code section .text object da_srfn_reg.o,</v>
      </c>
    </row>
    <row r="372" spans="11:11" x14ac:dyDescent="0.25">
      <c r="K372" t="str">
        <f t="shared" si="198"/>
        <v xml:space="preserve">                                                           ro code section .text object hdlc_frame.o,</v>
      </c>
    </row>
    <row r="373" spans="11:11" x14ac:dyDescent="0.25">
      <c r="K373" t="str">
        <f t="shared" si="198"/>
        <v xml:space="preserve">                                                           ro code section .text object host_reset.o,</v>
      </c>
    </row>
    <row r="374" spans="11:11" x14ac:dyDescent="0.25">
      <c r="K374" t="str">
        <f t="shared" si="198"/>
        <v xml:space="preserve">                                                           ro code section .text object nw_connected.o,</v>
      </c>
    </row>
    <row r="375" spans="11:11" x14ac:dyDescent="0.25">
      <c r="K375" t="str">
        <f t="shared" si="198"/>
        <v xml:space="preserve">                                                           ro code section .text object TUNNEL_MSG_Handler.o,</v>
      </c>
    </row>
    <row r="376" spans="11:11" x14ac:dyDescent="0.25">
      <c r="K376" t="str">
        <f t="shared" si="198"/>
        <v xml:space="preserve">                                                           ro code section .text object tunnel_Util.o };</v>
      </c>
    </row>
    <row r="377" spans="11:11" x14ac:dyDescent="0.25">
      <c r="K377" t="str">
        <f t="shared" ref="K377:K394" si="199">K208</f>
        <v>"MTU_Common_TEXT": place at address mem: MTU_Common_TEXT { ro code section .text object APP_MSG_Handler.o,</v>
      </c>
    </row>
    <row r="378" spans="11:11" x14ac:dyDescent="0.25">
      <c r="K378" t="str">
        <f t="shared" si="199"/>
        <v xml:space="preserve">                                                           ro code section .text object demand.o,</v>
      </c>
    </row>
    <row r="379" spans="11:11" x14ac:dyDescent="0.25">
      <c r="K379" t="str">
        <f t="shared" si="199"/>
        <v xml:space="preserve">                                                           ro code section .text object ed_config.o,</v>
      </c>
    </row>
    <row r="380" spans="11:11" x14ac:dyDescent="0.25">
      <c r="K380" t="str">
        <f t="shared" si="199"/>
        <v xml:space="preserve">                                                           ro code section .text object endpt_cim_cmd.o,</v>
      </c>
    </row>
    <row r="381" spans="11:11" x14ac:dyDescent="0.25">
      <c r="K381" t="str">
        <f t="shared" si="199"/>
        <v xml:space="preserve">                                                           ro code section .text object historyd.o,</v>
      </c>
    </row>
    <row r="382" spans="11:11" x14ac:dyDescent="0.25">
      <c r="K382" t="str">
        <f t="shared" si="199"/>
        <v xml:space="preserve">                                                           ro code section .text object ID_intervalTask.o,</v>
      </c>
    </row>
    <row r="383" spans="11:11" x14ac:dyDescent="0.25">
      <c r="K383" t="str">
        <f t="shared" si="199"/>
        <v xml:space="preserve">                                                           ro code section .text object IDL_IdleProcess.o,</v>
      </c>
    </row>
    <row r="384" spans="11:11" x14ac:dyDescent="0.25">
      <c r="K384" t="str">
        <f t="shared" si="199"/>
        <v xml:space="preserve">                                                           ro code section .text object OR_MR_Handler.o,</v>
      </c>
    </row>
    <row r="385" spans="11:11" x14ac:dyDescent="0.25">
      <c r="K385" t="str">
        <f t="shared" si="199"/>
        <v xml:space="preserve">                                                           ro code section .text object pwr_config.o,</v>
      </c>
    </row>
    <row r="386" spans="11:11" x14ac:dyDescent="0.25">
      <c r="K386" t="str">
        <f t="shared" si="199"/>
        <v xml:space="preserve">                                                           ro code section .text object pwr_last_gasp.o,</v>
      </c>
    </row>
    <row r="387" spans="11:11" x14ac:dyDescent="0.25">
      <c r="K387" t="str">
        <f t="shared" si="199"/>
        <v xml:space="preserve">                                                           ro code section .text object pwr_restore.o,</v>
      </c>
    </row>
    <row r="388" spans="11:11" x14ac:dyDescent="0.25">
      <c r="K388" t="str">
        <f t="shared" si="199"/>
        <v xml:space="preserve">                                                           ro code section .text object pwr_task.o,</v>
      </c>
    </row>
    <row r="389" spans="11:11" x14ac:dyDescent="0.25">
      <c r="K389" t="str">
        <f t="shared" si="199"/>
        <v xml:space="preserve">                                                           ro code section .text object RG_CF_Handler.o,</v>
      </c>
    </row>
    <row r="390" spans="11:11" x14ac:dyDescent="0.25">
      <c r="K390" t="str">
        <f t="shared" si="199"/>
        <v xml:space="preserve">                                                           ro code section .text object RG_MD_Handler.o,</v>
      </c>
    </row>
    <row r="391" spans="11:11" x14ac:dyDescent="0.25">
      <c r="K391" t="str">
        <f t="shared" si="199"/>
        <v xml:space="preserve">                                                           ro code section .text object STRT_Startup.o,</v>
      </c>
    </row>
    <row r="392" spans="11:11" x14ac:dyDescent="0.25">
      <c r="K392" t="str">
        <f t="shared" si="199"/>
        <v xml:space="preserve">                                                           ro code section .text object Task.o,</v>
      </c>
    </row>
    <row r="393" spans="11:11" x14ac:dyDescent="0.25">
      <c r="K393" t="str">
        <f t="shared" si="199"/>
        <v xml:space="preserve">                                                           ro code section .text object vbat_reg.o,</v>
      </c>
    </row>
    <row r="394" spans="11:11" x14ac:dyDescent="0.25">
      <c r="K394" t="str">
        <f t="shared" si="199"/>
        <v xml:space="preserve">                                                           ro code section .text object version.o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57"/>
  <sheetViews>
    <sheetView workbookViewId="0"/>
  </sheetViews>
  <sheetFormatPr defaultRowHeight="15" x14ac:dyDescent="0.25"/>
  <cols>
    <col min="1" max="1" width="16.28515625" bestFit="1" customWidth="1"/>
    <col min="2" max="2" width="28.140625" bestFit="1" customWidth="1"/>
    <col min="3" max="3" width="3" bestFit="1" customWidth="1"/>
    <col min="4" max="4" width="3" customWidth="1"/>
    <col min="5" max="5" width="8.42578125" bestFit="1" customWidth="1"/>
    <col min="6" max="6" width="9.85546875" customWidth="1"/>
    <col min="7" max="7" width="7.14062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580</v>
      </c>
      <c r="F1" s="3" t="str">
        <f ca="1">'.map data'!B5</f>
        <v>'.map data'!$R$2866:$S$2925</v>
      </c>
      <c r="K1" t="s">
        <v>578</v>
      </c>
    </row>
    <row r="2" spans="1:11" x14ac:dyDescent="0.25">
      <c r="F2" t="s">
        <v>526</v>
      </c>
      <c r="G2">
        <f ca="1">VLOOKUP(B5,INDIRECT(GlobalPlcmnt!$B$133),GlobalPlcmnt!$B$138,FALSE)</f>
        <v>0</v>
      </c>
    </row>
    <row r="3" spans="1:11" x14ac:dyDescent="0.25">
      <c r="A3" t="s">
        <v>927</v>
      </c>
      <c r="B3" t="str">
        <f ca="1">CELL("address",B5)</f>
        <v>$B$5</v>
      </c>
      <c r="F3" t="s">
        <v>608</v>
      </c>
      <c r="G3">
        <f ca="1">VLOOKUP(B5,INDIRECT(GlobalPlcmnt!$B$133),GlobalPlcmnt!$C$138,FALSE)</f>
        <v>4</v>
      </c>
      <c r="K3">
        <f>2*$C$4+LEN("place at address mem: { ")+5</f>
        <v>71</v>
      </c>
    </row>
    <row r="4" spans="1:11" x14ac:dyDescent="0.25">
      <c r="C4">
        <f>MAX(C5:C40)</f>
        <v>21</v>
      </c>
      <c r="F4" t="s">
        <v>542</v>
      </c>
    </row>
    <row r="5" spans="1:11" x14ac:dyDescent="0.25">
      <c r="A5" t="s">
        <v>558</v>
      </c>
      <c r="B5" t="str">
        <f>IF(A5&lt;&gt;A3,A5&amp;$B$1,"")</f>
        <v>dl7M_tln_CONST</v>
      </c>
      <c r="C5">
        <f>LEN(B5)</f>
        <v>14</v>
      </c>
      <c r="E5" t="s">
        <v>562</v>
      </c>
      <c r="F5">
        <f ca="1">IF(E5="*",F6,VLOOKUP(E5,INDIRECT($F$1),2,FALSE))</f>
        <v>0</v>
      </c>
      <c r="H5">
        <f ca="1">VLOOKUP(B5,INDIRECT(GlobalPlcmnt!$B$133),GlobalPlcmnt!$A$138,FALSE)</f>
        <v>17408</v>
      </c>
      <c r="I5" t="str">
        <f ca="1">"0x"&amp;DEC2HEX(H5,8)</f>
        <v>0x00004400</v>
      </c>
      <c r="J5" s="4" t="str">
        <f ca="1">IF(E5&lt;&gt;"*","","define symbol "&amp;B5&amp;REPT(" ",$C$4-C5)&amp;" = "&amp;I5&amp;";")</f>
        <v>define symbol dl7M_tln_CONST        = 0x00004400;</v>
      </c>
      <c r="K5" s="4" t="str">
        <f>IF(E5="*",""""&amp;B5&amp;""":"&amp;REPT(" ",$C$4-C5)&amp;" place at address mem: "&amp;B5&amp;REPT(" ",$C$4-C5)&amp;" { "&amp;$K$1&amp;E5&amp;"("&amp;A5&amp;".a)"&amp;IF(E6=""," };",","),IF(E5="","",REPT(" ",$K$3)&amp;$K$1&amp;E5&amp;IF(E6=""," };",",")))</f>
        <v>"dl7M_tln_CONST":        place at address mem: dl7M_tln_CONST        { ro data section .rodata object *(dl7M_tln.a) };</v>
      </c>
    </row>
    <row r="6" spans="1:11" x14ac:dyDescent="0.25">
      <c r="B6" t="str">
        <f>B5&amp;"_end"</f>
        <v>dl7M_tln_CONST_end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526</v>
      </c>
      <c r="G8">
        <f ca="1">VLOOKUP(B10,INDIRECT(GlobalPlcmnt!$B$133),GlobalPlcmnt!$B$138,FALSE)</f>
        <v>0</v>
      </c>
      <c r="J8" s="4"/>
      <c r="K8" s="4"/>
    </row>
    <row r="9" spans="1:11" x14ac:dyDescent="0.25">
      <c r="F9" t="s">
        <v>608</v>
      </c>
      <c r="G9">
        <f ca="1">VLOOKUP(B10,INDIRECT(GlobalPlcmnt!$B$133),GlobalPlcmnt!$C$138,FALSE)</f>
        <v>4</v>
      </c>
      <c r="J9" s="4"/>
      <c r="K9" s="4"/>
    </row>
    <row r="10" spans="1:11" x14ac:dyDescent="0.25">
      <c r="A10" t="s">
        <v>559</v>
      </c>
      <c r="B10" t="str">
        <f>IF(A10&lt;&gt;A5,A10&amp;$B$1,"")</f>
        <v>m7M_tls_CONST</v>
      </c>
      <c r="C10">
        <f>LEN(B10)</f>
        <v>13</v>
      </c>
      <c r="E10" t="s">
        <v>562</v>
      </c>
      <c r="F10">
        <f ca="1">IF(E10="*",F11,VLOOKUP(E10,INDIRECT($F$1),2,FALSE))</f>
        <v>0</v>
      </c>
      <c r="H10">
        <f ca="1">VLOOKUP(B10,INDIRECT(GlobalPlcmnt!$B$133),GlobalPlcmnt!$A$138,FALSE)</f>
        <v>28832</v>
      </c>
      <c r="I10" t="str">
        <f ca="1">"0x"&amp;DEC2HEX(H10,8)</f>
        <v>0x000070A0</v>
      </c>
      <c r="J10" s="4" t="str">
        <f ca="1">IF(E10&lt;&gt;"*","","define symbol "&amp;B10&amp;REPT(" ",$C$4-C10)&amp;" = "&amp;I10&amp;";")</f>
        <v>define symbol m7M_tls_CONST         = 0x000070A0;</v>
      </c>
      <c r="K10" s="4" t="str">
        <f>IF(E10="*",""""&amp;B10&amp;""":"&amp;REPT(" ",$C$4-C10)&amp;" place at address mem: "&amp;B10&amp;REPT(" ",$C$4-C10)&amp;" { "&amp;$K$1&amp;E10&amp;"("&amp;A10&amp;".a)"&amp;IF(E11=""," };",","),IF(E10="","",REPT(" ",$K$3)&amp;$K$1&amp;E10&amp;IF(E11=""," };",",")))</f>
        <v>"m7M_tls_CONST":         place at address mem: m7M_tls_CONST         { ro data section .rodata object *(m7M_tls.a) };</v>
      </c>
    </row>
    <row r="11" spans="1:11" x14ac:dyDescent="0.25">
      <c r="B11" t="str">
        <f>B10&amp;"_end"</f>
        <v>m7M_tls_CONST_end</v>
      </c>
      <c r="F11">
        <f ca="1">VLOOKUP(B11,INDIRECT($F$1),2,FALSE)</f>
        <v>0</v>
      </c>
      <c r="G11">
        <f ca="1">INT(($G$8/100)*F11)</f>
        <v>0</v>
      </c>
      <c r="H11">
        <f ca="1">H10+F10+G11+IF(MOD(F10+H10+G11,$G$9)=0,0,$G$9-MOD(F10+H10+G11,$G$9))</f>
        <v>28832</v>
      </c>
      <c r="I11" t="str">
        <f ca="1">"0x"&amp;DEC2HEX(H11,8)</f>
        <v>0x000070A0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526</v>
      </c>
      <c r="G13">
        <f ca="1">VLOOKUP(B15,INDIRECT(GlobalPlcmnt!$B$133),GlobalPlcmnt!$B$138,FALSE)</f>
        <v>0</v>
      </c>
      <c r="J13" s="4"/>
      <c r="K13" s="4"/>
    </row>
    <row r="14" spans="1:11" x14ac:dyDescent="0.25">
      <c r="F14" t="s">
        <v>608</v>
      </c>
      <c r="G14">
        <f ca="1">VLOOKUP(B15,INDIRECT(GlobalPlcmnt!$B$133),GlobalPlcmnt!$C$138,FALSE)</f>
        <v>4</v>
      </c>
      <c r="J14" s="4"/>
      <c r="K14" s="4"/>
    </row>
    <row r="15" spans="1:11" x14ac:dyDescent="0.25">
      <c r="A15" t="s">
        <v>560</v>
      </c>
      <c r="B15" t="str">
        <f>IF(A15&lt;&gt;A10,A15&amp;$B$1,"")</f>
        <v>rt7M_tl_CONST</v>
      </c>
      <c r="C15">
        <f>LEN(B15)</f>
        <v>13</v>
      </c>
      <c r="E15" t="s">
        <v>562</v>
      </c>
      <c r="F15">
        <f ca="1">IF(E15="*",F16,VLOOKUP(E15,INDIRECT($F$1),2,FALSE))</f>
        <v>0</v>
      </c>
      <c r="H15">
        <f ca="1">VLOOKUP(B15,INDIRECT(GlobalPlcmnt!$B$133),GlobalPlcmnt!$A$138,FALSE)</f>
        <v>40256</v>
      </c>
      <c r="I15" t="str">
        <f ca="1">"0x"&amp;DEC2HEX(H15,8)</f>
        <v>0x00009D40</v>
      </c>
      <c r="J15" s="4" t="str">
        <f ca="1">IF(E15&lt;&gt;"*","","define symbol "&amp;B15&amp;REPT(" ",$C$4-C15)&amp;" = "&amp;I15&amp;";")</f>
        <v>define symbol rt7M_tl_CONST         = 0x00009D40;</v>
      </c>
      <c r="K15" s="4" t="str">
        <f>IF(E15="*",""""&amp;B15&amp;""":"&amp;REPT(" ",$C$4-C15)&amp;" place at address mem: "&amp;B15&amp;REPT(" ",$C$4-C15)&amp;" { "&amp;$K$1&amp;E15&amp;"("&amp;A15&amp;".a)"&amp;IF(E16=""," };",","),IF(E15="","",REPT(" ",$K$3)&amp;$K$1&amp;E15&amp;IF(E16=""," };",",")))</f>
        <v>"rt7M_tl_CONST":         place at address mem: rt7M_tl_CONST         { ro data section .rodata object *(rt7M_tl.a) };</v>
      </c>
    </row>
    <row r="16" spans="1:11" x14ac:dyDescent="0.25">
      <c r="B16" t="str">
        <f>B15&amp;"_end"</f>
        <v>rt7M_tl_CONST_end</v>
      </c>
      <c r="F16">
        <f ca="1">VLOOKUP(B16,INDIRECT($F$1),2,FALSE)</f>
        <v>0</v>
      </c>
      <c r="G16">
        <f ca="1">INT(($G$13/100)*F16)</f>
        <v>0</v>
      </c>
      <c r="H16">
        <f ca="1">H15+F15+G16+IF(MOD(F15+H15+G16,$G$14)=0,0,$G$14-MOD(F15+H15+G16,$G$14))</f>
        <v>40256</v>
      </c>
      <c r="I16" t="str">
        <f ca="1">"0x"&amp;DEC2HEX(H16,8)</f>
        <v>0x00009D40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526</v>
      </c>
      <c r="G18">
        <f ca="1">VLOOKUP(B20,INDIRECT(GlobalPlcmnt!$B$133),GlobalPlcmnt!$B$138,FALSE)</f>
        <v>0</v>
      </c>
      <c r="J18" s="4"/>
      <c r="K18" s="4"/>
    </row>
    <row r="19" spans="1:11" x14ac:dyDescent="0.25">
      <c r="F19" t="s">
        <v>608</v>
      </c>
      <c r="G19">
        <f ca="1">VLOOKUP(B20,INDIRECT(GlobalPlcmnt!$B$133),GlobalPlcmnt!$C$138,FALSE)</f>
        <v>4</v>
      </c>
      <c r="J19" s="4"/>
      <c r="K19" s="4"/>
    </row>
    <row r="20" spans="1:11" x14ac:dyDescent="0.25">
      <c r="A20" t="s">
        <v>561</v>
      </c>
      <c r="B20" t="str">
        <f>IF(A20&lt;&gt;A15,A20&amp;$B$1,"")</f>
        <v>shb_l_CONST</v>
      </c>
      <c r="C20">
        <f>LEN(B20)</f>
        <v>11</v>
      </c>
      <c r="E20" t="s">
        <v>562</v>
      </c>
      <c r="F20">
        <f ca="1">IF(E20="*",F21,VLOOKUP(E20,INDIRECT($F$1),2,FALSE))</f>
        <v>0</v>
      </c>
      <c r="H20">
        <f ca="1">VLOOKUP(B20,INDIRECT(GlobalPlcmnt!$B$133),GlobalPlcmnt!$A$138,FALSE)</f>
        <v>41904</v>
      </c>
      <c r="I20" t="str">
        <f ca="1">"0x"&amp;DEC2HEX(H20,8)</f>
        <v>0x0000A3B0</v>
      </c>
      <c r="J20" s="4" t="str">
        <f ca="1">IF(E20&lt;&gt;"*","","define symbol "&amp;B20&amp;REPT(" ",$C$4-C20)&amp;" = "&amp;I20&amp;";")</f>
        <v>define symbol shb_l_CONST           = 0x0000A3B0;</v>
      </c>
      <c r="K20" s="4" t="str">
        <f>IF(E20="*",""""&amp;B20&amp;""":"&amp;REPT(" ",$C$4-C20)&amp;" place at address mem: "&amp;B20&amp;REPT(" ",$C$4-C20)&amp;" { "&amp;$K$1&amp;E20&amp;"("&amp;A20&amp;".a)"&amp;IF(E21=""," };",","),IF(E20="","",REPT(" ",$K$3)&amp;$K$1&amp;E20&amp;IF(E21=""," };",",")))</f>
        <v>"shb_l_CONST":           place at address mem: shb_l_CONST           { ro data section .rodata object *(shb_l.a) };</v>
      </c>
    </row>
    <row r="21" spans="1:11" x14ac:dyDescent="0.25">
      <c r="B21" t="str">
        <f>B20&amp;"_end"</f>
        <v>shb_l_CONST_end</v>
      </c>
      <c r="F21">
        <f ca="1">VLOOKUP(B21,INDIRECT($F$1),2,FALSE)</f>
        <v>0</v>
      </c>
      <c r="G21">
        <f ca="1">INT(($G$18/100)*F21)</f>
        <v>0</v>
      </c>
      <c r="H21">
        <f ca="1">H20+F20+G21+IF(MOD(F20+H20+G21,$G$19)=0,0,$G$19-MOD(F20+H20+G21,$G$19))</f>
        <v>41904</v>
      </c>
      <c r="I21" t="str">
        <f ca="1">"0x"&amp;DEC2HEX(H21,8)</f>
        <v>0x0000A3B0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526</v>
      </c>
      <c r="G23">
        <f ca="1">VLOOKUP(B25,INDIRECT(GlobalPlcmnt!$B$133),GlobalPlcmnt!$B$138,FALSE)</f>
        <v>1</v>
      </c>
      <c r="J23" s="4"/>
      <c r="K23" s="4"/>
    </row>
    <row r="24" spans="1:11" x14ac:dyDescent="0.25">
      <c r="F24" t="s">
        <v>608</v>
      </c>
      <c r="G24">
        <f ca="1">VLOOKUP(B25,INDIRECT(GlobalPlcmnt!$B$133),GlobalPlcmnt!$C$138,FALSE)</f>
        <v>4</v>
      </c>
      <c r="J24" s="4"/>
      <c r="K24" s="4"/>
    </row>
    <row r="25" spans="1:11" x14ac:dyDescent="0.25">
      <c r="A25" t="s">
        <v>539</v>
      </c>
      <c r="B25" t="str">
        <f>IF(A25&lt;&gt;A20,A25&amp;$B$1,"")</f>
        <v>BSP_CONST</v>
      </c>
      <c r="C25">
        <f>LEN(B25)</f>
        <v>9</v>
      </c>
      <c r="E25" t="s">
        <v>562</v>
      </c>
      <c r="F25">
        <f ca="1">IF(E25="*",F26,VLOOKUP(E25,INDIRECT($F$1),2,FALSE))</f>
        <v>536</v>
      </c>
      <c r="H25">
        <f ca="1">VLOOKUP(B25,INDIRECT(GlobalPlcmnt!$B$133),GlobalPlcmnt!$A$138,FALSE)</f>
        <v>66172</v>
      </c>
      <c r="I25" t="str">
        <f ca="1">"0x"&amp;DEC2HEX(H25,8)</f>
        <v>0x0001027C</v>
      </c>
      <c r="J25" s="4" t="str">
        <f ca="1">IF(E25&lt;&gt;"*","","define symbol "&amp;B25&amp;REPT(" ",$C$4-C25)&amp;" = "&amp;I25&amp;";")</f>
        <v>define symbol BSP_CONST             = 0x0001027C;</v>
      </c>
      <c r="K25" s="4" t="str">
        <f>IF(E25="*",""""&amp;B25&amp;""":"&amp;REPT(" ",$C$4-C25)&amp;" place at address mem: "&amp;B25&amp;REPT(" ",$C$4-C25)&amp;" { "&amp;$K$1&amp;E25&amp;"("&amp;A25&amp;".a)"&amp;IF(E26=""," };",","),IF(E25="","",REPT(" ",$K$3)&amp;$K$1&amp;E25&amp;IF(E26=""," };",",")))</f>
        <v>"BSP_CONST":             place at address mem: BSP_CONST             { ro data section .rodata object *(BSP.a) };</v>
      </c>
    </row>
    <row r="26" spans="1:11" x14ac:dyDescent="0.25">
      <c r="B26" t="str">
        <f>B25&amp;"_end"</f>
        <v>BSP_CONST_end</v>
      </c>
      <c r="F26">
        <f ca="1">VLOOKUP(B26,INDIRECT($F$1),2,FALSE)</f>
        <v>536</v>
      </c>
      <c r="G26">
        <f ca="1">INT(($G$23/100)*F26)</f>
        <v>5</v>
      </c>
      <c r="H26">
        <f ca="1">F25+H25+G26+IF(MOD(F25+H25+G26,$G$24)=0,0,$G$24-MOD(F25+H25+G26,$G$24))</f>
        <v>66716</v>
      </c>
      <c r="I26" t="str">
        <f ca="1">"0x"&amp;DEC2HEX(H26,8)</f>
        <v>0x0001049C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526</v>
      </c>
      <c r="G28">
        <f ca="1">VLOOKUP(B30,INDIRECT(GlobalPlcmnt!$B$133),GlobalPlcmnt!$B$138,FALSE)</f>
        <v>1</v>
      </c>
      <c r="J28" s="4"/>
      <c r="K28" s="4"/>
    </row>
    <row r="29" spans="1:11" x14ac:dyDescent="0.25">
      <c r="F29" t="s">
        <v>608</v>
      </c>
      <c r="G29">
        <f ca="1">VLOOKUP(B30,INDIRECT(GlobalPlcmnt!$B$133),GlobalPlcmnt!$C$138,FALSE)</f>
        <v>4</v>
      </c>
      <c r="J29" s="4"/>
      <c r="K29" s="4"/>
    </row>
    <row r="30" spans="1:11" x14ac:dyDescent="0.25">
      <c r="A30" t="s">
        <v>540</v>
      </c>
      <c r="B30" t="str">
        <f>IF(A30&lt;&gt;A25,A30&amp;$B$1,"")</f>
        <v>PSP_CONST</v>
      </c>
      <c r="C30">
        <f>LEN(B30)</f>
        <v>9</v>
      </c>
      <c r="E30" t="s">
        <v>562</v>
      </c>
      <c r="F30">
        <f ca="1">IF(E30="*",F31,VLOOKUP(E30,INDIRECT($F$1),2,FALSE))</f>
        <v>92</v>
      </c>
      <c r="H30">
        <f ca="1">VLOOKUP(B30,INDIRECT(GlobalPlcmnt!$B$133),GlobalPlcmnt!$A$138,FALSE)</f>
        <v>41976</v>
      </c>
      <c r="I30" t="str">
        <f ca="1">"0x"&amp;DEC2HEX(H30,8)</f>
        <v>0x0000A3F8</v>
      </c>
      <c r="J30" s="4" t="str">
        <f ca="1">IF(E30&lt;&gt;"*","","define symbol "&amp;B30&amp;REPT(" ",$C$4-C30)&amp;" = "&amp;I30&amp;";")</f>
        <v>define symbol PSP_CONST             = 0x0000A3F8;</v>
      </c>
      <c r="K30" s="4" t="str">
        <f>IF(E30="*",""""&amp;B30&amp;""":"&amp;REPT(" ",$C$4-C30)&amp;" place at address mem: "&amp;B30&amp;REPT(" ",$C$4-C30)&amp;" { "&amp;$K$1&amp;E30&amp;"("&amp;A30&amp;".a)"&amp;IF(E31=""," };",","),IF(E30="","",REPT(" ",$K$3)&amp;$K$1&amp;E30&amp;IF(E31=""," };",",")))</f>
        <v>"PSP_CONST":             place at address mem: PSP_CONST             { ro data section .rodata object *(PSP.a) };</v>
      </c>
    </row>
    <row r="31" spans="1:11" x14ac:dyDescent="0.25">
      <c r="B31" t="str">
        <f>B30&amp;"_end"</f>
        <v>PSP_CONST_end</v>
      </c>
      <c r="F31">
        <f ca="1">VLOOKUP(B31,INDIRECT($F$1),2,FALSE)</f>
        <v>92</v>
      </c>
      <c r="G31">
        <f ca="1">INT(($G$28/100)*F31)</f>
        <v>0</v>
      </c>
      <c r="H31">
        <f ca="1">H30+F30+G31+IF(MOD(F30+H30+G31,$G$29)=0,0,$G$29-MOD(F30+H30+G31,$G$29))</f>
        <v>42068</v>
      </c>
      <c r="I31" t="str">
        <f ca="1">"0x"&amp;DEC2HEX(H31,8)</f>
        <v>0x0000A454</v>
      </c>
    </row>
    <row r="33" spans="1:11" x14ac:dyDescent="0.25">
      <c r="F33" t="s">
        <v>526</v>
      </c>
      <c r="G33">
        <f ca="1">VLOOKUP(B35,INDIRECT(GlobalPlcmnt!$B$133),GlobalPlcmnt!$B$138,FALSE)</f>
        <v>1</v>
      </c>
      <c r="J33" s="4"/>
      <c r="K33" s="4"/>
    </row>
    <row r="34" spans="1:11" x14ac:dyDescent="0.25">
      <c r="F34" t="s">
        <v>608</v>
      </c>
      <c r="G34">
        <f ca="1">VLOOKUP(B35,INDIRECT(GlobalPlcmnt!$B$133),GlobalPlcmnt!$C$138,FALSE)</f>
        <v>8</v>
      </c>
      <c r="J34" s="4"/>
      <c r="K34" s="4"/>
    </row>
    <row r="35" spans="1:11" x14ac:dyDescent="0.25">
      <c r="A35" t="s">
        <v>541</v>
      </c>
      <c r="B35" t="str">
        <f>SUBSTITUTE(IF(A35&lt;&gt;A30,A35&amp;$B$1,""),"-","_")</f>
        <v>wolfSSL_Lib_MTU_CONST</v>
      </c>
      <c r="C35">
        <f>LEN(B35)</f>
        <v>21</v>
      </c>
      <c r="E35" t="s">
        <v>562</v>
      </c>
      <c r="F35">
        <f ca="1">IF(E35="*",F36,VLOOKUP(E35,INDIRECT($F$1),2,FALSE))</f>
        <v>8260</v>
      </c>
      <c r="H35">
        <f ca="1">VLOOKUP(B35,INDIRECT(GlobalPlcmnt!$B$133),GlobalPlcmnt!$A$138,FALSE)</f>
        <v>84728</v>
      </c>
      <c r="I35" t="str">
        <f ca="1">"0x"&amp;DEC2HEX(H35,8)</f>
        <v>0x00014AF8</v>
      </c>
      <c r="J35" s="4" t="str">
        <f ca="1">IF(E35&lt;&gt;"*","","define symbol "&amp;B35&amp;REPT(" ",$C$4-C35)&amp;" = "&amp;I35&amp;";")</f>
        <v>define symbol wolfSSL_Lib_MTU_CONST = 0x00014AF8;</v>
      </c>
      <c r="K35" s="4" t="str">
        <f>IF(E35="*",""""&amp;B35&amp;""":"&amp;REPT(" ",$C$4-C35)&amp;" place at address mem: "&amp;B35&amp;REPT(" ",$C$4-C35)&amp;" { "&amp;$K$1&amp;E35&amp;"("&amp;A35&amp;".a)"&amp;IF(E36=""," };",","),IF(E35="","",REPT(" ",$K$3)&amp;$K$1&amp;E35&amp;IF(E36=""," };",",")))</f>
        <v>"wolfSSL_Lib_MTU_CONST": place at address mem: wolfSSL_Lib_MTU_CONST { ro data section .rodata object *(wolfSSL-Lib_MTU.a) };</v>
      </c>
    </row>
    <row r="36" spans="1:11" x14ac:dyDescent="0.25">
      <c r="B36" t="str">
        <f>B35&amp;"_end"</f>
        <v>wolfSSL_Lib_MTU_CONST_end</v>
      </c>
      <c r="F36">
        <f ca="1">VLOOKUP(B36,INDIRECT($F$1),2,FALSE)</f>
        <v>8260</v>
      </c>
      <c r="G36">
        <f ca="1">INT(($G$33/100)*F36)</f>
        <v>82</v>
      </c>
      <c r="H36">
        <f ca="1">H35+F35+G36+IF(MOD(F35+H35+G36,$G$34)=0,0,$G$34-MOD(F35+H35+G36,$G$34))</f>
        <v>93072</v>
      </c>
      <c r="I36" t="str">
        <f ca="1">"0x"&amp;DEC2HEX(H36,8)</f>
        <v>0x00016B90</v>
      </c>
    </row>
    <row r="38" spans="1:11" x14ac:dyDescent="0.25">
      <c r="F38" t="s">
        <v>526</v>
      </c>
      <c r="G38">
        <f ca="1">VLOOKUP(B40,INDIRECT(GlobalPlcmnt!$B$133),GlobalPlcmnt!$B$138,FALSE)</f>
        <v>0</v>
      </c>
      <c r="J38" s="4"/>
      <c r="K38" s="4"/>
    </row>
    <row r="39" spans="1:11" x14ac:dyDescent="0.25">
      <c r="F39" t="s">
        <v>608</v>
      </c>
      <c r="G39">
        <f ca="1">VLOOKUP(B40,INDIRECT(GlobalPlcmnt!$B$133),GlobalPlcmnt!$C$138,FALSE)</f>
        <v>4</v>
      </c>
      <c r="J39" s="4"/>
      <c r="K39" s="4"/>
    </row>
    <row r="40" spans="1:11" x14ac:dyDescent="0.25">
      <c r="A40" t="s">
        <v>966</v>
      </c>
      <c r="B40" t="str">
        <f>SUBSTITUTE(IF(A40&lt;&gt;A35,A40&amp;$B$1,""),"-","_")</f>
        <v>BSP_VECT_CONST</v>
      </c>
      <c r="C40">
        <f>LEN(B40)</f>
        <v>14</v>
      </c>
      <c r="E40" t="s">
        <v>562</v>
      </c>
      <c r="F40">
        <f ca="1">IF(E40="*",F41,VLOOKUP(E40,INDIRECT($F$1),2,FALSE))</f>
        <v>1024</v>
      </c>
      <c r="H40">
        <f ca="1">VLOOKUP(B40,INDIRECT(GlobalPlcmnt!$B$133),GlobalPlcmnt!$A$138,FALSE)</f>
        <v>16384</v>
      </c>
      <c r="I40" t="str">
        <f ca="1">"0x"&amp;DEC2HEX(H40,8)</f>
        <v>0x00004000</v>
      </c>
      <c r="J40" s="4" t="str">
        <f ca="1">IF(E40&lt;&gt;"*","","define symbol "&amp;B40&amp;REPT(" ",$C$4-C40)&amp;" = "&amp;I40&amp;";")</f>
        <v>define symbol BSP_VECT_CONST        = 0x00004000;</v>
      </c>
      <c r="K40" s="4" t="str">
        <f>IF(E40="*",""""&amp;B40&amp;""":"&amp;REPT(" ",$C$4-C40)&amp;" place at address mem: "&amp;B40&amp;REPT(" ",$C$4-C40)&amp;" { "&amp;$K$1&amp;E40&amp;"("&amp;A40&amp;".a)"&amp;IF(E41=""," };",","),IF(E40="","",REPT(" ",$K$3)&amp;$K$1&amp;E40&amp;IF(E41=""," };",",")))</f>
        <v>"BSP_VECT_CONST":        place at address mem: BSP_VECT_CONST        { ro data section .rodata object *(BSP_VECT.a) };</v>
      </c>
    </row>
    <row r="41" spans="1:11" x14ac:dyDescent="0.25">
      <c r="B41" t="str">
        <f>B40&amp;"_end"</f>
        <v>BSP_VECT_CONST_end</v>
      </c>
      <c r="F41">
        <f ca="1">VLOOKUP(B41,INDIRECT($F$1),2,FALSE)</f>
        <v>1024</v>
      </c>
      <c r="G41">
        <f ca="1">INT(($G$38/100)*F41)</f>
        <v>0</v>
      </c>
      <c r="H41">
        <f ca="1">H40+F40+G41+IF(MOD(F40+H40+G41,$G$39)=0,0,$G$39-MOD(F40+H40+G41,$G$39))</f>
        <v>17408</v>
      </c>
      <c r="I41" t="str">
        <f ca="1">"0x"&amp;DEC2HEX(H41,8)</f>
        <v>0x00004400</v>
      </c>
    </row>
    <row r="43" spans="1:11" x14ac:dyDescent="0.25">
      <c r="A43" t="s">
        <v>928</v>
      </c>
      <c r="B43" t="str">
        <f ca="1">CELL("address",J41)</f>
        <v>$J$41</v>
      </c>
      <c r="J43" s="2"/>
      <c r="K43" s="2"/>
    </row>
    <row r="46" spans="1:11" x14ac:dyDescent="0.25">
      <c r="J46" s="4" t="str">
        <f ca="1">J5</f>
        <v>define symbol dl7M_tln_CONST        = 0x00004400;</v>
      </c>
      <c r="K46" s="4" t="str">
        <f ca="1">IF(MID(J46,1,1)="/","//","")&amp;K5</f>
        <v>"dl7M_tln_CONST":        place at address mem: dl7M_tln_CONST        { ro data section .rodata object *(dl7M_tln.a) };</v>
      </c>
    </row>
    <row r="47" spans="1:11" x14ac:dyDescent="0.25">
      <c r="J47" s="4" t="str">
        <f ca="1">J10</f>
        <v>define symbol m7M_tls_CONST         = 0x000070A0;</v>
      </c>
      <c r="K47" s="4" t="str">
        <f ca="1">IF(MID(J47,1,1)="/","//","")&amp;K10</f>
        <v>"m7M_tls_CONST":         place at address mem: m7M_tls_CONST         { ro data section .rodata object *(m7M_tls.a) };</v>
      </c>
    </row>
    <row r="48" spans="1:11" x14ac:dyDescent="0.25">
      <c r="J48" s="4" t="str">
        <f ca="1">J15</f>
        <v>define symbol rt7M_tl_CONST         = 0x00009D40;</v>
      </c>
      <c r="K48" s="4" t="str">
        <f ca="1">IF(MID(J48,1,1)="/","//","")&amp;K15</f>
        <v>"rt7M_tl_CONST":         place at address mem: rt7M_tl_CONST         { ro data section .rodata object *(rt7M_tl.a) };</v>
      </c>
    </row>
    <row r="49" spans="10:11" x14ac:dyDescent="0.25">
      <c r="J49" s="4" t="str">
        <f ca="1">J20</f>
        <v>define symbol shb_l_CONST           = 0x0000A3B0;</v>
      </c>
      <c r="K49" s="4" t="str">
        <f ca="1">IF(MID(J49,1,1)="/","//","")&amp;K20</f>
        <v>"shb_l_CONST":           place at address mem: shb_l_CONST           { ro data section .rodata object *(shb_l.a) };</v>
      </c>
    </row>
    <row r="50" spans="10:11" x14ac:dyDescent="0.25">
      <c r="J50" s="4" t="str">
        <f ca="1">J25</f>
        <v>define symbol BSP_CONST             = 0x0001027C;</v>
      </c>
      <c r="K50" s="4" t="str">
        <f ca="1">IF(MID(J50,1,1)="/","//","")&amp;K25</f>
        <v>"BSP_CONST":             place at address mem: BSP_CONST             { ro data section .rodata object *(BSP.a) };</v>
      </c>
    </row>
    <row r="51" spans="10:11" x14ac:dyDescent="0.25">
      <c r="J51" s="4" t="str">
        <f ca="1">J30</f>
        <v>define symbol PSP_CONST             = 0x0000A3F8;</v>
      </c>
      <c r="K51" s="4" t="str">
        <f ca="1">IF(MID(J51,1,1)="/","//","")&amp;K30</f>
        <v>"PSP_CONST":             place at address mem: PSP_CONST             { ro data section .rodata object *(PSP.a) };</v>
      </c>
    </row>
    <row r="52" spans="10:11" x14ac:dyDescent="0.25">
      <c r="J52" s="4" t="str">
        <f ca="1">J35</f>
        <v>define symbol wolfSSL_Lib_MTU_CONST = 0x00014AF8;</v>
      </c>
      <c r="K52" s="4" t="str">
        <f ca="1">IF(MID(J52,1,1)="/","//","")&amp;K35</f>
        <v>"wolfSSL_Lib_MTU_CONST": place at address mem: wolfSSL_Lib_MTU_CONST { ro data section .rodata object *(wolfSSL-Lib_MTU.a) };</v>
      </c>
    </row>
    <row r="53" spans="10:11" x14ac:dyDescent="0.25">
      <c r="K53" s="4"/>
    </row>
    <row r="54" spans="10:11" x14ac:dyDescent="0.25">
      <c r="K54" s="4"/>
    </row>
    <row r="55" spans="10:11" x14ac:dyDescent="0.25">
      <c r="K55" s="4"/>
    </row>
    <row r="56" spans="10:11" x14ac:dyDescent="0.25">
      <c r="K56" s="4"/>
    </row>
    <row r="57" spans="10:11" x14ac:dyDescent="0.25">
      <c r="K57" s="4"/>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401"/>
  <sheetViews>
    <sheetView topLeftCell="I314" zoomScaleNormal="100" workbookViewId="0">
      <selection activeCell="K353" sqref="K353"/>
    </sheetView>
  </sheetViews>
  <sheetFormatPr defaultRowHeight="15" x14ac:dyDescent="0.25"/>
  <cols>
    <col min="1" max="1" width="14.140625" bestFit="1" customWidth="1"/>
    <col min="2" max="2" width="26" bestFit="1" customWidth="1"/>
    <col min="3" max="3" width="3" bestFit="1" customWidth="1"/>
    <col min="4" max="4" width="31.7109375" customWidth="1"/>
    <col min="5" max="5" width="32.28515625" customWidth="1"/>
    <col min="6" max="6" width="6.28515625" bestFit="1" customWidth="1"/>
    <col min="7" max="7" width="7.140625" bestFit="1" customWidth="1"/>
    <col min="8" max="8" width="9.85546875" customWidth="1"/>
    <col min="9" max="9" width="11.5703125" bestFit="1" customWidth="1"/>
    <col min="10" max="10" width="58.140625" bestFit="1" customWidth="1"/>
    <col min="11" max="11" width="151.42578125" bestFit="1" customWidth="1"/>
  </cols>
  <sheetData>
    <row r="1" spans="1:11" x14ac:dyDescent="0.25">
      <c r="B1" t="s">
        <v>580</v>
      </c>
      <c r="F1" s="3" t="str">
        <f ca="1">'.map data'!B4</f>
        <v>'.map data'!$R$31:$S$2861</v>
      </c>
    </row>
    <row r="2" spans="1:11" x14ac:dyDescent="0.25">
      <c r="F2" t="s">
        <v>526</v>
      </c>
      <c r="G2">
        <f ca="1">VLOOKUP(B5,INDIRECT(GlobalPlcmnt!$B$133),GlobalPlcmnt!$B$138,FALSE)</f>
        <v>1</v>
      </c>
      <c r="K2" t="s">
        <v>578</v>
      </c>
    </row>
    <row r="3" spans="1:11" x14ac:dyDescent="0.25">
      <c r="A3" t="s">
        <v>927</v>
      </c>
      <c r="B3" t="str">
        <f ca="1">CELL("address",B5)</f>
        <v>$B$5</v>
      </c>
      <c r="F3" t="s">
        <v>608</v>
      </c>
      <c r="G3">
        <f ca="1">VLOOKUP(B5,INDIRECT(GlobalPlcmnt!$B$133),GlobalPlcmnt!$C$138,FALSE)</f>
        <v>4</v>
      </c>
    </row>
    <row r="4" spans="1:11" x14ac:dyDescent="0.25">
      <c r="C4">
        <f>MAX(C5:C231)+1</f>
        <v>17</v>
      </c>
      <c r="F4" t="s">
        <v>542</v>
      </c>
      <c r="K4">
        <f>$C$4+LEN("place at address mem: { ")+3</f>
        <v>44</v>
      </c>
    </row>
    <row r="5" spans="1:11" x14ac:dyDescent="0.25">
      <c r="A5" t="s">
        <v>527</v>
      </c>
      <c r="B5" t="str">
        <f t="shared" ref="B5:B15" si="0">IF(A5&lt;&gt;A4,A5&amp;$B$1,"")</f>
        <v>utils_CONST</v>
      </c>
      <c r="C5">
        <f t="shared" ref="C5:C15" si="1">LEN(B5)</f>
        <v>11</v>
      </c>
      <c r="D5" t="s">
        <v>322</v>
      </c>
      <c r="E5" t="str">
        <f>SUBSTITUTE(D5,"-","_")</f>
        <v>ascii.o</v>
      </c>
      <c r="F5">
        <f ca="1">IFERROR(VLOOKUP(D5,INDIRECT($F$1),2,FALSE),0)</f>
        <v>0</v>
      </c>
      <c r="H5">
        <f ca="1">VLOOKUP(B5,INDIRECT(GlobalPlcmnt!$B$133),GlobalPlcmnt!$A$138,FALSE)</f>
        <v>214644</v>
      </c>
      <c r="I5" t="str">
        <f t="shared" ref="I5:I134" ca="1" si="2">"0x"&amp;DEC2HEX(H5,8)</f>
        <v>0x00034674</v>
      </c>
      <c r="J5" s="4" t="str">
        <f ca="1">IF(B5="","","define symbol "&amp;B5&amp;REPT(" ",$C$4-C5)&amp;"= "&amp;I5&amp;";")</f>
        <v>define symbol utils_CONST      = 0x00034674;</v>
      </c>
      <c r="K5" s="4" t="str">
        <f>IF(B5="",REPT(" ",$C$4+$K$4)&amp;$K$2&amp;D5&amp;IF(B6="",","," };"),""""&amp;B5&amp;""":"&amp;REPT(" ",$C$4-C5)&amp;"place at address mem: "&amp;B5&amp;REPT(" ",$C$4-C5)&amp;"{ "&amp;K$2&amp;D5&amp;IF(B6="",","," };"))</f>
        <v>"utils_CONST":      place at address mem: utils_CONST      { ro data section .rodata object ascii.o,</v>
      </c>
    </row>
    <row r="6" spans="1:11" x14ac:dyDescent="0.25">
      <c r="A6" t="s">
        <v>527</v>
      </c>
      <c r="B6" t="str">
        <f t="shared" si="0"/>
        <v/>
      </c>
      <c r="C6">
        <f t="shared" si="1"/>
        <v>0</v>
      </c>
      <c r="D6" t="s">
        <v>565</v>
      </c>
      <c r="E6" t="str">
        <f>SUBSTITUTE(D6,"-","_")</f>
        <v>bcd.o</v>
      </c>
      <c r="F6">
        <f t="shared" ref="F6" ca="1" si="3">IFERROR(VLOOKUP(D6,INDIRECT($F$1),2,FALSE),0)</f>
        <v>0</v>
      </c>
      <c r="H6">
        <f ca="1">H5+F5+G5+IF(MOD(F5+H5+G5,$G$3)=0,0,$G$3-MOD(F5+H5+G5,$G$3))</f>
        <v>214644</v>
      </c>
      <c r="I6" t="str">
        <f t="shared" ref="I6:I15" ca="1" si="4">"0x"&amp;DEC2HEX(H6,8)</f>
        <v>0x00034674</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.rodata object bcd.o,</v>
      </c>
    </row>
    <row r="7" spans="1:11" x14ac:dyDescent="0.25">
      <c r="A7" t="s">
        <v>527</v>
      </c>
      <c r="B7" t="str">
        <f t="shared" si="0"/>
        <v/>
      </c>
      <c r="C7">
        <f t="shared" si="1"/>
        <v>0</v>
      </c>
      <c r="D7" t="s">
        <v>566</v>
      </c>
      <c r="E7" t="str">
        <f t="shared" ref="E7:E15" si="7">SUBSTITUTE(D7,"-","_")</f>
        <v>bit_util.o</v>
      </c>
      <c r="F7">
        <f t="shared" ref="F7:F15" ca="1" si="8">IFERROR(VLOOKUP(D7,INDIRECT($F$1),2,FALSE),0)</f>
        <v>0</v>
      </c>
      <c r="H7">
        <f t="shared" ref="H7:H15" ca="1" si="9">H6+F6+G6+IF(MOD(F6+H6+G6,$G$3)=0,0,$G$3-MOD(F6+H6+G6,$G$3))</f>
        <v>214644</v>
      </c>
      <c r="I7" t="str">
        <f t="shared" ca="1" si="4"/>
        <v>0x00034674</v>
      </c>
      <c r="J7" s="4" t="str">
        <f t="shared" si="5"/>
        <v/>
      </c>
      <c r="K7" s="4" t="str">
        <f t="shared" si="6"/>
        <v xml:space="preserve">                                                             ro data section .rodata object bit_util.o,</v>
      </c>
    </row>
    <row r="8" spans="1:11" x14ac:dyDescent="0.25">
      <c r="A8" t="s">
        <v>527</v>
      </c>
      <c r="B8" t="str">
        <f t="shared" si="0"/>
        <v/>
      </c>
      <c r="C8">
        <f t="shared" si="1"/>
        <v>0</v>
      </c>
      <c r="D8" t="s">
        <v>96</v>
      </c>
      <c r="E8" t="str">
        <f t="shared" si="7"/>
        <v>byteswap.o</v>
      </c>
      <c r="F8">
        <f t="shared" ca="1" si="8"/>
        <v>0</v>
      </c>
      <c r="H8">
        <f t="shared" ca="1" si="9"/>
        <v>214644</v>
      </c>
      <c r="I8" t="str">
        <f t="shared" ca="1" si="4"/>
        <v>0x00034674</v>
      </c>
      <c r="J8" s="4" t="str">
        <f t="shared" si="5"/>
        <v/>
      </c>
      <c r="K8" s="4" t="str">
        <f t="shared" si="6"/>
        <v xml:space="preserve">                                                             ro data section .rodata object byteswap.o,</v>
      </c>
    </row>
    <row r="9" spans="1:11" x14ac:dyDescent="0.25">
      <c r="A9" t="s">
        <v>527</v>
      </c>
      <c r="B9" t="str">
        <f t="shared" si="0"/>
        <v/>
      </c>
      <c r="C9">
        <f t="shared" si="1"/>
        <v>0</v>
      </c>
      <c r="D9" t="s">
        <v>399</v>
      </c>
      <c r="E9" t="str">
        <f t="shared" si="7"/>
        <v>crc16_m.o</v>
      </c>
      <c r="F9">
        <f t="shared" ca="1" si="8"/>
        <v>0</v>
      </c>
      <c r="H9">
        <f t="shared" ca="1" si="9"/>
        <v>214644</v>
      </c>
      <c r="I9" t="str">
        <f t="shared" ca="1" si="4"/>
        <v>0x00034674</v>
      </c>
      <c r="J9" s="4" t="str">
        <f t="shared" si="5"/>
        <v/>
      </c>
      <c r="K9" s="4" t="str">
        <f t="shared" si="6"/>
        <v xml:space="preserve">                                                             ro data section .rodata object crc16_m.o,</v>
      </c>
    </row>
    <row r="10" spans="1:11" x14ac:dyDescent="0.25">
      <c r="A10" t="s">
        <v>527</v>
      </c>
      <c r="B10" t="str">
        <f t="shared" si="0"/>
        <v/>
      </c>
      <c r="C10">
        <f t="shared" si="1"/>
        <v>0</v>
      </c>
      <c r="D10" t="s">
        <v>178</v>
      </c>
      <c r="E10" t="str">
        <f t="shared" si="7"/>
        <v>crc32.o</v>
      </c>
      <c r="F10">
        <f t="shared" ca="1" si="8"/>
        <v>0</v>
      </c>
      <c r="H10">
        <f t="shared" ca="1" si="9"/>
        <v>214644</v>
      </c>
      <c r="I10" t="str">
        <f t="shared" ca="1" si="4"/>
        <v>0x00034674</v>
      </c>
      <c r="J10" s="4" t="str">
        <f t="shared" si="5"/>
        <v/>
      </c>
      <c r="K10" s="4" t="str">
        <f t="shared" si="6"/>
        <v xml:space="preserve">                                                             ro data section .rodata object crc32.o,</v>
      </c>
    </row>
    <row r="11" spans="1:11" x14ac:dyDescent="0.25">
      <c r="A11" t="s">
        <v>527</v>
      </c>
      <c r="B11" t="str">
        <f t="shared" si="0"/>
        <v/>
      </c>
      <c r="C11">
        <f t="shared" si="1"/>
        <v>0</v>
      </c>
      <c r="D11" t="s">
        <v>296</v>
      </c>
      <c r="E11" t="str">
        <f t="shared" si="7"/>
        <v>invert_bits.o</v>
      </c>
      <c r="F11">
        <f t="shared" ca="1" si="8"/>
        <v>0</v>
      </c>
      <c r="H11">
        <f t="shared" ca="1" si="9"/>
        <v>214644</v>
      </c>
      <c r="I11" t="str">
        <f t="shared" ca="1" si="4"/>
        <v>0x00034674</v>
      </c>
      <c r="J11" s="4" t="str">
        <f t="shared" si="5"/>
        <v/>
      </c>
      <c r="K11" s="4" t="str">
        <f t="shared" si="6"/>
        <v xml:space="preserve">                                                             ro data section .rodata object invert_bits.o,</v>
      </c>
    </row>
    <row r="12" spans="1:11" x14ac:dyDescent="0.25">
      <c r="A12" t="s">
        <v>527</v>
      </c>
      <c r="B12" t="str">
        <f t="shared" si="0"/>
        <v/>
      </c>
      <c r="C12">
        <f t="shared" si="1"/>
        <v>0</v>
      </c>
      <c r="D12" t="s">
        <v>97</v>
      </c>
      <c r="E12" t="str">
        <f t="shared" si="7"/>
        <v>pack.o</v>
      </c>
      <c r="F12">
        <f t="shared" ca="1" si="8"/>
        <v>0</v>
      </c>
      <c r="H12">
        <f t="shared" ca="1" si="9"/>
        <v>214644</v>
      </c>
      <c r="I12" t="str">
        <f t="shared" ca="1" si="4"/>
        <v>0x00034674</v>
      </c>
      <c r="J12" s="4" t="str">
        <f t="shared" si="5"/>
        <v/>
      </c>
      <c r="K12" s="4" t="str">
        <f t="shared" si="6"/>
        <v xml:space="preserve">                                                             ro data section .rodata object pack.o,</v>
      </c>
    </row>
    <row r="13" spans="1:11" x14ac:dyDescent="0.25">
      <c r="A13" t="s">
        <v>527</v>
      </c>
      <c r="B13" t="str">
        <f t="shared" si="0"/>
        <v/>
      </c>
      <c r="C13">
        <f t="shared" si="1"/>
        <v>0</v>
      </c>
      <c r="D13" t="s">
        <v>81</v>
      </c>
      <c r="E13" t="str">
        <f t="shared" si="7"/>
        <v>rand.o</v>
      </c>
      <c r="F13">
        <f t="shared" ca="1" si="8"/>
        <v>0</v>
      </c>
      <c r="H13">
        <f t="shared" ca="1" si="9"/>
        <v>214644</v>
      </c>
      <c r="I13" t="str">
        <f t="shared" ca="1" si="4"/>
        <v>0x00034674</v>
      </c>
      <c r="J13" s="4" t="str">
        <f t="shared" si="5"/>
        <v/>
      </c>
      <c r="K13" s="4" t="str">
        <f t="shared" si="6"/>
        <v xml:space="preserve">                                                             ro data section .rodata object rand.o,</v>
      </c>
    </row>
    <row r="14" spans="1:11" x14ac:dyDescent="0.25">
      <c r="A14" t="s">
        <v>527</v>
      </c>
      <c r="B14" t="str">
        <f t="shared" si="0"/>
        <v/>
      </c>
      <c r="C14">
        <f t="shared" si="1"/>
        <v>0</v>
      </c>
      <c r="D14" t="s">
        <v>93</v>
      </c>
      <c r="E14" t="str">
        <f t="shared" si="7"/>
        <v>time_util.o</v>
      </c>
      <c r="F14">
        <f t="shared" ca="1" si="8"/>
        <v>80</v>
      </c>
      <c r="H14">
        <f t="shared" ca="1" si="9"/>
        <v>214644</v>
      </c>
      <c r="I14" t="str">
        <f t="shared" ca="1" si="4"/>
        <v>0x00034674</v>
      </c>
      <c r="J14" s="4" t="str">
        <f t="shared" si="5"/>
        <v/>
      </c>
      <c r="K14" s="4" t="str">
        <f t="shared" si="6"/>
        <v xml:space="preserve">                                                             ro data section .rodata object time_util.o,</v>
      </c>
    </row>
    <row r="15" spans="1:11" x14ac:dyDescent="0.25">
      <c r="A15" t="s">
        <v>527</v>
      </c>
      <c r="B15" t="str">
        <f t="shared" si="0"/>
        <v/>
      </c>
      <c r="C15">
        <f t="shared" si="1"/>
        <v>0</v>
      </c>
      <c r="D15" t="s">
        <v>130</v>
      </c>
      <c r="E15" t="str">
        <f t="shared" si="7"/>
        <v>timer_util.o</v>
      </c>
      <c r="F15">
        <f t="shared" ca="1" si="8"/>
        <v>16</v>
      </c>
      <c r="H15">
        <f t="shared" ca="1" si="9"/>
        <v>214724</v>
      </c>
      <c r="I15" t="str">
        <f t="shared" ca="1" si="4"/>
        <v>0x000346C4</v>
      </c>
      <c r="J15" s="4" t="str">
        <f t="shared" si="5"/>
        <v/>
      </c>
      <c r="K15" s="4" t="str">
        <f t="shared" si="6"/>
        <v xml:space="preserve">                                                             ro data section .rodata object timer_util.o };</v>
      </c>
    </row>
    <row r="16" spans="1:11" x14ac:dyDescent="0.25">
      <c r="B16" t="str">
        <f>B5&amp;"_end"</f>
        <v>utils_CONST_end</v>
      </c>
      <c r="F16">
        <f ca="1">SUM(F5:F15)</f>
        <v>96</v>
      </c>
      <c r="G16">
        <f ca="1">INT(($G$2/100)*F16)</f>
        <v>0</v>
      </c>
      <c r="H16">
        <f ca="1">H15+F15+G16+IF(MOD(F15+H15+G16,$G$3)=0,0,$G$3-MOD(F15+H15+G16,$G$3))</f>
        <v>214740</v>
      </c>
      <c r="I16" t="str">
        <f t="shared" ca="1" si="2"/>
        <v>0x000346D4</v>
      </c>
      <c r="J16" s="4"/>
      <c r="K16" s="4"/>
    </row>
    <row r="17" spans="1:11" x14ac:dyDescent="0.25">
      <c r="J17" s="4"/>
      <c r="K17" s="4"/>
    </row>
    <row r="18" spans="1:11" x14ac:dyDescent="0.25">
      <c r="F18" t="s">
        <v>526</v>
      </c>
      <c r="G18">
        <f ca="1">VLOOKUP(B21,INDIRECT(GlobalPlcmnt!$B$133),GlobalPlcmnt!$B$138,FALSE)</f>
        <v>1</v>
      </c>
      <c r="J18" s="4"/>
      <c r="K18" s="4"/>
    </row>
    <row r="19" spans="1:11" x14ac:dyDescent="0.25">
      <c r="F19" t="s">
        <v>608</v>
      </c>
      <c r="G19">
        <f ca="1">VLOOKUP(B21,INDIRECT(GlobalPlcmnt!$B$133),GlobalPlcmnt!$C$138,FALSE)</f>
        <v>4</v>
      </c>
      <c r="J19" s="4"/>
      <c r="K19" s="4"/>
    </row>
    <row r="20" spans="1:11" x14ac:dyDescent="0.25">
      <c r="F20" t="s">
        <v>542</v>
      </c>
      <c r="J20" s="4"/>
      <c r="K20" s="4"/>
    </row>
    <row r="21" spans="1:11" x14ac:dyDescent="0.25">
      <c r="A21" t="s">
        <v>528</v>
      </c>
      <c r="B21" t="str">
        <f>IF(A21&lt;&gt;A20,A21&amp;$B$1,"")</f>
        <v>dfw_CONST</v>
      </c>
      <c r="C21">
        <f>LEN(B21)</f>
        <v>9</v>
      </c>
      <c r="D21" t="s">
        <v>228</v>
      </c>
      <c r="E21" t="str">
        <f t="shared" ref="E21:E93" si="10">SUBSTITUTE(D21,"-","_")</f>
        <v>dfw_app.o</v>
      </c>
      <c r="F21">
        <f ca="1">IFERROR(VLOOKUP(D21,INDIRECT($F$1),2,FALSE),0)</f>
        <v>1296</v>
      </c>
      <c r="H21">
        <f ca="1">VLOOKUP(B21,INDIRECT(GlobalPlcmnt!$B$133),GlobalPlcmnt!$A$138,FALSE)</f>
        <v>214740</v>
      </c>
      <c r="I21" t="str">
        <f t="shared" ca="1" si="2"/>
        <v>0x000346D4</v>
      </c>
      <c r="J21" s="4" t="str">
        <f ca="1">IF(B21="","","define symbol "&amp;B21&amp;REPT(" ",$C$4-C21)&amp;"= "&amp;I21&amp;";")</f>
        <v>define symbol dfw_CONST        = 0x000346D4;</v>
      </c>
      <c r="K21" s="4" t="str">
        <f>IF(B21="",REPT(" ",$C$4+$K$4)&amp;$K$2&amp;D21&amp;IF(B22="",","," };"),""""&amp;B21&amp;""":"&amp;REPT(" ",$C$4-C21)&amp;"place at address mem: "&amp;B21&amp;REPT(" ",$C$4-C21)&amp;"{ "&amp;K$2&amp;D21&amp;IF(B22="",","," };"))</f>
        <v>"dfw_CONST":        place at address mem: dfw_CONST        { ro data section .rodata object dfw_app.o,</v>
      </c>
    </row>
    <row r="22" spans="1:11" x14ac:dyDescent="0.25">
      <c r="A22" t="s">
        <v>528</v>
      </c>
      <c r="B22" t="str">
        <f>IF(A22&lt;&gt;A21,A22&amp;$B$1,"")</f>
        <v/>
      </c>
      <c r="C22">
        <f>LEN(B22)</f>
        <v>0</v>
      </c>
      <c r="D22" t="s">
        <v>193</v>
      </c>
      <c r="E22" t="str">
        <f t="shared" si="10"/>
        <v>dfw_interface.o</v>
      </c>
      <c r="F22">
        <f ca="1">IFERROR(VLOOKUP(D22,INDIRECT($F$1),2,FALSE),0)</f>
        <v>2100</v>
      </c>
      <c r="H22">
        <f ca="1">H21+F21+G21+IF(MOD(F21+H21+G21,$G$19)=0,0,$G$19-MOD(F21+H21+G21,$G$19))</f>
        <v>216036</v>
      </c>
      <c r="I22" t="str">
        <f t="shared" ca="1" si="2"/>
        <v>0x00034BE4</v>
      </c>
      <c r="J22" s="4" t="str">
        <f t="shared" ref="J22:J24" si="11">IF(B22="","","define symbol "&amp;B22&amp;REPT(" ",$C$4-C22)&amp;"= "&amp;I22&amp;";")</f>
        <v/>
      </c>
      <c r="K22" s="4" t="str">
        <f t="shared" ref="K22:K24" si="12">IF(B22="",REPT(" ",$C$4+$K$4)&amp;$K$2&amp;D22&amp;IF(B23="",","," };"),""""&amp;B22&amp;""":"&amp;REPT(" ",$C$4-C22)&amp;"place at address mem: "&amp;B22&amp;REPT(" ",$C$4-C22)&amp;"{ "&amp;K$2&amp;D22&amp;IF(B23="",","," };"))</f>
        <v xml:space="preserve">                                                             ro data section .rodata object dfw_interface.o,</v>
      </c>
    </row>
    <row r="23" spans="1:11" x14ac:dyDescent="0.25">
      <c r="A23" t="s">
        <v>528</v>
      </c>
      <c r="B23" t="str">
        <f>IF(A23&lt;&gt;A22,A23&amp;$B$1,"")</f>
        <v/>
      </c>
      <c r="C23">
        <f>LEN(B23)</f>
        <v>0</v>
      </c>
      <c r="D23" t="s">
        <v>286</v>
      </c>
      <c r="E23" t="str">
        <f t="shared" ref="E23:E24" si="13">SUBSTITUTE(D23,"-","_")</f>
        <v>dfw_pckt.o</v>
      </c>
      <c r="F23">
        <f t="shared" ref="F23:F24" ca="1" si="14">IFERROR(VLOOKUP(D23,INDIRECT($F$1),2,FALSE),0)</f>
        <v>0</v>
      </c>
      <c r="H23">
        <f t="shared" ref="H23:H24" ca="1" si="15">H22+F22+G22+IF(MOD(F22+H22+G22,$G$19)=0,0,$G$19-MOD(F22+H22+G22,$G$19))</f>
        <v>218136</v>
      </c>
      <c r="I23" t="str">
        <f t="shared" ca="1" si="2"/>
        <v>0x00035418</v>
      </c>
      <c r="J23" s="4" t="str">
        <f t="shared" si="11"/>
        <v/>
      </c>
      <c r="K23" s="4" t="str">
        <f t="shared" si="12"/>
        <v xml:space="preserve">                                                             ro data section .rodata object dfw_pckt.o,</v>
      </c>
    </row>
    <row r="24" spans="1:11" x14ac:dyDescent="0.25">
      <c r="A24" t="s">
        <v>528</v>
      </c>
      <c r="B24" t="str">
        <f>IF(A24&lt;&gt;A23,A24&amp;$B$1,"")</f>
        <v/>
      </c>
      <c r="C24">
        <f>LEN(B24)</f>
        <v>0</v>
      </c>
      <c r="D24" t="s">
        <v>195</v>
      </c>
      <c r="E24" t="str">
        <f t="shared" si="13"/>
        <v>dfwtd_config.o</v>
      </c>
      <c r="F24">
        <f t="shared" ca="1" si="14"/>
        <v>76</v>
      </c>
      <c r="H24">
        <f t="shared" ca="1" si="15"/>
        <v>218136</v>
      </c>
      <c r="I24" t="str">
        <f t="shared" ca="1" si="2"/>
        <v>0x00035418</v>
      </c>
      <c r="J24" s="4" t="str">
        <f t="shared" si="11"/>
        <v/>
      </c>
      <c r="K24" s="4" t="str">
        <f t="shared" si="12"/>
        <v xml:space="preserve">                                                             ro data section .rodata object dfwtd_config.o };</v>
      </c>
    </row>
    <row r="25" spans="1:11" x14ac:dyDescent="0.25">
      <c r="B25" t="str">
        <f>B21&amp;"_end"</f>
        <v>dfw_CONST_end</v>
      </c>
      <c r="F25">
        <f ca="1">SUM(F21:F24)</f>
        <v>3472</v>
      </c>
      <c r="G25">
        <f ca="1">INT(($G$18/100)*F25)</f>
        <v>34</v>
      </c>
      <c r="H25">
        <f ca="1">H24+F24+G25+IF(MOD(F24+H24+G25,$G$19)=0,0,$G$19-MOD(F24+H24+G25,$G$19))</f>
        <v>218248</v>
      </c>
      <c r="I25" t="str">
        <f t="shared" ca="1" si="2"/>
        <v>0x00035488</v>
      </c>
      <c r="J25" s="4"/>
      <c r="K25" s="4"/>
    </row>
    <row r="26" spans="1:11" x14ac:dyDescent="0.25">
      <c r="J26" s="4"/>
      <c r="K26" s="4"/>
    </row>
    <row r="27" spans="1:11" x14ac:dyDescent="0.25">
      <c r="F27" t="s">
        <v>526</v>
      </c>
      <c r="G27">
        <f ca="1">VLOOKUP(B30,INDIRECT(GlobalPlcmnt!$B$133),GlobalPlcmnt!$B$138,FALSE)</f>
        <v>1</v>
      </c>
      <c r="J27" s="4"/>
      <c r="K27" s="4"/>
    </row>
    <row r="28" spans="1:11" x14ac:dyDescent="0.25">
      <c r="F28" t="s">
        <v>608</v>
      </c>
      <c r="G28">
        <f ca="1">VLOOKUP(B30,INDIRECT(GlobalPlcmnt!$B$133),GlobalPlcmnt!$C$138,FALSE)</f>
        <v>4</v>
      </c>
      <c r="J28" s="4"/>
      <c r="K28" s="4"/>
    </row>
    <row r="29" spans="1:11" x14ac:dyDescent="0.25">
      <c r="F29" t="s">
        <v>542</v>
      </c>
      <c r="J29" s="4"/>
      <c r="K29" s="4"/>
    </row>
    <row r="30" spans="1:11" x14ac:dyDescent="0.25">
      <c r="A30" t="s">
        <v>529</v>
      </c>
      <c r="B30" t="str">
        <f t="shared" ref="B30:B36" si="16">IF(A30&lt;&gt;A29,A30&amp;$B$1,"")</f>
        <v>driver_CONST</v>
      </c>
      <c r="C30">
        <f t="shared" ref="C30:C36" si="17">LEN(B30)</f>
        <v>12</v>
      </c>
      <c r="D30" t="s">
        <v>401</v>
      </c>
      <c r="E30" t="str">
        <f t="shared" si="10"/>
        <v>dvr_banked.o</v>
      </c>
      <c r="F30">
        <f t="shared" ref="F30:F31" ca="1" si="18">IFERROR(VLOOKUP(D30,INDIRECT($F$1),2,FALSE),0)</f>
        <v>60</v>
      </c>
      <c r="H30">
        <f ca="1">VLOOKUP(B30,INDIRECT(GlobalPlcmnt!$B$133),GlobalPlcmnt!$A$138,FALSE)</f>
        <v>218248</v>
      </c>
      <c r="I30" t="str">
        <f t="shared" ca="1" si="2"/>
        <v>0x00035488</v>
      </c>
      <c r="J30" s="4" t="str">
        <f t="shared" ref="J30" ca="1" si="19">IF(B30="","","define symbol "&amp;B30&amp;REPT(" ",$C$4-C30)&amp;"= "&amp;I30&amp;";")</f>
        <v>define symbol driver_CONST     = 0x00035488;</v>
      </c>
      <c r="K30" s="4" t="str">
        <f t="shared" ref="K30" si="20">IF(B30="",REPT(" ",$C$4+$K$4)&amp;$K$2&amp;D30&amp;IF(B31="",","," };"),""""&amp;B30&amp;""":"&amp;REPT(" ",$C$4-C30)&amp;"place at address mem: "&amp;B30&amp;REPT(" ",$C$4-C30)&amp;"{ "&amp;K$2&amp;D30&amp;IF(B31="",","," };"))</f>
        <v>"driver_CONST":     place at address mem: driver_CONST     { ro data section .rodata object dvr_banked.o,</v>
      </c>
    </row>
    <row r="31" spans="1:11" x14ac:dyDescent="0.25">
      <c r="A31" t="s">
        <v>529</v>
      </c>
      <c r="B31" t="str">
        <f t="shared" si="16"/>
        <v/>
      </c>
      <c r="C31">
        <f t="shared" si="17"/>
        <v>0</v>
      </c>
      <c r="D31" t="s">
        <v>402</v>
      </c>
      <c r="E31" t="str">
        <f t="shared" si="10"/>
        <v>dvr_cache.o</v>
      </c>
      <c r="F31">
        <f t="shared" ca="1" si="18"/>
        <v>56</v>
      </c>
      <c r="H31">
        <f ca="1">H30+F30+G30+IF(MOD(F30+H30+G30,$G$28)=0,0,$G$28-MOD(F30+H30+G30,$G$28))</f>
        <v>218308</v>
      </c>
      <c r="I31" t="str">
        <f t="shared" ca="1" si="2"/>
        <v>0x000354C4</v>
      </c>
      <c r="J31" s="4" t="str">
        <f t="shared" ref="J31:J36" si="21">IF(B31="","","define symbol "&amp;B31&amp;REPT(" ",$C$4-C31)&amp;"= "&amp;I31&amp;";")</f>
        <v/>
      </c>
      <c r="K31" s="4" t="str">
        <f t="shared" ref="K31:K36" si="22">IF(B31="",REPT(" ",$C$4+$K$4)&amp;$K$2&amp;D31&amp;IF(B32="",","," };"),""""&amp;B31&amp;""":"&amp;REPT(" ",$C$4-C31)&amp;"place at address mem: "&amp;B31&amp;REPT(" ",$C$4-C31)&amp;"{ "&amp;K$2&amp;D31&amp;IF(B32="",","," };"))</f>
        <v xml:space="preserve">                                                             ro data section .rodata object dvr_cache.o,</v>
      </c>
    </row>
    <row r="32" spans="1:11" x14ac:dyDescent="0.25">
      <c r="A32" t="s">
        <v>529</v>
      </c>
      <c r="B32" t="str">
        <f t="shared" si="16"/>
        <v/>
      </c>
      <c r="C32">
        <f t="shared" si="17"/>
        <v>0</v>
      </c>
      <c r="D32" t="s">
        <v>199</v>
      </c>
      <c r="E32" t="str">
        <f t="shared" ref="E32:E36" si="23">SUBSTITUTE(D32,"-","_")</f>
        <v>dvr_extflash.o</v>
      </c>
      <c r="F32">
        <f t="shared" ref="F32:F36" ca="1" si="24">IFERROR(VLOOKUP(D32,INDIRECT($F$1),2,FALSE),0)</f>
        <v>464</v>
      </c>
      <c r="H32">
        <f t="shared" ref="H32:H36" ca="1" si="25">H31+F31+G31+IF(MOD(F31+H31+G31,$G$28)=0,0,$G$28-MOD(F31+H31+G31,$G$28))</f>
        <v>218364</v>
      </c>
      <c r="I32" t="str">
        <f t="shared" ca="1" si="2"/>
        <v>0x000354FC</v>
      </c>
      <c r="J32" s="4" t="str">
        <f t="shared" si="21"/>
        <v/>
      </c>
      <c r="K32" s="4" t="str">
        <f t="shared" si="22"/>
        <v xml:space="preserve">                                                             ro data section .rodata object dvr_extflash.o,</v>
      </c>
    </row>
    <row r="33" spans="1:11" x14ac:dyDescent="0.25">
      <c r="A33" t="s">
        <v>529</v>
      </c>
      <c r="B33" t="str">
        <f t="shared" si="16"/>
        <v/>
      </c>
      <c r="C33">
        <f t="shared" si="17"/>
        <v>0</v>
      </c>
      <c r="D33" t="s">
        <v>403</v>
      </c>
      <c r="E33" t="str">
        <f t="shared" si="23"/>
        <v>dvr_sectPreErase.o</v>
      </c>
      <c r="F33">
        <f t="shared" ca="1" si="24"/>
        <v>64</v>
      </c>
      <c r="H33">
        <f t="shared" ca="1" si="25"/>
        <v>218828</v>
      </c>
      <c r="I33" t="str">
        <f t="shared" ca="1" si="2"/>
        <v>0x000356CC</v>
      </c>
      <c r="J33" s="4" t="str">
        <f t="shared" si="21"/>
        <v/>
      </c>
      <c r="K33" s="4" t="str">
        <f t="shared" si="22"/>
        <v xml:space="preserve">                                                             ro data section .rodata object dvr_sectPreErase.o,</v>
      </c>
    </row>
    <row r="34" spans="1:11" x14ac:dyDescent="0.25">
      <c r="A34" t="s">
        <v>529</v>
      </c>
      <c r="B34" t="str">
        <f t="shared" si="16"/>
        <v/>
      </c>
      <c r="C34">
        <f t="shared" si="17"/>
        <v>0</v>
      </c>
      <c r="D34" t="s">
        <v>90</v>
      </c>
      <c r="E34" t="str">
        <f t="shared" si="23"/>
        <v>dvr_sharedMem.o</v>
      </c>
      <c r="F34">
        <f t="shared" ca="1" si="24"/>
        <v>16</v>
      </c>
      <c r="H34">
        <f t="shared" ca="1" si="25"/>
        <v>218892</v>
      </c>
      <c r="I34" t="str">
        <f t="shared" ca="1" si="2"/>
        <v>0x0003570C</v>
      </c>
      <c r="J34" s="4" t="str">
        <f t="shared" si="21"/>
        <v/>
      </c>
      <c r="K34" s="4" t="str">
        <f t="shared" si="22"/>
        <v xml:space="preserve">                                                             ro data section .rodata object dvr_sharedMem.o,</v>
      </c>
    </row>
    <row r="35" spans="1:11" x14ac:dyDescent="0.25">
      <c r="A35" t="s">
        <v>529</v>
      </c>
      <c r="B35" t="str">
        <f t="shared" si="16"/>
        <v/>
      </c>
      <c r="C35">
        <f t="shared" si="17"/>
        <v>0</v>
      </c>
      <c r="D35" t="s">
        <v>406</v>
      </c>
      <c r="E35" t="str">
        <f t="shared" si="23"/>
        <v>IF_intFlash.o</v>
      </c>
      <c r="F35">
        <f t="shared" ca="1" si="24"/>
        <v>68</v>
      </c>
      <c r="H35">
        <f t="shared" ca="1" si="25"/>
        <v>218908</v>
      </c>
      <c r="I35" t="str">
        <f t="shared" ca="1" si="2"/>
        <v>0x0003571C</v>
      </c>
      <c r="J35" s="4" t="str">
        <f t="shared" si="21"/>
        <v/>
      </c>
      <c r="K35" s="4" t="str">
        <f t="shared" si="22"/>
        <v xml:space="preserve">                                                             ro data section .rodata object IF_intFlash.o,</v>
      </c>
    </row>
    <row r="36" spans="1:11" x14ac:dyDescent="0.25">
      <c r="A36" t="s">
        <v>529</v>
      </c>
      <c r="B36" t="str">
        <f t="shared" si="16"/>
        <v/>
      </c>
      <c r="C36">
        <f t="shared" si="17"/>
        <v>0</v>
      </c>
      <c r="D36" t="s">
        <v>294</v>
      </c>
      <c r="E36" t="str">
        <f t="shared" si="23"/>
        <v>spi_mstr.o</v>
      </c>
      <c r="F36">
        <f t="shared" ca="1" si="24"/>
        <v>232</v>
      </c>
      <c r="H36">
        <f t="shared" ca="1" si="25"/>
        <v>218976</v>
      </c>
      <c r="I36" t="str">
        <f t="shared" ca="1" si="2"/>
        <v>0x00035760</v>
      </c>
      <c r="J36" s="4" t="str">
        <f t="shared" si="21"/>
        <v/>
      </c>
      <c r="K36" s="4" t="str">
        <f t="shared" si="22"/>
        <v xml:space="preserve">                                                             ro data section .rodata object spi_mstr.o };</v>
      </c>
    </row>
    <row r="37" spans="1:11" x14ac:dyDescent="0.25">
      <c r="B37" t="str">
        <f>B30&amp;"_end"</f>
        <v>driver_CONST_end</v>
      </c>
      <c r="F37">
        <f ca="1">SUM(F30:F36)</f>
        <v>960</v>
      </c>
      <c r="G37">
        <f ca="1">INT(($G$27/100)*F37)</f>
        <v>9</v>
      </c>
      <c r="H37">
        <f ca="1">H36+F36+G37+IF(MOD(F36+H36+G37,$G$28)=0,0,$G$28-MOD(F36+H36+G37,$G$28))</f>
        <v>219220</v>
      </c>
      <c r="I37" t="str">
        <f t="shared" ca="1" si="2"/>
        <v>0x00035854</v>
      </c>
      <c r="J37" s="4"/>
      <c r="K37" s="4"/>
    </row>
    <row r="38" spans="1:11" x14ac:dyDescent="0.25">
      <c r="J38" s="4"/>
      <c r="K38" s="4"/>
    </row>
    <row r="39" spans="1:11" x14ac:dyDescent="0.25">
      <c r="F39" t="s">
        <v>526</v>
      </c>
      <c r="G39">
        <f ca="1">VLOOKUP(B42,INDIRECT(GlobalPlcmnt!$B$133),GlobalPlcmnt!$B$138,FALSE)</f>
        <v>1</v>
      </c>
      <c r="J39" s="4"/>
      <c r="K39" s="4"/>
    </row>
    <row r="40" spans="1:11" x14ac:dyDescent="0.25">
      <c r="F40" t="s">
        <v>608</v>
      </c>
      <c r="G40">
        <f ca="1">VLOOKUP(B42,INDIRECT(GlobalPlcmnt!$B$133),GlobalPlcmnt!$C$138,FALSE)</f>
        <v>4</v>
      </c>
      <c r="J40" s="4"/>
      <c r="K40" s="4"/>
    </row>
    <row r="41" spans="1:11" x14ac:dyDescent="0.25">
      <c r="F41" t="s">
        <v>542</v>
      </c>
      <c r="J41" s="4"/>
      <c r="K41" s="4"/>
    </row>
    <row r="42" spans="1:11" x14ac:dyDescent="0.25">
      <c r="A42" t="s">
        <v>530</v>
      </c>
      <c r="B42" t="str">
        <f t="shared" ref="B42:B43" si="26">IF(A42&lt;&gt;A41,A42&amp;$B$1,"")</f>
        <v>stack_CONST</v>
      </c>
      <c r="C42">
        <f t="shared" ref="C42:C43" si="27">LEN(B42)</f>
        <v>11</v>
      </c>
      <c r="D42" t="s">
        <v>232</v>
      </c>
      <c r="E42" t="str">
        <f t="shared" si="10"/>
        <v>COMM.o</v>
      </c>
      <c r="F42">
        <f t="shared" ref="F42" ca="1" si="28">IFERROR(VLOOKUP(D42,INDIRECT($F$1),2,FALSE),0)</f>
        <v>0</v>
      </c>
      <c r="H42">
        <f ca="1">VLOOKUP(B42,INDIRECT(GlobalPlcmnt!$B$133),GlobalPlcmnt!$A$138,FALSE)</f>
        <v>219220</v>
      </c>
      <c r="I42" t="str">
        <f t="shared" ca="1" si="2"/>
        <v>0x00035854</v>
      </c>
      <c r="J42" s="4" t="str">
        <f t="shared" ref="J42" ca="1" si="29">IF(B42="","","define symbol "&amp;B42&amp;REPT(" ",$C$4-C42)&amp;"= "&amp;I42&amp;";")</f>
        <v>define symbol stack_CONST      = 0x00035854;</v>
      </c>
      <c r="K42" s="4" t="str">
        <f t="shared" ref="K42" si="30">IF(B42="",REPT(" ",$C$4+$K$4)&amp;$K$2&amp;D42&amp;IF(B43="",","," };"),""""&amp;B42&amp;""":"&amp;REPT(" ",$C$4-C42)&amp;"place at address mem: "&amp;B42&amp;REPT(" ",$C$4-C42)&amp;"{ "&amp;K$2&amp;D42&amp;IF(B43="",","," };"))</f>
        <v>"stack_CONST":      place at address mem: stack_CONST      { ro data section .rodata object COMM.o,</v>
      </c>
    </row>
    <row r="43" spans="1:11" x14ac:dyDescent="0.25">
      <c r="A43" t="s">
        <v>530</v>
      </c>
      <c r="B43" t="str">
        <f t="shared" si="26"/>
        <v/>
      </c>
      <c r="C43">
        <f t="shared" si="27"/>
        <v>0</v>
      </c>
      <c r="D43" t="s">
        <v>233</v>
      </c>
      <c r="E43" t="str">
        <f t="shared" si="10"/>
        <v>SM.o</v>
      </c>
      <c r="F43">
        <f ca="1">IFERROR(VLOOKUP(D43,INDIRECT($F$1),2,FALSE),0)</f>
        <v>1060</v>
      </c>
      <c r="H43">
        <f ca="1">H42+F42+G42+IF(MOD(F42+H42+G42,$G$40)=0,0,$G$40-MOD(F42+H42+G42,$G$40))</f>
        <v>219220</v>
      </c>
      <c r="I43" t="str">
        <f t="shared" ca="1" si="2"/>
        <v>0x00035854</v>
      </c>
      <c r="J43" s="4" t="str">
        <f t="shared" ref="J43:J75" si="31">IF(B43="","","define symbol "&amp;B43&amp;REPT(" ",$C$4-C43)&amp;"= "&amp;I43&amp;";")</f>
        <v/>
      </c>
      <c r="K43" s="4" t="str">
        <f t="shared" ref="K43:K75" si="32">IF(B43="",REPT(" ",$C$4+$K$4)&amp;$K$2&amp;D43&amp;IF(B44="",","," };"),""""&amp;B43&amp;""":"&amp;REPT(" ",$C$4-C43)&amp;"place at address mem: "&amp;B43&amp;REPT(" ",$C$4-C43)&amp;"{ "&amp;K$2&amp;D43&amp;IF(B44="",","," };"))</f>
        <v xml:space="preserve">                                                             ro data section .rodata object SM.o,</v>
      </c>
    </row>
    <row r="44" spans="1:11" x14ac:dyDescent="0.25">
      <c r="A44" t="s">
        <v>530</v>
      </c>
      <c r="B44" t="str">
        <f t="shared" ref="B44:B75" si="33">IF(A44&lt;&gt;A43,A44&amp;$B$1,"")</f>
        <v/>
      </c>
      <c r="C44">
        <f t="shared" ref="C44:C75" si="34">LEN(B44)</f>
        <v>0</v>
      </c>
      <c r="D44" t="s">
        <v>226</v>
      </c>
      <c r="E44" t="str">
        <f t="shared" ref="E44:E75" si="35">SUBSTITUTE(D44,"-","_")</f>
        <v>smtd_config.o</v>
      </c>
      <c r="F44">
        <f t="shared" ref="F44:F75" ca="1" si="36">IFERROR(VLOOKUP(D44,INDIRECT($F$1),2,FALSE),0)</f>
        <v>76</v>
      </c>
      <c r="H44">
        <f t="shared" ref="H44:H75" ca="1" si="37">H43+F43+G43+IF(MOD(F43+H43+G43,$G$40)=0,0,$G$40-MOD(F43+H43+G43,$G$40))</f>
        <v>220280</v>
      </c>
      <c r="I44" t="str">
        <f t="shared" ca="1" si="2"/>
        <v>0x00035C78</v>
      </c>
      <c r="J44" s="4" t="str">
        <f t="shared" si="31"/>
        <v/>
      </c>
      <c r="K44" s="4" t="str">
        <f t="shared" si="32"/>
        <v xml:space="preserve">                                                             ro data section .rodata object smtd_config.o,</v>
      </c>
    </row>
    <row r="45" spans="1:11" x14ac:dyDescent="0.25">
      <c r="A45" t="s">
        <v>530</v>
      </c>
      <c r="B45" t="str">
        <f t="shared" si="33"/>
        <v/>
      </c>
      <c r="C45">
        <f t="shared" si="34"/>
        <v>0</v>
      </c>
      <c r="D45" t="s">
        <v>137</v>
      </c>
      <c r="E45" t="str">
        <f t="shared" si="35"/>
        <v>dtls.o</v>
      </c>
      <c r="F45">
        <f t="shared" ca="1" si="36"/>
        <v>3420</v>
      </c>
      <c r="H45">
        <f t="shared" ca="1" si="37"/>
        <v>220356</v>
      </c>
      <c r="I45" t="str">
        <f t="shared" ca="1" si="2"/>
        <v>0x00035CC4</v>
      </c>
      <c r="J45" s="4" t="str">
        <f t="shared" si="31"/>
        <v/>
      </c>
      <c r="K45" s="4" t="str">
        <f t="shared" si="32"/>
        <v xml:space="preserve">                                                             ro data section .rodata object dtls.o,</v>
      </c>
    </row>
    <row r="46" spans="1:11" x14ac:dyDescent="0.25">
      <c r="A46" t="s">
        <v>530</v>
      </c>
      <c r="B46" t="str">
        <f t="shared" si="33"/>
        <v/>
      </c>
      <c r="C46">
        <f t="shared" si="34"/>
        <v>0</v>
      </c>
      <c r="D46" t="s">
        <v>1046</v>
      </c>
      <c r="E46" t="str">
        <f t="shared" si="35"/>
        <v>mtls.o</v>
      </c>
      <c r="F46">
        <f t="shared" ca="1" si="36"/>
        <v>1196</v>
      </c>
      <c r="H46">
        <f t="shared" ca="1" si="37"/>
        <v>223776</v>
      </c>
      <c r="I46" t="str">
        <f t="shared" ca="1" si="2"/>
        <v>0x00036A20</v>
      </c>
      <c r="J46" s="4" t="str">
        <f t="shared" si="31"/>
        <v/>
      </c>
      <c r="K46" s="4" t="str">
        <f t="shared" si="32"/>
        <v xml:space="preserve">                                                             ro data section .rodata object mtls.o,</v>
      </c>
    </row>
    <row r="47" spans="1:11" x14ac:dyDescent="0.25">
      <c r="A47" t="s">
        <v>530</v>
      </c>
      <c r="B47" t="str">
        <f t="shared" si="33"/>
        <v/>
      </c>
      <c r="C47">
        <f t="shared" si="34"/>
        <v>0</v>
      </c>
      <c r="D47" t="s">
        <v>138</v>
      </c>
      <c r="E47" t="str">
        <f t="shared" si="35"/>
        <v>STACK.o</v>
      </c>
      <c r="F47">
        <f t="shared" ca="1" si="36"/>
        <v>2364</v>
      </c>
      <c r="H47">
        <f t="shared" ca="1" si="37"/>
        <v>224972</v>
      </c>
      <c r="I47" t="str">
        <f t="shared" ca="1" si="2"/>
        <v>0x00036ECC</v>
      </c>
      <c r="J47" s="4" t="str">
        <f t="shared" si="31"/>
        <v/>
      </c>
      <c r="K47" s="4" t="str">
        <f t="shared" si="32"/>
        <v xml:space="preserve">                                                             ro data section .rodata object STACK.o,</v>
      </c>
    </row>
    <row r="48" spans="1:11" x14ac:dyDescent="0.25">
      <c r="A48" t="s">
        <v>530</v>
      </c>
      <c r="B48" t="str">
        <f t="shared" si="33"/>
        <v/>
      </c>
      <c r="C48">
        <f t="shared" si="34"/>
        <v>0</v>
      </c>
      <c r="D48" t="s">
        <v>91</v>
      </c>
      <c r="E48" t="str">
        <f t="shared" si="35"/>
        <v>MAC.o</v>
      </c>
      <c r="F48">
        <f t="shared" ca="1" si="36"/>
        <v>4504</v>
      </c>
      <c r="H48">
        <f t="shared" ca="1" si="37"/>
        <v>227336</v>
      </c>
      <c r="I48" t="str">
        <f t="shared" ca="1" si="2"/>
        <v>0x00037808</v>
      </c>
      <c r="J48" s="4" t="str">
        <f t="shared" si="31"/>
        <v/>
      </c>
      <c r="K48" s="4" t="str">
        <f t="shared" si="32"/>
        <v xml:space="preserve">                                                             ro data section .rodata object MAC.o,</v>
      </c>
    </row>
    <row r="49" spans="1:11" x14ac:dyDescent="0.25">
      <c r="A49" t="s">
        <v>530</v>
      </c>
      <c r="B49" t="str">
        <f t="shared" si="33"/>
        <v/>
      </c>
      <c r="C49">
        <f t="shared" si="34"/>
        <v>0</v>
      </c>
      <c r="D49" t="s">
        <v>160</v>
      </c>
      <c r="E49" t="str">
        <f t="shared" si="35"/>
        <v>MAC_FrameEncoder.o</v>
      </c>
      <c r="F49">
        <f t="shared" ca="1" si="36"/>
        <v>220</v>
      </c>
      <c r="H49">
        <f t="shared" ca="1" si="37"/>
        <v>231840</v>
      </c>
      <c r="I49" t="str">
        <f t="shared" ca="1" si="2"/>
        <v>0x000389A0</v>
      </c>
      <c r="J49" s="4" t="str">
        <f t="shared" si="31"/>
        <v/>
      </c>
      <c r="K49" s="4" t="str">
        <f t="shared" si="32"/>
        <v xml:space="preserve">                                                             ro data section .rodata object MAC_FrameEncoder.o,</v>
      </c>
    </row>
    <row r="50" spans="1:11" x14ac:dyDescent="0.25">
      <c r="A50" t="s">
        <v>530</v>
      </c>
      <c r="B50" t="str">
        <f t="shared" si="33"/>
        <v/>
      </c>
      <c r="C50">
        <f t="shared" si="34"/>
        <v>0</v>
      </c>
      <c r="D50" t="s">
        <v>157</v>
      </c>
      <c r="E50" t="str">
        <f t="shared" si="35"/>
        <v>MAC_FrameManagement.o</v>
      </c>
      <c r="F50">
        <f t="shared" ca="1" si="36"/>
        <v>528</v>
      </c>
      <c r="H50">
        <f t="shared" ca="1" si="37"/>
        <v>232060</v>
      </c>
      <c r="I50" t="str">
        <f t="shared" ca="1" si="2"/>
        <v>0x00038A7C</v>
      </c>
      <c r="J50" s="4" t="str">
        <f t="shared" si="31"/>
        <v/>
      </c>
      <c r="K50" s="4" t="str">
        <f t="shared" si="32"/>
        <v xml:space="preserve">                                                             ro data section .rodata object MAC_FrameManagement.o,</v>
      </c>
    </row>
    <row r="51" spans="1:11" x14ac:dyDescent="0.25">
      <c r="A51" t="s">
        <v>530</v>
      </c>
      <c r="B51" t="str">
        <f t="shared" si="33"/>
        <v/>
      </c>
      <c r="C51">
        <f t="shared" si="34"/>
        <v>0</v>
      </c>
      <c r="D51" t="s">
        <v>158</v>
      </c>
      <c r="E51" t="str">
        <f t="shared" si="35"/>
        <v>MAC_PacketManagement.o</v>
      </c>
      <c r="F51">
        <f t="shared" ca="1" si="36"/>
        <v>440</v>
      </c>
      <c r="H51">
        <f t="shared" ca="1" si="37"/>
        <v>232588</v>
      </c>
      <c r="I51" t="str">
        <f t="shared" ca="1" si="2"/>
        <v>0x00038C8C</v>
      </c>
      <c r="J51" s="4" t="str">
        <f t="shared" si="31"/>
        <v/>
      </c>
      <c r="K51" s="4" t="str">
        <f t="shared" si="32"/>
        <v xml:space="preserve">                                                             ro data section .rodata object MAC_PacketManagement.o,</v>
      </c>
    </row>
    <row r="52" spans="1:11" x14ac:dyDescent="0.25">
      <c r="A52" t="s">
        <v>530</v>
      </c>
      <c r="B52" t="str">
        <f t="shared" si="33"/>
        <v/>
      </c>
      <c r="C52">
        <f t="shared" si="34"/>
        <v>0</v>
      </c>
      <c r="D52" t="s">
        <v>159</v>
      </c>
      <c r="E52" t="str">
        <f t="shared" si="35"/>
        <v>PHY.o</v>
      </c>
      <c r="F52">
        <f t="shared" ca="1" si="36"/>
        <v>3728</v>
      </c>
      <c r="H52">
        <f t="shared" ca="1" si="37"/>
        <v>233028</v>
      </c>
      <c r="I52" t="str">
        <f t="shared" ca="1" si="2"/>
        <v>0x00038E44</v>
      </c>
      <c r="J52" s="4" t="str">
        <f t="shared" si="31"/>
        <v/>
      </c>
      <c r="K52" s="4" t="str">
        <f t="shared" si="32"/>
        <v xml:space="preserve">                                                             ro data section .rodata object PHY.o,</v>
      </c>
    </row>
    <row r="53" spans="1:11" x14ac:dyDescent="0.25">
      <c r="A53" t="s">
        <v>530</v>
      </c>
      <c r="B53" t="str">
        <f t="shared" si="33"/>
        <v/>
      </c>
      <c r="C53">
        <f t="shared" si="34"/>
        <v>0</v>
      </c>
      <c r="D53" t="s">
        <v>1106</v>
      </c>
      <c r="E53" t="str">
        <f t="shared" si="35"/>
        <v>EstimateCarrierFrequencyOffset.o</v>
      </c>
      <c r="F53">
        <f t="shared" ca="1" si="36"/>
        <v>0</v>
      </c>
      <c r="H53">
        <f t="shared" ca="1" si="37"/>
        <v>236756</v>
      </c>
      <c r="I53" t="str">
        <f t="shared" ca="1" si="2"/>
        <v>0x00039CD4</v>
      </c>
      <c r="J53" s="4" t="str">
        <f t="shared" si="31"/>
        <v/>
      </c>
      <c r="K53" s="4" t="str">
        <f t="shared" si="32"/>
        <v xml:space="preserve">                                                             ro data section .rodata object EstimateCarrierFrequencyOffset.o,</v>
      </c>
    </row>
    <row r="54" spans="1:11" x14ac:dyDescent="0.25">
      <c r="A54" t="s">
        <v>530</v>
      </c>
      <c r="B54" t="str">
        <f t="shared" si="33"/>
        <v/>
      </c>
      <c r="C54">
        <f t="shared" si="34"/>
        <v>0</v>
      </c>
      <c r="D54" t="s">
        <v>1107</v>
      </c>
      <c r="E54" t="str">
        <f t="shared" si="35"/>
        <v>MaximizeEyeOpening.o</v>
      </c>
      <c r="F54">
        <f t="shared" ca="1" si="36"/>
        <v>0</v>
      </c>
      <c r="H54">
        <f t="shared" ca="1" si="37"/>
        <v>236756</v>
      </c>
      <c r="I54" t="str">
        <f t="shared" ca="1" si="2"/>
        <v>0x00039CD4</v>
      </c>
      <c r="J54" s="4" t="str">
        <f t="shared" si="31"/>
        <v/>
      </c>
      <c r="K54" s="4" t="str">
        <f t="shared" si="32"/>
        <v xml:space="preserve">                                                             ro data section .rodata object MaximizeEyeOpening.o,</v>
      </c>
    </row>
    <row r="55" spans="1:11" x14ac:dyDescent="0.25">
      <c r="A55" t="s">
        <v>530</v>
      </c>
      <c r="B55" t="str">
        <f t="shared" si="33"/>
        <v/>
      </c>
      <c r="C55">
        <f t="shared" si="34"/>
        <v>0</v>
      </c>
      <c r="D55" t="s">
        <v>1108</v>
      </c>
      <c r="E55" t="str">
        <f t="shared" si="35"/>
        <v>PerformCFOCompensation.o</v>
      </c>
      <c r="F55">
        <f t="shared" ca="1" si="36"/>
        <v>0</v>
      </c>
      <c r="H55">
        <f t="shared" ca="1" si="37"/>
        <v>236756</v>
      </c>
      <c r="I55" t="str">
        <f t="shared" ca="1" si="2"/>
        <v>0x00039CD4</v>
      </c>
      <c r="J55" s="4" t="str">
        <f t="shared" si="31"/>
        <v/>
      </c>
      <c r="K55" s="4" t="str">
        <f t="shared" si="32"/>
        <v xml:space="preserve">                                                             ro data section .rodata object PerformCFOCompensation.o,</v>
      </c>
    </row>
    <row r="56" spans="1:11" x14ac:dyDescent="0.25">
      <c r="A56" t="s">
        <v>530</v>
      </c>
      <c r="B56" t="str">
        <f t="shared" si="33"/>
        <v/>
      </c>
      <c r="C56">
        <f t="shared" si="34"/>
        <v>0</v>
      </c>
      <c r="D56" t="s">
        <v>1109</v>
      </c>
      <c r="E56" t="str">
        <f t="shared" si="35"/>
        <v>preamble_detect.o</v>
      </c>
      <c r="F56">
        <f t="shared" ca="1" si="36"/>
        <v>0</v>
      </c>
      <c r="H56">
        <f t="shared" ca="1" si="37"/>
        <v>236756</v>
      </c>
      <c r="I56" t="str">
        <f t="shared" ca="1" si="2"/>
        <v>0x00039CD4</v>
      </c>
      <c r="J56" s="4" t="str">
        <f t="shared" si="31"/>
        <v/>
      </c>
      <c r="K56" s="4" t="str">
        <f t="shared" si="32"/>
        <v xml:space="preserve">                                                             ro data section .rodata object preamble_detect.o,</v>
      </c>
    </row>
    <row r="57" spans="1:11" x14ac:dyDescent="0.25">
      <c r="A57" t="s">
        <v>530</v>
      </c>
      <c r="B57" t="str">
        <f t="shared" si="33"/>
        <v/>
      </c>
      <c r="C57">
        <f t="shared" si="34"/>
        <v>0</v>
      </c>
      <c r="D57" t="s">
        <v>1110</v>
      </c>
      <c r="E57" t="str">
        <f t="shared" si="35"/>
        <v>preambleDetector.o</v>
      </c>
      <c r="F57">
        <f t="shared" ca="1" si="36"/>
        <v>0</v>
      </c>
      <c r="H57">
        <f t="shared" ca="1" si="37"/>
        <v>236756</v>
      </c>
      <c r="I57" t="str">
        <f t="shared" ca="1" si="2"/>
        <v>0x00039CD4</v>
      </c>
      <c r="J57" s="4" t="str">
        <f t="shared" si="31"/>
        <v/>
      </c>
      <c r="K57" s="4" t="str">
        <f t="shared" si="32"/>
        <v xml:space="preserve">                                                             ro data section .rodata object preambleDetector.o,</v>
      </c>
    </row>
    <row r="58" spans="1:11" x14ac:dyDescent="0.25">
      <c r="A58" t="s">
        <v>530</v>
      </c>
      <c r="B58" t="str">
        <f t="shared" si="33"/>
        <v/>
      </c>
      <c r="C58">
        <f t="shared" si="34"/>
        <v>0</v>
      </c>
      <c r="D58" t="s">
        <v>1127</v>
      </c>
      <c r="E58" t="str">
        <f t="shared" si="35"/>
        <v>preambleDetector_Data.o</v>
      </c>
      <c r="F58">
        <f t="shared" ca="1" si="36"/>
        <v>0</v>
      </c>
      <c r="H58">
        <f t="shared" ca="1" si="37"/>
        <v>236756</v>
      </c>
      <c r="I58" t="str">
        <f t="shared" ca="1" si="2"/>
        <v>0x00039CD4</v>
      </c>
      <c r="J58" s="4" t="str">
        <f t="shared" si="31"/>
        <v/>
      </c>
      <c r="K58" s="4" t="str">
        <f t="shared" si="32"/>
        <v xml:space="preserve">                                                             ro data section .rodata object preambleDetector_Data.o,</v>
      </c>
    </row>
    <row r="59" spans="1:11" x14ac:dyDescent="0.25">
      <c r="A59" t="s">
        <v>530</v>
      </c>
      <c r="B59" t="str">
        <f t="shared" si="33"/>
        <v/>
      </c>
      <c r="C59">
        <f t="shared" si="34"/>
        <v>0</v>
      </c>
      <c r="D59" t="s">
        <v>1112</v>
      </c>
      <c r="E59" t="str">
        <f t="shared" si="35"/>
        <v>preambleDetector_initialize.o</v>
      </c>
      <c r="F59">
        <f t="shared" ca="1" si="36"/>
        <v>0</v>
      </c>
      <c r="H59">
        <f t="shared" ca="1" si="37"/>
        <v>236756</v>
      </c>
      <c r="I59" t="str">
        <f t="shared" ca="1" si="2"/>
        <v>0x00039CD4</v>
      </c>
      <c r="J59" s="4" t="str">
        <f t="shared" si="31"/>
        <v/>
      </c>
      <c r="K59" s="4" t="str">
        <f t="shared" si="32"/>
        <v xml:space="preserve">                                                             ro data section .rodata object preambleDetector_initialize.o,</v>
      </c>
    </row>
    <row r="60" spans="1:11" x14ac:dyDescent="0.25">
      <c r="A60" t="s">
        <v>530</v>
      </c>
      <c r="B60" t="str">
        <f t="shared" si="33"/>
        <v/>
      </c>
      <c r="C60">
        <f t="shared" si="34"/>
        <v>0</v>
      </c>
      <c r="D60" t="s">
        <v>1128</v>
      </c>
      <c r="E60" t="str">
        <f t="shared" si="35"/>
        <v>processDerotatedSamples.o</v>
      </c>
      <c r="F60">
        <f t="shared" ca="1" si="36"/>
        <v>0</v>
      </c>
      <c r="H60">
        <f t="shared" ca="1" si="37"/>
        <v>236756</v>
      </c>
      <c r="I60" t="str">
        <f t="shared" ca="1" si="2"/>
        <v>0x00039CD4</v>
      </c>
      <c r="J60" s="4" t="str">
        <f t="shared" si="31"/>
        <v/>
      </c>
      <c r="K60" s="4" t="str">
        <f t="shared" si="32"/>
        <v xml:space="preserve">                                                             ro data section .rodata object processDerotatedSamples.o,</v>
      </c>
    </row>
    <row r="61" spans="1:11" x14ac:dyDescent="0.25">
      <c r="A61" t="s">
        <v>530</v>
      </c>
      <c r="B61" t="str">
        <f t="shared" si="33"/>
        <v/>
      </c>
      <c r="C61">
        <f t="shared" si="34"/>
        <v>0</v>
      </c>
      <c r="D61" t="s">
        <v>1113</v>
      </c>
      <c r="E61" t="str">
        <f t="shared" si="35"/>
        <v>ScaleClipFreq2phase.o</v>
      </c>
      <c r="F61">
        <f t="shared" ca="1" si="36"/>
        <v>0</v>
      </c>
      <c r="H61">
        <f t="shared" ca="1" si="37"/>
        <v>236756</v>
      </c>
      <c r="I61" t="str">
        <f t="shared" ca="1" si="2"/>
        <v>0x00039CD4</v>
      </c>
      <c r="J61" s="4" t="str">
        <f t="shared" si="31"/>
        <v/>
      </c>
      <c r="K61" s="4" t="str">
        <f t="shared" si="32"/>
        <v xml:space="preserve">                                                             ro data section .rodata object ScaleClipFreq2phase.o,</v>
      </c>
    </row>
    <row r="62" spans="1:11" x14ac:dyDescent="0.25">
      <c r="A62" t="s">
        <v>530</v>
      </c>
      <c r="B62" t="str">
        <f t="shared" si="33"/>
        <v/>
      </c>
      <c r="C62">
        <f t="shared" si="34"/>
        <v>0</v>
      </c>
      <c r="D62" t="s">
        <v>1114</v>
      </c>
      <c r="E62" t="str">
        <f t="shared" si="35"/>
        <v>sign.o</v>
      </c>
      <c r="F62">
        <f t="shared" ca="1" si="36"/>
        <v>0</v>
      </c>
      <c r="H62">
        <f t="shared" ca="1" si="37"/>
        <v>236756</v>
      </c>
      <c r="I62" t="str">
        <f t="shared" ca="1" si="2"/>
        <v>0x00039CD4</v>
      </c>
      <c r="J62" s="4" t="str">
        <f t="shared" si="31"/>
        <v/>
      </c>
      <c r="K62" s="4" t="str">
        <f t="shared" si="32"/>
        <v xml:space="preserve">                                                             ro data section .rodata object sign.o,</v>
      </c>
    </row>
    <row r="63" spans="1:11" x14ac:dyDescent="0.25">
      <c r="A63" t="s">
        <v>530</v>
      </c>
      <c r="B63" t="str">
        <f t="shared" si="33"/>
        <v/>
      </c>
      <c r="C63">
        <f t="shared" si="34"/>
        <v>0</v>
      </c>
      <c r="D63" t="s">
        <v>1115</v>
      </c>
      <c r="E63" t="str">
        <f t="shared" si="35"/>
        <v>fir_filt_circ_buff.o</v>
      </c>
      <c r="F63">
        <f t="shared" ca="1" si="36"/>
        <v>0</v>
      </c>
      <c r="H63">
        <f t="shared" ca="1" si="37"/>
        <v>236756</v>
      </c>
      <c r="I63" t="str">
        <f t="shared" ca="1" si="2"/>
        <v>0x00039CD4</v>
      </c>
      <c r="J63" s="4" t="str">
        <f t="shared" si="31"/>
        <v/>
      </c>
      <c r="K63" s="4" t="str">
        <f t="shared" si="32"/>
        <v xml:space="preserve">                                                             ro data section .rodata object fir_filt_circ_buff.o,</v>
      </c>
    </row>
    <row r="64" spans="1:11" x14ac:dyDescent="0.25">
      <c r="A64" t="s">
        <v>530</v>
      </c>
      <c r="B64" t="str">
        <f t="shared" si="33"/>
        <v/>
      </c>
      <c r="C64">
        <f t="shared" si="34"/>
        <v>0</v>
      </c>
      <c r="D64" t="s">
        <v>1116</v>
      </c>
      <c r="E64" t="str">
        <f t="shared" si="35"/>
        <v>gresample.o</v>
      </c>
      <c r="F64">
        <f t="shared" ca="1" si="36"/>
        <v>0</v>
      </c>
      <c r="H64">
        <f t="shared" ca="1" si="37"/>
        <v>236756</v>
      </c>
      <c r="I64" t="str">
        <f t="shared" ca="1" si="2"/>
        <v>0x00039CD4</v>
      </c>
      <c r="J64" s="4" t="str">
        <f t="shared" si="31"/>
        <v/>
      </c>
      <c r="K64" s="4" t="str">
        <f t="shared" si="32"/>
        <v xml:space="preserve">                                                             ro data section .rodata object gresample.o,</v>
      </c>
    </row>
    <row r="65" spans="1:11" x14ac:dyDescent="0.25">
      <c r="A65" t="s">
        <v>530</v>
      </c>
      <c r="B65" t="str">
        <f t="shared" si="33"/>
        <v/>
      </c>
      <c r="C65">
        <f t="shared" si="34"/>
        <v>0</v>
      </c>
      <c r="D65" t="s">
        <v>1117</v>
      </c>
      <c r="E65" t="str">
        <f t="shared" si="35"/>
        <v>phase2freq_wi_unwrap.o</v>
      </c>
      <c r="F65">
        <f t="shared" ca="1" si="36"/>
        <v>0</v>
      </c>
      <c r="H65">
        <f t="shared" ca="1" si="37"/>
        <v>236756</v>
      </c>
      <c r="I65" t="str">
        <f t="shared" ca="1" si="2"/>
        <v>0x00039CD4</v>
      </c>
      <c r="J65" s="4" t="str">
        <f t="shared" si="31"/>
        <v/>
      </c>
      <c r="K65" s="4" t="str">
        <f t="shared" si="32"/>
        <v xml:space="preserve">                                                             ro data section .rodata object phase2freq_wi_unwrap.o,</v>
      </c>
    </row>
    <row r="66" spans="1:11" x14ac:dyDescent="0.25">
      <c r="A66" t="s">
        <v>530</v>
      </c>
      <c r="B66" t="str">
        <f t="shared" si="33"/>
        <v/>
      </c>
      <c r="C66">
        <f t="shared" si="34"/>
        <v>0</v>
      </c>
      <c r="D66" t="s">
        <v>1118</v>
      </c>
      <c r="E66" t="str">
        <f t="shared" si="35"/>
        <v>findSYNC.o</v>
      </c>
      <c r="F66">
        <f t="shared" ca="1" si="36"/>
        <v>0</v>
      </c>
      <c r="H66">
        <f t="shared" ca="1" si="37"/>
        <v>236756</v>
      </c>
      <c r="I66" t="str">
        <f t="shared" ca="1" si="2"/>
        <v>0x00039CD4</v>
      </c>
      <c r="J66" s="4" t="str">
        <f t="shared" si="31"/>
        <v/>
      </c>
      <c r="K66" s="4" t="str">
        <f t="shared" si="32"/>
        <v xml:space="preserve">                                                             ro data section .rodata object findSYNC.o,</v>
      </c>
    </row>
    <row r="67" spans="1:11" x14ac:dyDescent="0.25">
      <c r="A67" t="s">
        <v>530</v>
      </c>
      <c r="B67" t="str">
        <f t="shared" si="33"/>
        <v/>
      </c>
      <c r="C67">
        <f t="shared" si="34"/>
        <v>0</v>
      </c>
      <c r="D67" t="s">
        <v>1120</v>
      </c>
      <c r="E67" t="str">
        <f t="shared" si="35"/>
        <v>FreqDomMlseP4GfskStruct2.o</v>
      </c>
      <c r="F67">
        <f t="shared" ca="1" si="36"/>
        <v>256</v>
      </c>
      <c r="H67">
        <f t="shared" ca="1" si="37"/>
        <v>236756</v>
      </c>
      <c r="I67" t="str">
        <f t="shared" ca="1" si="2"/>
        <v>0x00039CD4</v>
      </c>
      <c r="J67" s="4" t="str">
        <f t="shared" si="31"/>
        <v/>
      </c>
      <c r="K67" s="4" t="str">
        <f t="shared" si="32"/>
        <v xml:space="preserve">                                                             ro data section .rodata object FreqDomMlseP4GfskStruct2.o,</v>
      </c>
    </row>
    <row r="68" spans="1:11" x14ac:dyDescent="0.25">
      <c r="A68" t="s">
        <v>530</v>
      </c>
      <c r="B68" t="str">
        <f t="shared" si="33"/>
        <v/>
      </c>
      <c r="C68">
        <f t="shared" si="34"/>
        <v>0</v>
      </c>
      <c r="D68" t="s">
        <v>1121</v>
      </c>
      <c r="E68" t="str">
        <f t="shared" ref="E68:E71" si="38">SUBSTITUTE(D68,"-","_")</f>
        <v>processDerotatedSPDSamples.o</v>
      </c>
      <c r="F68">
        <f t="shared" ref="F68:F73" ca="1" si="39">IFERROR(VLOOKUP(D68,INDIRECT($F$1),2,FALSE),0)</f>
        <v>0</v>
      </c>
      <c r="H68">
        <f t="shared" ref="H68:H73" ca="1" si="40">H67+F67+G67+IF(MOD(F67+H67+G67,$G$40)=0,0,$G$40-MOD(F67+H67+G67,$G$40))</f>
        <v>237012</v>
      </c>
      <c r="I68" t="str">
        <f t="shared" ref="I68:I73" ca="1" si="41">"0x"&amp;DEC2HEX(H68,8)</f>
        <v>0x00039DD4</v>
      </c>
      <c r="J68" s="4" t="str">
        <f t="shared" ref="J68:J73" si="42">IF(B68="","","define symbol "&amp;B68&amp;REPT(" ",$C$4-C68)&amp;"= "&amp;I68&amp;";")</f>
        <v/>
      </c>
      <c r="K68" s="4" t="str">
        <f t="shared" ref="K68:K73" si="43">IF(B68="",REPT(" ",$C$4+$K$4)&amp;$K$2&amp;D68&amp;IF(B69="",","," };"),""""&amp;B68&amp;""":"&amp;REPT(" ",$C$4-C68)&amp;"place at address mem: "&amp;B68&amp;REPT(" ",$C$4-C68)&amp;"{ "&amp;K$2&amp;D68&amp;IF(B69="",","," };"))</f>
        <v xml:space="preserve">                                                             ro data section .rodata object processDerotatedSPDSamples.o,</v>
      </c>
    </row>
    <row r="69" spans="1:11" x14ac:dyDescent="0.25">
      <c r="A69" t="s">
        <v>530</v>
      </c>
      <c r="B69" t="str">
        <f t="shared" ref="B69:B72" si="44">IF(A69&lt;&gt;A68,A69&amp;$B$1,"")</f>
        <v/>
      </c>
      <c r="C69">
        <f t="shared" ref="C69:C72" si="45">LEN(B69)</f>
        <v>0</v>
      </c>
      <c r="D69" t="s">
        <v>1119</v>
      </c>
      <c r="E69" t="str">
        <f t="shared" si="38"/>
        <v>SyncAndPayloadDemodulator.o</v>
      </c>
      <c r="F69">
        <f t="shared" ca="1" si="39"/>
        <v>0</v>
      </c>
      <c r="H69">
        <f t="shared" ca="1" si="40"/>
        <v>237012</v>
      </c>
      <c r="I69" t="str">
        <f t="shared" ca="1" si="41"/>
        <v>0x00039DD4</v>
      </c>
      <c r="J69" s="4" t="str">
        <f t="shared" si="42"/>
        <v/>
      </c>
      <c r="K69" s="4" t="str">
        <f t="shared" si="43"/>
        <v xml:space="preserve">                                                             ro data section .rodata object SyncAndPayloadDemodulator.o,</v>
      </c>
    </row>
    <row r="70" spans="1:11" x14ac:dyDescent="0.25">
      <c r="A70" t="s">
        <v>530</v>
      </c>
      <c r="B70" t="str">
        <f t="shared" si="44"/>
        <v/>
      </c>
      <c r="C70">
        <f t="shared" si="45"/>
        <v>0</v>
      </c>
      <c r="D70" t="s">
        <v>1122</v>
      </c>
      <c r="E70" t="str">
        <f t="shared" si="38"/>
        <v>SoftDemodulator.o</v>
      </c>
      <c r="F70">
        <f t="shared" ca="1" si="39"/>
        <v>0</v>
      </c>
      <c r="H70">
        <f t="shared" ca="1" si="40"/>
        <v>237012</v>
      </c>
      <c r="I70" t="str">
        <f t="shared" ca="1" si="41"/>
        <v>0x00039DD4</v>
      </c>
      <c r="J70" s="4" t="str">
        <f t="shared" si="42"/>
        <v/>
      </c>
      <c r="K70" s="4" t="str">
        <f t="shared" si="43"/>
        <v xml:space="preserve">                                                             ro data section .rodata object SoftDemodulator.o,</v>
      </c>
    </row>
    <row r="71" spans="1:11" x14ac:dyDescent="0.25">
      <c r="A71" t="s">
        <v>530</v>
      </c>
      <c r="B71" t="str">
        <f t="shared" si="44"/>
        <v/>
      </c>
      <c r="C71">
        <f t="shared" si="45"/>
        <v>0</v>
      </c>
      <c r="D71" t="s">
        <v>259</v>
      </c>
      <c r="E71" t="str">
        <f t="shared" si="38"/>
        <v>rs.o</v>
      </c>
      <c r="F71">
        <f t="shared" ca="1" si="39"/>
        <v>3252</v>
      </c>
      <c r="H71">
        <f t="shared" ca="1" si="40"/>
        <v>237012</v>
      </c>
      <c r="I71" t="str">
        <f t="shared" ca="1" si="41"/>
        <v>0x00039DD4</v>
      </c>
      <c r="J71" s="4" t="str">
        <f t="shared" si="42"/>
        <v/>
      </c>
      <c r="K71" s="4" t="str">
        <f t="shared" si="43"/>
        <v xml:space="preserve">                                                             ro data section .rodata object rs.o,</v>
      </c>
    </row>
    <row r="72" spans="1:11" x14ac:dyDescent="0.25">
      <c r="A72" t="s">
        <v>530</v>
      </c>
      <c r="B72" t="str">
        <f t="shared" si="44"/>
        <v/>
      </c>
      <c r="C72">
        <f t="shared" si="45"/>
        <v>0</v>
      </c>
      <c r="D72" t="s">
        <v>1071</v>
      </c>
      <c r="E72" t="str">
        <f t="shared" si="35"/>
        <v>galois.o</v>
      </c>
      <c r="F72">
        <f t="shared" ca="1" si="39"/>
        <v>0</v>
      </c>
      <c r="H72">
        <f t="shared" ca="1" si="40"/>
        <v>240264</v>
      </c>
      <c r="I72" t="str">
        <f t="shared" ca="1" si="41"/>
        <v>0x0003AA88</v>
      </c>
      <c r="J72" s="4" t="str">
        <f t="shared" si="42"/>
        <v/>
      </c>
      <c r="K72" s="4" t="str">
        <f t="shared" si="43"/>
        <v xml:space="preserve">                                                             ro data section .rodata object galois.o,</v>
      </c>
    </row>
    <row r="73" spans="1:11" x14ac:dyDescent="0.25">
      <c r="A73" t="s">
        <v>530</v>
      </c>
      <c r="B73" t="str">
        <f t="shared" si="33"/>
        <v/>
      </c>
      <c r="C73">
        <f t="shared" si="34"/>
        <v>0</v>
      </c>
      <c r="D73" t="s">
        <v>1072</v>
      </c>
      <c r="E73" t="str">
        <f t="shared" si="35"/>
        <v>rsdec.o</v>
      </c>
      <c r="F73">
        <f t="shared" ca="1" si="39"/>
        <v>0</v>
      </c>
      <c r="H73">
        <f t="shared" ca="1" si="40"/>
        <v>240264</v>
      </c>
      <c r="I73" t="str">
        <f t="shared" ca="1" si="41"/>
        <v>0x0003AA88</v>
      </c>
      <c r="J73" s="4" t="str">
        <f t="shared" si="42"/>
        <v/>
      </c>
      <c r="K73" s="4" t="str">
        <f t="shared" si="43"/>
        <v xml:space="preserve">                                                             ro data section .rodata object rsdec.o,</v>
      </c>
    </row>
    <row r="74" spans="1:11" x14ac:dyDescent="0.25">
      <c r="A74" t="s">
        <v>530</v>
      </c>
      <c r="B74" t="str">
        <f t="shared" si="33"/>
        <v/>
      </c>
      <c r="C74">
        <f t="shared" si="34"/>
        <v>0</v>
      </c>
      <c r="D74" t="s">
        <v>1075</v>
      </c>
      <c r="E74" t="str">
        <f t="shared" si="35"/>
        <v>rsenc.o</v>
      </c>
      <c r="F74">
        <f t="shared" ca="1" si="36"/>
        <v>0</v>
      </c>
      <c r="H74">
        <f t="shared" ref="H74" ca="1" si="46">H73+F73+G73+IF(MOD(F73+H73+G73,$G$40)=0,0,$G$40-MOD(F73+H73+G73,$G$40))</f>
        <v>240264</v>
      </c>
      <c r="I74" t="str">
        <f t="shared" ref="I74" ca="1" si="47">"0x"&amp;DEC2HEX(H74,8)</f>
        <v>0x0003AA88</v>
      </c>
      <c r="J74" s="4" t="str">
        <f t="shared" ref="J74" si="48">IF(B74="","","define symbol "&amp;B74&amp;REPT(" ",$C$4-C74)&amp;"= "&amp;I74&amp;";")</f>
        <v/>
      </c>
      <c r="K74" s="4" t="str">
        <f t="shared" ref="K74" si="49">IF(B74="",REPT(" ",$C$4+$K$4)&amp;$K$2&amp;D74&amp;IF(B75="",","," };"),""""&amp;B74&amp;""":"&amp;REPT(" ",$C$4-C74)&amp;"place at address mem: "&amp;B74&amp;REPT(" ",$C$4-C74)&amp;"{ "&amp;K$2&amp;D74&amp;IF(B75="",","," };"))</f>
        <v xml:space="preserve">                                                             ro data section .rodata object rsenc.o,</v>
      </c>
    </row>
    <row r="75" spans="1:11" x14ac:dyDescent="0.25">
      <c r="A75" t="s">
        <v>530</v>
      </c>
      <c r="B75" t="str">
        <f t="shared" si="33"/>
        <v/>
      </c>
      <c r="C75">
        <f t="shared" si="34"/>
        <v>0</v>
      </c>
      <c r="D75" t="s">
        <v>1086</v>
      </c>
      <c r="E75" t="str">
        <f t="shared" si="35"/>
        <v>indication.o</v>
      </c>
      <c r="F75">
        <f t="shared" ca="1" si="36"/>
        <v>68</v>
      </c>
      <c r="H75">
        <f t="shared" ca="1" si="37"/>
        <v>240264</v>
      </c>
      <c r="I75" t="str">
        <f t="shared" ca="1" si="2"/>
        <v>0x0003AA88</v>
      </c>
      <c r="J75" s="4" t="str">
        <f t="shared" si="31"/>
        <v/>
      </c>
      <c r="K75" s="4" t="str">
        <f t="shared" si="32"/>
        <v xml:space="preserve">                                                             ro data section .rodata object indication.o };</v>
      </c>
    </row>
    <row r="76" spans="1:11" x14ac:dyDescent="0.25">
      <c r="B76" t="str">
        <f>B42&amp;"_end"</f>
        <v>stack_CONST_end</v>
      </c>
      <c r="F76">
        <f ca="1">SUM(F42:F75)</f>
        <v>21112</v>
      </c>
      <c r="G76">
        <f ca="1">INT(($G$39/100)*F76)</f>
        <v>211</v>
      </c>
      <c r="H76">
        <f ca="1">H75+F75+G76+IF(MOD(F75+H75+G76,$G$40)=0,0,$G$40-MOD(F75+H75+G76,$G$40))</f>
        <v>240544</v>
      </c>
      <c r="I76" t="str">
        <f t="shared" ca="1" si="2"/>
        <v>0x0003ABA0</v>
      </c>
      <c r="J76" s="4"/>
      <c r="K76" s="4"/>
    </row>
    <row r="77" spans="1:11" x14ac:dyDescent="0.25">
      <c r="J77" s="4"/>
      <c r="K77" s="4"/>
    </row>
    <row r="78" spans="1:11" x14ac:dyDescent="0.25">
      <c r="F78" t="s">
        <v>526</v>
      </c>
      <c r="G78">
        <f ca="1">VLOOKUP(B81,INDIRECT(GlobalPlcmnt!$B$133),GlobalPlcmnt!$B$138,FALSE)</f>
        <v>1</v>
      </c>
      <c r="J78" s="4"/>
      <c r="K78" s="4"/>
    </row>
    <row r="79" spans="1:11" x14ac:dyDescent="0.25">
      <c r="F79" t="s">
        <v>608</v>
      </c>
      <c r="G79">
        <f ca="1">VLOOKUP(B81,INDIRECT(GlobalPlcmnt!$B$133),GlobalPlcmnt!$C$138,FALSE)</f>
        <v>4</v>
      </c>
      <c r="J79" s="4"/>
      <c r="K79" s="4"/>
    </row>
    <row r="80" spans="1:11" x14ac:dyDescent="0.25">
      <c r="F80" t="s">
        <v>542</v>
      </c>
      <c r="J80" s="4"/>
      <c r="K80" s="4"/>
    </row>
    <row r="81" spans="1:11" x14ac:dyDescent="0.25">
      <c r="A81" t="s">
        <v>531</v>
      </c>
      <c r="B81" t="str">
        <f t="shared" ref="B81:B86" si="50">IF(A81&lt;&gt;A80,A81&amp;$B$1,"")</f>
        <v>OS_API_CONST</v>
      </c>
      <c r="C81">
        <f t="shared" ref="C81:C86" si="51">LEN(B81)</f>
        <v>12</v>
      </c>
      <c r="D81" t="s">
        <v>239</v>
      </c>
      <c r="E81" t="str">
        <f t="shared" si="10"/>
        <v>Event.o</v>
      </c>
      <c r="F81">
        <f t="shared" ref="F81:F82" ca="1" si="52">IFERROR(VLOOKUP(D81,INDIRECT($F$1),2,FALSE),0)</f>
        <v>28</v>
      </c>
      <c r="H81">
        <f ca="1">VLOOKUP(B81,INDIRECT(GlobalPlcmnt!$B$133),GlobalPlcmnt!$A$138,FALSE)</f>
        <v>240544</v>
      </c>
      <c r="I81" t="str">
        <f t="shared" ca="1" si="2"/>
        <v>0x0003ABA0</v>
      </c>
      <c r="J81" s="4" t="str">
        <f t="shared" ref="J81" ca="1" si="53">IF(B81="","","define symbol "&amp;B81&amp;REPT(" ",$C$4-C81)&amp;"= "&amp;I81&amp;";")</f>
        <v>define symbol OS_API_CONST     = 0x0003ABA0;</v>
      </c>
      <c r="K81" s="4" t="str">
        <f t="shared" ref="K81" si="54">IF(B81="",REPT(" ",$C$4+$K$4)&amp;$K$2&amp;D81&amp;IF(B82="",","," };"),""""&amp;B81&amp;""":"&amp;REPT(" ",$C$4-C81)&amp;"place at address mem: "&amp;B81&amp;REPT(" ",$C$4-C81)&amp;"{ "&amp;K$2&amp;D81&amp;IF(B82="",","," };"))</f>
        <v>"OS_API_CONST":     place at address mem: OS_API_CONST     { ro data section .rodata object Event.o,</v>
      </c>
    </row>
    <row r="82" spans="1:11" x14ac:dyDescent="0.25">
      <c r="A82" t="s">
        <v>531</v>
      </c>
      <c r="B82" t="str">
        <f t="shared" si="50"/>
        <v/>
      </c>
      <c r="C82">
        <f t="shared" si="51"/>
        <v>0</v>
      </c>
      <c r="D82" t="s">
        <v>115</v>
      </c>
      <c r="E82" t="str">
        <f t="shared" si="10"/>
        <v>MessageQ.o</v>
      </c>
      <c r="F82">
        <f t="shared" ca="1" si="52"/>
        <v>560</v>
      </c>
      <c r="H82">
        <f ca="1">H81+F81+G81+IF(MOD(F81+H81+G81,$G$79)=0,0,$G$79-MOD(F81+H81+G81,$G$79))</f>
        <v>240572</v>
      </c>
      <c r="I82" t="str">
        <f t="shared" ca="1" si="2"/>
        <v>0x0003ABBC</v>
      </c>
      <c r="J82" s="4" t="str">
        <f t="shared" ref="J82:J86" si="55">IF(B82="","","define symbol "&amp;B82&amp;REPT(" ",$C$4-C82)&amp;"= "&amp;I82&amp;";")</f>
        <v/>
      </c>
      <c r="K82" s="4" t="str">
        <f t="shared" ref="K82:K86" si="56">IF(B82="",REPT(" ",$C$4+$K$4)&amp;$K$2&amp;D82&amp;IF(B83="",","," };"),""""&amp;B82&amp;""":"&amp;REPT(" ",$C$4-C82)&amp;"place at address mem: "&amp;B82&amp;REPT(" ",$C$4-C82)&amp;"{ "&amp;K$2&amp;D82&amp;IF(B83="",","," };"))</f>
        <v xml:space="preserve">                                                             ro data section .rodata object MessageQ.o,</v>
      </c>
    </row>
    <row r="83" spans="1:11" x14ac:dyDescent="0.25">
      <c r="A83" t="s">
        <v>531</v>
      </c>
      <c r="B83" t="str">
        <f t="shared" si="50"/>
        <v/>
      </c>
      <c r="C83">
        <f t="shared" si="51"/>
        <v>0</v>
      </c>
      <c r="D83" t="s">
        <v>117</v>
      </c>
      <c r="E83" t="str">
        <f t="shared" ref="E83:E86" si="57">SUBSTITUTE(D83,"-","_")</f>
        <v>Mutex.o</v>
      </c>
      <c r="F83">
        <f t="shared" ref="F83:F86" ca="1" si="58">IFERROR(VLOOKUP(D83,INDIRECT($F$1),2,FALSE),0)</f>
        <v>244</v>
      </c>
      <c r="H83">
        <f t="shared" ref="H83:H86" ca="1" si="59">H82+F82+G82+IF(MOD(F82+H82+G82,$G$79)=0,0,$G$79-MOD(F82+H82+G82,$G$79))</f>
        <v>241132</v>
      </c>
      <c r="I83" t="str">
        <f t="shared" ca="1" si="2"/>
        <v>0x0003ADEC</v>
      </c>
      <c r="J83" s="4" t="str">
        <f t="shared" si="55"/>
        <v/>
      </c>
      <c r="K83" s="4" t="str">
        <f t="shared" si="56"/>
        <v xml:space="preserve">                                                             ro data section .rodata object Mutex.o,</v>
      </c>
    </row>
    <row r="84" spans="1:11" x14ac:dyDescent="0.25">
      <c r="A84" t="s">
        <v>531</v>
      </c>
      <c r="B84" t="str">
        <f t="shared" si="50"/>
        <v/>
      </c>
      <c r="C84">
        <f t="shared" si="51"/>
        <v>0</v>
      </c>
      <c r="D84" t="s">
        <v>175</v>
      </c>
      <c r="E84" t="str">
        <f t="shared" si="57"/>
        <v>Queue.o</v>
      </c>
      <c r="F84">
        <f t="shared" ca="1" si="58"/>
        <v>20</v>
      </c>
      <c r="H84">
        <f t="shared" ca="1" si="59"/>
        <v>241376</v>
      </c>
      <c r="I84" t="str">
        <f t="shared" ca="1" si="2"/>
        <v>0x0003AEE0</v>
      </c>
      <c r="J84" s="4" t="str">
        <f t="shared" si="55"/>
        <v/>
      </c>
      <c r="K84" s="4" t="str">
        <f t="shared" si="56"/>
        <v xml:space="preserve">                                                             ro data section .rodata object Queue.o,</v>
      </c>
    </row>
    <row r="85" spans="1:11" x14ac:dyDescent="0.25">
      <c r="A85" t="s">
        <v>531</v>
      </c>
      <c r="B85" t="str">
        <f t="shared" si="50"/>
        <v/>
      </c>
      <c r="C85">
        <f t="shared" si="51"/>
        <v>0</v>
      </c>
      <c r="D85" t="s">
        <v>80</v>
      </c>
      <c r="E85" t="str">
        <f t="shared" si="57"/>
        <v>Semaphore.o</v>
      </c>
      <c r="F85">
        <f t="shared" ca="1" si="58"/>
        <v>24</v>
      </c>
      <c r="H85">
        <f t="shared" ca="1" si="59"/>
        <v>241396</v>
      </c>
      <c r="I85" t="str">
        <f t="shared" ca="1" si="2"/>
        <v>0x0003AEF4</v>
      </c>
      <c r="J85" s="4" t="str">
        <f t="shared" si="55"/>
        <v/>
      </c>
      <c r="K85" s="4" t="str">
        <f t="shared" si="56"/>
        <v xml:space="preserve">                                                             ro data section .rodata object Semaphore.o,</v>
      </c>
    </row>
    <row r="86" spans="1:11" x14ac:dyDescent="0.25">
      <c r="A86" t="s">
        <v>531</v>
      </c>
      <c r="B86" t="str">
        <f t="shared" si="50"/>
        <v/>
      </c>
      <c r="C86">
        <f t="shared" si="51"/>
        <v>0</v>
      </c>
      <c r="D86" t="s">
        <v>85</v>
      </c>
      <c r="E86" t="str">
        <f t="shared" si="57"/>
        <v>TickTime.o</v>
      </c>
      <c r="F86">
        <f t="shared" ca="1" si="58"/>
        <v>0</v>
      </c>
      <c r="H86">
        <f t="shared" ca="1" si="59"/>
        <v>241420</v>
      </c>
      <c r="I86" t="str">
        <f t="shared" ca="1" si="2"/>
        <v>0x0003AF0C</v>
      </c>
      <c r="J86" s="4" t="str">
        <f t="shared" si="55"/>
        <v/>
      </c>
      <c r="K86" s="4" t="str">
        <f t="shared" si="56"/>
        <v xml:space="preserve">                                                             ro data section .rodata object TickTime.o };</v>
      </c>
    </row>
    <row r="87" spans="1:11" x14ac:dyDescent="0.25">
      <c r="B87" t="str">
        <f>B81&amp;"_end"</f>
        <v>OS_API_CONST_end</v>
      </c>
      <c r="F87">
        <f ca="1">SUM(F81:F86)</f>
        <v>876</v>
      </c>
      <c r="G87">
        <f ca="1">INT(($G$78/100)*F87)</f>
        <v>8</v>
      </c>
      <c r="H87">
        <f ca="1">H86+F86+G87+IF(MOD(F86+H86+G87,$G$79)=0,0,$G$79-MOD(F86+H86+G87,$G$79))</f>
        <v>241428</v>
      </c>
      <c r="I87" t="str">
        <f t="shared" ca="1" si="2"/>
        <v>0x0003AF14</v>
      </c>
      <c r="J87" s="4"/>
      <c r="K87" s="4"/>
    </row>
    <row r="88" spans="1:11" x14ac:dyDescent="0.25">
      <c r="J88" s="4"/>
      <c r="K88" s="4"/>
    </row>
    <row r="89" spans="1:11" x14ac:dyDescent="0.25">
      <c r="F89" t="s">
        <v>526</v>
      </c>
      <c r="G89">
        <f ca="1">VLOOKUP(B92,INDIRECT(GlobalPlcmnt!$B$133),GlobalPlcmnt!$B$138,FALSE)</f>
        <v>1</v>
      </c>
      <c r="J89" s="4"/>
      <c r="K89" s="4"/>
    </row>
    <row r="90" spans="1:11" x14ac:dyDescent="0.25">
      <c r="F90" t="s">
        <v>608</v>
      </c>
      <c r="G90">
        <f ca="1">VLOOKUP(B92,INDIRECT(GlobalPlcmnt!$B$133),GlobalPlcmnt!$C$138,FALSE)</f>
        <v>4</v>
      </c>
      <c r="J90" s="4"/>
      <c r="K90" s="4"/>
    </row>
    <row r="91" spans="1:11" x14ac:dyDescent="0.25">
      <c r="F91" t="s">
        <v>542</v>
      </c>
      <c r="J91" s="4"/>
      <c r="K91" s="4"/>
    </row>
    <row r="92" spans="1:11" x14ac:dyDescent="0.25">
      <c r="A92" t="s">
        <v>532</v>
      </c>
      <c r="B92" t="str">
        <f t="shared" ref="B92:B97" si="60">IF(A92&lt;&gt;A91,A92&amp;$B$1,"")</f>
        <v>radio_CONST</v>
      </c>
      <c r="C92">
        <f t="shared" ref="C92:C99" si="61">LEN(B92)</f>
        <v>11</v>
      </c>
      <c r="D92" t="s">
        <v>235</v>
      </c>
      <c r="E92" t="str">
        <f t="shared" si="10"/>
        <v>radio.o</v>
      </c>
      <c r="F92">
        <f t="shared" ref="F92:F93" ca="1" si="62">IFERROR(VLOOKUP(D92,INDIRECT($F$1),2,FALSE),0)</f>
        <v>2676</v>
      </c>
      <c r="H92">
        <f ca="1">VLOOKUP(B92,INDIRECT(GlobalPlcmnt!$B$133),GlobalPlcmnt!$A$138,FALSE)</f>
        <v>241428</v>
      </c>
      <c r="I92" t="str">
        <f t="shared" ca="1" si="2"/>
        <v>0x0003AF14</v>
      </c>
      <c r="J92" s="4" t="str">
        <f t="shared" ref="J92" ca="1" si="63">IF(B92="","","define symbol "&amp;B92&amp;REPT(" ",$C$4-C92)&amp;"= "&amp;I92&amp;";")</f>
        <v>define symbol radio_CONST      = 0x0003AF14;</v>
      </c>
      <c r="K92" s="4" t="str">
        <f t="shared" ref="K92" si="64">IF(B92="",REPT(" ",$C$4+$K$4)&amp;$K$2&amp;D92&amp;IF(B93="",","," };"),""""&amp;B92&amp;""":"&amp;REPT(" ",$C$4-C92)&amp;"place at address mem: "&amp;B92&amp;REPT(" ",$C$4-C92)&amp;"{ "&amp;K$2&amp;D92&amp;IF(B93="",","," };"))</f>
        <v>"radio_CONST":      place at address mem: radio_CONST      { ro data section .rodata object radio.o,</v>
      </c>
    </row>
    <row r="93" spans="1:11" x14ac:dyDescent="0.25">
      <c r="A93" t="s">
        <v>532</v>
      </c>
      <c r="B93" t="str">
        <f t="shared" si="60"/>
        <v/>
      </c>
      <c r="C93">
        <f t="shared" si="61"/>
        <v>0</v>
      </c>
      <c r="D93" t="s">
        <v>316</v>
      </c>
      <c r="E93" t="str">
        <f t="shared" si="10"/>
        <v>radio_comm.o</v>
      </c>
      <c r="F93">
        <f t="shared" ca="1" si="62"/>
        <v>0</v>
      </c>
      <c r="H93">
        <f ca="1">H92+F92+G92+IF(MOD(F92+H92+G92,$G$90)=0,0,$G$90-MOD(F92+H92+G92,$G$90))</f>
        <v>244104</v>
      </c>
      <c r="I93" t="str">
        <f t="shared" ca="1" si="2"/>
        <v>0x0003B988</v>
      </c>
      <c r="J93" s="4" t="str">
        <f t="shared" ref="J93:J99" si="65">IF(B93="","","define symbol "&amp;B93&amp;REPT(" ",$C$4-C93)&amp;"= "&amp;I93&amp;";")</f>
        <v/>
      </c>
      <c r="K93" s="4" t="str">
        <f t="shared" ref="K93:K100" si="66">IF(B93="",REPT(" ",$C$4+$K$4)&amp;$K$2&amp;D93&amp;IF(B94="",","," };"),""""&amp;B93&amp;""":"&amp;REPT(" ",$C$4-C93)&amp;"place at address mem: "&amp;B93&amp;REPT(" ",$C$4-C93)&amp;"{ "&amp;K$2&amp;D93&amp;IF(B94="",","," };"))</f>
        <v xml:space="preserve">                                                             ro data section .rodata object radio_comm.o,</v>
      </c>
    </row>
    <row r="94" spans="1:11" x14ac:dyDescent="0.25">
      <c r="A94" t="s">
        <v>532</v>
      </c>
      <c r="B94" t="str">
        <f t="shared" si="60"/>
        <v/>
      </c>
      <c r="C94">
        <f t="shared" si="61"/>
        <v>0</v>
      </c>
      <c r="D94" t="s">
        <v>224</v>
      </c>
      <c r="E94" t="str">
        <f t="shared" ref="E94:E99" si="67">SUBSTITUTE(D94,"-","_")</f>
        <v>si446x_api_lib.o</v>
      </c>
      <c r="F94">
        <f t="shared" ref="F94:F99" ca="1" si="68">IFERROR(VLOOKUP(D94,INDIRECT($F$1),2,FALSE),0)</f>
        <v>0</v>
      </c>
      <c r="H94">
        <f t="shared" ref="H94:H101" ca="1" si="69">H93+F93+G93+IF(MOD(F93+H93+G93,$G$90)=0,0,$G$90-MOD(F93+H93+G93,$G$90))</f>
        <v>244104</v>
      </c>
      <c r="I94" t="str">
        <f t="shared" ca="1" si="2"/>
        <v>0x0003B988</v>
      </c>
      <c r="J94" s="4" t="str">
        <f t="shared" si="65"/>
        <v/>
      </c>
      <c r="K94" s="4" t="str">
        <f t="shared" si="66"/>
        <v xml:space="preserve">                                                             ro data section .rodata object si446x_api_lib.o,</v>
      </c>
    </row>
    <row r="95" spans="1:11" x14ac:dyDescent="0.25">
      <c r="A95" t="s">
        <v>532</v>
      </c>
      <c r="B95" t="str">
        <f t="shared" si="60"/>
        <v/>
      </c>
      <c r="C95">
        <f t="shared" si="61"/>
        <v>0</v>
      </c>
      <c r="D95" t="s">
        <v>423</v>
      </c>
      <c r="E95" t="str">
        <f t="shared" si="67"/>
        <v>radio_config_normal.o</v>
      </c>
      <c r="F95">
        <f t="shared" ca="1" si="68"/>
        <v>1248</v>
      </c>
      <c r="H95">
        <f t="shared" ca="1" si="69"/>
        <v>244104</v>
      </c>
      <c r="I95" t="str">
        <f t="shared" ca="1" si="2"/>
        <v>0x0003B988</v>
      </c>
      <c r="J95" s="4" t="str">
        <f t="shared" si="65"/>
        <v/>
      </c>
      <c r="K95" s="4" t="str">
        <f t="shared" si="66"/>
        <v xml:space="preserve">                                                             ro data section .rodata object radio_config_normal.o,</v>
      </c>
    </row>
    <row r="96" spans="1:11" x14ac:dyDescent="0.25">
      <c r="A96" t="s">
        <v>532</v>
      </c>
      <c r="B96" t="str">
        <f t="shared" si="60"/>
        <v/>
      </c>
      <c r="C96">
        <f t="shared" si="61"/>
        <v>0</v>
      </c>
      <c r="D96" t="s">
        <v>426</v>
      </c>
      <c r="E96" t="str">
        <f t="shared" si="67"/>
        <v>radio_config_cw.o</v>
      </c>
      <c r="F96">
        <f t="shared" ca="1" si="68"/>
        <v>0</v>
      </c>
      <c r="H96">
        <f t="shared" ca="1" si="69"/>
        <v>245352</v>
      </c>
      <c r="I96" t="str">
        <f t="shared" ca="1" si="2"/>
        <v>0x0003BE68</v>
      </c>
      <c r="J96" s="4" t="str">
        <f t="shared" si="65"/>
        <v/>
      </c>
      <c r="K96" s="4" t="str">
        <f t="shared" si="66"/>
        <v xml:space="preserve">                                                             ro data section .rodata object radio_config_cw.o,</v>
      </c>
    </row>
    <row r="97" spans="1:11" x14ac:dyDescent="0.25">
      <c r="A97" t="s">
        <v>532</v>
      </c>
      <c r="B97" t="str">
        <f t="shared" si="60"/>
        <v/>
      </c>
      <c r="C97">
        <f t="shared" si="61"/>
        <v>0</v>
      </c>
      <c r="D97" t="s">
        <v>425</v>
      </c>
      <c r="E97" t="str">
        <f t="shared" si="67"/>
        <v>radio_config_PN9.o</v>
      </c>
      <c r="F97">
        <f t="shared" ca="1" si="68"/>
        <v>0</v>
      </c>
      <c r="H97">
        <f t="shared" ca="1" si="69"/>
        <v>245352</v>
      </c>
      <c r="I97" t="str">
        <f t="shared" ca="1" si="2"/>
        <v>0x0003BE68</v>
      </c>
      <c r="J97" s="4" t="str">
        <f t="shared" si="65"/>
        <v/>
      </c>
      <c r="K97" s="4" t="str">
        <f t="shared" si="66"/>
        <v xml:space="preserve">                                                             ro data section .rodata object radio_config_PN9.o,</v>
      </c>
    </row>
    <row r="98" spans="1:11" x14ac:dyDescent="0.25">
      <c r="A98" t="s">
        <v>532</v>
      </c>
      <c r="C98">
        <f t="shared" si="61"/>
        <v>0</v>
      </c>
      <c r="D98" t="s">
        <v>424</v>
      </c>
      <c r="E98" t="str">
        <f t="shared" si="67"/>
        <v>radio_config_2GFSK_BER.o</v>
      </c>
      <c r="F98">
        <f t="shared" ca="1" si="68"/>
        <v>0</v>
      </c>
      <c r="H98">
        <f t="shared" ca="1" si="69"/>
        <v>245352</v>
      </c>
      <c r="I98" t="str">
        <f t="shared" ca="1" si="2"/>
        <v>0x0003BE68</v>
      </c>
      <c r="J98" s="4" t="str">
        <f t="shared" si="65"/>
        <v/>
      </c>
      <c r="K98" s="4" t="str">
        <f t="shared" si="66"/>
        <v xml:space="preserve">                                                             ro data section .rodata object radio_config_2GFSK_BER.o,</v>
      </c>
    </row>
    <row r="99" spans="1:11" x14ac:dyDescent="0.25">
      <c r="A99" t="s">
        <v>532</v>
      </c>
      <c r="C99">
        <f t="shared" si="61"/>
        <v>0</v>
      </c>
      <c r="D99" t="s">
        <v>427</v>
      </c>
      <c r="E99" t="str">
        <f t="shared" si="67"/>
        <v>radio_config_4GFSK_BER.o</v>
      </c>
      <c r="F99">
        <f t="shared" ca="1" si="68"/>
        <v>0</v>
      </c>
      <c r="H99">
        <f t="shared" ca="1" si="69"/>
        <v>245352</v>
      </c>
      <c r="I99" t="str">
        <f t="shared" ca="1" si="2"/>
        <v>0x0003BE68</v>
      </c>
      <c r="J99" s="4" t="str">
        <f t="shared" si="65"/>
        <v/>
      </c>
      <c r="K99" s="4" t="str">
        <f t="shared" si="66"/>
        <v xml:space="preserve">                                                             ro data section .rodata object radio_config_4GFSK_BER.o,</v>
      </c>
    </row>
    <row r="100" spans="1:11" x14ac:dyDescent="0.25">
      <c r="A100" t="s">
        <v>532</v>
      </c>
      <c r="C100">
        <f t="shared" ref="C100" si="70">LEN(B100)</f>
        <v>0</v>
      </c>
      <c r="D100" t="s">
        <v>1667</v>
      </c>
      <c r="E100" t="str">
        <f t="shared" ref="E100" si="71">SUBSTITUTE(D100,"-","_")</f>
        <v>radio_TCXO.o</v>
      </c>
      <c r="F100">
        <f t="shared" ref="F100" ca="1" si="72">IFERROR(VLOOKUP(D100,INDIRECT($F$1),2,FALSE),0)</f>
        <v>0</v>
      </c>
      <c r="H100">
        <f t="shared" ca="1" si="69"/>
        <v>245352</v>
      </c>
      <c r="I100" t="str">
        <f t="shared" ref="I100" ca="1" si="73">"0x"&amp;DEC2HEX(H100,8)</f>
        <v>0x0003BE68</v>
      </c>
      <c r="J100" s="4" t="str">
        <f t="shared" ref="J100" si="74">IF(B100="","","define symbol "&amp;B100&amp;REPT(" ",$C$4-C100)&amp;"= "&amp;I100&amp;";")</f>
        <v/>
      </c>
      <c r="K100" s="4" t="str">
        <f t="shared" si="66"/>
        <v xml:space="preserve">                                                             ro data section .rodata object radio_TCXO.o };</v>
      </c>
    </row>
    <row r="101" spans="1:11" x14ac:dyDescent="0.25">
      <c r="B101" t="str">
        <f>B92&amp;"_end"</f>
        <v>radio_CONST_end</v>
      </c>
      <c r="F101">
        <f ca="1">SUM(F92:F100)</f>
        <v>3924</v>
      </c>
      <c r="G101">
        <f ca="1">INT(($G$89/100)*F101)</f>
        <v>39</v>
      </c>
      <c r="H101">
        <f t="shared" ca="1" si="69"/>
        <v>245352</v>
      </c>
      <c r="I101" t="str">
        <f t="shared" ca="1" si="2"/>
        <v>0x0003BE68</v>
      </c>
      <c r="J101" s="4"/>
      <c r="K101" s="4"/>
    </row>
    <row r="102" spans="1:11" x14ac:dyDescent="0.25">
      <c r="J102" s="4"/>
      <c r="K102" s="4"/>
    </row>
    <row r="103" spans="1:11" x14ac:dyDescent="0.25">
      <c r="F103" t="s">
        <v>526</v>
      </c>
      <c r="G103">
        <f ca="1">VLOOKUP(B106,INDIRECT(GlobalPlcmnt!$B$133),GlobalPlcmnt!$B$138,FALSE)</f>
        <v>1</v>
      </c>
      <c r="J103" s="4"/>
      <c r="K103" s="4"/>
    </row>
    <row r="104" spans="1:11" x14ac:dyDescent="0.25">
      <c r="F104" t="s">
        <v>608</v>
      </c>
      <c r="G104">
        <f ca="1">VLOOKUP(B106,INDIRECT(GlobalPlcmnt!$B$133),GlobalPlcmnt!$C$138,FALSE)</f>
        <v>4</v>
      </c>
      <c r="J104" s="4"/>
      <c r="K104" s="4"/>
    </row>
    <row r="105" spans="1:11" x14ac:dyDescent="0.25">
      <c r="F105" t="s">
        <v>542</v>
      </c>
      <c r="J105" s="4"/>
      <c r="K105" s="4"/>
    </row>
    <row r="106" spans="1:11" x14ac:dyDescent="0.25">
      <c r="A106" t="s">
        <v>533</v>
      </c>
      <c r="B106" t="str">
        <f t="shared" ref="B106:B111" si="75">IF(A106&lt;&gt;A105,A106&amp;$B$1,"")</f>
        <v>security_CONST</v>
      </c>
      <c r="C106">
        <f>LEN(B106)</f>
        <v>14</v>
      </c>
      <c r="D106" t="s">
        <v>302</v>
      </c>
      <c r="E106" t="str">
        <f>SUBSTITUTE(D106,"-","_")</f>
        <v>cert_builder.o</v>
      </c>
      <c r="F106">
        <f t="shared" ref="F106:F107" ca="1" si="76">IFERROR(VLOOKUP(D106,INDIRECT($F$1),2,FALSE),0)</f>
        <v>844</v>
      </c>
      <c r="H106">
        <f ca="1">VLOOKUP(B106,INDIRECT(GlobalPlcmnt!$B$133),GlobalPlcmnt!$A$138,FALSE)</f>
        <v>245392</v>
      </c>
      <c r="I106" t="str">
        <f t="shared" ca="1" si="2"/>
        <v>0x0003BE90</v>
      </c>
      <c r="J106" s="4" t="str">
        <f t="shared" ref="J106" ca="1" si="77">IF(B106="","","define symbol "&amp;B106&amp;REPT(" ",$C$4-C106)&amp;"= "&amp;I106&amp;";")</f>
        <v>define symbol security_CONST   = 0x0003BE90;</v>
      </c>
      <c r="K106" s="4" t="str">
        <f t="shared" ref="K106" si="78">IF(B106="",REPT(" ",$C$4+$K$4)&amp;$K$2&amp;D106&amp;IF(B107="",","," };"),""""&amp;B106&amp;""":"&amp;REPT(" ",$C$4-C106)&amp;"place at address mem: "&amp;B106&amp;REPT(" ",$C$4-C106)&amp;"{ "&amp;K$2&amp;D106&amp;IF(B107="",","," };"))</f>
        <v>"security_CONST":   place at address mem: security_CONST   { ro data section .rodata object cert-builder.o,</v>
      </c>
    </row>
    <row r="107" spans="1:11" x14ac:dyDescent="0.25">
      <c r="A107" t="s">
        <v>533</v>
      </c>
      <c r="B107" t="str">
        <f t="shared" si="75"/>
        <v/>
      </c>
      <c r="C107">
        <f t="shared" ref="C107:C123" si="79">LEN(B107)</f>
        <v>0</v>
      </c>
      <c r="D107" t="s">
        <v>204</v>
      </c>
      <c r="E107" t="str">
        <f>SUBSTITUTE(D107,"-","_")</f>
        <v>ecc108_apps.o</v>
      </c>
      <c r="F107">
        <f t="shared" ca="1" si="76"/>
        <v>4560</v>
      </c>
      <c r="H107">
        <f ca="1">H106+F106+G106+IF(MOD(F106+H106+G106,$G$104)=0,0,$G$104-MOD(F106+H106+G106,$G$104))</f>
        <v>246236</v>
      </c>
      <c r="I107" t="str">
        <f t="shared" ca="1" si="2"/>
        <v>0x0003C1DC</v>
      </c>
      <c r="J107" s="4" t="str">
        <f t="shared" ref="J107:J111" si="80">IF(B107="","","define symbol "&amp;B107&amp;REPT(" ",$C$4-C107)&amp;"= "&amp;I107&amp;";")</f>
        <v/>
      </c>
      <c r="K107" s="4" t="str">
        <f t="shared" ref="K107:K111" si="81">IF(B107="",REPT(" ",$C$4+$K$4)&amp;$K$2&amp;D107&amp;IF(B108="",","," };"),""""&amp;B107&amp;""":"&amp;REPT(" ",$C$4-C107)&amp;"place at address mem: "&amp;B107&amp;REPT(" ",$C$4-C107)&amp;"{ "&amp;K$2&amp;D107&amp;IF(B108="",","," };"))</f>
        <v xml:space="preserve">                                                             ro data section .rodata object ecc108_apps.o,</v>
      </c>
    </row>
    <row r="108" spans="1:11" x14ac:dyDescent="0.25">
      <c r="A108" t="s">
        <v>533</v>
      </c>
      <c r="B108" t="str">
        <f t="shared" si="75"/>
        <v/>
      </c>
      <c r="C108">
        <f t="shared" si="79"/>
        <v>0</v>
      </c>
      <c r="D108" t="s">
        <v>299</v>
      </c>
      <c r="E108" t="str">
        <f t="shared" ref="E108:E111" si="82">SUBSTITUTE(D108,"-","_")</f>
        <v>ecc108_comm.o</v>
      </c>
      <c r="F108">
        <f t="shared" ref="F108:F111" ca="1" si="83">IFERROR(VLOOKUP(D108,INDIRECT($F$1),2,FALSE),0)</f>
        <v>0</v>
      </c>
      <c r="H108">
        <f t="shared" ref="H108:H111" ca="1" si="84">H107+F107+G107+IF(MOD(F107+H107+G107,$G$104)=0,0,$G$104-MOD(F107+H107+G107,$G$104))</f>
        <v>250796</v>
      </c>
      <c r="I108" t="str">
        <f t="shared" ca="1" si="2"/>
        <v>0x0003D3AC</v>
      </c>
      <c r="J108" s="4" t="str">
        <f t="shared" si="80"/>
        <v/>
      </c>
      <c r="K108" s="4" t="str">
        <f t="shared" si="81"/>
        <v xml:space="preserve">                                                             ro data section .rodata object ecc108_comm.o,</v>
      </c>
    </row>
    <row r="109" spans="1:11" x14ac:dyDescent="0.25">
      <c r="A109" t="s">
        <v>533</v>
      </c>
      <c r="B109" t="str">
        <f t="shared" si="75"/>
        <v/>
      </c>
      <c r="C109">
        <f t="shared" si="79"/>
        <v>0</v>
      </c>
      <c r="D109" t="s">
        <v>300</v>
      </c>
      <c r="E109" t="str">
        <f t="shared" si="82"/>
        <v>ecc108_comm_marshaling.o</v>
      </c>
      <c r="F109">
        <f t="shared" ca="1" si="83"/>
        <v>0</v>
      </c>
      <c r="H109">
        <f t="shared" ca="1" si="84"/>
        <v>250796</v>
      </c>
      <c r="I109" t="str">
        <f t="shared" ca="1" si="2"/>
        <v>0x0003D3AC</v>
      </c>
      <c r="J109" s="4" t="str">
        <f t="shared" si="80"/>
        <v/>
      </c>
      <c r="K109" s="4" t="str">
        <f t="shared" si="81"/>
        <v xml:space="preserve">                                                             ro data section .rodata object ecc108_comm_marshaling.o,</v>
      </c>
    </row>
    <row r="110" spans="1:11" x14ac:dyDescent="0.25">
      <c r="A110" t="s">
        <v>533</v>
      </c>
      <c r="B110" t="str">
        <f t="shared" si="75"/>
        <v/>
      </c>
      <c r="C110">
        <f t="shared" si="79"/>
        <v>0</v>
      </c>
      <c r="D110" t="s">
        <v>298</v>
      </c>
      <c r="E110" t="str">
        <f t="shared" si="82"/>
        <v>ecc108_i2c.o</v>
      </c>
      <c r="F110">
        <f t="shared" ca="1" si="83"/>
        <v>0</v>
      </c>
      <c r="H110">
        <f t="shared" ca="1" si="84"/>
        <v>250796</v>
      </c>
      <c r="I110" t="str">
        <f t="shared" ca="1" si="2"/>
        <v>0x0003D3AC</v>
      </c>
      <c r="J110" s="4" t="str">
        <f t="shared" si="80"/>
        <v/>
      </c>
      <c r="K110" s="4" t="str">
        <f t="shared" si="81"/>
        <v xml:space="preserve">                                                             ro data section .rodata object ecc108_i2c.o,</v>
      </c>
    </row>
    <row r="111" spans="1:11" x14ac:dyDescent="0.25">
      <c r="A111" t="s">
        <v>533</v>
      </c>
      <c r="B111" t="str">
        <f t="shared" si="75"/>
        <v/>
      </c>
      <c r="C111">
        <f t="shared" si="79"/>
        <v>0</v>
      </c>
      <c r="D111" t="s">
        <v>205</v>
      </c>
      <c r="E111" t="str">
        <f t="shared" si="82"/>
        <v>ecc108_mqx.o</v>
      </c>
      <c r="F111">
        <f t="shared" ca="1" si="83"/>
        <v>68</v>
      </c>
      <c r="H111">
        <f t="shared" ca="1" si="84"/>
        <v>250796</v>
      </c>
      <c r="I111" t="str">
        <f t="shared" ca="1" si="2"/>
        <v>0x0003D3AC</v>
      </c>
      <c r="J111" s="4" t="str">
        <f t="shared" si="80"/>
        <v/>
      </c>
      <c r="K111" s="4" t="str">
        <f t="shared" si="81"/>
        <v xml:space="preserve">                                                             ro data section .rodata object ecc108_mqx.o };</v>
      </c>
    </row>
    <row r="112" spans="1:11" x14ac:dyDescent="0.25">
      <c r="B112" t="str">
        <f>B106&amp;"_end"</f>
        <v>security_CONST_end</v>
      </c>
      <c r="F112">
        <f ca="1">SUM(F106:F111)</f>
        <v>5472</v>
      </c>
      <c r="G112">
        <f ca="1">INT(($G$103/100)*F112)</f>
        <v>54</v>
      </c>
      <c r="H112">
        <f ca="1">H111+F111+G112+IF(MOD(F111+H111+G112,$G$104)=0,0,$G$104-MOD(F111+H111+G112,$G$104))</f>
        <v>250920</v>
      </c>
      <c r="I112" t="str">
        <f t="shared" ca="1" si="2"/>
        <v>0x0003D428</v>
      </c>
      <c r="J112" s="4"/>
      <c r="K112" s="4"/>
    </row>
    <row r="113" spans="1:11" x14ac:dyDescent="0.25">
      <c r="J113" s="4"/>
      <c r="K113" s="4"/>
    </row>
    <row r="114" spans="1:11" x14ac:dyDescent="0.25">
      <c r="F114" t="s">
        <v>526</v>
      </c>
      <c r="G114">
        <f ca="1">VLOOKUP(B117,INDIRECT(GlobalPlcmnt!$B$133),GlobalPlcmnt!$B$138,FALSE)</f>
        <v>1</v>
      </c>
      <c r="J114" s="4"/>
      <c r="K114" s="4"/>
    </row>
    <row r="115" spans="1:11" x14ac:dyDescent="0.25">
      <c r="F115" t="s">
        <v>608</v>
      </c>
      <c r="G115">
        <f ca="1">VLOOKUP(B117,INDIRECT(GlobalPlcmnt!$B$133),GlobalPlcmnt!$C$138,FALSE)</f>
        <v>4</v>
      </c>
      <c r="J115" s="4"/>
      <c r="K115" s="4"/>
    </row>
    <row r="116" spans="1:11" x14ac:dyDescent="0.25">
      <c r="F116" t="s">
        <v>542</v>
      </c>
      <c r="J116" s="4"/>
      <c r="K116" s="4"/>
    </row>
    <row r="117" spans="1:11" x14ac:dyDescent="0.25">
      <c r="A117" t="s">
        <v>534</v>
      </c>
      <c r="B117" t="str">
        <f t="shared" ref="B117:B127" si="85">IF(A117&lt;&gt;A116,A117&amp;$B$1,"")</f>
        <v>AclaraBSP_CONST</v>
      </c>
      <c r="C117">
        <f t="shared" si="79"/>
        <v>15</v>
      </c>
      <c r="D117" t="s">
        <v>99</v>
      </c>
      <c r="E117" t="str">
        <f t="shared" ref="E117:E134" si="86">SUBSTITUTE(D117,"-","_")</f>
        <v>ADC.o</v>
      </c>
      <c r="F117">
        <f t="shared" ref="F117:F118" ca="1" si="87">IFERROR(VLOOKUP(D117,INDIRECT($F$1),2,FALSE),0)</f>
        <v>8</v>
      </c>
      <c r="H117">
        <f ca="1">VLOOKUP(B117,INDIRECT(GlobalPlcmnt!$B$133),GlobalPlcmnt!$A$138,FALSE)</f>
        <v>250920</v>
      </c>
      <c r="I117" t="str">
        <f t="shared" ca="1" si="2"/>
        <v>0x0003D428</v>
      </c>
      <c r="J117" s="4" t="str">
        <f t="shared" ref="J117" ca="1" si="88">IF(B117="","","define symbol "&amp;B117&amp;REPT(" ",$C$4-C117)&amp;"= "&amp;I117&amp;";")</f>
        <v>define symbol AclaraBSP_CONST  = 0x0003D428;</v>
      </c>
      <c r="K117" s="4" t="str">
        <f>IF(B117="",REPT(" ",$C$4+$K$4)&amp;$K$2&amp;D117&amp;IF(B118="",","," };"),""""&amp;B117&amp;""":"&amp;REPT(" ",$C$4-C117)&amp;"place at address mem: "&amp;B117&amp;REPT(" ",$C$4-C117)&amp;"{ "&amp;K$2&amp;D117&amp;IF(B118="",","," };"))</f>
        <v>"AclaraBSP_CONST":  place at address mem: AclaraBSP_CONST  { ro data section .rodata object ADC.o,</v>
      </c>
    </row>
    <row r="118" spans="1:11" x14ac:dyDescent="0.25">
      <c r="A118" t="s">
        <v>534</v>
      </c>
      <c r="B118" t="str">
        <f t="shared" si="85"/>
        <v/>
      </c>
      <c r="C118">
        <f t="shared" si="79"/>
        <v>0</v>
      </c>
      <c r="D118" t="s">
        <v>231</v>
      </c>
      <c r="E118" t="str">
        <f t="shared" si="86"/>
        <v>BSP_aclara.o</v>
      </c>
      <c r="F118">
        <f t="shared" ca="1" si="87"/>
        <v>0</v>
      </c>
      <c r="H118">
        <f ca="1">H117+F117+G117+IF(MOD(F117+H117+G117,$G$115)=0,0,$G$115-MOD(F117+H117+G117,$G$115))</f>
        <v>250928</v>
      </c>
      <c r="I118" t="str">
        <f t="shared" ca="1" si="2"/>
        <v>0x0003D430</v>
      </c>
      <c r="J118" s="4" t="str">
        <f t="shared" ref="J118:J127" si="89">IF(B118="","","define symbol "&amp;B118&amp;REPT(" ",$C$4-C118)&amp;"= "&amp;I118&amp;";")</f>
        <v/>
      </c>
      <c r="K118" s="4" t="str">
        <f t="shared" ref="K118:K127" si="90">IF(B118="",REPT(" ",$C$4+$K$4)&amp;$K$2&amp;D118&amp;IF(B119="",","," };"),""""&amp;B118&amp;""":"&amp;REPT(" ",$C$4-C118)&amp;"place at address mem: "&amp;B118&amp;REPT(" ",$C$4-C118)&amp;"{ "&amp;K$2&amp;D118&amp;IF(B119="",","," };"))</f>
        <v xml:space="preserve">                                                             ro data section .rodata object BSP_aclara.o,</v>
      </c>
    </row>
    <row r="119" spans="1:11" x14ac:dyDescent="0.25">
      <c r="A119" t="s">
        <v>534</v>
      </c>
      <c r="B119" t="str">
        <f t="shared" si="85"/>
        <v/>
      </c>
      <c r="C119">
        <f t="shared" si="79"/>
        <v>0</v>
      </c>
      <c r="D119" t="s">
        <v>161</v>
      </c>
      <c r="E119" t="str">
        <f t="shared" ref="E119:E127" si="91">SUBSTITUTE(D119,"-","_")</f>
        <v>CRC.o</v>
      </c>
      <c r="F119">
        <f t="shared" ref="F119:F127" ca="1" si="92">IFERROR(VLOOKUP(D119,INDIRECT($F$1),2,FALSE),0)</f>
        <v>52</v>
      </c>
      <c r="H119">
        <f t="shared" ref="H119:H127" ca="1" si="93">H118+F118+G118+IF(MOD(F118+H118+G118,$G$115)=0,0,$G$115-MOD(F118+H118+G118,$G$115))</f>
        <v>250928</v>
      </c>
      <c r="I119" t="str">
        <f t="shared" ca="1" si="2"/>
        <v>0x0003D430</v>
      </c>
      <c r="J119" s="4" t="str">
        <f t="shared" si="89"/>
        <v/>
      </c>
      <c r="K119" s="4" t="str">
        <f t="shared" si="90"/>
        <v xml:space="preserve">                                                             ro data section .rodata object CRC.o,</v>
      </c>
    </row>
    <row r="120" spans="1:11" x14ac:dyDescent="0.25">
      <c r="A120" t="s">
        <v>534</v>
      </c>
      <c r="B120" t="str">
        <f t="shared" si="85"/>
        <v/>
      </c>
      <c r="C120">
        <f t="shared" si="79"/>
        <v>0</v>
      </c>
      <c r="D120" t="s">
        <v>1039</v>
      </c>
      <c r="E120" t="str">
        <f t="shared" si="91"/>
        <v>gpio.o</v>
      </c>
      <c r="F120">
        <f t="shared" ca="1" si="92"/>
        <v>0</v>
      </c>
      <c r="H120">
        <f t="shared" ca="1" si="93"/>
        <v>250980</v>
      </c>
      <c r="I120" t="str">
        <f t="shared" ca="1" si="2"/>
        <v>0x0003D464</v>
      </c>
      <c r="J120" s="4" t="str">
        <f t="shared" si="89"/>
        <v/>
      </c>
      <c r="K120" s="4" t="str">
        <f t="shared" si="90"/>
        <v xml:space="preserve">                                                             ro data section .rodata object gpio.o,</v>
      </c>
    </row>
    <row r="121" spans="1:11" x14ac:dyDescent="0.25">
      <c r="A121" t="s">
        <v>534</v>
      </c>
      <c r="B121" t="str">
        <f t="shared" si="85"/>
        <v/>
      </c>
      <c r="C121">
        <f t="shared" si="79"/>
        <v>0</v>
      </c>
      <c r="D121" t="s">
        <v>134</v>
      </c>
      <c r="E121" t="str">
        <f t="shared" si="91"/>
        <v>LED.o</v>
      </c>
      <c r="F121">
        <f t="shared" ca="1" si="92"/>
        <v>12</v>
      </c>
      <c r="H121">
        <f t="shared" ca="1" si="93"/>
        <v>250980</v>
      </c>
      <c r="I121" t="str">
        <f t="shared" ca="1" si="2"/>
        <v>0x0003D464</v>
      </c>
      <c r="J121" s="4" t="str">
        <f t="shared" si="89"/>
        <v/>
      </c>
      <c r="K121" s="4" t="str">
        <f t="shared" si="90"/>
        <v xml:space="preserve">                                                             ro data section .rodata object LED.o,</v>
      </c>
    </row>
    <row r="122" spans="1:11" x14ac:dyDescent="0.25">
      <c r="A122" t="s">
        <v>534</v>
      </c>
      <c r="B122" t="str">
        <f t="shared" si="85"/>
        <v/>
      </c>
      <c r="C122">
        <f t="shared" si="79"/>
        <v>0</v>
      </c>
      <c r="D122" t="s">
        <v>315</v>
      </c>
      <c r="E122" t="str">
        <f t="shared" si="91"/>
        <v>radio_hal.o</v>
      </c>
      <c r="F122">
        <f t="shared" ca="1" si="92"/>
        <v>504</v>
      </c>
      <c r="H122">
        <f t="shared" ca="1" si="93"/>
        <v>250992</v>
      </c>
      <c r="I122" t="str">
        <f t="shared" ca="1" si="2"/>
        <v>0x0003D470</v>
      </c>
      <c r="J122" s="4" t="str">
        <f t="shared" si="89"/>
        <v/>
      </c>
      <c r="K122" s="4" t="str">
        <f t="shared" si="90"/>
        <v xml:space="preserve">                                                             ro data section .rodata object radio_hal.o,</v>
      </c>
    </row>
    <row r="123" spans="1:11" x14ac:dyDescent="0.25">
      <c r="A123" t="s">
        <v>534</v>
      </c>
      <c r="B123" t="str">
        <f t="shared" si="85"/>
        <v/>
      </c>
      <c r="C123">
        <f t="shared" si="79"/>
        <v>0</v>
      </c>
      <c r="D123" t="s">
        <v>567</v>
      </c>
      <c r="E123" t="str">
        <f t="shared" si="91"/>
        <v>rng.o</v>
      </c>
      <c r="F123">
        <f t="shared" ca="1" si="92"/>
        <v>0</v>
      </c>
      <c r="H123">
        <f t="shared" ca="1" si="93"/>
        <v>251496</v>
      </c>
      <c r="I123" t="str">
        <f t="shared" ca="1" si="2"/>
        <v>0x0003D668</v>
      </c>
      <c r="J123" s="4" t="str">
        <f t="shared" si="89"/>
        <v/>
      </c>
      <c r="K123" s="4" t="str">
        <f t="shared" si="90"/>
        <v xml:space="preserve">                                                             ro data section .rodata object rng.o,</v>
      </c>
    </row>
    <row r="124" spans="1:11" x14ac:dyDescent="0.25">
      <c r="A124" t="s">
        <v>534</v>
      </c>
      <c r="B124" t="str">
        <f t="shared" si="85"/>
        <v/>
      </c>
      <c r="C124">
        <f t="shared" ref="C124:C133" si="94">LEN(B124)</f>
        <v>0</v>
      </c>
      <c r="D124" t="s">
        <v>163</v>
      </c>
      <c r="E124" t="str">
        <f t="shared" si="91"/>
        <v>RTC.o</v>
      </c>
      <c r="F124">
        <f t="shared" ca="1" si="92"/>
        <v>72</v>
      </c>
      <c r="H124">
        <f t="shared" ca="1" si="93"/>
        <v>251496</v>
      </c>
      <c r="I124" t="str">
        <f t="shared" ca="1" si="2"/>
        <v>0x0003D668</v>
      </c>
      <c r="J124" s="4" t="str">
        <f t="shared" si="89"/>
        <v/>
      </c>
      <c r="K124" s="4" t="str">
        <f t="shared" si="90"/>
        <v xml:space="preserve">                                                             ro data section .rodata object RTC.o,</v>
      </c>
    </row>
    <row r="125" spans="1:11" x14ac:dyDescent="0.25">
      <c r="A125" t="s">
        <v>534</v>
      </c>
      <c r="B125" t="str">
        <f t="shared" si="85"/>
        <v/>
      </c>
      <c r="C125">
        <f t="shared" si="94"/>
        <v>0</v>
      </c>
      <c r="D125" t="s">
        <v>295</v>
      </c>
      <c r="E125" t="str">
        <f t="shared" si="91"/>
        <v>sys_clock.o</v>
      </c>
      <c r="F125">
        <f t="shared" ca="1" si="92"/>
        <v>0</v>
      </c>
      <c r="H125">
        <f t="shared" ca="1" si="93"/>
        <v>251568</v>
      </c>
      <c r="I125" t="str">
        <f t="shared" ca="1" si="2"/>
        <v>0x0003D6B0</v>
      </c>
      <c r="J125" s="4" t="str">
        <f t="shared" si="89"/>
        <v/>
      </c>
      <c r="K125" s="4" t="str">
        <f t="shared" si="90"/>
        <v xml:space="preserve">                                                             ro data section .rodata object sys_clock.o,</v>
      </c>
    </row>
    <row r="126" spans="1:11" x14ac:dyDescent="0.25">
      <c r="A126" t="s">
        <v>534</v>
      </c>
      <c r="B126" t="str">
        <f t="shared" si="85"/>
        <v/>
      </c>
      <c r="C126">
        <f t="shared" si="94"/>
        <v>0</v>
      </c>
      <c r="D126" t="s">
        <v>336</v>
      </c>
      <c r="E126" t="str">
        <f t="shared" si="91"/>
        <v>UART.o</v>
      </c>
      <c r="F126">
        <f t="shared" ca="1" si="92"/>
        <v>192</v>
      </c>
      <c r="H126">
        <f t="shared" ca="1" si="93"/>
        <v>251568</v>
      </c>
      <c r="I126" t="str">
        <f t="shared" ca="1" si="2"/>
        <v>0x0003D6B0</v>
      </c>
      <c r="J126" s="4" t="str">
        <f t="shared" si="89"/>
        <v/>
      </c>
      <c r="K126" s="4" t="str">
        <f t="shared" si="90"/>
        <v xml:space="preserve">                                                             ro data section .rodata object UART.o,</v>
      </c>
    </row>
    <row r="127" spans="1:11" x14ac:dyDescent="0.25">
      <c r="A127" t="s">
        <v>534</v>
      </c>
      <c r="B127" t="str">
        <f t="shared" si="85"/>
        <v/>
      </c>
      <c r="C127">
        <f t="shared" si="94"/>
        <v>0</v>
      </c>
      <c r="D127" t="s">
        <v>277</v>
      </c>
      <c r="E127" t="str">
        <f t="shared" si="91"/>
        <v>WDOG.o</v>
      </c>
      <c r="F127">
        <f t="shared" ca="1" si="92"/>
        <v>0</v>
      </c>
      <c r="H127">
        <f t="shared" ca="1" si="93"/>
        <v>251760</v>
      </c>
      <c r="I127" t="str">
        <f t="shared" ca="1" si="2"/>
        <v>0x0003D770</v>
      </c>
      <c r="J127" s="4" t="str">
        <f t="shared" si="89"/>
        <v/>
      </c>
      <c r="K127" s="4" t="str">
        <f t="shared" si="90"/>
        <v xml:space="preserve">                                                             ro data section .rodata object WDOG.o };</v>
      </c>
    </row>
    <row r="128" spans="1:11" x14ac:dyDescent="0.25">
      <c r="B128" t="str">
        <f>B117&amp;"_end"</f>
        <v>AclaraBSP_CONST_end</v>
      </c>
      <c r="F128">
        <f ca="1">SUM(F117:F127)</f>
        <v>840</v>
      </c>
      <c r="G128">
        <f ca="1">INT(($G$114/100)*F128)</f>
        <v>8</v>
      </c>
      <c r="H128">
        <f ca="1">H127+F127+G128+IF(MOD(F127+H127+G128,$G$115)=0,0,$G$115-MOD(F127+H127+G128,$G$115))</f>
        <v>251768</v>
      </c>
      <c r="I128" t="str">
        <f t="shared" ca="1" si="2"/>
        <v>0x0003D778</v>
      </c>
      <c r="J128" s="4"/>
      <c r="K128" s="4"/>
    </row>
    <row r="129" spans="1:11" x14ac:dyDescent="0.25">
      <c r="J129" s="4"/>
      <c r="K129" s="4"/>
    </row>
    <row r="130" spans="1:11" x14ac:dyDescent="0.25">
      <c r="F130" t="s">
        <v>526</v>
      </c>
      <c r="G130">
        <f ca="1">VLOOKUP(B133,INDIRECT(GlobalPlcmnt!$B$133),GlobalPlcmnt!$B$138,FALSE)</f>
        <v>1</v>
      </c>
      <c r="J130" s="4"/>
      <c r="K130" s="4"/>
    </row>
    <row r="131" spans="1:11" x14ac:dyDescent="0.25">
      <c r="F131" t="s">
        <v>608</v>
      </c>
      <c r="G131">
        <f ca="1">VLOOKUP(B133,INDIRECT(GlobalPlcmnt!$B$133),GlobalPlcmnt!$C$138,FALSE)</f>
        <v>4</v>
      </c>
      <c r="J131" s="4"/>
      <c r="K131" s="4"/>
    </row>
    <row r="132" spans="1:11" x14ac:dyDescent="0.25">
      <c r="F132" t="s">
        <v>542</v>
      </c>
      <c r="J132" s="4"/>
      <c r="K132" s="4"/>
    </row>
    <row r="133" spans="1:11" x14ac:dyDescent="0.25">
      <c r="A133" t="s">
        <v>536</v>
      </c>
      <c r="B133" t="str">
        <f t="shared" ref="B133:B153" si="95">IF(A133&lt;&gt;A132,A133&amp;$B$1,"")</f>
        <v>Common_CONST</v>
      </c>
      <c r="C133">
        <f t="shared" si="94"/>
        <v>12</v>
      </c>
      <c r="D133" t="s">
        <v>568</v>
      </c>
      <c r="E133" t="str">
        <f t="shared" si="86"/>
        <v>alarm_task.o</v>
      </c>
      <c r="F133">
        <f t="shared" ref="F133:F134" ca="1" si="96">IFERROR(VLOOKUP(D133,INDIRECT($F$1),2,FALSE),0)</f>
        <v>0</v>
      </c>
      <c r="H133">
        <f ca="1">VLOOKUP(B133,INDIRECT(GlobalPlcmnt!$B$133),GlobalPlcmnt!$A$138,FALSE)</f>
        <v>251960</v>
      </c>
      <c r="I133" t="str">
        <f t="shared" ca="1" si="2"/>
        <v>0x0003D838</v>
      </c>
      <c r="J133" s="4" t="str">
        <f t="shared" ref="J133" ca="1" si="97">IF(B133="","","define symbol "&amp;B133&amp;REPT(" ",$C$4-C133)&amp;"= "&amp;I133&amp;";")</f>
        <v>define symbol Common_CONST     = 0x0003D838;</v>
      </c>
      <c r="K133" s="4" t="str">
        <f t="shared" ref="K133" si="98">IF(B133="",REPT(" ",$C$4+$K$4)&amp;$K$2&amp;D133&amp;IF(B134="",","," };"),""""&amp;B133&amp;""":"&amp;REPT(" ",$C$4-C133)&amp;"place at address mem: "&amp;B133&amp;REPT(" ",$C$4-C133)&amp;"{ "&amp;K$2&amp;D133&amp;IF(B134="",","," };"))</f>
        <v>"Common_CONST":     place at address mem: Common_CONST     { ro data section .rodata object alarm_task.o,</v>
      </c>
    </row>
    <row r="134" spans="1:11" x14ac:dyDescent="0.25">
      <c r="A134" t="s">
        <v>536</v>
      </c>
      <c r="B134" t="str">
        <f t="shared" si="95"/>
        <v/>
      </c>
      <c r="C134">
        <f t="shared" ref="C134:C141" si="99">LEN(B134)</f>
        <v>0</v>
      </c>
      <c r="D134" t="s">
        <v>135</v>
      </c>
      <c r="E134" t="str">
        <f t="shared" si="86"/>
        <v>ALRM_Handler.o</v>
      </c>
      <c r="F134">
        <f t="shared" ca="1" si="96"/>
        <v>16</v>
      </c>
      <c r="H134">
        <f ca="1">H133+F133+G133+IF(MOD(F133+H133+G133,$G$131)=0,0,$G$131-MOD(F133+H133+G133,$G$131))</f>
        <v>251960</v>
      </c>
      <c r="I134" t="str">
        <f t="shared" ca="1" si="2"/>
        <v>0x0003D838</v>
      </c>
      <c r="J134" s="4" t="str">
        <f t="shared" ref="J134:J159" si="100">IF(B134="","","define symbol "&amp;B134&amp;REPT(" ",$C$4-C134)&amp;"= "&amp;I134&amp;";")</f>
        <v/>
      </c>
      <c r="K134" s="4" t="str">
        <f t="shared" ref="K134:K163" si="101">IF(B134="",REPT(" ",$C$4+$K$4)&amp;$K$2&amp;D134&amp;IF(B135="",","," };"),""""&amp;B134&amp;""":"&amp;REPT(" ",$C$4-C134)&amp;"place at address mem: "&amp;B134&amp;REPT(" ",$C$4-C134)&amp;"{ "&amp;K$2&amp;D134&amp;IF(B135="",","," };"))</f>
        <v xml:space="preserve">                                                             ro data section .rodata object ALRM_Handler.o,</v>
      </c>
    </row>
    <row r="135" spans="1:11" x14ac:dyDescent="0.25">
      <c r="A135" t="s">
        <v>536</v>
      </c>
      <c r="B135" t="str">
        <f t="shared" si="95"/>
        <v/>
      </c>
      <c r="C135">
        <f t="shared" si="99"/>
        <v>0</v>
      </c>
      <c r="D135" t="s">
        <v>256</v>
      </c>
      <c r="E135" t="str">
        <f t="shared" ref="E135:E159" si="102">SUBSTITUTE(D135,"-","_")</f>
        <v>BUF_MemoryBuffers.o</v>
      </c>
      <c r="F135">
        <f t="shared" ref="F135:F159" ca="1" si="103">IFERROR(VLOOKUP(D135,INDIRECT($F$1),2,FALSE),0)</f>
        <v>0</v>
      </c>
      <c r="H135">
        <f t="shared" ref="H135:H164" ca="1" si="104">H134+F134+G134+IF(MOD(F134+H134+G134,$G$131)=0,0,$G$131-MOD(F134+H134+G134,$G$131))</f>
        <v>251976</v>
      </c>
      <c r="I135" t="str">
        <f t="shared" ref="I135:I164" ca="1" si="105">"0x"&amp;DEC2HEX(H135,8)</f>
        <v>0x0003D848</v>
      </c>
      <c r="J135" s="4" t="str">
        <f t="shared" si="100"/>
        <v/>
      </c>
      <c r="K135" s="4" t="str">
        <f t="shared" si="101"/>
        <v xml:space="preserve">                                                             ro data section .rodata object BUF_MemoryBuffers.o,</v>
      </c>
    </row>
    <row r="136" spans="1:11" x14ac:dyDescent="0.25">
      <c r="A136" t="s">
        <v>536</v>
      </c>
      <c r="B136" t="str">
        <f t="shared" si="95"/>
        <v/>
      </c>
      <c r="C136">
        <f t="shared" si="99"/>
        <v>0</v>
      </c>
      <c r="D136" t="s">
        <v>92</v>
      </c>
      <c r="E136" t="str">
        <f t="shared" si="102"/>
        <v>buffer.o</v>
      </c>
      <c r="F136">
        <f t="shared" ca="1" si="103"/>
        <v>1120</v>
      </c>
      <c r="H136">
        <f t="shared" ca="1" si="104"/>
        <v>251976</v>
      </c>
      <c r="I136" t="str">
        <f t="shared" ca="1" si="105"/>
        <v>0x0003D848</v>
      </c>
      <c r="J136" s="4" t="str">
        <f t="shared" si="100"/>
        <v/>
      </c>
      <c r="K136" s="4" t="str">
        <f t="shared" si="101"/>
        <v xml:space="preserve">                                                             ro data section .rodata object buffer.o,</v>
      </c>
    </row>
    <row r="137" spans="1:11" x14ac:dyDescent="0.25">
      <c r="A137" t="s">
        <v>536</v>
      </c>
      <c r="B137" t="str">
        <f t="shared" si="95"/>
        <v/>
      </c>
      <c r="C137">
        <f t="shared" si="99"/>
        <v>0</v>
      </c>
      <c r="D137" t="s">
        <v>131</v>
      </c>
      <c r="E137" t="str">
        <f t="shared" si="102"/>
        <v>DBG_CommandLine.o</v>
      </c>
      <c r="F137">
        <f t="shared" ca="1" si="103"/>
        <v>20816</v>
      </c>
      <c r="H137">
        <f t="shared" ca="1" si="104"/>
        <v>253096</v>
      </c>
      <c r="I137" t="str">
        <f t="shared" ca="1" si="105"/>
        <v>0x0003DCA8</v>
      </c>
      <c r="J137" s="4" t="str">
        <f t="shared" si="100"/>
        <v/>
      </c>
      <c r="K137" s="4" t="str">
        <f t="shared" si="101"/>
        <v xml:space="preserve">                                                             ro data section .rodata object DBG_CommandLine.o,</v>
      </c>
    </row>
    <row r="138" spans="1:11" x14ac:dyDescent="0.25">
      <c r="A138" t="s">
        <v>536</v>
      </c>
      <c r="B138" t="str">
        <f t="shared" si="95"/>
        <v/>
      </c>
      <c r="C138">
        <f t="shared" si="99"/>
        <v>0</v>
      </c>
      <c r="D138" t="s">
        <v>82</v>
      </c>
      <c r="E138" t="str">
        <f t="shared" si="102"/>
        <v>DBG_SerialDebug.o</v>
      </c>
      <c r="F138">
        <f t="shared" ca="1" si="103"/>
        <v>152</v>
      </c>
      <c r="H138">
        <f t="shared" ca="1" si="104"/>
        <v>273912</v>
      </c>
      <c r="I138" t="str">
        <f t="shared" ca="1" si="105"/>
        <v>0x00042DF8</v>
      </c>
      <c r="J138" s="4" t="str">
        <f t="shared" si="100"/>
        <v/>
      </c>
      <c r="K138" s="4" t="str">
        <f t="shared" si="101"/>
        <v xml:space="preserve">                                                             ro data section .rodata object DBG_SerialDebug.o,</v>
      </c>
    </row>
    <row r="139" spans="1:11" x14ac:dyDescent="0.25">
      <c r="A139" t="s">
        <v>536</v>
      </c>
      <c r="B139" t="str">
        <f t="shared" si="95"/>
        <v/>
      </c>
      <c r="C139">
        <f t="shared" si="99"/>
        <v>0</v>
      </c>
      <c r="D139" t="s">
        <v>249</v>
      </c>
      <c r="E139" t="str">
        <f t="shared" si="102"/>
        <v>eng_res.o</v>
      </c>
      <c r="F139">
        <f t="shared" ca="1" si="103"/>
        <v>284</v>
      </c>
      <c r="H139">
        <f t="shared" ca="1" si="104"/>
        <v>274064</v>
      </c>
      <c r="I139" t="str">
        <f t="shared" ca="1" si="105"/>
        <v>0x00042E90</v>
      </c>
      <c r="J139" s="4" t="str">
        <f t="shared" si="100"/>
        <v/>
      </c>
      <c r="K139" s="4" t="str">
        <f t="shared" si="101"/>
        <v xml:space="preserve">                                                             ro data section .rodata object eng_res.o,</v>
      </c>
    </row>
    <row r="140" spans="1:11" x14ac:dyDescent="0.25">
      <c r="A140" t="s">
        <v>536</v>
      </c>
      <c r="B140" t="str">
        <f t="shared" si="95"/>
        <v/>
      </c>
      <c r="C140">
        <f t="shared" si="99"/>
        <v>0</v>
      </c>
      <c r="D140" t="s">
        <v>136</v>
      </c>
      <c r="E140" t="str">
        <f t="shared" si="102"/>
        <v>EVL_event_log.o</v>
      </c>
      <c r="F140">
        <f t="shared" ca="1" si="103"/>
        <v>1948</v>
      </c>
      <c r="H140">
        <f t="shared" ca="1" si="104"/>
        <v>274348</v>
      </c>
      <c r="I140" t="str">
        <f t="shared" ca="1" si="105"/>
        <v>0x00042FAC</v>
      </c>
      <c r="J140" s="4" t="str">
        <f t="shared" si="100"/>
        <v/>
      </c>
      <c r="K140" s="4" t="str">
        <f t="shared" si="101"/>
        <v xml:space="preserve">                                                             ro data section .rodata object EVL_event_log.o,</v>
      </c>
    </row>
    <row r="141" spans="1:11" x14ac:dyDescent="0.25">
      <c r="A141" t="s">
        <v>536</v>
      </c>
      <c r="B141" t="str">
        <f t="shared" si="95"/>
        <v/>
      </c>
      <c r="C141">
        <f t="shared" si="99"/>
        <v>0</v>
      </c>
      <c r="D141" t="s">
        <v>569</v>
      </c>
      <c r="E141" t="str">
        <f t="shared" si="102"/>
        <v>exe_list.o</v>
      </c>
      <c r="F141">
        <f t="shared" ca="1" si="103"/>
        <v>0</v>
      </c>
      <c r="H141">
        <f t="shared" ca="1" si="104"/>
        <v>276296</v>
      </c>
      <c r="I141" t="str">
        <f t="shared" ca="1" si="105"/>
        <v>0x00043748</v>
      </c>
      <c r="J141" s="4" t="str">
        <f t="shared" si="100"/>
        <v/>
      </c>
      <c r="K141" s="4" t="str">
        <f t="shared" si="101"/>
        <v xml:space="preserve">                                                             ro data section .rodata object exe_list.o,</v>
      </c>
    </row>
    <row r="142" spans="1:11" x14ac:dyDescent="0.25">
      <c r="A142" t="s">
        <v>536</v>
      </c>
      <c r="B142" t="str">
        <f t="shared" si="95"/>
        <v/>
      </c>
      <c r="C142">
        <f>LEN(B142)</f>
        <v>0</v>
      </c>
      <c r="D142" t="s">
        <v>118</v>
      </c>
      <c r="E142" t="str">
        <f t="shared" si="102"/>
        <v>file_io.o</v>
      </c>
      <c r="F142">
        <f t="shared" ca="1" si="103"/>
        <v>1708</v>
      </c>
      <c r="H142">
        <f t="shared" ca="1" si="104"/>
        <v>276296</v>
      </c>
      <c r="I142" t="str">
        <f t="shared" ca="1" si="105"/>
        <v>0x00043748</v>
      </c>
      <c r="J142" s="4" t="str">
        <f t="shared" si="100"/>
        <v/>
      </c>
      <c r="K142" s="4" t="str">
        <f t="shared" si="101"/>
        <v xml:space="preserve">                                                             ro data section .rodata object file_io.o,</v>
      </c>
    </row>
    <row r="143" spans="1:11" x14ac:dyDescent="0.25">
      <c r="A143" t="s">
        <v>536</v>
      </c>
      <c r="B143" t="str">
        <f t="shared" si="95"/>
        <v/>
      </c>
      <c r="C143">
        <f>LEN(B143)</f>
        <v>0</v>
      </c>
      <c r="D143" t="s">
        <v>87</v>
      </c>
      <c r="E143" t="str">
        <f t="shared" si="102"/>
        <v>HEEP_util.o</v>
      </c>
      <c r="F143">
        <f t="shared" ca="1" si="103"/>
        <v>2284</v>
      </c>
      <c r="H143">
        <f t="shared" ca="1" si="104"/>
        <v>278004</v>
      </c>
      <c r="I143" t="str">
        <f t="shared" ca="1" si="105"/>
        <v>0x00043DF4</v>
      </c>
      <c r="J143" s="4" t="str">
        <f t="shared" si="100"/>
        <v/>
      </c>
      <c r="K143" s="4" t="str">
        <f t="shared" si="101"/>
        <v xml:space="preserve">                                                             ro data section .rodata object HEEP_util.o,</v>
      </c>
    </row>
    <row r="144" spans="1:11" x14ac:dyDescent="0.25">
      <c r="A144" t="s">
        <v>536</v>
      </c>
      <c r="B144" t="str">
        <f t="shared" si="95"/>
        <v/>
      </c>
      <c r="C144">
        <f>LEN(B144)</f>
        <v>0</v>
      </c>
      <c r="D144" t="s">
        <v>570</v>
      </c>
      <c r="E144" t="str">
        <f t="shared" si="102"/>
        <v>mem_chk.o</v>
      </c>
      <c r="F144">
        <f t="shared" ca="1" si="103"/>
        <v>0</v>
      </c>
      <c r="H144">
        <f t="shared" ca="1" si="104"/>
        <v>280288</v>
      </c>
      <c r="I144" t="str">
        <f t="shared" ca="1" si="105"/>
        <v>0x000446E0</v>
      </c>
      <c r="J144" s="4" t="str">
        <f t="shared" si="100"/>
        <v/>
      </c>
      <c r="K144" s="4" t="str">
        <f t="shared" si="101"/>
        <v xml:space="preserve">                                                             ro data section .rodata object mem_chk.o,</v>
      </c>
    </row>
    <row r="145" spans="1:11" x14ac:dyDescent="0.25">
      <c r="A145" t="s">
        <v>536</v>
      </c>
      <c r="B145" t="str">
        <f t="shared" si="95"/>
        <v/>
      </c>
      <c r="C145">
        <f t="shared" ref="C145:C151" si="106">LEN(B145)</f>
        <v>0</v>
      </c>
      <c r="D145" t="s">
        <v>248</v>
      </c>
      <c r="E145" t="str">
        <f t="shared" si="102"/>
        <v>MFG_Dtls.o</v>
      </c>
      <c r="F145">
        <f t="shared" ca="1" si="103"/>
        <v>232</v>
      </c>
      <c r="H145">
        <f t="shared" ca="1" si="104"/>
        <v>280288</v>
      </c>
      <c r="I145" t="str">
        <f t="shared" ca="1" si="105"/>
        <v>0x000446E0</v>
      </c>
      <c r="J145" s="4" t="str">
        <f t="shared" si="100"/>
        <v/>
      </c>
      <c r="K145" s="4" t="str">
        <f t="shared" si="101"/>
        <v xml:space="preserve">                                                             ro data section .rodata object MFG_Dtls.o,</v>
      </c>
    </row>
    <row r="146" spans="1:11" x14ac:dyDescent="0.25">
      <c r="A146" t="s">
        <v>536</v>
      </c>
      <c r="B146" t="str">
        <f t="shared" si="95"/>
        <v/>
      </c>
      <c r="C146">
        <f t="shared" si="106"/>
        <v>0</v>
      </c>
      <c r="D146" t="s">
        <v>244</v>
      </c>
      <c r="E146" t="str">
        <f t="shared" si="102"/>
        <v>MFG_Port.o</v>
      </c>
      <c r="F146">
        <f t="shared" ca="1" si="103"/>
        <v>14814</v>
      </c>
      <c r="H146">
        <f t="shared" ca="1" si="104"/>
        <v>280520</v>
      </c>
      <c r="I146" t="str">
        <f t="shared" ca="1" si="105"/>
        <v>0x000447C8</v>
      </c>
      <c r="J146" s="4" t="str">
        <f t="shared" si="100"/>
        <v/>
      </c>
      <c r="K146" s="4" t="str">
        <f t="shared" si="101"/>
        <v xml:space="preserve">                                                             ro data section .rodata object MFG_Port.o,</v>
      </c>
    </row>
    <row r="147" spans="1:11" x14ac:dyDescent="0.25">
      <c r="A147" t="s">
        <v>536</v>
      </c>
      <c r="B147" t="str">
        <f t="shared" si="95"/>
        <v/>
      </c>
      <c r="C147">
        <f>LEN(B147)</f>
        <v>0</v>
      </c>
      <c r="D147" t="s">
        <v>919</v>
      </c>
      <c r="E147" t="str">
        <f t="shared" si="102"/>
        <v>MIMT_info.o</v>
      </c>
      <c r="F147">
        <f t="shared" ca="1" si="103"/>
        <v>12</v>
      </c>
      <c r="H147">
        <f t="shared" ca="1" si="104"/>
        <v>295336</v>
      </c>
      <c r="I147" t="str">
        <f t="shared" ca="1" si="105"/>
        <v>0x000481A8</v>
      </c>
      <c r="J147" s="4" t="str">
        <f t="shared" si="100"/>
        <v/>
      </c>
      <c r="K147" s="4" t="str">
        <f t="shared" si="101"/>
        <v xml:space="preserve">                                                             ro data section .rodata object MIMT_info.o,</v>
      </c>
    </row>
    <row r="148" spans="1:11" x14ac:dyDescent="0.25">
      <c r="A148" t="s">
        <v>536</v>
      </c>
      <c r="B148" t="str">
        <f t="shared" si="95"/>
        <v/>
      </c>
      <c r="C148">
        <f t="shared" si="106"/>
        <v>0</v>
      </c>
      <c r="D148" t="s">
        <v>86</v>
      </c>
      <c r="E148" t="str">
        <f t="shared" si="102"/>
        <v>mode_config.o</v>
      </c>
      <c r="F148">
        <f t="shared" ca="1" si="103"/>
        <v>124</v>
      </c>
      <c r="H148">
        <f t="shared" ca="1" si="104"/>
        <v>295348</v>
      </c>
      <c r="I148" t="str">
        <f t="shared" ca="1" si="105"/>
        <v>0x000481B4</v>
      </c>
      <c r="J148" s="4" t="str">
        <f t="shared" si="100"/>
        <v/>
      </c>
      <c r="K148" s="4" t="str">
        <f t="shared" si="101"/>
        <v xml:space="preserve">                                                             ro data section .rodata object mode_config.o,</v>
      </c>
    </row>
    <row r="149" spans="1:11" x14ac:dyDescent="0.25">
      <c r="A149" t="s">
        <v>536</v>
      </c>
      <c r="B149" t="str">
        <f t="shared" si="95"/>
        <v/>
      </c>
      <c r="C149">
        <f t="shared" si="106"/>
        <v>0</v>
      </c>
      <c r="D149" t="s">
        <v>308</v>
      </c>
      <c r="E149" t="str">
        <f t="shared" si="102"/>
        <v>object_list.o</v>
      </c>
      <c r="F149">
        <f t="shared" ca="1" si="103"/>
        <v>0</v>
      </c>
      <c r="H149">
        <f t="shared" ca="1" si="104"/>
        <v>295472</v>
      </c>
      <c r="I149" t="str">
        <f t="shared" ca="1" si="105"/>
        <v>0x00048230</v>
      </c>
      <c r="J149" s="4" t="str">
        <f t="shared" si="100"/>
        <v/>
      </c>
      <c r="K149" s="4" t="str">
        <f t="shared" si="101"/>
        <v xml:space="preserve">                                                             ro data section .rodata object object_list.o,</v>
      </c>
    </row>
    <row r="150" spans="1:11" x14ac:dyDescent="0.25">
      <c r="A150" t="s">
        <v>536</v>
      </c>
      <c r="B150" t="str">
        <f t="shared" si="95"/>
        <v/>
      </c>
      <c r="C150">
        <f t="shared" si="106"/>
        <v>0</v>
      </c>
      <c r="D150" t="s">
        <v>177</v>
      </c>
      <c r="E150" t="str">
        <f t="shared" si="102"/>
        <v>partitions.o</v>
      </c>
      <c r="F150">
        <f t="shared" ca="1" si="103"/>
        <v>2812</v>
      </c>
      <c r="H150">
        <f t="shared" ca="1" si="104"/>
        <v>295472</v>
      </c>
      <c r="I150" t="str">
        <f t="shared" ca="1" si="105"/>
        <v>0x00048230</v>
      </c>
      <c r="J150" s="4" t="str">
        <f t="shared" si="100"/>
        <v/>
      </c>
      <c r="K150" s="4" t="str">
        <f t="shared" si="101"/>
        <v xml:space="preserve">                                                             ro data section .rodata object partitions.o,</v>
      </c>
    </row>
    <row r="151" spans="1:11" x14ac:dyDescent="0.25">
      <c r="A151" t="s">
        <v>536</v>
      </c>
      <c r="B151" t="str">
        <f t="shared" si="95"/>
        <v/>
      </c>
      <c r="C151">
        <f t="shared" si="106"/>
        <v>0</v>
      </c>
      <c r="D151" t="s">
        <v>571</v>
      </c>
      <c r="E151" t="str">
        <f t="shared" si="102"/>
        <v>runTimeInit.o</v>
      </c>
      <c r="F151">
        <f t="shared" ca="1" si="103"/>
        <v>0</v>
      </c>
      <c r="H151">
        <f t="shared" ca="1" si="104"/>
        <v>298284</v>
      </c>
      <c r="I151" t="str">
        <f t="shared" ca="1" si="105"/>
        <v>0x00048D2C</v>
      </c>
      <c r="J151" s="4" t="str">
        <f t="shared" si="100"/>
        <v/>
      </c>
      <c r="K151" s="4" t="str">
        <f t="shared" si="101"/>
        <v xml:space="preserve">                                                             ro data section .rodata object runTimeInit.o,</v>
      </c>
    </row>
    <row r="152" spans="1:11" x14ac:dyDescent="0.25">
      <c r="A152" t="s">
        <v>536</v>
      </c>
      <c r="B152" t="str">
        <f t="shared" si="95"/>
        <v/>
      </c>
      <c r="C152">
        <f t="shared" ref="C152:C170" si="107">LEN(B152)</f>
        <v>0</v>
      </c>
      <c r="D152" t="s">
        <v>223</v>
      </c>
      <c r="E152" t="str">
        <f t="shared" si="102"/>
        <v>SELF_test.o</v>
      </c>
      <c r="F152">
        <f t="shared" ca="1" si="103"/>
        <v>252</v>
      </c>
      <c r="H152">
        <f t="shared" ca="1" si="104"/>
        <v>298284</v>
      </c>
      <c r="I152" t="str">
        <f t="shared" ca="1" si="105"/>
        <v>0x00048D2C</v>
      </c>
      <c r="J152" s="4" t="str">
        <f t="shared" si="100"/>
        <v/>
      </c>
      <c r="K152" s="4" t="str">
        <f t="shared" si="101"/>
        <v xml:space="preserve">                                                             ro data section .rodata object SELF_test.o,</v>
      </c>
    </row>
    <row r="153" spans="1:11" x14ac:dyDescent="0.25">
      <c r="A153" t="s">
        <v>536</v>
      </c>
      <c r="B153" t="str">
        <f t="shared" si="95"/>
        <v/>
      </c>
      <c r="C153">
        <f t="shared" si="107"/>
        <v>0</v>
      </c>
      <c r="D153" t="s">
        <v>133</v>
      </c>
      <c r="E153" t="str">
        <f t="shared" si="102"/>
        <v>stack_check.o</v>
      </c>
      <c r="F153">
        <f t="shared" ca="1" si="103"/>
        <v>204</v>
      </c>
      <c r="H153">
        <f t="shared" ca="1" si="104"/>
        <v>298536</v>
      </c>
      <c r="I153" t="str">
        <f t="shared" ca="1" si="105"/>
        <v>0x00048E28</v>
      </c>
      <c r="J153" s="4" t="str">
        <f t="shared" si="100"/>
        <v/>
      </c>
      <c r="K153" s="4" t="str">
        <f t="shared" si="101"/>
        <v xml:space="preserve">                                                             ro data section .rodata object stack_check.o,</v>
      </c>
    </row>
    <row r="154" spans="1:11" x14ac:dyDescent="0.25">
      <c r="A154" t="s">
        <v>536</v>
      </c>
      <c r="B154" t="str">
        <f t="shared" ref="B154:B159" si="108">IF(A154&lt;&gt;A153,A154&amp;$B$1,"")</f>
        <v/>
      </c>
      <c r="C154">
        <f t="shared" ref="C154:C159" si="109">LEN(B154)</f>
        <v>0</v>
      </c>
      <c r="D154" t="s">
        <v>309</v>
      </c>
      <c r="E154" t="str">
        <f t="shared" si="102"/>
        <v>sys_busy.o</v>
      </c>
      <c r="F154">
        <f t="shared" ca="1" si="103"/>
        <v>12</v>
      </c>
      <c r="H154">
        <f t="shared" ca="1" si="104"/>
        <v>298740</v>
      </c>
      <c r="I154" t="str">
        <f t="shared" ca="1" si="105"/>
        <v>0x00048EF4</v>
      </c>
      <c r="J154" s="4" t="str">
        <f t="shared" si="100"/>
        <v/>
      </c>
      <c r="K154" s="4" t="str">
        <f t="shared" si="101"/>
        <v xml:space="preserve">                                                             ro data section .rodata object sys_busy.o,</v>
      </c>
    </row>
    <row r="155" spans="1:11" x14ac:dyDescent="0.25">
      <c r="A155" t="s">
        <v>536</v>
      </c>
      <c r="B155" t="str">
        <f t="shared" si="108"/>
        <v/>
      </c>
      <c r="C155">
        <f t="shared" si="109"/>
        <v>0</v>
      </c>
      <c r="D155" t="s">
        <v>1094</v>
      </c>
      <c r="E155" t="str">
        <f t="shared" si="102"/>
        <v>temperature.o</v>
      </c>
      <c r="F155">
        <f t="shared" ca="1" si="103"/>
        <v>0</v>
      </c>
      <c r="H155">
        <f t="shared" ca="1" si="104"/>
        <v>298752</v>
      </c>
      <c r="I155" t="str">
        <f t="shared" ca="1" si="105"/>
        <v>0x00048F00</v>
      </c>
      <c r="J155" s="4" t="str">
        <f t="shared" si="100"/>
        <v/>
      </c>
      <c r="K155" s="4" t="str">
        <f t="shared" si="101"/>
        <v xml:space="preserve">                                                             ro data section .rodata object temperature.o,</v>
      </c>
    </row>
    <row r="156" spans="1:11" x14ac:dyDescent="0.25">
      <c r="A156" t="s">
        <v>536</v>
      </c>
      <c r="B156" t="str">
        <f t="shared" si="108"/>
        <v/>
      </c>
      <c r="C156">
        <f t="shared" si="109"/>
        <v>0</v>
      </c>
      <c r="D156" t="s">
        <v>206</v>
      </c>
      <c r="E156" t="str">
        <f t="shared" si="102"/>
        <v>time_DST.o</v>
      </c>
      <c r="F156">
        <f t="shared" ca="1" si="103"/>
        <v>396</v>
      </c>
      <c r="H156">
        <f t="shared" ca="1" si="104"/>
        <v>298752</v>
      </c>
      <c r="I156" t="str">
        <f t="shared" ca="1" si="105"/>
        <v>0x00048F00</v>
      </c>
      <c r="J156" s="4" t="str">
        <f t="shared" si="100"/>
        <v/>
      </c>
      <c r="K156" s="4" t="str">
        <f t="shared" si="101"/>
        <v xml:space="preserve">                                                             ro data section .rodata object time_DST.o,</v>
      </c>
    </row>
    <row r="157" spans="1:11" x14ac:dyDescent="0.25">
      <c r="A157" t="s">
        <v>536</v>
      </c>
      <c r="B157" t="str">
        <f t="shared" si="108"/>
        <v/>
      </c>
      <c r="C157">
        <f t="shared" si="109"/>
        <v>0</v>
      </c>
      <c r="D157" t="s">
        <v>1038</v>
      </c>
      <c r="E157" t="str">
        <f t="shared" si="102"/>
        <v>time_sync.o</v>
      </c>
      <c r="F157">
        <f t="shared" ca="1" si="103"/>
        <v>620</v>
      </c>
      <c r="H157">
        <f t="shared" ca="1" si="104"/>
        <v>299148</v>
      </c>
      <c r="I157" t="str">
        <f t="shared" ca="1" si="105"/>
        <v>0x0004908C</v>
      </c>
      <c r="J157" s="4" t="str">
        <f t="shared" si="100"/>
        <v/>
      </c>
      <c r="K157" s="4" t="str">
        <f t="shared" si="101"/>
        <v xml:space="preserve">                                                             ro data section .rodata object time_sync.o,</v>
      </c>
    </row>
    <row r="158" spans="1:11" x14ac:dyDescent="0.25">
      <c r="A158" t="s">
        <v>536</v>
      </c>
      <c r="B158" t="str">
        <f t="shared" si="108"/>
        <v/>
      </c>
      <c r="C158">
        <f t="shared" si="109"/>
        <v>0</v>
      </c>
      <c r="D158" t="s">
        <v>162</v>
      </c>
      <c r="E158" t="str">
        <f t="shared" si="102"/>
        <v>time_sys.o</v>
      </c>
      <c r="F158">
        <f t="shared" ca="1" si="103"/>
        <v>520</v>
      </c>
      <c r="H158">
        <f t="shared" ca="1" si="104"/>
        <v>299768</v>
      </c>
      <c r="I158" t="str">
        <f t="shared" ca="1" si="105"/>
        <v>0x000492F8</v>
      </c>
      <c r="J158" s="4" t="str">
        <f t="shared" si="100"/>
        <v/>
      </c>
      <c r="K158" s="4" t="str">
        <f t="shared" si="101"/>
        <v xml:space="preserve">                                                             ro data section .rodata object time_sys.o,</v>
      </c>
    </row>
    <row r="159" spans="1:11" x14ac:dyDescent="0.25">
      <c r="A159" t="s">
        <v>536</v>
      </c>
      <c r="B159" t="str">
        <f t="shared" si="108"/>
        <v/>
      </c>
      <c r="C159">
        <f t="shared" si="109"/>
        <v>0</v>
      </c>
      <c r="D159" t="s">
        <v>291</v>
      </c>
      <c r="E159" t="str">
        <f t="shared" si="102"/>
        <v>virgin_device.o</v>
      </c>
      <c r="F159">
        <f t="shared" ca="1" si="103"/>
        <v>24</v>
      </c>
      <c r="H159">
        <f t="shared" ca="1" si="104"/>
        <v>300288</v>
      </c>
      <c r="I159" t="str">
        <f t="shared" ca="1" si="105"/>
        <v>0x00049500</v>
      </c>
      <c r="J159" s="4" t="str">
        <f t="shared" si="100"/>
        <v/>
      </c>
      <c r="K159" s="4" t="str">
        <f t="shared" si="101"/>
        <v xml:space="preserve">                                                             ro data section .rodata object virgin_device.o,</v>
      </c>
    </row>
    <row r="160" spans="1:11" x14ac:dyDescent="0.25">
      <c r="A160" t="s">
        <v>536</v>
      </c>
      <c r="B160" t="str">
        <f t="shared" ref="B160" si="110">IF(A160&lt;&gt;A159,A160&amp;$B$1,"")</f>
        <v/>
      </c>
      <c r="C160">
        <f t="shared" ref="C160" si="111">LEN(B160)</f>
        <v>0</v>
      </c>
      <c r="D160" t="s">
        <v>1668</v>
      </c>
      <c r="E160" t="str">
        <f t="shared" ref="E160" si="112">SUBSTITUTE(D160,"-","_")</f>
        <v>FTM0.o</v>
      </c>
      <c r="F160">
        <f t="shared" ref="F160" ca="1" si="113">IFERROR(VLOOKUP(D160,INDIRECT($F$1),2,FALSE),0)</f>
        <v>0</v>
      </c>
      <c r="H160">
        <f t="shared" ca="1" si="104"/>
        <v>300312</v>
      </c>
      <c r="I160" t="str">
        <f t="shared" ref="I160" ca="1" si="114">"0x"&amp;DEC2HEX(H160,8)</f>
        <v>0x00049518</v>
      </c>
      <c r="J160" s="4" t="str">
        <f t="shared" ref="J160" si="115">IF(B160="","","define symbol "&amp;B160&amp;REPT(" ",$C$4-C160)&amp;"= "&amp;I160&amp;";")</f>
        <v/>
      </c>
      <c r="K160" s="4" t="str">
        <f t="shared" si="101"/>
        <v xml:space="preserve">                                                             ro data section .rodata object FTM0.o,</v>
      </c>
    </row>
    <row r="161" spans="1:11" x14ac:dyDescent="0.25">
      <c r="A161" t="s">
        <v>536</v>
      </c>
      <c r="B161" t="str">
        <f t="shared" ref="B161" si="116">IF(A161&lt;&gt;A160,A161&amp;$B$1,"")</f>
        <v/>
      </c>
      <c r="C161">
        <f t="shared" ref="C161" si="117">LEN(B161)</f>
        <v>0</v>
      </c>
      <c r="D161" t="s">
        <v>1669</v>
      </c>
      <c r="E161" t="str">
        <f t="shared" ref="E161" si="118">SUBSTITUTE(D161,"-","_")</f>
        <v>FTM1.o</v>
      </c>
      <c r="F161">
        <f t="shared" ref="F161" ca="1" si="119">IFERROR(VLOOKUP(D161,INDIRECT($F$1),2,FALSE),0)</f>
        <v>60</v>
      </c>
      <c r="H161">
        <f t="shared" ca="1" si="104"/>
        <v>300312</v>
      </c>
      <c r="I161" t="str">
        <f t="shared" ref="I161" ca="1" si="120">"0x"&amp;DEC2HEX(H161,8)</f>
        <v>0x00049518</v>
      </c>
      <c r="J161" s="4" t="str">
        <f t="shared" ref="J161" si="121">IF(B161="","","define symbol "&amp;B161&amp;REPT(" ",$C$4-C161)&amp;"= "&amp;I161&amp;";")</f>
        <v/>
      </c>
      <c r="K161" s="4" t="str">
        <f t="shared" si="101"/>
        <v xml:space="preserve">                                                             ro data section .rodata object FTM1.o,</v>
      </c>
    </row>
    <row r="162" spans="1:11" x14ac:dyDescent="0.25">
      <c r="A162" t="s">
        <v>536</v>
      </c>
      <c r="B162" t="str">
        <f t="shared" ref="B162" si="122">IF(A162&lt;&gt;A161,A162&amp;$B$1,"")</f>
        <v/>
      </c>
      <c r="C162">
        <f t="shared" ref="C162" si="123">LEN(B162)</f>
        <v>0</v>
      </c>
      <c r="D162" t="s">
        <v>1670</v>
      </c>
      <c r="E162" t="str">
        <f t="shared" ref="E162" si="124">SUBSTITUTE(D162,"-","_")</f>
        <v>FTM2.o</v>
      </c>
      <c r="F162">
        <f t="shared" ref="F162" ca="1" si="125">IFERROR(VLOOKUP(D162,INDIRECT($F$1),2,FALSE),0)</f>
        <v>0</v>
      </c>
      <c r="H162">
        <f t="shared" ca="1" si="104"/>
        <v>300372</v>
      </c>
      <c r="I162" t="str">
        <f t="shared" ref="I162" ca="1" si="126">"0x"&amp;DEC2HEX(H162,8)</f>
        <v>0x00049554</v>
      </c>
      <c r="J162" s="4" t="str">
        <f t="shared" ref="J162" si="127">IF(B162="","","define symbol "&amp;B162&amp;REPT(" ",$C$4-C162)&amp;"= "&amp;I162&amp;";")</f>
        <v/>
      </c>
      <c r="K162" s="4" t="str">
        <f t="shared" si="101"/>
        <v xml:space="preserve">                                                             ro data section .rodata object FTM2.o,</v>
      </c>
    </row>
    <row r="163" spans="1:11" x14ac:dyDescent="0.25">
      <c r="A163" t="s">
        <v>536</v>
      </c>
      <c r="B163" t="str">
        <f t="shared" ref="B163" si="128">IF(A163&lt;&gt;A162,A163&amp;$B$1,"")</f>
        <v/>
      </c>
      <c r="C163">
        <f t="shared" ref="C163" si="129">LEN(B163)</f>
        <v>0</v>
      </c>
      <c r="D163" t="s">
        <v>1671</v>
      </c>
      <c r="E163" t="str">
        <f t="shared" ref="E163" si="130">SUBSTITUTE(D163,"-","_")</f>
        <v>FTM3.o</v>
      </c>
      <c r="F163">
        <f t="shared" ref="F163" ca="1" si="131">IFERROR(VLOOKUP(D163,INDIRECT($F$1),2,FALSE),0)</f>
        <v>0</v>
      </c>
      <c r="H163">
        <f t="shared" ca="1" si="104"/>
        <v>300372</v>
      </c>
      <c r="I163" t="str">
        <f t="shared" ref="I163" ca="1" si="132">"0x"&amp;DEC2HEX(H163,8)</f>
        <v>0x00049554</v>
      </c>
      <c r="J163" s="4" t="str">
        <f t="shared" ref="J163" si="133">IF(B163="","","define symbol "&amp;B163&amp;REPT(" ",$C$4-C163)&amp;"= "&amp;I163&amp;";")</f>
        <v/>
      </c>
      <c r="K163" s="4" t="str">
        <f t="shared" si="101"/>
        <v xml:space="preserve">                                                             ro data section .rodata object FTM3.o };</v>
      </c>
    </row>
    <row r="164" spans="1:11" x14ac:dyDescent="0.25">
      <c r="B164" t="str">
        <f>B133&amp;"_end"</f>
        <v>Common_CONST_end</v>
      </c>
      <c r="F164">
        <f ca="1">SUM(F133:F163)</f>
        <v>48410</v>
      </c>
      <c r="G164">
        <f ca="1">INT(($G$130/100)*F164)</f>
        <v>484</v>
      </c>
      <c r="H164">
        <f t="shared" ca="1" si="104"/>
        <v>300372</v>
      </c>
      <c r="I164" t="str">
        <f t="shared" ca="1" si="105"/>
        <v>0x00049554</v>
      </c>
      <c r="J164" s="4"/>
      <c r="K164" s="4"/>
    </row>
    <row r="165" spans="1:11" x14ac:dyDescent="0.25">
      <c r="J165" s="4"/>
      <c r="K165" s="4"/>
    </row>
    <row r="166" spans="1:11" x14ac:dyDescent="0.25">
      <c r="F166" t="s">
        <v>526</v>
      </c>
      <c r="G166">
        <f ca="1">VLOOKUP(B169,INDIRECT(GlobalPlcmnt!$B$133),GlobalPlcmnt!$B$138,FALSE)</f>
        <v>1</v>
      </c>
      <c r="J166" s="4"/>
      <c r="K166" s="4"/>
    </row>
    <row r="167" spans="1:11" x14ac:dyDescent="0.25">
      <c r="F167" t="s">
        <v>608</v>
      </c>
      <c r="G167">
        <f ca="1">VLOOKUP(B169,INDIRECT(GlobalPlcmnt!$B$133),GlobalPlcmnt!$C$138,FALSE)</f>
        <v>4</v>
      </c>
      <c r="J167" s="4"/>
      <c r="K167" s="4"/>
    </row>
    <row r="168" spans="1:11" x14ac:dyDescent="0.25">
      <c r="F168" t="s">
        <v>542</v>
      </c>
      <c r="J168" s="4"/>
      <c r="K168" s="4"/>
    </row>
    <row r="169" spans="1:11" x14ac:dyDescent="0.25">
      <c r="A169" t="s">
        <v>535</v>
      </c>
      <c r="B169" t="str">
        <f t="shared" ref="B169:B186" si="134">IF(A169&lt;&gt;A168,A169&amp;$B$1,"")</f>
        <v>HMC_CONST</v>
      </c>
      <c r="C169">
        <f t="shared" si="107"/>
        <v>9</v>
      </c>
      <c r="D169" t="s">
        <v>341</v>
      </c>
      <c r="E169" t="str">
        <f t="shared" ref="E169:E209" si="135">SUBSTITUTE(D169,"-","_")</f>
        <v>hmc_app.o</v>
      </c>
      <c r="F169">
        <f t="shared" ref="F169:F170" ca="1" si="136">IFERROR(VLOOKUP(D169,INDIRECT($F$1),2,FALSE),0)</f>
        <v>0</v>
      </c>
      <c r="H169">
        <f ca="1">VLOOKUP(B169,INDIRECT(GlobalPlcmnt!$B$133),GlobalPlcmnt!$A$138,FALSE)</f>
        <v>300856</v>
      </c>
      <c r="I169" t="str">
        <f t="shared" ref="I169:I226" ca="1" si="137">"0x"&amp;DEC2HEX(H169,8)</f>
        <v>0x00049738</v>
      </c>
      <c r="J169" s="4" t="str">
        <f t="shared" ref="J169" ca="1" si="138">IF(B169="","","define symbol "&amp;B169&amp;REPT(" ",$C$4-C169)&amp;"= "&amp;I169&amp;";")</f>
        <v>define symbol HMC_CONST        = 0x00049738;</v>
      </c>
      <c r="K169" s="4" t="str">
        <f t="shared" ref="K169" si="139">IF(B169="",REPT(" ",$C$4+$K$4)&amp;$K$2&amp;D169&amp;IF(B170="",","," };"),""""&amp;B169&amp;""":"&amp;REPT(" ",$C$4-C169)&amp;"place at address mem: "&amp;B169&amp;REPT(" ",$C$4-C169)&amp;"{ "&amp;K$2&amp;D169&amp;IF(B170="",","," };"))</f>
        <v>"HMC_CONST":        place at address mem: HMC_CONST        { ro data section .rodata object hmc_app.o,</v>
      </c>
    </row>
    <row r="170" spans="1:11" x14ac:dyDescent="0.25">
      <c r="A170" t="s">
        <v>535</v>
      </c>
      <c r="B170" t="str">
        <f t="shared" si="134"/>
        <v/>
      </c>
      <c r="C170">
        <f t="shared" si="107"/>
        <v>0</v>
      </c>
      <c r="D170" t="s">
        <v>572</v>
      </c>
      <c r="E170" t="str">
        <f>SUBSTITUTE(D170,"-","_")</f>
        <v>hmc_demand.o</v>
      </c>
      <c r="F170">
        <f t="shared" ca="1" si="136"/>
        <v>0</v>
      </c>
      <c r="H170">
        <f ca="1">H169+F169+G169+IF(MOD(F169+H169+G169,$G$167)=0,0,$G$167-MOD(F169+H169+G169,$G$167))</f>
        <v>300856</v>
      </c>
      <c r="I170" t="str">
        <f t="shared" ca="1" si="137"/>
        <v>0x00049738</v>
      </c>
      <c r="J170" s="4" t="str">
        <f t="shared" ref="J170:J187" si="140">IF(B170="","","define symbol "&amp;B170&amp;REPT(" ",$C$4-C170)&amp;"= "&amp;I170&amp;";")</f>
        <v/>
      </c>
      <c r="K170" s="4" t="str">
        <f t="shared" ref="K170:K188" si="141">IF(B170="",REPT(" ",$C$4+$K$4)&amp;$K$2&amp;D170&amp;IF(B171="",","," };"),""""&amp;B170&amp;""":"&amp;REPT(" ",$C$4-C170)&amp;"place at address mem: "&amp;B170&amp;REPT(" ",$C$4-C170)&amp;"{ "&amp;K$2&amp;D170&amp;IF(B171="",","," };"))</f>
        <v xml:space="preserve">                                                             ro data section .rodata object hmc_demand.o,</v>
      </c>
    </row>
    <row r="171" spans="1:11" x14ac:dyDescent="0.25">
      <c r="A171" t="s">
        <v>535</v>
      </c>
      <c r="B171" t="str">
        <f t="shared" si="134"/>
        <v/>
      </c>
      <c r="C171">
        <f>LEN(B171)</f>
        <v>0</v>
      </c>
      <c r="D171" t="s">
        <v>573</v>
      </c>
      <c r="E171" t="str">
        <f t="shared" ref="E171:E187" si="142">SUBSTITUTE(D171,"-","_")</f>
        <v>hmc_diags.o</v>
      </c>
      <c r="F171">
        <f t="shared" ref="F171:F187" ca="1" si="143">IFERROR(VLOOKUP(D171,INDIRECT($F$1),2,FALSE),0)</f>
        <v>0</v>
      </c>
      <c r="H171">
        <f t="shared" ref="H171:H189" ca="1" si="144">H170+F170+G170+IF(MOD(F170+H170+G170,$G$167)=0,0,$G$167-MOD(F170+H170+G170,$G$167))</f>
        <v>300856</v>
      </c>
      <c r="I171" t="str">
        <f t="shared" ca="1" si="137"/>
        <v>0x00049738</v>
      </c>
      <c r="J171" s="4" t="str">
        <f t="shared" si="140"/>
        <v/>
      </c>
      <c r="K171" s="4" t="str">
        <f t="shared" si="141"/>
        <v xml:space="preserve">                                                             ro data section .rodata object hmc_diags.o,</v>
      </c>
    </row>
    <row r="172" spans="1:11" x14ac:dyDescent="0.25">
      <c r="A172" t="s">
        <v>535</v>
      </c>
      <c r="B172" t="str">
        <f t="shared" si="134"/>
        <v/>
      </c>
      <c r="C172">
        <f t="shared" ref="C172:C177" si="145">LEN(B172)</f>
        <v>0</v>
      </c>
      <c r="D172" t="s">
        <v>217</v>
      </c>
      <c r="E172" t="str">
        <f t="shared" si="142"/>
        <v>hmc_ds.o</v>
      </c>
      <c r="F172">
        <f t="shared" ca="1" si="143"/>
        <v>0</v>
      </c>
      <c r="H172">
        <f t="shared" ca="1" si="144"/>
        <v>300856</v>
      </c>
      <c r="I172" t="str">
        <f t="shared" ca="1" si="137"/>
        <v>0x00049738</v>
      </c>
      <c r="J172" s="4" t="str">
        <f t="shared" si="140"/>
        <v/>
      </c>
      <c r="K172" s="4" t="str">
        <f t="shared" si="141"/>
        <v xml:space="preserve">                                                             ro data section .rodata object hmc_ds.o,</v>
      </c>
    </row>
    <row r="173" spans="1:11" x14ac:dyDescent="0.25">
      <c r="A173" t="s">
        <v>535</v>
      </c>
      <c r="B173" t="str">
        <f t="shared" si="134"/>
        <v/>
      </c>
      <c r="C173">
        <f t="shared" si="145"/>
        <v>0</v>
      </c>
      <c r="D173" t="s">
        <v>219</v>
      </c>
      <c r="E173" t="str">
        <f t="shared" si="142"/>
        <v>hmc_eng.o</v>
      </c>
      <c r="F173">
        <f t="shared" ca="1" si="143"/>
        <v>0</v>
      </c>
      <c r="H173">
        <f t="shared" ca="1" si="144"/>
        <v>300856</v>
      </c>
      <c r="I173" t="str">
        <f t="shared" ca="1" si="137"/>
        <v>0x00049738</v>
      </c>
      <c r="J173" s="4" t="str">
        <f t="shared" si="140"/>
        <v/>
      </c>
      <c r="K173" s="4" t="str">
        <f t="shared" si="141"/>
        <v xml:space="preserve">                                                             ro data section .rodata object hmc_eng.o,</v>
      </c>
    </row>
    <row r="174" spans="1:11" x14ac:dyDescent="0.25">
      <c r="A174" t="s">
        <v>535</v>
      </c>
      <c r="B174" t="str">
        <f t="shared" si="134"/>
        <v/>
      </c>
      <c r="C174">
        <f t="shared" si="145"/>
        <v>0</v>
      </c>
      <c r="D174" t="s">
        <v>366</v>
      </c>
      <c r="E174" t="str">
        <f t="shared" si="142"/>
        <v>hmc_finish.o</v>
      </c>
      <c r="F174">
        <f t="shared" ca="1" si="143"/>
        <v>0</v>
      </c>
      <c r="H174">
        <f t="shared" ca="1" si="144"/>
        <v>300856</v>
      </c>
      <c r="I174" t="str">
        <f t="shared" ca="1" si="137"/>
        <v>0x00049738</v>
      </c>
      <c r="J174" s="4" t="str">
        <f t="shared" si="140"/>
        <v/>
      </c>
      <c r="K174" s="4" t="str">
        <f t="shared" si="141"/>
        <v xml:space="preserve">                                                             ro data section .rodata object hmc_finish.o,</v>
      </c>
    </row>
    <row r="175" spans="1:11" x14ac:dyDescent="0.25">
      <c r="A175" t="s">
        <v>535</v>
      </c>
      <c r="B175" t="str">
        <f t="shared" si="134"/>
        <v/>
      </c>
      <c r="C175">
        <f t="shared" si="145"/>
        <v>0</v>
      </c>
      <c r="D175" t="s">
        <v>390</v>
      </c>
      <c r="E175" t="str">
        <f t="shared" si="142"/>
        <v>hmc_msg.o</v>
      </c>
      <c r="F175">
        <f t="shared" ca="1" si="143"/>
        <v>0</v>
      </c>
      <c r="H175">
        <f t="shared" ca="1" si="144"/>
        <v>300856</v>
      </c>
      <c r="I175" t="str">
        <f t="shared" ca="1" si="137"/>
        <v>0x00049738</v>
      </c>
      <c r="J175" s="4" t="str">
        <f t="shared" si="140"/>
        <v/>
      </c>
      <c r="K175" s="4" t="str">
        <f t="shared" si="141"/>
        <v xml:space="preserve">                                                             ro data section .rodata object hmc_msg.o,</v>
      </c>
    </row>
    <row r="176" spans="1:11" x14ac:dyDescent="0.25">
      <c r="A176" t="s">
        <v>535</v>
      </c>
      <c r="B176" t="str">
        <f t="shared" si="134"/>
        <v/>
      </c>
      <c r="C176">
        <f t="shared" si="145"/>
        <v>0</v>
      </c>
      <c r="D176" t="s">
        <v>216</v>
      </c>
      <c r="E176" t="str">
        <f t="shared" si="142"/>
        <v>hmc_mtr_info.o</v>
      </c>
      <c r="F176">
        <f t="shared" ca="1" si="143"/>
        <v>0</v>
      </c>
      <c r="H176">
        <f t="shared" ca="1" si="144"/>
        <v>300856</v>
      </c>
      <c r="I176" t="str">
        <f t="shared" ca="1" si="137"/>
        <v>0x00049738</v>
      </c>
      <c r="J176" s="4" t="str">
        <f t="shared" si="140"/>
        <v/>
      </c>
      <c r="K176" s="4" t="str">
        <f t="shared" si="141"/>
        <v xml:space="preserve">                                                             ro data section .rodata object hmc_mtr_info.o,</v>
      </c>
    </row>
    <row r="177" spans="1:11" x14ac:dyDescent="0.25">
      <c r="A177" t="s">
        <v>535</v>
      </c>
      <c r="B177" t="str">
        <f t="shared" si="134"/>
        <v/>
      </c>
      <c r="C177">
        <f t="shared" si="145"/>
        <v>0</v>
      </c>
      <c r="D177" t="s">
        <v>574</v>
      </c>
      <c r="E177" t="str">
        <f t="shared" si="142"/>
        <v>hmc_mtr_lp.o</v>
      </c>
      <c r="F177">
        <f t="shared" ca="1" si="143"/>
        <v>0</v>
      </c>
      <c r="H177">
        <f t="shared" ca="1" si="144"/>
        <v>300856</v>
      </c>
      <c r="I177" t="str">
        <f t="shared" ca="1" si="137"/>
        <v>0x00049738</v>
      </c>
      <c r="J177" s="4" t="str">
        <f t="shared" si="140"/>
        <v/>
      </c>
      <c r="K177" s="4" t="str">
        <f t="shared" si="141"/>
        <v xml:space="preserve">                                                             ro data section .rodata object hmc_mtr_lp.o,</v>
      </c>
    </row>
    <row r="178" spans="1:11" x14ac:dyDescent="0.25">
      <c r="A178" t="s">
        <v>535</v>
      </c>
      <c r="B178" t="str">
        <f t="shared" si="134"/>
        <v/>
      </c>
      <c r="C178">
        <f t="shared" ref="C178:C184" si="146">LEN(B178)</f>
        <v>0</v>
      </c>
      <c r="D178" t="s">
        <v>378</v>
      </c>
      <c r="E178" t="str">
        <f t="shared" si="142"/>
        <v>hmc_prot.o</v>
      </c>
      <c r="F178">
        <f t="shared" ca="1" si="143"/>
        <v>0</v>
      </c>
      <c r="H178">
        <f t="shared" ca="1" si="144"/>
        <v>300856</v>
      </c>
      <c r="I178" t="str">
        <f t="shared" ca="1" si="137"/>
        <v>0x00049738</v>
      </c>
      <c r="J178" s="4" t="str">
        <f t="shared" si="140"/>
        <v/>
      </c>
      <c r="K178" s="4" t="str">
        <f t="shared" si="141"/>
        <v xml:space="preserve">                                                             ro data section .rodata object hmc_prot.o,</v>
      </c>
    </row>
    <row r="179" spans="1:11" x14ac:dyDescent="0.25">
      <c r="A179" t="s">
        <v>535</v>
      </c>
      <c r="B179" t="str">
        <f t="shared" si="134"/>
        <v/>
      </c>
      <c r="C179">
        <f t="shared" si="146"/>
        <v>0</v>
      </c>
      <c r="D179" t="s">
        <v>404</v>
      </c>
      <c r="E179" t="str">
        <f t="shared" si="142"/>
        <v>hmc_request.o</v>
      </c>
      <c r="F179">
        <f t="shared" ca="1" si="143"/>
        <v>0</v>
      </c>
      <c r="H179">
        <f t="shared" ca="1" si="144"/>
        <v>300856</v>
      </c>
      <c r="I179" t="str">
        <f t="shared" ca="1" si="137"/>
        <v>0x00049738</v>
      </c>
      <c r="J179" s="4" t="str">
        <f t="shared" si="140"/>
        <v/>
      </c>
      <c r="K179" s="4" t="str">
        <f t="shared" si="141"/>
        <v xml:space="preserve">                                                             ro data section .rodata object hmc_request.o,</v>
      </c>
    </row>
    <row r="180" spans="1:11" x14ac:dyDescent="0.25">
      <c r="A180" t="s">
        <v>535</v>
      </c>
      <c r="B180" t="str">
        <f t="shared" si="134"/>
        <v/>
      </c>
      <c r="C180">
        <f t="shared" si="146"/>
        <v>0</v>
      </c>
      <c r="D180" t="s">
        <v>575</v>
      </c>
      <c r="E180" t="str">
        <f t="shared" si="142"/>
        <v>hmc_seq_id.o</v>
      </c>
      <c r="F180">
        <f t="shared" ca="1" si="143"/>
        <v>0</v>
      </c>
      <c r="H180">
        <f t="shared" ca="1" si="144"/>
        <v>300856</v>
      </c>
      <c r="I180" t="str">
        <f t="shared" ca="1" si="137"/>
        <v>0x00049738</v>
      </c>
      <c r="J180" s="4" t="str">
        <f t="shared" si="140"/>
        <v/>
      </c>
      <c r="K180" s="4" t="str">
        <f t="shared" si="141"/>
        <v xml:space="preserve">                                                             ro data section .rodata object hmc_seq_id.o,</v>
      </c>
    </row>
    <row r="181" spans="1:11" x14ac:dyDescent="0.25">
      <c r="A181" t="s">
        <v>535</v>
      </c>
      <c r="B181" t="str">
        <f t="shared" si="134"/>
        <v/>
      </c>
      <c r="C181">
        <f t="shared" si="146"/>
        <v>0</v>
      </c>
      <c r="D181" t="s">
        <v>405</v>
      </c>
      <c r="E181" t="str">
        <f t="shared" si="142"/>
        <v>hmc_snapshot.o</v>
      </c>
      <c r="F181">
        <f t="shared" ca="1" si="143"/>
        <v>0</v>
      </c>
      <c r="H181">
        <f t="shared" ca="1" si="144"/>
        <v>300856</v>
      </c>
      <c r="I181" t="str">
        <f t="shared" ca="1" si="137"/>
        <v>0x00049738</v>
      </c>
      <c r="J181" s="4" t="str">
        <f t="shared" si="140"/>
        <v/>
      </c>
      <c r="K181" s="4" t="str">
        <f t="shared" si="141"/>
        <v xml:space="preserve">                                                             ro data section .rodata object hmc_snapshot.o,</v>
      </c>
    </row>
    <row r="182" spans="1:11" x14ac:dyDescent="0.25">
      <c r="A182" t="s">
        <v>535</v>
      </c>
      <c r="B182" t="str">
        <f t="shared" si="134"/>
        <v/>
      </c>
      <c r="C182">
        <f t="shared" si="146"/>
        <v>0</v>
      </c>
      <c r="D182" t="s">
        <v>311</v>
      </c>
      <c r="E182" t="str">
        <f t="shared" si="142"/>
        <v>hmc_start.o</v>
      </c>
      <c r="F182">
        <f t="shared" ca="1" si="143"/>
        <v>0</v>
      </c>
      <c r="H182">
        <f t="shared" ca="1" si="144"/>
        <v>300856</v>
      </c>
      <c r="I182" t="str">
        <f t="shared" ca="1" si="137"/>
        <v>0x00049738</v>
      </c>
      <c r="J182" s="4" t="str">
        <f t="shared" si="140"/>
        <v/>
      </c>
      <c r="K182" s="4" t="str">
        <f t="shared" si="141"/>
        <v xml:space="preserve">                                                             ro data section .rodata object hmc_start.o,</v>
      </c>
    </row>
    <row r="183" spans="1:11" x14ac:dyDescent="0.25">
      <c r="A183" t="s">
        <v>535</v>
      </c>
      <c r="B183" t="str">
        <f t="shared" si="134"/>
        <v/>
      </c>
      <c r="C183">
        <f t="shared" si="146"/>
        <v>0</v>
      </c>
      <c r="D183" t="s">
        <v>576</v>
      </c>
      <c r="E183" t="str">
        <f t="shared" si="142"/>
        <v>hmc_sync.o</v>
      </c>
      <c r="F183">
        <f t="shared" ca="1" si="143"/>
        <v>0</v>
      </c>
      <c r="H183">
        <f t="shared" ca="1" si="144"/>
        <v>300856</v>
      </c>
      <c r="I183" t="str">
        <f t="shared" ca="1" si="137"/>
        <v>0x00049738</v>
      </c>
      <c r="J183" s="4" t="str">
        <f t="shared" si="140"/>
        <v/>
      </c>
      <c r="K183" s="4" t="str">
        <f t="shared" si="141"/>
        <v xml:space="preserve">                                                             ro data section .rodata object hmc_sync.o,</v>
      </c>
    </row>
    <row r="184" spans="1:11" x14ac:dyDescent="0.25">
      <c r="A184" t="s">
        <v>535</v>
      </c>
      <c r="B184" t="str">
        <f t="shared" si="134"/>
        <v/>
      </c>
      <c r="C184">
        <f t="shared" si="146"/>
        <v>0</v>
      </c>
      <c r="D184" t="s">
        <v>577</v>
      </c>
      <c r="E184" t="str">
        <f t="shared" si="142"/>
        <v>hmc_time.o</v>
      </c>
      <c r="F184">
        <f t="shared" ca="1" si="143"/>
        <v>0</v>
      </c>
      <c r="H184">
        <f t="shared" ca="1" si="144"/>
        <v>300856</v>
      </c>
      <c r="I184" t="str">
        <f t="shared" ca="1" si="137"/>
        <v>0x00049738</v>
      </c>
      <c r="J184" s="4" t="str">
        <f t="shared" si="140"/>
        <v/>
      </c>
      <c r="K184" s="4" t="str">
        <f t="shared" si="141"/>
        <v xml:space="preserve">                                                             ro data section .rodata object hmc_time.o,</v>
      </c>
    </row>
    <row r="185" spans="1:11" x14ac:dyDescent="0.25">
      <c r="A185" t="s">
        <v>535</v>
      </c>
      <c r="B185" t="str">
        <f t="shared" si="134"/>
        <v/>
      </c>
      <c r="C185">
        <f t="shared" ref="C185:C225" si="147">LEN(B185)</f>
        <v>0</v>
      </c>
      <c r="D185" t="s">
        <v>438</v>
      </c>
      <c r="E185" t="str">
        <f t="shared" si="142"/>
        <v>hmc_tsk_lst.o</v>
      </c>
      <c r="F185">
        <f t="shared" ca="1" si="143"/>
        <v>0</v>
      </c>
      <c r="H185">
        <f t="shared" ca="1" si="144"/>
        <v>300856</v>
      </c>
      <c r="I185" t="str">
        <f t="shared" ca="1" si="137"/>
        <v>0x00049738</v>
      </c>
      <c r="J185" s="4" t="str">
        <f t="shared" si="140"/>
        <v/>
      </c>
      <c r="K185" s="4" t="str">
        <f t="shared" si="141"/>
        <v xml:space="preserve">                                                             ro data section .rodata object hmc_tsk_lst.o,</v>
      </c>
    </row>
    <row r="186" spans="1:11" x14ac:dyDescent="0.25">
      <c r="A186" t="s">
        <v>535</v>
      </c>
      <c r="B186" t="str">
        <f t="shared" si="134"/>
        <v/>
      </c>
      <c r="C186">
        <f t="shared" si="147"/>
        <v>0</v>
      </c>
      <c r="D186" t="s">
        <v>214</v>
      </c>
      <c r="E186" t="str">
        <f t="shared" si="142"/>
        <v>intf_cim_cmd.o</v>
      </c>
      <c r="F186">
        <f t="shared" ca="1" si="143"/>
        <v>0</v>
      </c>
      <c r="H186">
        <f t="shared" ca="1" si="144"/>
        <v>300856</v>
      </c>
      <c r="I186" t="str">
        <f t="shared" ca="1" si="137"/>
        <v>0x00049738</v>
      </c>
      <c r="J186" s="4" t="str">
        <f t="shared" si="140"/>
        <v/>
      </c>
      <c r="K186" s="4" t="str">
        <f t="shared" si="141"/>
        <v xml:space="preserve">                                                             ro data section .rodata object intf_cim_cmd.o,</v>
      </c>
    </row>
    <row r="187" spans="1:11" x14ac:dyDescent="0.25">
      <c r="A187" t="s">
        <v>535</v>
      </c>
      <c r="B187" t="str">
        <f t="shared" ref="B187" si="148">IF(A187&lt;&gt;A186,A187&amp;$B$1,"")</f>
        <v/>
      </c>
      <c r="C187">
        <f t="shared" ref="C187" si="149">LEN(B187)</f>
        <v>0</v>
      </c>
      <c r="D187" t="s">
        <v>1085</v>
      </c>
      <c r="E187" t="str">
        <f t="shared" si="142"/>
        <v>hmc_prg_mtr.o</v>
      </c>
      <c r="F187">
        <f t="shared" ca="1" si="143"/>
        <v>0</v>
      </c>
      <c r="H187">
        <f t="shared" ca="1" si="144"/>
        <v>300856</v>
      </c>
      <c r="I187" t="str">
        <f t="shared" ca="1" si="137"/>
        <v>0x00049738</v>
      </c>
      <c r="J187" s="4" t="str">
        <f t="shared" si="140"/>
        <v/>
      </c>
      <c r="K187" s="4" t="str">
        <f t="shared" si="141"/>
        <v xml:space="preserve">                                                             ro data section .rodata object hmc_prg_mtr.o,</v>
      </c>
    </row>
    <row r="188" spans="1:11" x14ac:dyDescent="0.25">
      <c r="A188" t="s">
        <v>535</v>
      </c>
      <c r="B188" t="str">
        <f t="shared" ref="B188" si="150">IF(A188&lt;&gt;A187,A188&amp;$B$1,"")</f>
        <v/>
      </c>
      <c r="C188">
        <f t="shared" ref="C188" si="151">LEN(B188)</f>
        <v>0</v>
      </c>
      <c r="D188" t="s">
        <v>1727</v>
      </c>
      <c r="E188" t="str">
        <f t="shared" ref="E188" si="152">SUBSTITUTE(D188,"-","_")</f>
        <v>hmc_display.o</v>
      </c>
      <c r="F188">
        <f t="shared" ref="F188" ca="1" si="153">IFERROR(VLOOKUP(D188,INDIRECT($F$1),2,FALSE),0)</f>
        <v>0</v>
      </c>
      <c r="H188">
        <f t="shared" ca="1" si="144"/>
        <v>300856</v>
      </c>
      <c r="I188" t="str">
        <f t="shared" ref="I188" ca="1" si="154">"0x"&amp;DEC2HEX(H188,8)</f>
        <v>0x00049738</v>
      </c>
      <c r="J188" s="4" t="str">
        <f t="shared" ref="J188" si="155">IF(B188="","","define symbol "&amp;B188&amp;REPT(" ",$C$4-C188)&amp;"= "&amp;I188&amp;";")</f>
        <v/>
      </c>
      <c r="K188" s="4" t="str">
        <f t="shared" si="141"/>
        <v xml:space="preserve">                                                             ro data section .rodata object hmc_display.o };</v>
      </c>
    </row>
    <row r="189" spans="1:11" x14ac:dyDescent="0.25">
      <c r="B189" t="str">
        <f>B169&amp;"_end"</f>
        <v>HMC_CONST_end</v>
      </c>
      <c r="F189">
        <f ca="1">SUM(F169:F188)</f>
        <v>0</v>
      </c>
      <c r="G189">
        <f ca="1">INT(($G$166/100)*F189)</f>
        <v>0</v>
      </c>
      <c r="H189">
        <f t="shared" ca="1" si="144"/>
        <v>300856</v>
      </c>
      <c r="I189" t="str">
        <f t="shared" ca="1" si="137"/>
        <v>0x00049738</v>
      </c>
      <c r="J189" s="4"/>
      <c r="K189" s="4"/>
    </row>
    <row r="190" spans="1:11" x14ac:dyDescent="0.25">
      <c r="J190" s="4"/>
      <c r="K190" s="4"/>
    </row>
    <row r="191" spans="1:11" x14ac:dyDescent="0.25">
      <c r="F191" t="s">
        <v>526</v>
      </c>
      <c r="G191">
        <f ca="1">VLOOKUP(B194,INDIRECT(GlobalPlcmnt!$B$133),GlobalPlcmnt!$B$138,FALSE)</f>
        <v>1</v>
      </c>
      <c r="J191" s="4"/>
      <c r="K191" s="4"/>
    </row>
    <row r="192" spans="1:11" x14ac:dyDescent="0.25">
      <c r="F192" t="s">
        <v>608</v>
      </c>
      <c r="G192">
        <f ca="1">VLOOKUP(B194,INDIRECT(GlobalPlcmnt!$B$133),GlobalPlcmnt!$C$138,FALSE)</f>
        <v>4</v>
      </c>
      <c r="J192" s="4"/>
      <c r="K192" s="4"/>
    </row>
    <row r="193" spans="1:11" x14ac:dyDescent="0.25">
      <c r="F193" t="s">
        <v>542</v>
      </c>
      <c r="J193" s="4"/>
      <c r="K193" s="4"/>
    </row>
    <row r="194" spans="1:11" x14ac:dyDescent="0.25">
      <c r="A194" t="s">
        <v>1129</v>
      </c>
      <c r="B194" t="str">
        <f t="shared" ref="B194:B195" si="156">IF(A194&lt;&gt;A193,A194&amp;$B$1,"")</f>
        <v>AclaraDA_CONST</v>
      </c>
      <c r="C194">
        <f t="shared" ref="C194:C202" si="157">LEN(B194)</f>
        <v>14</v>
      </c>
      <c r="D194" t="s">
        <v>1130</v>
      </c>
      <c r="E194" t="str">
        <f t="shared" ref="E194:E202" si="158">SUBSTITUTE(D194,"-","_")</f>
        <v>b2b.o</v>
      </c>
      <c r="F194">
        <f t="shared" ref="F194:F202" ca="1" si="159">IFERROR(VLOOKUP(D194,INDIRECT($F$1),2,FALSE),0)</f>
        <v>404</v>
      </c>
      <c r="H194">
        <f ca="1">VLOOKUP(B194,INDIRECT(GlobalPlcmnt!$B$133),GlobalPlcmnt!$A$138,FALSE)</f>
        <v>300856</v>
      </c>
      <c r="I194" t="str">
        <f t="shared" ref="I194:I203" ca="1" si="160">"0x"&amp;DEC2HEX(H194,8)</f>
        <v>0x00049738</v>
      </c>
      <c r="J194" s="4" t="str">
        <f ca="1">IF(B194="","","define symbol "&amp;B194&amp;REPT(" ",$C$4-C194)&amp;" = "&amp;I194&amp;";")</f>
        <v>define symbol AclaraDA_CONST    = 0x00049738;</v>
      </c>
      <c r="K194" s="4" t="str">
        <f>IF(B194="",REPT(" ",$C$4+$K$4)&amp;$K$2&amp;D194&amp;IF(B195="",","," };"),""""&amp;B194&amp;""":"&amp;REPT(" ",$C$4-C194)&amp;"place at address mem: "&amp;B194&amp;REPT(" ",$C$4-C194)&amp;"{ "&amp;$K$2&amp;D194&amp;IF(B195="",","," };"))</f>
        <v>"AclaraDA_CONST":   place at address mem: AclaraDA_CONST   { ro data section .rodata object b2b.o,</v>
      </c>
    </row>
    <row r="195" spans="1:11" x14ac:dyDescent="0.25">
      <c r="A195" t="s">
        <v>1129</v>
      </c>
      <c r="B195" t="str">
        <f t="shared" si="156"/>
        <v/>
      </c>
      <c r="C195">
        <f t="shared" si="157"/>
        <v>0</v>
      </c>
      <c r="D195" t="s">
        <v>1131</v>
      </c>
      <c r="E195" t="str">
        <f t="shared" si="158"/>
        <v>b2b_req_handler.o</v>
      </c>
      <c r="F195">
        <f t="shared" ca="1" si="159"/>
        <v>380</v>
      </c>
      <c r="H195">
        <f ca="1">H194+F194+G194+IF(MOD(F194+H194+G194,$G$192)=0,0,$G$192-MOD(F194+H194+G194,$G$192))</f>
        <v>301260</v>
      </c>
      <c r="I195" t="str">
        <f t="shared" ca="1" si="160"/>
        <v>0x000498CC</v>
      </c>
      <c r="J195" s="4" t="str">
        <f t="shared" ref="J195:J197" si="161">IF(B195="","","define symbol "&amp;B195&amp;REPT(" ",$C$3-C195)&amp;" = "&amp;I195&amp;";")</f>
        <v/>
      </c>
      <c r="K195" s="4" t="str">
        <f t="shared" ref="K195:K202" si="162">IF(B195="",REPT(" ",$C$4+$K$4)&amp;$K$2&amp;D195&amp;IF(B196="",","," };"),""""&amp;B195&amp;""":"&amp;REPT(" ",$C$4-C195)&amp;"place at address mem: "&amp;B195&amp;REPT(" ",$C$4-C195)&amp;"{ "&amp;$K$2&amp;D195&amp;IF(B196="",","," };"))</f>
        <v xml:space="preserve">                                                             ro data section .rodata object b2b_req_handler.o,</v>
      </c>
    </row>
    <row r="196" spans="1:11" x14ac:dyDescent="0.25">
      <c r="A196" t="s">
        <v>1129</v>
      </c>
      <c r="C196">
        <f t="shared" si="157"/>
        <v>0</v>
      </c>
      <c r="D196" t="s">
        <v>1132</v>
      </c>
      <c r="E196" t="str">
        <f t="shared" si="158"/>
        <v>b2bMessage.o</v>
      </c>
      <c r="F196">
        <f t="shared" ca="1" si="159"/>
        <v>284</v>
      </c>
      <c r="H196">
        <f t="shared" ref="H196:H202" ca="1" si="163">H195+F195+G195+IF(MOD(F195+H195+G195,$G$192)=0,0,$G$192-MOD(F195+H195+G195,$G$192))</f>
        <v>301640</v>
      </c>
      <c r="I196" t="str">
        <f t="shared" ca="1" si="160"/>
        <v>0x00049A48</v>
      </c>
      <c r="J196" s="4" t="str">
        <f t="shared" si="161"/>
        <v/>
      </c>
      <c r="K196" s="4" t="str">
        <f t="shared" si="162"/>
        <v xml:space="preserve">                                                             ro data section .rodata object b2bMessage.o,</v>
      </c>
    </row>
    <row r="197" spans="1:11" x14ac:dyDescent="0.25">
      <c r="A197" t="s">
        <v>1129</v>
      </c>
      <c r="C197">
        <f t="shared" si="157"/>
        <v>0</v>
      </c>
      <c r="D197" t="s">
        <v>1133</v>
      </c>
      <c r="E197" t="str">
        <f t="shared" si="158"/>
        <v>da_srfn_reg.o</v>
      </c>
      <c r="F197">
        <f t="shared" ca="1" si="159"/>
        <v>52</v>
      </c>
      <c r="H197">
        <f t="shared" ca="1" si="163"/>
        <v>301924</v>
      </c>
      <c r="I197" t="str">
        <f t="shared" ca="1" si="160"/>
        <v>0x00049B64</v>
      </c>
      <c r="J197" s="4" t="str">
        <f t="shared" si="161"/>
        <v/>
      </c>
      <c r="K197" s="4" t="str">
        <f>IF(B197="",REPT(" ",$C$4+$K$4)&amp;$K$2&amp;D197&amp;IF(B199="",","," };"),""""&amp;B197&amp;""":"&amp;REPT(" ",$C$4-C197)&amp;"place at address mem: "&amp;B197&amp;REPT(" ",$C$4-C197)&amp;"{ "&amp;$K$2&amp;D197&amp;IF(B199="",","," };"))</f>
        <v xml:space="preserve">                                                             ro data section .rodata object da_srfn_reg.o,</v>
      </c>
    </row>
    <row r="198" spans="1:11" x14ac:dyDescent="0.25">
      <c r="A198" t="s">
        <v>1129</v>
      </c>
      <c r="C198">
        <f t="shared" si="157"/>
        <v>0</v>
      </c>
      <c r="D198" t="s">
        <v>1134</v>
      </c>
      <c r="E198" t="str">
        <f t="shared" si="158"/>
        <v>hdlc_frame.o</v>
      </c>
      <c r="F198">
        <f t="shared" ca="1" si="159"/>
        <v>168</v>
      </c>
      <c r="H198">
        <f t="shared" ca="1" si="163"/>
        <v>301976</v>
      </c>
      <c r="I198" t="str">
        <f t="shared" ca="1" si="160"/>
        <v>0x00049B98</v>
      </c>
      <c r="J198" s="4"/>
      <c r="K198" s="4" t="str">
        <f>IF(B198="",REPT(" ",$C$4+$K$4)&amp;$K$2&amp;D198&amp;IF(B200="",","," };"),""""&amp;B198&amp;""":"&amp;REPT(" ",$C$4-C198)&amp;"place at address mem: "&amp;B198&amp;REPT(" ",$C$4-C198)&amp;"{ "&amp;$K$2&amp;D198&amp;IF(B200="",","," };"))</f>
        <v xml:space="preserve">                                                             ro data section .rodata object hdlc_frame.o,</v>
      </c>
    </row>
    <row r="199" spans="1:11" x14ac:dyDescent="0.25">
      <c r="A199" t="s">
        <v>1129</v>
      </c>
      <c r="C199">
        <f t="shared" si="157"/>
        <v>0</v>
      </c>
      <c r="D199" t="s">
        <v>1135</v>
      </c>
      <c r="E199" t="str">
        <f t="shared" si="158"/>
        <v>host_reset.o</v>
      </c>
      <c r="F199">
        <f t="shared" ca="1" si="159"/>
        <v>96</v>
      </c>
      <c r="H199">
        <f t="shared" ca="1" si="163"/>
        <v>302144</v>
      </c>
      <c r="I199" t="str">
        <f t="shared" ca="1" si="160"/>
        <v>0x00049C40</v>
      </c>
      <c r="J199" s="4" t="str">
        <f t="shared" ref="J199:J202" si="164">IF(B199="","","define symbol "&amp;B199&amp;REPT(" ",$C$3-C199)&amp;" = "&amp;I199&amp;";")</f>
        <v/>
      </c>
      <c r="K199" s="4" t="str">
        <f t="shared" si="162"/>
        <v xml:space="preserve">                                                             ro data section .rodata object host_reset.o,</v>
      </c>
    </row>
    <row r="200" spans="1:11" x14ac:dyDescent="0.25">
      <c r="A200" t="s">
        <v>1129</v>
      </c>
      <c r="C200">
        <f t="shared" si="157"/>
        <v>0</v>
      </c>
      <c r="D200" t="s">
        <v>1136</v>
      </c>
      <c r="E200" t="str">
        <f t="shared" si="158"/>
        <v>nw_connected.o</v>
      </c>
      <c r="F200">
        <f t="shared" ca="1" si="159"/>
        <v>16</v>
      </c>
      <c r="H200">
        <f t="shared" ca="1" si="163"/>
        <v>302240</v>
      </c>
      <c r="I200" t="str">
        <f t="shared" ca="1" si="160"/>
        <v>0x00049CA0</v>
      </c>
      <c r="J200" s="4" t="str">
        <f t="shared" si="164"/>
        <v/>
      </c>
      <c r="K200" s="4" t="str">
        <f t="shared" si="162"/>
        <v xml:space="preserve">                                                             ro data section .rodata object nw_connected.o,</v>
      </c>
    </row>
    <row r="201" spans="1:11" x14ac:dyDescent="0.25">
      <c r="A201" t="s">
        <v>1129</v>
      </c>
      <c r="C201">
        <f t="shared" si="157"/>
        <v>0</v>
      </c>
      <c r="D201" t="s">
        <v>1137</v>
      </c>
      <c r="E201" t="str">
        <f t="shared" si="158"/>
        <v>TUNNEL_MSG_Handler.o</v>
      </c>
      <c r="F201">
        <f t="shared" ca="1" si="159"/>
        <v>36</v>
      </c>
      <c r="H201">
        <f t="shared" ca="1" si="163"/>
        <v>302256</v>
      </c>
      <c r="I201" t="str">
        <f t="shared" ca="1" si="160"/>
        <v>0x00049CB0</v>
      </c>
      <c r="J201" s="4" t="str">
        <f t="shared" si="164"/>
        <v/>
      </c>
      <c r="K201" s="4" t="str">
        <f t="shared" si="162"/>
        <v xml:space="preserve">                                                             ro data section .rodata object TUNNEL_MSG_Handler.o,</v>
      </c>
    </row>
    <row r="202" spans="1:11" x14ac:dyDescent="0.25">
      <c r="A202" t="s">
        <v>1129</v>
      </c>
      <c r="C202">
        <f t="shared" si="157"/>
        <v>0</v>
      </c>
      <c r="D202" t="s">
        <v>1138</v>
      </c>
      <c r="E202" t="str">
        <f t="shared" si="158"/>
        <v>tunnel_Util.o</v>
      </c>
      <c r="F202">
        <f t="shared" ca="1" si="159"/>
        <v>4</v>
      </c>
      <c r="H202">
        <f t="shared" ca="1" si="163"/>
        <v>302292</v>
      </c>
      <c r="I202" t="str">
        <f t="shared" ca="1" si="160"/>
        <v>0x00049CD4</v>
      </c>
      <c r="J202" s="4" t="str">
        <f t="shared" si="164"/>
        <v/>
      </c>
      <c r="K202" s="4" t="str">
        <f t="shared" si="162"/>
        <v xml:space="preserve">                                                             ro data section .rodata object tunnel_Util.o };</v>
      </c>
    </row>
    <row r="203" spans="1:11" x14ac:dyDescent="0.25">
      <c r="B203" t="str">
        <f>B194&amp;"_end"</f>
        <v>AclaraDA_CONST_end</v>
      </c>
      <c r="F203">
        <f ca="1">SUM(F194:F202)</f>
        <v>1440</v>
      </c>
      <c r="G203">
        <f ca="1">INT(($G$191/100)*F203)</f>
        <v>14</v>
      </c>
      <c r="H203">
        <f ca="1">H202+F202+G203+IF(MOD(F202+H202+G203,$G$192)=0,0,$G$192-MOD(F202+H202+G203,$G$192))</f>
        <v>302312</v>
      </c>
      <c r="I203" t="str">
        <f t="shared" ca="1" si="160"/>
        <v>0x00049CE8</v>
      </c>
      <c r="J203" s="4"/>
      <c r="K203" s="4"/>
    </row>
    <row r="204" spans="1:11" x14ac:dyDescent="0.25">
      <c r="J204" s="4"/>
      <c r="K204" s="4"/>
    </row>
    <row r="205" spans="1:11" x14ac:dyDescent="0.25">
      <c r="F205" t="s">
        <v>526</v>
      </c>
      <c r="G205">
        <f ca="1">VLOOKUP(B208,INDIRECT(GlobalPlcmnt!$B$133),GlobalPlcmnt!$B$138,FALSE)</f>
        <v>1</v>
      </c>
      <c r="J205" s="4"/>
      <c r="K205" s="4"/>
    </row>
    <row r="206" spans="1:11" x14ac:dyDescent="0.25">
      <c r="F206" t="s">
        <v>608</v>
      </c>
      <c r="G206">
        <f ca="1">VLOOKUP(B208,INDIRECT(GlobalPlcmnt!$B$133),GlobalPlcmnt!$C$138,FALSE)</f>
        <v>4</v>
      </c>
      <c r="J206" s="4"/>
      <c r="K206" s="4"/>
    </row>
    <row r="207" spans="1:11" x14ac:dyDescent="0.25">
      <c r="F207" t="s">
        <v>542</v>
      </c>
      <c r="J207" s="4"/>
      <c r="K207" s="4"/>
    </row>
    <row r="208" spans="1:11" x14ac:dyDescent="0.25">
      <c r="A208" t="s">
        <v>537</v>
      </c>
      <c r="B208" t="str">
        <f t="shared" ref="B208:B225" si="165">IF(A208&lt;&gt;A207,A208&amp;$B$1,"")</f>
        <v>MTU_Common_CONST</v>
      </c>
      <c r="C208">
        <f t="shared" si="147"/>
        <v>16</v>
      </c>
      <c r="D208" t="s">
        <v>221</v>
      </c>
      <c r="E208" t="str">
        <f t="shared" si="135"/>
        <v>APP_MSG_Handler.o</v>
      </c>
      <c r="F208">
        <f t="shared" ref="F208:F209" ca="1" si="166">IFERROR(VLOOKUP(D208,INDIRECT($F$1),2,FALSE),0)</f>
        <v>476</v>
      </c>
      <c r="H208">
        <f ca="1">VLOOKUP(B208,INDIRECT(GlobalPlcmnt!$B$133),GlobalPlcmnt!$A$138,FALSE)</f>
        <v>302312</v>
      </c>
      <c r="I208" t="str">
        <f t="shared" ca="1" si="137"/>
        <v>0x00049CE8</v>
      </c>
      <c r="J208" s="4" t="str">
        <f t="shared" ref="J208" ca="1" si="167">IF(B208="","","define symbol "&amp;B208&amp;REPT(" ",$C$4-C208)&amp;"= "&amp;I208&amp;";")</f>
        <v>define symbol MTU_Common_CONST = 0x00049CE8;</v>
      </c>
      <c r="K208" s="4" t="str">
        <f t="shared" ref="K208" si="168">IF(B208="",REPT(" ",$C$4+$K$4)&amp;$K$2&amp;D208&amp;IF(B209="",","," };"),""""&amp;B208&amp;""":"&amp;REPT(" ",$C$4-C208)&amp;"place at address mem: "&amp;B208&amp;REPT(" ",$C$4-C208)&amp;"{ "&amp;K$2&amp;D208&amp;IF(B209="",","," };"))</f>
        <v>"MTU_Common_CONST": place at address mem: MTU_Common_CONST { ro data section .rodata object APP_MSG_Handler.o,</v>
      </c>
    </row>
    <row r="209" spans="1:11" x14ac:dyDescent="0.25">
      <c r="A209" t="s">
        <v>537</v>
      </c>
      <c r="B209" t="str">
        <f t="shared" si="165"/>
        <v/>
      </c>
      <c r="C209">
        <f t="shared" si="147"/>
        <v>0</v>
      </c>
      <c r="D209" t="s">
        <v>222</v>
      </c>
      <c r="E209" t="str">
        <f t="shared" si="135"/>
        <v>demand.o</v>
      </c>
      <c r="F209">
        <f t="shared" ca="1" si="166"/>
        <v>0</v>
      </c>
      <c r="H209">
        <f ca="1">H208+F208+G208+IF(MOD(F208+H208+G208,$G$206)=0,0,$G$206-MOD(F208+H208+G208,$G$206))</f>
        <v>302788</v>
      </c>
      <c r="I209" t="str">
        <f t="shared" ca="1" si="137"/>
        <v>0x00049EC4</v>
      </c>
      <c r="J209" s="4" t="str">
        <f t="shared" ref="J209:J225" si="169">IF(B209="","","define symbol "&amp;B209&amp;REPT(" ",$C$4-C209)&amp;"= "&amp;I209&amp;";")</f>
        <v/>
      </c>
      <c r="K209" s="4" t="str">
        <f t="shared" ref="K209:K225" si="170">IF(B209="",REPT(" ",$C$4+$K$4)&amp;$K$2&amp;D209&amp;IF(B210="",","," };"),""""&amp;B209&amp;""":"&amp;REPT(" ",$C$4-C209)&amp;"place at address mem: "&amp;B209&amp;REPT(" ",$C$4-C209)&amp;"{ "&amp;K$2&amp;D209&amp;IF(B210="",","," };"))</f>
        <v xml:space="preserve">                                                             ro data section .rodata object demand.o,</v>
      </c>
    </row>
    <row r="210" spans="1:11" x14ac:dyDescent="0.25">
      <c r="A210" t="s">
        <v>537</v>
      </c>
      <c r="B210" t="str">
        <f t="shared" si="165"/>
        <v/>
      </c>
      <c r="C210">
        <f t="shared" si="147"/>
        <v>0</v>
      </c>
      <c r="D210" t="s">
        <v>227</v>
      </c>
      <c r="E210" t="str">
        <f t="shared" ref="E210:E225" si="171">SUBSTITUTE(D210,"-","_")</f>
        <v>ed_config.o</v>
      </c>
      <c r="F210">
        <f t="shared" ref="F210:F225" ca="1" si="172">IFERROR(VLOOKUP(D210,INDIRECT($F$1),2,FALSE),0)</f>
        <v>64</v>
      </c>
      <c r="H210">
        <f t="shared" ref="H210:H225" ca="1" si="173">H209+F209+G209+IF(MOD(F209+H209+G209,$G$206)=0,0,$G$206-MOD(F209+H209+G209,$G$206))</f>
        <v>302788</v>
      </c>
      <c r="I210" t="str">
        <f t="shared" ca="1" si="137"/>
        <v>0x00049EC4</v>
      </c>
      <c r="J210" s="4" t="str">
        <f t="shared" si="169"/>
        <v/>
      </c>
      <c r="K210" s="4" t="str">
        <f t="shared" si="170"/>
        <v xml:space="preserve">                                                             ro data section .rodata object ed_config.o,</v>
      </c>
    </row>
    <row r="211" spans="1:11" x14ac:dyDescent="0.25">
      <c r="A211" t="s">
        <v>537</v>
      </c>
      <c r="B211" t="str">
        <f t="shared" si="165"/>
        <v/>
      </c>
      <c r="C211">
        <f t="shared" si="147"/>
        <v>0</v>
      </c>
      <c r="D211" t="s">
        <v>367</v>
      </c>
      <c r="E211" t="str">
        <f t="shared" si="171"/>
        <v>endpt_cim_cmd.o</v>
      </c>
      <c r="F211">
        <f t="shared" ca="1" si="172"/>
        <v>12</v>
      </c>
      <c r="H211">
        <f t="shared" ca="1" si="173"/>
        <v>302852</v>
      </c>
      <c r="I211" t="str">
        <f t="shared" ca="1" si="137"/>
        <v>0x00049F04</v>
      </c>
      <c r="J211" s="4" t="str">
        <f t="shared" si="169"/>
        <v/>
      </c>
      <c r="K211" s="4" t="str">
        <f t="shared" si="170"/>
        <v xml:space="preserve">                                                             ro data section .rodata object endpt_cim_cmd.o,</v>
      </c>
    </row>
    <row r="212" spans="1:11" x14ac:dyDescent="0.25">
      <c r="A212" t="s">
        <v>537</v>
      </c>
      <c r="B212" t="str">
        <f t="shared" si="165"/>
        <v/>
      </c>
      <c r="C212">
        <f t="shared" si="147"/>
        <v>0</v>
      </c>
      <c r="D212" t="s">
        <v>218</v>
      </c>
      <c r="E212" t="str">
        <f t="shared" si="171"/>
        <v>historyd.o</v>
      </c>
      <c r="F212">
        <f t="shared" ca="1" si="172"/>
        <v>0</v>
      </c>
      <c r="H212">
        <f t="shared" ca="1" si="173"/>
        <v>302864</v>
      </c>
      <c r="I212" t="str">
        <f t="shared" ca="1" si="137"/>
        <v>0x00049F10</v>
      </c>
      <c r="J212" s="4" t="str">
        <f t="shared" si="169"/>
        <v/>
      </c>
      <c r="K212" s="4" t="str">
        <f t="shared" si="170"/>
        <v xml:space="preserve">                                                             ro data section .rodata object historyd.o,</v>
      </c>
    </row>
    <row r="213" spans="1:11" x14ac:dyDescent="0.25">
      <c r="A213" t="s">
        <v>537</v>
      </c>
      <c r="B213" t="str">
        <f t="shared" si="165"/>
        <v/>
      </c>
      <c r="C213">
        <f t="shared" si="147"/>
        <v>0</v>
      </c>
      <c r="D213" t="s">
        <v>215</v>
      </c>
      <c r="E213" t="str">
        <f t="shared" si="171"/>
        <v>ID_intervalTask.o</v>
      </c>
      <c r="F213">
        <f t="shared" ca="1" si="172"/>
        <v>0</v>
      </c>
      <c r="H213">
        <f t="shared" ca="1" si="173"/>
        <v>302864</v>
      </c>
      <c r="I213" t="str">
        <f t="shared" ca="1" si="137"/>
        <v>0x00049F10</v>
      </c>
      <c r="J213" s="4" t="str">
        <f t="shared" si="169"/>
        <v/>
      </c>
      <c r="K213" s="4" t="str">
        <f t="shared" si="170"/>
        <v xml:space="preserve">                                                             ro data section .rodata object ID_intervalTask.o,</v>
      </c>
    </row>
    <row r="214" spans="1:11" x14ac:dyDescent="0.25">
      <c r="A214" t="s">
        <v>537</v>
      </c>
      <c r="B214" t="str">
        <f t="shared" si="165"/>
        <v/>
      </c>
      <c r="C214">
        <f t="shared" si="147"/>
        <v>0</v>
      </c>
      <c r="D214" t="s">
        <v>292</v>
      </c>
      <c r="E214" t="str">
        <f t="shared" si="171"/>
        <v>IDL_IdleProcess.o</v>
      </c>
      <c r="F214">
        <f t="shared" ca="1" si="172"/>
        <v>0</v>
      </c>
      <c r="H214">
        <f t="shared" ca="1" si="173"/>
        <v>302864</v>
      </c>
      <c r="I214" t="str">
        <f t="shared" ca="1" si="137"/>
        <v>0x00049F10</v>
      </c>
      <c r="J214" s="4" t="str">
        <f t="shared" si="169"/>
        <v/>
      </c>
      <c r="K214" s="4" t="str">
        <f t="shared" si="170"/>
        <v xml:space="preserve">                                                             ro data section .rodata object IDL_IdleProcess.o,</v>
      </c>
    </row>
    <row r="215" spans="1:11" x14ac:dyDescent="0.25">
      <c r="A215" t="s">
        <v>537</v>
      </c>
      <c r="B215" t="str">
        <f t="shared" si="165"/>
        <v/>
      </c>
      <c r="C215">
        <f t="shared" si="147"/>
        <v>0</v>
      </c>
      <c r="D215" t="s">
        <v>210</v>
      </c>
      <c r="E215" t="str">
        <f t="shared" si="171"/>
        <v>OR_MR_Handler.o</v>
      </c>
      <c r="F215">
        <f t="shared" ca="1" si="172"/>
        <v>0</v>
      </c>
      <c r="H215">
        <f t="shared" ca="1" si="173"/>
        <v>302864</v>
      </c>
      <c r="I215" t="str">
        <f t="shared" ca="1" si="137"/>
        <v>0x00049F10</v>
      </c>
      <c r="J215" s="4" t="str">
        <f t="shared" si="169"/>
        <v/>
      </c>
      <c r="K215" s="4" t="str">
        <f t="shared" si="170"/>
        <v xml:space="preserve">                                                             ro data section .rodata object OR_MR_Handler.o,</v>
      </c>
    </row>
    <row r="216" spans="1:11" x14ac:dyDescent="0.25">
      <c r="A216" t="s">
        <v>537</v>
      </c>
      <c r="B216" t="str">
        <f t="shared" si="165"/>
        <v/>
      </c>
      <c r="C216">
        <f t="shared" si="147"/>
        <v>0</v>
      </c>
      <c r="D216" t="s">
        <v>98</v>
      </c>
      <c r="E216" t="str">
        <f t="shared" si="171"/>
        <v>pwr_config.o</v>
      </c>
      <c r="F216">
        <f t="shared" ca="1" si="172"/>
        <v>164</v>
      </c>
      <c r="H216">
        <f t="shared" ca="1" si="173"/>
        <v>302864</v>
      </c>
      <c r="I216" t="str">
        <f t="shared" ca="1" si="137"/>
        <v>0x00049F10</v>
      </c>
      <c r="J216" s="4" t="str">
        <f t="shared" si="169"/>
        <v/>
      </c>
      <c r="K216" s="4" t="str">
        <f t="shared" si="170"/>
        <v xml:space="preserve">                                                             ro data section .rodata object pwr_config.o,</v>
      </c>
    </row>
    <row r="217" spans="1:11" x14ac:dyDescent="0.25">
      <c r="A217" t="s">
        <v>537</v>
      </c>
      <c r="B217" t="str">
        <f t="shared" si="165"/>
        <v/>
      </c>
      <c r="C217">
        <f t="shared" si="147"/>
        <v>0</v>
      </c>
      <c r="D217" t="s">
        <v>36</v>
      </c>
      <c r="E217" t="str">
        <f t="shared" si="171"/>
        <v>pwr_last_gasp.o</v>
      </c>
      <c r="F217">
        <f t="shared" ca="1" si="172"/>
        <v>672</v>
      </c>
      <c r="H217">
        <f t="shared" ca="1" si="173"/>
        <v>303028</v>
      </c>
      <c r="I217" t="str">
        <f t="shared" ca="1" si="137"/>
        <v>0x00049FB4</v>
      </c>
      <c r="J217" s="4" t="str">
        <f t="shared" si="169"/>
        <v/>
      </c>
      <c r="K217" s="4" t="str">
        <f t="shared" si="170"/>
        <v xml:space="preserve">                                                             ro data section .rodata object pwr_last_gasp.o,</v>
      </c>
    </row>
    <row r="218" spans="1:11" x14ac:dyDescent="0.25">
      <c r="A218" t="s">
        <v>537</v>
      </c>
      <c r="B218" t="str">
        <f t="shared" si="165"/>
        <v/>
      </c>
      <c r="C218">
        <f t="shared" si="147"/>
        <v>0</v>
      </c>
      <c r="D218" t="s">
        <v>312</v>
      </c>
      <c r="E218" t="str">
        <f t="shared" si="171"/>
        <v>pwr_restore.o</v>
      </c>
      <c r="F218">
        <f t="shared" ca="1" si="172"/>
        <v>374</v>
      </c>
      <c r="H218">
        <f t="shared" ca="1" si="173"/>
        <v>303700</v>
      </c>
      <c r="I218" t="str">
        <f t="shared" ca="1" si="137"/>
        <v>0x0004A254</v>
      </c>
      <c r="J218" s="4" t="str">
        <f t="shared" si="169"/>
        <v/>
      </c>
      <c r="K218" s="4" t="str">
        <f t="shared" si="170"/>
        <v xml:space="preserve">                                                             ro data section .rodata object pwr_restore.o,</v>
      </c>
    </row>
    <row r="219" spans="1:11" x14ac:dyDescent="0.25">
      <c r="A219" t="s">
        <v>537</v>
      </c>
      <c r="B219" t="str">
        <f t="shared" si="165"/>
        <v/>
      </c>
      <c r="C219">
        <f t="shared" si="147"/>
        <v>0</v>
      </c>
      <c r="D219" t="s">
        <v>220</v>
      </c>
      <c r="E219" t="str">
        <f t="shared" si="171"/>
        <v>pwr_task.o</v>
      </c>
      <c r="F219">
        <f t="shared" ca="1" si="172"/>
        <v>764</v>
      </c>
      <c r="H219">
        <f t="shared" ca="1" si="173"/>
        <v>304076</v>
      </c>
      <c r="I219" t="str">
        <f t="shared" ca="1" si="137"/>
        <v>0x0004A3CC</v>
      </c>
      <c r="J219" s="4" t="str">
        <f t="shared" si="169"/>
        <v/>
      </c>
      <c r="K219" s="4" t="str">
        <f t="shared" si="170"/>
        <v xml:space="preserve">                                                             ro data section .rodata object pwr_task.o,</v>
      </c>
    </row>
    <row r="220" spans="1:11" x14ac:dyDescent="0.25">
      <c r="A220" t="s">
        <v>537</v>
      </c>
      <c r="B220" t="str">
        <f t="shared" si="165"/>
        <v/>
      </c>
      <c r="C220">
        <f t="shared" si="147"/>
        <v>0</v>
      </c>
      <c r="D220" t="s">
        <v>408</v>
      </c>
      <c r="E220" t="str">
        <f t="shared" si="171"/>
        <v>RG_CF_Handler.o</v>
      </c>
      <c r="F220">
        <f t="shared" ca="1" si="172"/>
        <v>0</v>
      </c>
      <c r="H220">
        <f t="shared" ca="1" si="173"/>
        <v>304840</v>
      </c>
      <c r="I220" t="str">
        <f t="shared" ca="1" si="137"/>
        <v>0x0004A6C8</v>
      </c>
      <c r="J220" s="4" t="str">
        <f t="shared" si="169"/>
        <v/>
      </c>
      <c r="K220" s="4" t="str">
        <f t="shared" si="170"/>
        <v xml:space="preserve">                                                             ro data section .rodata object RG_CF_Handler.o,</v>
      </c>
    </row>
    <row r="221" spans="1:11" x14ac:dyDescent="0.25">
      <c r="A221" t="s">
        <v>537</v>
      </c>
      <c r="B221" t="str">
        <f t="shared" si="165"/>
        <v/>
      </c>
      <c r="C221">
        <f t="shared" si="147"/>
        <v>0</v>
      </c>
      <c r="D221" t="s">
        <v>313</v>
      </c>
      <c r="E221" t="str">
        <f t="shared" si="171"/>
        <v>RG_MD_Handler.o</v>
      </c>
      <c r="F221">
        <f t="shared" ca="1" si="172"/>
        <v>328</v>
      </c>
      <c r="H221">
        <f t="shared" ca="1" si="173"/>
        <v>304840</v>
      </c>
      <c r="I221" t="str">
        <f t="shared" ca="1" si="137"/>
        <v>0x0004A6C8</v>
      </c>
      <c r="J221" s="4" t="str">
        <f t="shared" si="169"/>
        <v/>
      </c>
      <c r="K221" s="4" t="str">
        <f t="shared" si="170"/>
        <v xml:space="preserve">                                                             ro data section .rodata object RG_MD_Handler.o,</v>
      </c>
    </row>
    <row r="222" spans="1:11" x14ac:dyDescent="0.25">
      <c r="A222" t="s">
        <v>537</v>
      </c>
      <c r="B222" t="str">
        <f t="shared" si="165"/>
        <v/>
      </c>
      <c r="C222">
        <f t="shared" si="147"/>
        <v>0</v>
      </c>
      <c r="D222" t="s">
        <v>198</v>
      </c>
      <c r="E222" t="str">
        <f t="shared" si="171"/>
        <v>STRT_Startup.o</v>
      </c>
      <c r="F222">
        <f t="shared" ca="1" si="172"/>
        <v>1365</v>
      </c>
      <c r="H222">
        <f t="shared" ca="1" si="173"/>
        <v>305168</v>
      </c>
      <c r="I222" t="str">
        <f t="shared" ca="1" si="137"/>
        <v>0x0004A810</v>
      </c>
      <c r="J222" s="4" t="str">
        <f t="shared" si="169"/>
        <v/>
      </c>
      <c r="K222" s="4" t="str">
        <f t="shared" si="170"/>
        <v xml:space="preserve">                                                             ro data section .rodata object STRT_Startup.o,</v>
      </c>
    </row>
    <row r="223" spans="1:11" x14ac:dyDescent="0.25">
      <c r="A223" t="s">
        <v>537</v>
      </c>
      <c r="B223" t="str">
        <f t="shared" si="165"/>
        <v/>
      </c>
      <c r="C223">
        <f t="shared" si="147"/>
        <v>0</v>
      </c>
      <c r="D223" t="s">
        <v>83</v>
      </c>
      <c r="E223" t="str">
        <f t="shared" si="171"/>
        <v>Task.o</v>
      </c>
      <c r="F223">
        <f t="shared" ca="1" si="172"/>
        <v>2676</v>
      </c>
      <c r="H223">
        <f t="shared" ca="1" si="173"/>
        <v>306536</v>
      </c>
      <c r="I223" t="str">
        <f t="shared" ca="1" si="137"/>
        <v>0x0004AD68</v>
      </c>
      <c r="J223" s="4" t="str">
        <f t="shared" si="169"/>
        <v/>
      </c>
      <c r="K223" s="4" t="str">
        <f t="shared" si="170"/>
        <v xml:space="preserve">                                                             ro data section .rodata object Task.o,</v>
      </c>
    </row>
    <row r="224" spans="1:11" x14ac:dyDescent="0.25">
      <c r="A224" t="s">
        <v>537</v>
      </c>
      <c r="B224" t="str">
        <f t="shared" si="165"/>
        <v/>
      </c>
      <c r="C224">
        <f t="shared" si="147"/>
        <v>0</v>
      </c>
      <c r="D224" t="s">
        <v>409</v>
      </c>
      <c r="E224" t="str">
        <f t="shared" si="171"/>
        <v>vbat_reg.o</v>
      </c>
      <c r="F224">
        <f t="shared" ca="1" si="172"/>
        <v>0</v>
      </c>
      <c r="H224">
        <f t="shared" ca="1" si="173"/>
        <v>309212</v>
      </c>
      <c r="I224" t="str">
        <f t="shared" ca="1" si="137"/>
        <v>0x0004B7DC</v>
      </c>
      <c r="J224" s="4" t="str">
        <f t="shared" si="169"/>
        <v/>
      </c>
      <c r="K224" s="4" t="str">
        <f t="shared" si="170"/>
        <v xml:space="preserve">                                                             ro data section .rodata object vbat_reg.o,</v>
      </c>
    </row>
    <row r="225" spans="1:11" x14ac:dyDescent="0.25">
      <c r="A225" t="s">
        <v>537</v>
      </c>
      <c r="B225" t="str">
        <f t="shared" si="165"/>
        <v/>
      </c>
      <c r="C225">
        <f t="shared" si="147"/>
        <v>0</v>
      </c>
      <c r="D225" t="s">
        <v>229</v>
      </c>
      <c r="E225" t="str">
        <f t="shared" si="171"/>
        <v>version.o</v>
      </c>
      <c r="F225">
        <f t="shared" ca="1" si="172"/>
        <v>80</v>
      </c>
      <c r="H225">
        <f t="shared" ca="1" si="173"/>
        <v>309212</v>
      </c>
      <c r="I225" t="str">
        <f t="shared" ca="1" si="137"/>
        <v>0x0004B7DC</v>
      </c>
      <c r="J225" s="4" t="str">
        <f t="shared" si="169"/>
        <v/>
      </c>
      <c r="K225" s="4" t="str">
        <f t="shared" si="170"/>
        <v xml:space="preserve">                                                             ro data section .rodata object version.o };</v>
      </c>
    </row>
    <row r="226" spans="1:11" x14ac:dyDescent="0.25">
      <c r="B226" t="str">
        <f>B208&amp;"_end"</f>
        <v>MTU_Common_CONST_end</v>
      </c>
      <c r="F226">
        <f ca="1">SUM(F208:F225)</f>
        <v>6975</v>
      </c>
      <c r="G226">
        <f ca="1">INT(($G$205/100)*F226)</f>
        <v>69</v>
      </c>
      <c r="H226">
        <f ca="1">H225+F225+G226+IF(MOD(F225+H225+G226,$G$206)=0,0,$G$206-MOD(F225+H225+G226,$G$206))</f>
        <v>309364</v>
      </c>
      <c r="I226" t="str">
        <f t="shared" ca="1" si="137"/>
        <v>0x0004B874</v>
      </c>
      <c r="J226" s="4"/>
      <c r="K226" s="4"/>
    </row>
    <row r="227" spans="1:11" x14ac:dyDescent="0.25">
      <c r="J227" s="4"/>
      <c r="K227" s="4"/>
    </row>
    <row r="228" spans="1:11" x14ac:dyDescent="0.25">
      <c r="F228" t="s">
        <v>526</v>
      </c>
      <c r="G228">
        <f ca="1">VLOOKUP(B231,INDIRECT(GlobalPlcmnt!$B$133),GlobalPlcmnt!$B$138,FALSE)</f>
        <v>0</v>
      </c>
      <c r="J228" s="4"/>
      <c r="K228" s="4"/>
    </row>
    <row r="229" spans="1:11" x14ac:dyDescent="0.25">
      <c r="F229" t="s">
        <v>608</v>
      </c>
      <c r="G229">
        <f ca="1">VLOOKUP(B231,INDIRECT(GlobalPlcmnt!$B$133),GlobalPlcmnt!$C$138,FALSE)</f>
        <v>4</v>
      </c>
      <c r="J229" s="4"/>
      <c r="K229" s="4"/>
    </row>
    <row r="230" spans="1:11" x14ac:dyDescent="0.25">
      <c r="F230" t="s">
        <v>542</v>
      </c>
      <c r="J230" s="4"/>
      <c r="K230" s="4"/>
    </row>
    <row r="231" spans="1:11" x14ac:dyDescent="0.25">
      <c r="A231" t="s">
        <v>970</v>
      </c>
      <c r="B231" t="str">
        <f t="shared" ref="B231" si="174">IF(A231&lt;&gt;A230,A231&amp;$B$1,"")</f>
        <v>APP_BOOT_CONST</v>
      </c>
      <c r="C231">
        <f t="shared" ref="C231" si="175">LEN(B231)</f>
        <v>14</v>
      </c>
      <c r="D231" t="s">
        <v>965</v>
      </c>
      <c r="E231" t="str">
        <f t="shared" ref="E231" si="176">SUBSTITUTE(D231,"-","_")</f>
        <v>bootloader.bin</v>
      </c>
      <c r="F231">
        <f t="shared" ref="F231" ca="1" si="177">IFERROR(VLOOKUP(D231,INDIRECT($F$1),2,FALSE),0)</f>
        <v>16384</v>
      </c>
      <c r="H231">
        <f ca="1">VLOOKUP(B231,INDIRECT(GlobalPlcmnt!$B$133),GlobalPlcmnt!$A$138,FALSE)</f>
        <v>0</v>
      </c>
      <c r="I231" t="str">
        <f t="shared" ref="I231:I232" ca="1" si="178">"0x"&amp;DEC2HEX(H231,8)</f>
        <v>0x00000000</v>
      </c>
      <c r="J231" s="4" t="str">
        <f ca="1">IF(B231="","","define symbol "&amp;B231&amp;REPT(" ",$C$4-C231)&amp;"= "&amp;I231&amp;";")</f>
        <v>define symbol APP_BOOT_CONST   = 0x00000000;</v>
      </c>
      <c r="K231" s="4" t="str">
        <f>IF(B231="",REPT(" ",$C$4+$K$4)&amp;$K$2&amp;D231&amp;IF(B232="",","," };"),""""&amp;B231&amp;""":"&amp;REPT(" ",$C$4-C231)&amp;"place at address mem: "&amp;B231&amp;REPT(" ",$C$4-C231)&amp;"{ "&amp;K$2&amp;D231&amp;IF(B232="",","," };"))</f>
        <v>"APP_BOOT_CONST":   place at address mem: APP_BOOT_CONST   { ro data section .rodata object bootloader.bin };</v>
      </c>
    </row>
    <row r="232" spans="1:11" x14ac:dyDescent="0.25">
      <c r="B232" t="str">
        <f>B231&amp;"_end"</f>
        <v>APP_BOOT_CONST_end</v>
      </c>
      <c r="F232">
        <f ca="1">SUM(F231:F231)</f>
        <v>16384</v>
      </c>
      <c r="G232">
        <f ca="1">INT(($G$228/100)*F232)</f>
        <v>0</v>
      </c>
      <c r="H232">
        <f ca="1">H231+F231+G232+IF(MOD(F231+H231+G232,$G$229)=0,0,$G$229-MOD(F231+H231+G232,$G$229))</f>
        <v>16384</v>
      </c>
      <c r="I232" t="str">
        <f t="shared" ca="1" si="178"/>
        <v>0x00004000</v>
      </c>
    </row>
    <row r="234" spans="1:11" x14ac:dyDescent="0.25">
      <c r="A234" t="s">
        <v>928</v>
      </c>
      <c r="B234" t="str">
        <f ca="1">CELL("address",J232)</f>
        <v>$J$232</v>
      </c>
    </row>
    <row r="235" spans="1:11" x14ac:dyDescent="0.25">
      <c r="J235" s="4" t="str">
        <f ca="1">J5</f>
        <v>define symbol utils_CONST      = 0x00034674;</v>
      </c>
      <c r="K235" t="str">
        <f>K5</f>
        <v>"utils_CONST":      place at address mem: utils_CONST      { ro data section .rodata object ascii.o,</v>
      </c>
    </row>
    <row r="236" spans="1:11" x14ac:dyDescent="0.25">
      <c r="J236" s="4" t="str">
        <f ca="1">J21</f>
        <v>define symbol dfw_CONST        = 0x000346D4;</v>
      </c>
      <c r="K236" t="str">
        <f t="shared" ref="K236:K245" si="179">K6</f>
        <v xml:space="preserve">                                                             ro data section .rodata object bcd.o,</v>
      </c>
    </row>
    <row r="237" spans="1:11" x14ac:dyDescent="0.25">
      <c r="J237" s="4" t="str">
        <f ca="1">J30</f>
        <v>define symbol driver_CONST     = 0x00035488;</v>
      </c>
      <c r="K237" t="str">
        <f t="shared" si="179"/>
        <v xml:space="preserve">                                                             ro data section .rodata object bit_util.o,</v>
      </c>
    </row>
    <row r="238" spans="1:11" x14ac:dyDescent="0.25">
      <c r="J238" s="4" t="str">
        <f ca="1">J42</f>
        <v>define symbol stack_CONST      = 0x00035854;</v>
      </c>
      <c r="K238" t="str">
        <f t="shared" si="179"/>
        <v xml:space="preserve">                                                             ro data section .rodata object byteswap.o,</v>
      </c>
    </row>
    <row r="239" spans="1:11" x14ac:dyDescent="0.25">
      <c r="J239" s="4" t="str">
        <f ca="1">J81</f>
        <v>define symbol OS_API_CONST     = 0x0003ABA0;</v>
      </c>
      <c r="K239" t="str">
        <f t="shared" si="179"/>
        <v xml:space="preserve">                                                             ro data section .rodata object crc16_m.o,</v>
      </c>
    </row>
    <row r="240" spans="1:11" x14ac:dyDescent="0.25">
      <c r="J240" s="4" t="str">
        <f ca="1">J92</f>
        <v>define symbol radio_CONST      = 0x0003AF14;</v>
      </c>
      <c r="K240" t="str">
        <f t="shared" si="179"/>
        <v xml:space="preserve">                                                             ro data section .rodata object crc32.o,</v>
      </c>
    </row>
    <row r="241" spans="10:11" x14ac:dyDescent="0.25">
      <c r="J241" s="4" t="str">
        <f ca="1">J106</f>
        <v>define symbol security_CONST   = 0x0003BE90;</v>
      </c>
      <c r="K241" t="str">
        <f t="shared" si="179"/>
        <v xml:space="preserve">                                                             ro data section .rodata object invert_bits.o,</v>
      </c>
    </row>
    <row r="242" spans="10:11" x14ac:dyDescent="0.25">
      <c r="J242" s="4" t="str">
        <f ca="1">J117</f>
        <v>define symbol AclaraBSP_CONST  = 0x0003D428;</v>
      </c>
      <c r="K242" t="str">
        <f t="shared" si="179"/>
        <v xml:space="preserve">                                                             ro data section .rodata object pack.o,</v>
      </c>
    </row>
    <row r="243" spans="10:11" x14ac:dyDescent="0.25">
      <c r="J243" s="4" t="str">
        <f ca="1">J133</f>
        <v>define symbol Common_CONST     = 0x0003D838;</v>
      </c>
      <c r="K243" t="str">
        <f t="shared" si="179"/>
        <v xml:space="preserve">                                                             ro data section .rodata object rand.o,</v>
      </c>
    </row>
    <row r="244" spans="10:11" x14ac:dyDescent="0.25">
      <c r="J244" s="4" t="str">
        <f ca="1">J169</f>
        <v>define symbol HMC_CONST        = 0x00049738;</v>
      </c>
      <c r="K244" t="str">
        <f t="shared" si="179"/>
        <v xml:space="preserve">                                                             ro data section .rodata object time_util.o,</v>
      </c>
    </row>
    <row r="245" spans="10:11" x14ac:dyDescent="0.25">
      <c r="J245" s="4" t="str">
        <f ca="1">J208</f>
        <v>define symbol MTU_Common_CONST = 0x00049CE8;</v>
      </c>
      <c r="K245" t="str">
        <f t="shared" si="179"/>
        <v xml:space="preserve">                                                             ro data section .rodata object timer_util.o };</v>
      </c>
    </row>
    <row r="246" spans="10:11" x14ac:dyDescent="0.25">
      <c r="J246" s="4" t="str">
        <f ca="1">J231</f>
        <v>define symbol APP_BOOT_CONST   = 0x00000000;</v>
      </c>
      <c r="K246" t="str">
        <f>K21</f>
        <v>"dfw_CONST":        place at address mem: dfw_CONST        { ro data section .rodata object dfw_app.o,</v>
      </c>
    </row>
    <row r="247" spans="10:11" x14ac:dyDescent="0.25">
      <c r="K247" t="str">
        <f>K22</f>
        <v xml:space="preserve">                                                             ro data section .rodata object dfw_interface.o,</v>
      </c>
    </row>
    <row r="248" spans="10:11" x14ac:dyDescent="0.25">
      <c r="K248" t="str">
        <f>K23</f>
        <v xml:space="preserve">                                                             ro data section .rodata object dfw_pckt.o,</v>
      </c>
    </row>
    <row r="249" spans="10:11" x14ac:dyDescent="0.25">
      <c r="K249" t="str">
        <f>K24</f>
        <v xml:space="preserve">                                                             ro data section .rodata object dfwtd_config.o };</v>
      </c>
    </row>
    <row r="250" spans="10:11" x14ac:dyDescent="0.25">
      <c r="K250" t="str">
        <f t="shared" ref="K250:K256" si="180">K30</f>
        <v>"driver_CONST":     place at address mem: driver_CONST     { ro data section .rodata object dvr_banked.o,</v>
      </c>
    </row>
    <row r="251" spans="10:11" x14ac:dyDescent="0.25">
      <c r="K251" t="str">
        <f t="shared" si="180"/>
        <v xml:space="preserve">                                                             ro data section .rodata object dvr_cache.o,</v>
      </c>
    </row>
    <row r="252" spans="10:11" x14ac:dyDescent="0.25">
      <c r="K252" t="str">
        <f t="shared" si="180"/>
        <v xml:space="preserve">                                                             ro data section .rodata object dvr_extflash.o,</v>
      </c>
    </row>
    <row r="253" spans="10:11" x14ac:dyDescent="0.25">
      <c r="K253" t="str">
        <f t="shared" si="180"/>
        <v xml:space="preserve">                                                             ro data section .rodata object dvr_sectPreErase.o,</v>
      </c>
    </row>
    <row r="254" spans="10:11" x14ac:dyDescent="0.25">
      <c r="K254" t="str">
        <f t="shared" si="180"/>
        <v xml:space="preserve">                                                             ro data section .rodata object dvr_sharedMem.o,</v>
      </c>
    </row>
    <row r="255" spans="10:11" x14ac:dyDescent="0.25">
      <c r="K255" t="str">
        <f t="shared" si="180"/>
        <v xml:space="preserve">                                                             ro data section .rodata object IF_intFlash.o,</v>
      </c>
    </row>
    <row r="256" spans="10:11" x14ac:dyDescent="0.25">
      <c r="K256" t="str">
        <f t="shared" si="180"/>
        <v xml:space="preserve">                                                             ro data section .rodata object spi_mstr.o };</v>
      </c>
    </row>
    <row r="257" spans="11:11" x14ac:dyDescent="0.25">
      <c r="K257" t="str">
        <f t="shared" ref="K257:K290" si="181">K42</f>
        <v>"stack_CONST":      place at address mem: stack_CONST      { ro data section .rodata object COMM.o,</v>
      </c>
    </row>
    <row r="258" spans="11:11" x14ac:dyDescent="0.25">
      <c r="K258" t="str">
        <f t="shared" si="181"/>
        <v xml:space="preserve">                                                             ro data section .rodata object SM.o,</v>
      </c>
    </row>
    <row r="259" spans="11:11" x14ac:dyDescent="0.25">
      <c r="K259" t="str">
        <f t="shared" si="181"/>
        <v xml:space="preserve">                                                             ro data section .rodata object smtd_config.o,</v>
      </c>
    </row>
    <row r="260" spans="11:11" x14ac:dyDescent="0.25">
      <c r="K260" t="str">
        <f t="shared" si="181"/>
        <v xml:space="preserve">                                                             ro data section .rodata object dtls.o,</v>
      </c>
    </row>
    <row r="261" spans="11:11" x14ac:dyDescent="0.25">
      <c r="K261" t="str">
        <f t="shared" si="181"/>
        <v xml:space="preserve">                                                             ro data section .rodata object mtls.o,</v>
      </c>
    </row>
    <row r="262" spans="11:11" x14ac:dyDescent="0.25">
      <c r="K262" t="str">
        <f t="shared" si="181"/>
        <v xml:space="preserve">                                                             ro data section .rodata object STACK.o,</v>
      </c>
    </row>
    <row r="263" spans="11:11" x14ac:dyDescent="0.25">
      <c r="K263" t="str">
        <f t="shared" si="181"/>
        <v xml:space="preserve">                                                             ro data section .rodata object MAC.o,</v>
      </c>
    </row>
    <row r="264" spans="11:11" x14ac:dyDescent="0.25">
      <c r="K264" t="str">
        <f t="shared" si="181"/>
        <v xml:space="preserve">                                                             ro data section .rodata object MAC_FrameEncoder.o,</v>
      </c>
    </row>
    <row r="265" spans="11:11" x14ac:dyDescent="0.25">
      <c r="K265" t="str">
        <f t="shared" si="181"/>
        <v xml:space="preserve">                                                             ro data section .rodata object MAC_FrameManagement.o,</v>
      </c>
    </row>
    <row r="266" spans="11:11" x14ac:dyDescent="0.25">
      <c r="K266" t="str">
        <f t="shared" si="181"/>
        <v xml:space="preserve">                                                             ro data section .rodata object MAC_PacketManagement.o,</v>
      </c>
    </row>
    <row r="267" spans="11:11" x14ac:dyDescent="0.25">
      <c r="K267" t="str">
        <f t="shared" si="181"/>
        <v xml:space="preserve">                                                             ro data section .rodata object PHY.o,</v>
      </c>
    </row>
    <row r="268" spans="11:11" x14ac:dyDescent="0.25">
      <c r="K268" t="str">
        <f t="shared" si="181"/>
        <v xml:space="preserve">                                                             ro data section .rodata object EstimateCarrierFrequencyOffset.o,</v>
      </c>
    </row>
    <row r="269" spans="11:11" x14ac:dyDescent="0.25">
      <c r="K269" t="str">
        <f t="shared" si="181"/>
        <v xml:space="preserve">                                                             ro data section .rodata object MaximizeEyeOpening.o,</v>
      </c>
    </row>
    <row r="270" spans="11:11" x14ac:dyDescent="0.25">
      <c r="K270" t="str">
        <f t="shared" si="181"/>
        <v xml:space="preserve">                                                             ro data section .rodata object PerformCFOCompensation.o,</v>
      </c>
    </row>
    <row r="271" spans="11:11" x14ac:dyDescent="0.25">
      <c r="K271" t="str">
        <f t="shared" si="181"/>
        <v xml:space="preserve">                                                             ro data section .rodata object preamble_detect.o,</v>
      </c>
    </row>
    <row r="272" spans="11:11" x14ac:dyDescent="0.25">
      <c r="K272" t="str">
        <f t="shared" si="181"/>
        <v xml:space="preserve">                                                             ro data section .rodata object preambleDetector.o,</v>
      </c>
    </row>
    <row r="273" spans="11:11" x14ac:dyDescent="0.25">
      <c r="K273" t="str">
        <f t="shared" si="181"/>
        <v xml:space="preserve">                                                             ro data section .rodata object preambleDetector_Data.o,</v>
      </c>
    </row>
    <row r="274" spans="11:11" x14ac:dyDescent="0.25">
      <c r="K274" t="str">
        <f t="shared" si="181"/>
        <v xml:space="preserve">                                                             ro data section .rodata object preambleDetector_initialize.o,</v>
      </c>
    </row>
    <row r="275" spans="11:11" x14ac:dyDescent="0.25">
      <c r="K275" t="str">
        <f t="shared" si="181"/>
        <v xml:space="preserve">                                                             ro data section .rodata object processDerotatedSamples.o,</v>
      </c>
    </row>
    <row r="276" spans="11:11" x14ac:dyDescent="0.25">
      <c r="K276" t="str">
        <f t="shared" si="181"/>
        <v xml:space="preserve">                                                             ro data section .rodata object ScaleClipFreq2phase.o,</v>
      </c>
    </row>
    <row r="277" spans="11:11" x14ac:dyDescent="0.25">
      <c r="K277" t="str">
        <f t="shared" si="181"/>
        <v xml:space="preserve">                                                             ro data section .rodata object sign.o,</v>
      </c>
    </row>
    <row r="278" spans="11:11" x14ac:dyDescent="0.25">
      <c r="K278" t="str">
        <f t="shared" si="181"/>
        <v xml:space="preserve">                                                             ro data section .rodata object fir_filt_circ_buff.o,</v>
      </c>
    </row>
    <row r="279" spans="11:11" x14ac:dyDescent="0.25">
      <c r="K279" t="str">
        <f t="shared" si="181"/>
        <v xml:space="preserve">                                                             ro data section .rodata object gresample.o,</v>
      </c>
    </row>
    <row r="280" spans="11:11" x14ac:dyDescent="0.25">
      <c r="K280" t="str">
        <f t="shared" si="181"/>
        <v xml:space="preserve">                                                             ro data section .rodata object phase2freq_wi_unwrap.o,</v>
      </c>
    </row>
    <row r="281" spans="11:11" x14ac:dyDescent="0.25">
      <c r="K281" t="str">
        <f t="shared" si="181"/>
        <v xml:space="preserve">                                                             ro data section .rodata object findSYNC.o,</v>
      </c>
    </row>
    <row r="282" spans="11:11" x14ac:dyDescent="0.25">
      <c r="K282" t="str">
        <f t="shared" si="181"/>
        <v xml:space="preserve">                                                             ro data section .rodata object FreqDomMlseP4GfskStruct2.o,</v>
      </c>
    </row>
    <row r="283" spans="11:11" x14ac:dyDescent="0.25">
      <c r="K283" t="str">
        <f t="shared" si="181"/>
        <v xml:space="preserve">                                                             ro data section .rodata object processDerotatedSPDSamples.o,</v>
      </c>
    </row>
    <row r="284" spans="11:11" x14ac:dyDescent="0.25">
      <c r="K284" t="str">
        <f t="shared" si="181"/>
        <v xml:space="preserve">                                                             ro data section .rodata object SyncAndPayloadDemodulator.o,</v>
      </c>
    </row>
    <row r="285" spans="11:11" x14ac:dyDescent="0.25">
      <c r="K285" t="str">
        <f t="shared" si="181"/>
        <v xml:space="preserve">                                                             ro data section .rodata object SoftDemodulator.o,</v>
      </c>
    </row>
    <row r="286" spans="11:11" x14ac:dyDescent="0.25">
      <c r="K286" t="str">
        <f t="shared" si="181"/>
        <v xml:space="preserve">                                                             ro data section .rodata object rs.o,</v>
      </c>
    </row>
    <row r="287" spans="11:11" x14ac:dyDescent="0.25">
      <c r="K287" t="str">
        <f t="shared" si="181"/>
        <v xml:space="preserve">                                                             ro data section .rodata object galois.o,</v>
      </c>
    </row>
    <row r="288" spans="11:11" x14ac:dyDescent="0.25">
      <c r="K288" t="str">
        <f t="shared" si="181"/>
        <v xml:space="preserve">                                                             ro data section .rodata object rsdec.o,</v>
      </c>
    </row>
    <row r="289" spans="11:11" x14ac:dyDescent="0.25">
      <c r="K289" t="str">
        <f t="shared" si="181"/>
        <v xml:space="preserve">                                                             ro data section .rodata object rsenc.o,</v>
      </c>
    </row>
    <row r="290" spans="11:11" x14ac:dyDescent="0.25">
      <c r="K290" t="str">
        <f t="shared" si="181"/>
        <v xml:space="preserve">                                                             ro data section .rodata object indication.o };</v>
      </c>
    </row>
    <row r="291" spans="11:11" x14ac:dyDescent="0.25">
      <c r="K291" t="str">
        <f t="shared" ref="K291:K296" si="182">K81</f>
        <v>"OS_API_CONST":     place at address mem: OS_API_CONST     { ro data section .rodata object Event.o,</v>
      </c>
    </row>
    <row r="292" spans="11:11" x14ac:dyDescent="0.25">
      <c r="K292" t="str">
        <f t="shared" si="182"/>
        <v xml:space="preserve">                                                             ro data section .rodata object MessageQ.o,</v>
      </c>
    </row>
    <row r="293" spans="11:11" x14ac:dyDescent="0.25">
      <c r="K293" t="str">
        <f t="shared" si="182"/>
        <v xml:space="preserve">                                                             ro data section .rodata object Mutex.o,</v>
      </c>
    </row>
    <row r="294" spans="11:11" x14ac:dyDescent="0.25">
      <c r="K294" t="str">
        <f t="shared" si="182"/>
        <v xml:space="preserve">                                                             ro data section .rodata object Queue.o,</v>
      </c>
    </row>
    <row r="295" spans="11:11" x14ac:dyDescent="0.25">
      <c r="K295" t="str">
        <f t="shared" si="182"/>
        <v xml:space="preserve">                                                             ro data section .rodata object Semaphore.o,</v>
      </c>
    </row>
    <row r="296" spans="11:11" x14ac:dyDescent="0.25">
      <c r="K296" t="str">
        <f t="shared" si="182"/>
        <v xml:space="preserve">                                                             ro data section .rodata object TickTime.o };</v>
      </c>
    </row>
    <row r="297" spans="11:11" x14ac:dyDescent="0.25">
      <c r="K297" t="str">
        <f t="shared" ref="K297:K305" si="183">K92</f>
        <v>"radio_CONST":      place at address mem: radio_CONST      { ro data section .rodata object radio.o,</v>
      </c>
    </row>
    <row r="298" spans="11:11" x14ac:dyDescent="0.25">
      <c r="K298" t="str">
        <f t="shared" si="183"/>
        <v xml:space="preserve">                                                             ro data section .rodata object radio_comm.o,</v>
      </c>
    </row>
    <row r="299" spans="11:11" x14ac:dyDescent="0.25">
      <c r="K299" t="str">
        <f t="shared" si="183"/>
        <v xml:space="preserve">                                                             ro data section .rodata object si446x_api_lib.o,</v>
      </c>
    </row>
    <row r="300" spans="11:11" x14ac:dyDescent="0.25">
      <c r="K300" t="str">
        <f t="shared" si="183"/>
        <v xml:space="preserve">                                                             ro data section .rodata object radio_config_normal.o,</v>
      </c>
    </row>
    <row r="301" spans="11:11" x14ac:dyDescent="0.25">
      <c r="K301" t="str">
        <f t="shared" si="183"/>
        <v xml:space="preserve">                                                             ro data section .rodata object radio_config_cw.o,</v>
      </c>
    </row>
    <row r="302" spans="11:11" x14ac:dyDescent="0.25">
      <c r="K302" t="str">
        <f t="shared" si="183"/>
        <v xml:space="preserve">                                                             ro data section .rodata object radio_config_PN9.o,</v>
      </c>
    </row>
    <row r="303" spans="11:11" x14ac:dyDescent="0.25">
      <c r="K303" t="str">
        <f t="shared" si="183"/>
        <v xml:space="preserve">                                                             ro data section .rodata object radio_config_2GFSK_BER.o,</v>
      </c>
    </row>
    <row r="304" spans="11:11" x14ac:dyDescent="0.25">
      <c r="K304" t="str">
        <f t="shared" si="183"/>
        <v xml:space="preserve">                                                             ro data section .rodata object radio_config_4GFSK_BER.o,</v>
      </c>
    </row>
    <row r="305" spans="11:11" x14ac:dyDescent="0.25">
      <c r="K305" t="str">
        <f t="shared" si="183"/>
        <v xml:space="preserve">                                                             ro data section .rodata object radio_TCXO.o };</v>
      </c>
    </row>
    <row r="306" spans="11:11" x14ac:dyDescent="0.25">
      <c r="K306" t="str">
        <f t="shared" ref="K306:K311" si="184">K106</f>
        <v>"security_CONST":   place at address mem: security_CONST   { ro data section .rodata object cert-builder.o,</v>
      </c>
    </row>
    <row r="307" spans="11:11" x14ac:dyDescent="0.25">
      <c r="K307" t="str">
        <f t="shared" si="184"/>
        <v xml:space="preserve">                                                             ro data section .rodata object ecc108_apps.o,</v>
      </c>
    </row>
    <row r="308" spans="11:11" x14ac:dyDescent="0.25">
      <c r="K308" t="str">
        <f t="shared" si="184"/>
        <v xml:space="preserve">                                                             ro data section .rodata object ecc108_comm.o,</v>
      </c>
    </row>
    <row r="309" spans="11:11" x14ac:dyDescent="0.25">
      <c r="K309" t="str">
        <f t="shared" si="184"/>
        <v xml:space="preserve">                                                             ro data section .rodata object ecc108_comm_marshaling.o,</v>
      </c>
    </row>
    <row r="310" spans="11:11" x14ac:dyDescent="0.25">
      <c r="K310" t="str">
        <f t="shared" si="184"/>
        <v xml:space="preserve">                                                             ro data section .rodata object ecc108_i2c.o,</v>
      </c>
    </row>
    <row r="311" spans="11:11" x14ac:dyDescent="0.25">
      <c r="K311" t="str">
        <f t="shared" si="184"/>
        <v xml:space="preserve">                                                             ro data section .rodata object ecc108_mqx.o };</v>
      </c>
    </row>
    <row r="312" spans="11:11" x14ac:dyDescent="0.25">
      <c r="K312" t="str">
        <f t="shared" ref="K312:K322" si="185">K117</f>
        <v>"AclaraBSP_CONST":  place at address mem: AclaraBSP_CONST  { ro data section .rodata object ADC.o,</v>
      </c>
    </row>
    <row r="313" spans="11:11" x14ac:dyDescent="0.25">
      <c r="K313" t="str">
        <f t="shared" si="185"/>
        <v xml:space="preserve">                                                             ro data section .rodata object BSP_aclara.o,</v>
      </c>
    </row>
    <row r="314" spans="11:11" x14ac:dyDescent="0.25">
      <c r="K314" t="str">
        <f t="shared" si="185"/>
        <v xml:space="preserve">                                                             ro data section .rodata object CRC.o,</v>
      </c>
    </row>
    <row r="315" spans="11:11" x14ac:dyDescent="0.25">
      <c r="K315" t="str">
        <f t="shared" si="185"/>
        <v xml:space="preserve">                                                             ro data section .rodata object gpio.o,</v>
      </c>
    </row>
    <row r="316" spans="11:11" x14ac:dyDescent="0.25">
      <c r="K316" t="str">
        <f t="shared" si="185"/>
        <v xml:space="preserve">                                                             ro data section .rodata object LED.o,</v>
      </c>
    </row>
    <row r="317" spans="11:11" x14ac:dyDescent="0.25">
      <c r="K317" t="str">
        <f t="shared" si="185"/>
        <v xml:space="preserve">                                                             ro data section .rodata object radio_hal.o,</v>
      </c>
    </row>
    <row r="318" spans="11:11" x14ac:dyDescent="0.25">
      <c r="K318" t="str">
        <f t="shared" si="185"/>
        <v xml:space="preserve">                                                             ro data section .rodata object rng.o,</v>
      </c>
    </row>
    <row r="319" spans="11:11" x14ac:dyDescent="0.25">
      <c r="K319" t="str">
        <f t="shared" si="185"/>
        <v xml:space="preserve">                                                             ro data section .rodata object RTC.o,</v>
      </c>
    </row>
    <row r="320" spans="11:11" x14ac:dyDescent="0.25">
      <c r="K320" t="str">
        <f t="shared" si="185"/>
        <v xml:space="preserve">                                                             ro data section .rodata object sys_clock.o,</v>
      </c>
    </row>
    <row r="321" spans="11:11" x14ac:dyDescent="0.25">
      <c r="K321" t="str">
        <f t="shared" si="185"/>
        <v xml:space="preserve">                                                             ro data section .rodata object UART.o,</v>
      </c>
    </row>
    <row r="322" spans="11:11" x14ac:dyDescent="0.25">
      <c r="K322" t="str">
        <f t="shared" si="185"/>
        <v xml:space="preserve">                                                             ro data section .rodata object WDOG.o };</v>
      </c>
    </row>
    <row r="323" spans="11:11" x14ac:dyDescent="0.25">
      <c r="K323" t="str">
        <f t="shared" ref="K323:K353" si="186">K133</f>
        <v>"Common_CONST":     place at address mem: Common_CONST     { ro data section .rodata object alarm_task.o,</v>
      </c>
    </row>
    <row r="324" spans="11:11" x14ac:dyDescent="0.25">
      <c r="K324" t="str">
        <f t="shared" si="186"/>
        <v xml:space="preserve">                                                             ro data section .rodata object ALRM_Handler.o,</v>
      </c>
    </row>
    <row r="325" spans="11:11" x14ac:dyDescent="0.25">
      <c r="K325" t="str">
        <f t="shared" si="186"/>
        <v xml:space="preserve">                                                             ro data section .rodata object BUF_MemoryBuffers.o,</v>
      </c>
    </row>
    <row r="326" spans="11:11" x14ac:dyDescent="0.25">
      <c r="K326" t="str">
        <f t="shared" si="186"/>
        <v xml:space="preserve">                                                             ro data section .rodata object buffer.o,</v>
      </c>
    </row>
    <row r="327" spans="11:11" x14ac:dyDescent="0.25">
      <c r="K327" t="str">
        <f t="shared" si="186"/>
        <v xml:space="preserve">                                                             ro data section .rodata object DBG_CommandLine.o,</v>
      </c>
    </row>
    <row r="328" spans="11:11" x14ac:dyDescent="0.25">
      <c r="K328" t="str">
        <f t="shared" si="186"/>
        <v xml:space="preserve">                                                             ro data section .rodata object DBG_SerialDebug.o,</v>
      </c>
    </row>
    <row r="329" spans="11:11" x14ac:dyDescent="0.25">
      <c r="K329" t="str">
        <f t="shared" si="186"/>
        <v xml:space="preserve">                                                             ro data section .rodata object eng_res.o,</v>
      </c>
    </row>
    <row r="330" spans="11:11" x14ac:dyDescent="0.25">
      <c r="K330" t="str">
        <f t="shared" si="186"/>
        <v xml:space="preserve">                                                             ro data section .rodata object EVL_event_log.o,</v>
      </c>
    </row>
    <row r="331" spans="11:11" x14ac:dyDescent="0.25">
      <c r="K331" t="str">
        <f t="shared" si="186"/>
        <v xml:space="preserve">                                                             ro data section .rodata object exe_list.o,</v>
      </c>
    </row>
    <row r="332" spans="11:11" x14ac:dyDescent="0.25">
      <c r="K332" t="str">
        <f t="shared" si="186"/>
        <v xml:space="preserve">                                                             ro data section .rodata object file_io.o,</v>
      </c>
    </row>
    <row r="333" spans="11:11" x14ac:dyDescent="0.25">
      <c r="K333" t="str">
        <f t="shared" si="186"/>
        <v xml:space="preserve">                                                             ro data section .rodata object HEEP_util.o,</v>
      </c>
    </row>
    <row r="334" spans="11:11" x14ac:dyDescent="0.25">
      <c r="K334" t="str">
        <f t="shared" si="186"/>
        <v xml:space="preserve">                                                             ro data section .rodata object mem_chk.o,</v>
      </c>
    </row>
    <row r="335" spans="11:11" x14ac:dyDescent="0.25">
      <c r="K335" t="str">
        <f t="shared" si="186"/>
        <v xml:space="preserve">                                                             ro data section .rodata object MFG_Dtls.o,</v>
      </c>
    </row>
    <row r="336" spans="11:11" x14ac:dyDescent="0.25">
      <c r="K336" t="str">
        <f t="shared" si="186"/>
        <v xml:space="preserve">                                                             ro data section .rodata object MFG_Port.o,</v>
      </c>
    </row>
    <row r="337" spans="11:11" x14ac:dyDescent="0.25">
      <c r="K337" t="str">
        <f t="shared" si="186"/>
        <v xml:space="preserve">                                                             ro data section .rodata object MIMT_info.o,</v>
      </c>
    </row>
    <row r="338" spans="11:11" x14ac:dyDescent="0.25">
      <c r="K338" t="str">
        <f t="shared" si="186"/>
        <v xml:space="preserve">                                                             ro data section .rodata object mode_config.o,</v>
      </c>
    </row>
    <row r="339" spans="11:11" x14ac:dyDescent="0.25">
      <c r="K339" t="str">
        <f t="shared" si="186"/>
        <v xml:space="preserve">                                                             ro data section .rodata object object_list.o,</v>
      </c>
    </row>
    <row r="340" spans="11:11" x14ac:dyDescent="0.25">
      <c r="K340" t="str">
        <f t="shared" si="186"/>
        <v xml:space="preserve">                                                             ro data section .rodata object partitions.o,</v>
      </c>
    </row>
    <row r="341" spans="11:11" x14ac:dyDescent="0.25">
      <c r="K341" t="str">
        <f t="shared" si="186"/>
        <v xml:space="preserve">                                                             ro data section .rodata object runTimeInit.o,</v>
      </c>
    </row>
    <row r="342" spans="11:11" x14ac:dyDescent="0.25">
      <c r="K342" t="str">
        <f t="shared" si="186"/>
        <v xml:space="preserve">                                                             ro data section .rodata object SELF_test.o,</v>
      </c>
    </row>
    <row r="343" spans="11:11" x14ac:dyDescent="0.25">
      <c r="K343" t="str">
        <f t="shared" si="186"/>
        <v xml:space="preserve">                                                             ro data section .rodata object stack_check.o,</v>
      </c>
    </row>
    <row r="344" spans="11:11" x14ac:dyDescent="0.25">
      <c r="K344" t="str">
        <f t="shared" si="186"/>
        <v xml:space="preserve">                                                             ro data section .rodata object sys_busy.o,</v>
      </c>
    </row>
    <row r="345" spans="11:11" x14ac:dyDescent="0.25">
      <c r="K345" t="str">
        <f t="shared" si="186"/>
        <v xml:space="preserve">                                                             ro data section .rodata object temperature.o,</v>
      </c>
    </row>
    <row r="346" spans="11:11" x14ac:dyDescent="0.25">
      <c r="K346" t="str">
        <f t="shared" si="186"/>
        <v xml:space="preserve">                                                             ro data section .rodata object time_DST.o,</v>
      </c>
    </row>
    <row r="347" spans="11:11" x14ac:dyDescent="0.25">
      <c r="K347" t="str">
        <f t="shared" si="186"/>
        <v xml:space="preserve">                                                             ro data section .rodata object time_sync.o,</v>
      </c>
    </row>
    <row r="348" spans="11:11" x14ac:dyDescent="0.25">
      <c r="K348" t="str">
        <f t="shared" si="186"/>
        <v xml:space="preserve">                                                             ro data section .rodata object time_sys.o,</v>
      </c>
    </row>
    <row r="349" spans="11:11" x14ac:dyDescent="0.25">
      <c r="K349" t="str">
        <f t="shared" si="186"/>
        <v xml:space="preserve">                                                             ro data section .rodata object virgin_device.o,</v>
      </c>
    </row>
    <row r="350" spans="11:11" x14ac:dyDescent="0.25">
      <c r="K350" t="str">
        <f t="shared" si="186"/>
        <v xml:space="preserve">                                                             ro data section .rodata object FTM0.o,</v>
      </c>
    </row>
    <row r="351" spans="11:11" x14ac:dyDescent="0.25">
      <c r="K351" t="str">
        <f t="shared" si="186"/>
        <v xml:space="preserve">                                                             ro data section .rodata object FTM1.o,</v>
      </c>
    </row>
    <row r="352" spans="11:11" x14ac:dyDescent="0.25">
      <c r="K352" t="str">
        <f t="shared" si="186"/>
        <v xml:space="preserve">                                                             ro data section .rodata object FTM2.o,</v>
      </c>
    </row>
    <row r="353" spans="11:11" x14ac:dyDescent="0.25">
      <c r="K353" t="str">
        <f t="shared" si="186"/>
        <v xml:space="preserve">                                                             ro data section .rodata object FTM3.o };</v>
      </c>
    </row>
    <row r="354" spans="11:11" x14ac:dyDescent="0.25">
      <c r="K354" t="str">
        <f t="shared" ref="K354:K373" si="187">K169</f>
        <v>"HMC_CONST":        place at address mem: HMC_CONST        { ro data section .rodata object hmc_app.o,</v>
      </c>
    </row>
    <row r="355" spans="11:11" x14ac:dyDescent="0.25">
      <c r="K355" t="str">
        <f t="shared" si="187"/>
        <v xml:space="preserve">                                                             ro data section .rodata object hmc_demand.o,</v>
      </c>
    </row>
    <row r="356" spans="11:11" x14ac:dyDescent="0.25">
      <c r="K356" t="str">
        <f t="shared" si="187"/>
        <v xml:space="preserve">                                                             ro data section .rodata object hmc_diags.o,</v>
      </c>
    </row>
    <row r="357" spans="11:11" x14ac:dyDescent="0.25">
      <c r="K357" t="str">
        <f t="shared" si="187"/>
        <v xml:space="preserve">                                                             ro data section .rodata object hmc_ds.o,</v>
      </c>
    </row>
    <row r="358" spans="11:11" x14ac:dyDescent="0.25">
      <c r="K358" t="str">
        <f t="shared" si="187"/>
        <v xml:space="preserve">                                                             ro data section .rodata object hmc_eng.o,</v>
      </c>
    </row>
    <row r="359" spans="11:11" x14ac:dyDescent="0.25">
      <c r="K359" t="str">
        <f t="shared" si="187"/>
        <v xml:space="preserve">                                                             ro data section .rodata object hmc_finish.o,</v>
      </c>
    </row>
    <row r="360" spans="11:11" x14ac:dyDescent="0.25">
      <c r="K360" t="str">
        <f t="shared" si="187"/>
        <v xml:space="preserve">                                                             ro data section .rodata object hmc_msg.o,</v>
      </c>
    </row>
    <row r="361" spans="11:11" x14ac:dyDescent="0.25">
      <c r="K361" t="str">
        <f t="shared" si="187"/>
        <v xml:space="preserve">                                                             ro data section .rodata object hmc_mtr_info.o,</v>
      </c>
    </row>
    <row r="362" spans="11:11" x14ac:dyDescent="0.25">
      <c r="K362" t="str">
        <f t="shared" si="187"/>
        <v xml:space="preserve">                                                             ro data section .rodata object hmc_mtr_lp.o,</v>
      </c>
    </row>
    <row r="363" spans="11:11" x14ac:dyDescent="0.25">
      <c r="K363" t="str">
        <f t="shared" si="187"/>
        <v xml:space="preserve">                                                             ro data section .rodata object hmc_prot.o,</v>
      </c>
    </row>
    <row r="364" spans="11:11" x14ac:dyDescent="0.25">
      <c r="K364" t="str">
        <f t="shared" si="187"/>
        <v xml:space="preserve">                                                             ro data section .rodata object hmc_request.o,</v>
      </c>
    </row>
    <row r="365" spans="11:11" x14ac:dyDescent="0.25">
      <c r="K365" t="str">
        <f t="shared" si="187"/>
        <v xml:space="preserve">                                                             ro data section .rodata object hmc_seq_id.o,</v>
      </c>
    </row>
    <row r="366" spans="11:11" x14ac:dyDescent="0.25">
      <c r="K366" t="str">
        <f t="shared" si="187"/>
        <v xml:space="preserve">                                                             ro data section .rodata object hmc_snapshot.o,</v>
      </c>
    </row>
    <row r="367" spans="11:11" x14ac:dyDescent="0.25">
      <c r="K367" t="str">
        <f t="shared" si="187"/>
        <v xml:space="preserve">                                                             ro data section .rodata object hmc_start.o,</v>
      </c>
    </row>
    <row r="368" spans="11:11" x14ac:dyDescent="0.25">
      <c r="K368" t="str">
        <f t="shared" si="187"/>
        <v xml:space="preserve">                                                             ro data section .rodata object hmc_sync.o,</v>
      </c>
    </row>
    <row r="369" spans="11:11" x14ac:dyDescent="0.25">
      <c r="K369" t="str">
        <f t="shared" si="187"/>
        <v xml:space="preserve">                                                             ro data section .rodata object hmc_time.o,</v>
      </c>
    </row>
    <row r="370" spans="11:11" x14ac:dyDescent="0.25">
      <c r="K370" t="str">
        <f t="shared" si="187"/>
        <v xml:space="preserve">                                                             ro data section .rodata object hmc_tsk_lst.o,</v>
      </c>
    </row>
    <row r="371" spans="11:11" x14ac:dyDescent="0.25">
      <c r="K371" t="str">
        <f t="shared" si="187"/>
        <v xml:space="preserve">                                                             ro data section .rodata object intf_cim_cmd.o,</v>
      </c>
    </row>
    <row r="372" spans="11:11" x14ac:dyDescent="0.25">
      <c r="K372" t="str">
        <f t="shared" si="187"/>
        <v xml:space="preserve">                                                             ro data section .rodata object hmc_prg_mtr.o,</v>
      </c>
    </row>
    <row r="373" spans="11:11" x14ac:dyDescent="0.25">
      <c r="K373" t="str">
        <f t="shared" si="187"/>
        <v xml:space="preserve">                                                             ro data section .rodata object hmc_display.o };</v>
      </c>
    </row>
    <row r="374" spans="11:11" x14ac:dyDescent="0.25">
      <c r="K374" t="str">
        <f>K194</f>
        <v>"AclaraDA_CONST":   place at address mem: AclaraDA_CONST   { ro data section .rodata object b2b.o,</v>
      </c>
    </row>
    <row r="375" spans="11:11" x14ac:dyDescent="0.25">
      <c r="K375" t="str">
        <f t="shared" ref="K375:K382" si="188">K195</f>
        <v xml:space="preserve">                                                             ro data section .rodata object b2b_req_handler.o,</v>
      </c>
    </row>
    <row r="376" spans="11:11" x14ac:dyDescent="0.25">
      <c r="K376" t="str">
        <f t="shared" si="188"/>
        <v xml:space="preserve">                                                             ro data section .rodata object b2bMessage.o,</v>
      </c>
    </row>
    <row r="377" spans="11:11" x14ac:dyDescent="0.25">
      <c r="K377" t="str">
        <f t="shared" si="188"/>
        <v xml:space="preserve">                                                             ro data section .rodata object da_srfn_reg.o,</v>
      </c>
    </row>
    <row r="378" spans="11:11" x14ac:dyDescent="0.25">
      <c r="K378" t="str">
        <f t="shared" si="188"/>
        <v xml:space="preserve">                                                             ro data section .rodata object hdlc_frame.o,</v>
      </c>
    </row>
    <row r="379" spans="11:11" x14ac:dyDescent="0.25">
      <c r="K379" t="str">
        <f t="shared" si="188"/>
        <v xml:space="preserve">                                                             ro data section .rodata object host_reset.o,</v>
      </c>
    </row>
    <row r="380" spans="11:11" x14ac:dyDescent="0.25">
      <c r="K380" t="str">
        <f t="shared" si="188"/>
        <v xml:space="preserve">                                                             ro data section .rodata object nw_connected.o,</v>
      </c>
    </row>
    <row r="381" spans="11:11" x14ac:dyDescent="0.25">
      <c r="K381" t="str">
        <f t="shared" si="188"/>
        <v xml:space="preserve">                                                             ro data section .rodata object TUNNEL_MSG_Handler.o,</v>
      </c>
    </row>
    <row r="382" spans="11:11" x14ac:dyDescent="0.25">
      <c r="K382" t="str">
        <f t="shared" si="188"/>
        <v xml:space="preserve">                                                             ro data section .rodata object tunnel_Util.o };</v>
      </c>
    </row>
    <row r="383" spans="11:11" x14ac:dyDescent="0.25">
      <c r="K383" t="str">
        <f t="shared" ref="K383:K400" si="189">K208</f>
        <v>"MTU_Common_CONST": place at address mem: MTU_Common_CONST { ro data section .rodata object APP_MSG_Handler.o,</v>
      </c>
    </row>
    <row r="384" spans="11:11" x14ac:dyDescent="0.25">
      <c r="K384" t="str">
        <f t="shared" si="189"/>
        <v xml:space="preserve">                                                             ro data section .rodata object demand.o,</v>
      </c>
    </row>
    <row r="385" spans="11:11" x14ac:dyDescent="0.25">
      <c r="K385" t="str">
        <f t="shared" si="189"/>
        <v xml:space="preserve">                                                             ro data section .rodata object ed_config.o,</v>
      </c>
    </row>
    <row r="386" spans="11:11" x14ac:dyDescent="0.25">
      <c r="K386" t="str">
        <f t="shared" si="189"/>
        <v xml:space="preserve">                                                             ro data section .rodata object endpt_cim_cmd.o,</v>
      </c>
    </row>
    <row r="387" spans="11:11" x14ac:dyDescent="0.25">
      <c r="K387" t="str">
        <f t="shared" si="189"/>
        <v xml:space="preserve">                                                             ro data section .rodata object historyd.o,</v>
      </c>
    </row>
    <row r="388" spans="11:11" x14ac:dyDescent="0.25">
      <c r="K388" t="str">
        <f t="shared" si="189"/>
        <v xml:space="preserve">                                                             ro data section .rodata object ID_intervalTask.o,</v>
      </c>
    </row>
    <row r="389" spans="11:11" x14ac:dyDescent="0.25">
      <c r="K389" t="str">
        <f t="shared" si="189"/>
        <v xml:space="preserve">                                                             ro data section .rodata object IDL_IdleProcess.o,</v>
      </c>
    </row>
    <row r="390" spans="11:11" x14ac:dyDescent="0.25">
      <c r="K390" t="str">
        <f t="shared" si="189"/>
        <v xml:space="preserve">                                                             ro data section .rodata object OR_MR_Handler.o,</v>
      </c>
    </row>
    <row r="391" spans="11:11" x14ac:dyDescent="0.25">
      <c r="K391" t="str">
        <f t="shared" si="189"/>
        <v xml:space="preserve">                                                             ro data section .rodata object pwr_config.o,</v>
      </c>
    </row>
    <row r="392" spans="11:11" x14ac:dyDescent="0.25">
      <c r="K392" t="str">
        <f t="shared" si="189"/>
        <v xml:space="preserve">                                                             ro data section .rodata object pwr_last_gasp.o,</v>
      </c>
    </row>
    <row r="393" spans="11:11" x14ac:dyDescent="0.25">
      <c r="K393" t="str">
        <f t="shared" si="189"/>
        <v xml:space="preserve">                                                             ro data section .rodata object pwr_restore.o,</v>
      </c>
    </row>
    <row r="394" spans="11:11" x14ac:dyDescent="0.25">
      <c r="K394" t="str">
        <f t="shared" si="189"/>
        <v xml:space="preserve">                                                             ro data section .rodata object pwr_task.o,</v>
      </c>
    </row>
    <row r="395" spans="11:11" x14ac:dyDescent="0.25">
      <c r="K395" t="str">
        <f t="shared" si="189"/>
        <v xml:space="preserve">                                                             ro data section .rodata object RG_CF_Handler.o,</v>
      </c>
    </row>
    <row r="396" spans="11:11" x14ac:dyDescent="0.25">
      <c r="K396" t="str">
        <f t="shared" si="189"/>
        <v xml:space="preserve">                                                             ro data section .rodata object RG_MD_Handler.o,</v>
      </c>
    </row>
    <row r="397" spans="11:11" x14ac:dyDescent="0.25">
      <c r="K397" t="str">
        <f t="shared" si="189"/>
        <v xml:space="preserve">                                                             ro data section .rodata object STRT_Startup.o,</v>
      </c>
    </row>
    <row r="398" spans="11:11" x14ac:dyDescent="0.25">
      <c r="K398" t="str">
        <f t="shared" si="189"/>
        <v xml:space="preserve">                                                             ro data section .rodata object Task.o,</v>
      </c>
    </row>
    <row r="399" spans="11:11" x14ac:dyDescent="0.25">
      <c r="K399" t="str">
        <f t="shared" si="189"/>
        <v xml:space="preserve">                                                             ro data section .rodata object vbat_reg.o,</v>
      </c>
    </row>
    <row r="400" spans="11:11" x14ac:dyDescent="0.25">
      <c r="K400" t="str">
        <f t="shared" si="189"/>
        <v xml:space="preserve">                                                             ro data section .rodata object version.o };</v>
      </c>
    </row>
    <row r="401" spans="11:11" x14ac:dyDescent="0.25">
      <c r="K401" t="str">
        <f>K231</f>
        <v>"APP_BOOT_CONST":   place at address mem: APP_BOOT_CONST   { ro data section .rodata object bootloader.bin };</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52"/>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10.85546875" bestFit="1" customWidth="1"/>
    <col min="8" max="8" width="8.42578125" bestFit="1" customWidth="1"/>
    <col min="9" max="9" width="11.5703125" bestFit="1" customWidth="1"/>
    <col min="10" max="10" width="57.42578125" bestFit="1" customWidth="1"/>
    <col min="11" max="11" width="143.85546875" bestFit="1" customWidth="1"/>
  </cols>
  <sheetData>
    <row r="1" spans="1:11" x14ac:dyDescent="0.25">
      <c r="B1" t="s">
        <v>584</v>
      </c>
      <c r="F1" s="3" t="str">
        <f ca="1">'.map data'!B9</f>
        <v>'.map data'!$AB$106:$AC$145</v>
      </c>
      <c r="K1" t="s">
        <v>590</v>
      </c>
    </row>
    <row r="2" spans="1:11" x14ac:dyDescent="0.25">
      <c r="F2" t="s">
        <v>526</v>
      </c>
      <c r="G2">
        <f ca="1">VLOOKUP(B5,INDIRECT(GlobalPlcmnt!$B$133),GlobalPlcmnt!$B$138,FALSE)</f>
        <v>0</v>
      </c>
    </row>
    <row r="3" spans="1:11" x14ac:dyDescent="0.25">
      <c r="A3" t="s">
        <v>927</v>
      </c>
      <c r="B3" t="str">
        <f ca="1">CELL("address",B5)</f>
        <v>$B$5</v>
      </c>
      <c r="F3" t="s">
        <v>608</v>
      </c>
      <c r="G3">
        <f ca="1">VLOOKUP(B5,INDIRECT(GlobalPlcmnt!$B$133),GlobalPlcmnt!$C$138,FALSE)</f>
        <v>4</v>
      </c>
      <c r="K3">
        <f>2*$C$4+LEN("place at address mem: { ")+5</f>
        <v>71</v>
      </c>
    </row>
    <row r="4" spans="1:11" x14ac:dyDescent="0.25">
      <c r="C4">
        <f>MAX(C5:C40)</f>
        <v>21</v>
      </c>
      <c r="F4" t="s">
        <v>542</v>
      </c>
    </row>
    <row r="5" spans="1:11" x14ac:dyDescent="0.25">
      <c r="A5" t="s">
        <v>558</v>
      </c>
      <c r="B5" t="str">
        <f>IF(A5&lt;&gt;A3,A5&amp;$B$1,"")</f>
        <v>dl7M_tln_DINIT</v>
      </c>
      <c r="C5">
        <f>LEN(B5)</f>
        <v>14</v>
      </c>
      <c r="E5" t="s">
        <v>562</v>
      </c>
      <c r="F5">
        <f ca="1">IF(E5="*",F6,VLOOKUP(E5,INDIRECT($F$1),2,FALSE))</f>
        <v>0</v>
      </c>
      <c r="H5">
        <f ca="1">VLOOKUP(B5,INDIRECT(GlobalPlcmnt!$B$133),GlobalPlcmnt!$A$138,FALSE)</f>
        <v>17408</v>
      </c>
      <c r="I5" t="str">
        <f ca="1">"0x"&amp;DEC2HEX(H5,8)</f>
        <v>0x00004400</v>
      </c>
      <c r="J5" s="4" t="str">
        <f ca="1">IF(E5&lt;&gt;"*","","define symbol "&amp;B5&amp;REPT(" ",$C$4-C5)&amp;" = "&amp;I5&amp;";")</f>
        <v>define symbol dl7M_tln_DINIT        = 0x00004400;</v>
      </c>
      <c r="K5" s="4" t="str">
        <f>IF(E5="*",""""&amp;B5&amp;""":"&amp;REPT(" ",$C$4-C5)&amp;" place at address mem: "&amp;B5&amp;REPT(" ",$C$4-C5)&amp;" { "&amp;$K$1&amp;E5&amp;"("&amp;A5&amp;".a)"&amp;IF(E6=""," };",","),IF(E5="","",REPT(" ",$K$3)&amp;$K$1&amp;E5&amp;IF(E6=""," };",",")))</f>
        <v>"dl7M_tln_DINIT":        place at address mem: dl7M_tln_DINIT        { ro data section *_init object *(dl7M_tln.a) };</v>
      </c>
    </row>
    <row r="6" spans="1:11" x14ac:dyDescent="0.25">
      <c r="B6" t="str">
        <f>B5&amp;"_end"</f>
        <v>dl7M_tln_DINIT_end</v>
      </c>
      <c r="F6">
        <f ca="1">VLOOKUP(B6,INDIRECT($F$1),2,FALSE)</f>
        <v>0</v>
      </c>
      <c r="G6">
        <f ca="1">INT(($G$2/100)*F6)</f>
        <v>0</v>
      </c>
      <c r="H6">
        <f ca="1">H5+F5+G6+IF(MOD(F5+H5+G6,$G$3)=0,0,$G$3-MOD(F5+H5+G6,$G$3))</f>
        <v>17408</v>
      </c>
      <c r="I6" t="str">
        <f ca="1">"0x"&amp;DEC2HEX(H6,8)</f>
        <v>0x00004400</v>
      </c>
      <c r="J6" s="4"/>
      <c r="K6" s="4"/>
    </row>
    <row r="7" spans="1:11" x14ac:dyDescent="0.25">
      <c r="J7" s="4"/>
      <c r="K7" s="4"/>
    </row>
    <row r="8" spans="1:11" x14ac:dyDescent="0.25">
      <c r="F8" t="s">
        <v>526</v>
      </c>
      <c r="G8">
        <f ca="1">VLOOKUP(B10,INDIRECT(GlobalPlcmnt!$B$133),GlobalPlcmnt!$B$138,FALSE)</f>
        <v>0</v>
      </c>
      <c r="J8" s="4"/>
      <c r="K8" s="4"/>
    </row>
    <row r="9" spans="1:11" x14ac:dyDescent="0.25">
      <c r="F9" t="s">
        <v>608</v>
      </c>
      <c r="G9">
        <f ca="1">VLOOKUP(B10,INDIRECT(GlobalPlcmnt!$B$133),GlobalPlcmnt!$C$138,FALSE)</f>
        <v>4</v>
      </c>
      <c r="J9" s="4"/>
      <c r="K9" s="4"/>
    </row>
    <row r="10" spans="1:11" x14ac:dyDescent="0.25">
      <c r="A10" t="s">
        <v>559</v>
      </c>
      <c r="B10" t="str">
        <f>IF(A10&lt;&gt;A7,A10&amp;$B$1,"")</f>
        <v>m7M_tls_DINIT</v>
      </c>
      <c r="C10">
        <f>LEN(B10)</f>
        <v>13</v>
      </c>
      <c r="E10" t="s">
        <v>562</v>
      </c>
      <c r="F10">
        <f ca="1">IF(E10="*",F11,VLOOKUP(E10,INDIRECT($F$1),2,FALSE))</f>
        <v>0</v>
      </c>
      <c r="H10">
        <f ca="1">VLOOKUP(B10,INDIRECT(GlobalPlcmnt!$B$133),GlobalPlcmnt!$A$138,FALSE)</f>
        <v>28832</v>
      </c>
      <c r="I10" t="str">
        <f ca="1">"0x"&amp;DEC2HEX(H10,8)</f>
        <v>0x000070A0</v>
      </c>
      <c r="J10" s="4" t="str">
        <f ca="1">IF(E10&lt;&gt;"*","","define symbol "&amp;B10&amp;REPT(" ",$C$4-C10)&amp;" = "&amp;I10&amp;";")</f>
        <v>define symbol m7M_tls_DINIT         = 0x000070A0;</v>
      </c>
      <c r="K10" s="4" t="str">
        <f>IF(E10="*",""""&amp;B10&amp;""":"&amp;REPT(" ",$C$4-C10)&amp;" place at address mem: "&amp;B10&amp;REPT(" ",$C$4-C10)&amp;" { "&amp;$K$1&amp;E10&amp;"("&amp;A10&amp;".a)"&amp;IF(E11=""," };",","),IF(E10="","",REPT(" ",$K$3)&amp;$K$1&amp;E10&amp;IF(E11=""," };",",")))</f>
        <v>"m7M_tls_DINIT":         place at address mem: m7M_tls_DINIT         { ro data section *_init object *(m7M_tls.a) };</v>
      </c>
    </row>
    <row r="11" spans="1:11" x14ac:dyDescent="0.25">
      <c r="B11" t="str">
        <f>B10&amp;"_end"</f>
        <v>m7M_tls_DINIT_end</v>
      </c>
      <c r="F11">
        <f ca="1">VLOOKUP(B11,INDIRECT($F$1),2,FALSE)</f>
        <v>0</v>
      </c>
      <c r="G11">
        <f ca="1">INT(($G$8/100)*F11)</f>
        <v>0</v>
      </c>
      <c r="H11">
        <f ca="1">H10+F10+G11+IF(MOD(F10+H10+G11,$G$9)=0,0,$G$9-MOD(F10+H10+G11,$G$9))</f>
        <v>28832</v>
      </c>
      <c r="I11" t="str">
        <f ca="1">"0x"&amp;DEC2HEX(H11,8)</f>
        <v>0x000070A0</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526</v>
      </c>
      <c r="G13">
        <f ca="1">VLOOKUP(B15,INDIRECT(GlobalPlcmnt!$B$133),GlobalPlcmnt!$B$138,FALSE)</f>
        <v>0</v>
      </c>
      <c r="J13" s="4"/>
      <c r="K13" s="4"/>
    </row>
    <row r="14" spans="1:11" x14ac:dyDescent="0.25">
      <c r="F14" t="s">
        <v>608</v>
      </c>
      <c r="G14">
        <f ca="1">VLOOKUP(B15,INDIRECT(GlobalPlcmnt!$B$133),GlobalPlcmnt!$C$138,FALSE)</f>
        <v>4</v>
      </c>
      <c r="J14" s="4"/>
      <c r="K14" s="4"/>
    </row>
    <row r="15" spans="1:11" x14ac:dyDescent="0.25">
      <c r="A15" t="s">
        <v>560</v>
      </c>
      <c r="B15" t="str">
        <f>IF(A15&lt;&gt;A12,A15&amp;$B$1,"")</f>
        <v>rt7M_tl_DINIT</v>
      </c>
      <c r="C15">
        <f>LEN(B15)</f>
        <v>13</v>
      </c>
      <c r="E15" t="s">
        <v>562</v>
      </c>
      <c r="F15">
        <f ca="1">IF(E15="*",F16,VLOOKUP(E15,INDIRECT($F$1),2,FALSE))</f>
        <v>0</v>
      </c>
      <c r="H15">
        <f ca="1">VLOOKUP(B15,INDIRECT(GlobalPlcmnt!$B$133),GlobalPlcmnt!$A$138,FALSE)</f>
        <v>40256</v>
      </c>
      <c r="I15" t="str">
        <f ca="1">"0x"&amp;DEC2HEX(H15,8)</f>
        <v>0x00009D40</v>
      </c>
      <c r="J15" s="4" t="str">
        <f ca="1">IF(E15&lt;&gt;"*","","define symbol "&amp;B15&amp;REPT(" ",$C$4-C15)&amp;" = "&amp;I15&amp;";")</f>
        <v>define symbol rt7M_tl_DINIT         = 0x00009D40;</v>
      </c>
      <c r="K15" s="4" t="str">
        <f>IF(E15="*",""""&amp;B15&amp;""":"&amp;REPT(" ",$C$4-C15)&amp;" place at address mem: "&amp;B15&amp;REPT(" ",$C$4-C15)&amp;" { "&amp;$K$1&amp;E15&amp;"("&amp;A15&amp;".a)"&amp;IF(E16=""," };",","),IF(E15="","",REPT(" ",$K$3)&amp;$K$1&amp;E15&amp;IF(E16=""," };",",")))</f>
        <v>"rt7M_tl_DINIT":         place at address mem: rt7M_tl_DINIT         { ro data section *_init object *(rt7M_tl.a) };</v>
      </c>
    </row>
    <row r="16" spans="1:11" x14ac:dyDescent="0.25">
      <c r="B16" t="str">
        <f>B15&amp;"_end"</f>
        <v>rt7M_tl_DINIT_end</v>
      </c>
      <c r="F16">
        <f ca="1">VLOOKUP(B16,INDIRECT($F$1),2,FALSE)</f>
        <v>0</v>
      </c>
      <c r="G16">
        <f ca="1">INT(($G$13/100)*F16)</f>
        <v>0</v>
      </c>
      <c r="H16">
        <f ca="1">H15+F15+G16+IF(MOD(F15+H15+G16,$G$14)=0,0,$G$14-MOD(F15+H15+G16,$G$14))</f>
        <v>40256</v>
      </c>
      <c r="I16" t="str">
        <f ca="1">"0x"&amp;DEC2HEX(H16,8)</f>
        <v>0x00009D40</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526</v>
      </c>
      <c r="G18">
        <f ca="1">VLOOKUP(B20,INDIRECT(GlobalPlcmnt!$B$133),GlobalPlcmnt!$B$138,FALSE)</f>
        <v>0</v>
      </c>
      <c r="J18" s="4"/>
      <c r="K18" s="4"/>
    </row>
    <row r="19" spans="1:11" x14ac:dyDescent="0.25">
      <c r="F19" t="s">
        <v>608</v>
      </c>
      <c r="G19">
        <f ca="1">VLOOKUP(B20,INDIRECT(GlobalPlcmnt!$B$133),GlobalPlcmnt!$C$138,FALSE)</f>
        <v>4</v>
      </c>
      <c r="J19" s="4"/>
      <c r="K19" s="4"/>
    </row>
    <row r="20" spans="1:11" x14ac:dyDescent="0.25">
      <c r="A20" t="s">
        <v>561</v>
      </c>
      <c r="B20" t="str">
        <f>IF(A20&lt;&gt;A17,A20&amp;$B$1,"")</f>
        <v>shb_l_DINIT</v>
      </c>
      <c r="C20">
        <f>LEN(B20)</f>
        <v>11</v>
      </c>
      <c r="E20" t="s">
        <v>562</v>
      </c>
      <c r="F20">
        <f ca="1">IF(E20="*",F21,VLOOKUP(E20,INDIRECT($F$1),2,FALSE))</f>
        <v>0</v>
      </c>
      <c r="H20">
        <f ca="1">VLOOKUP(B20,INDIRECT(GlobalPlcmnt!$B$133),GlobalPlcmnt!$A$138,FALSE)</f>
        <v>41904</v>
      </c>
      <c r="I20" t="str">
        <f ca="1">"0x"&amp;DEC2HEX(H20,8)</f>
        <v>0x0000A3B0</v>
      </c>
      <c r="J20" s="4" t="str">
        <f ca="1">IF(E20&lt;&gt;"*","","define symbol "&amp;B20&amp;REPT(" ",$C$4-C20)&amp;" = "&amp;I20&amp;";")</f>
        <v>define symbol shb_l_DINIT           = 0x0000A3B0;</v>
      </c>
      <c r="K20" s="4" t="str">
        <f>IF(E20="*",""""&amp;B20&amp;""":"&amp;REPT(" ",$C$4-C20)&amp;" place at address mem: "&amp;B20&amp;REPT(" ",$C$4-C20)&amp;" { "&amp;$K$1&amp;E20&amp;"("&amp;A20&amp;".a)"&amp;IF(E21=""," };",","),IF(E20="","",REPT(" ",$K$3)&amp;$K$1&amp;E20&amp;IF(E21=""," };",",")))</f>
        <v>"shb_l_DINIT":           place at address mem: shb_l_DINIT           { ro data section *_init object *(shb_l.a) };</v>
      </c>
    </row>
    <row r="21" spans="1:11" x14ac:dyDescent="0.25">
      <c r="B21" t="str">
        <f>B20&amp;"_end"</f>
        <v>shb_l_DINIT_end</v>
      </c>
      <c r="F21">
        <f ca="1">VLOOKUP(B21,INDIRECT($F$1),2,FALSE)</f>
        <v>0</v>
      </c>
      <c r="G21">
        <f ca="1">INT(($G$18/100)*F21)</f>
        <v>0</v>
      </c>
      <c r="H21">
        <f ca="1">H20+F20+G21+IF(MOD(F20+H20+G21,$G$19)=0,0,$G$19-MOD(F20+H20+G21,$G$19))</f>
        <v>41904</v>
      </c>
      <c r="I21" t="str">
        <f ca="1">"0x"&amp;DEC2HEX(H21,8)</f>
        <v>0x0000A3B0</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526</v>
      </c>
      <c r="G23">
        <f ca="1">VLOOKUP(B25,INDIRECT(GlobalPlcmnt!$B$133),GlobalPlcmnt!$B$138,FALSE)</f>
        <v>1</v>
      </c>
      <c r="J23" s="4"/>
      <c r="K23" s="4"/>
    </row>
    <row r="24" spans="1:11" x14ac:dyDescent="0.25">
      <c r="F24" t="s">
        <v>608</v>
      </c>
      <c r="G24">
        <f ca="1">VLOOKUP(B25,INDIRECT(GlobalPlcmnt!$B$133),GlobalPlcmnt!$C$138,FALSE)</f>
        <v>4</v>
      </c>
      <c r="J24" s="4"/>
      <c r="K24" s="4"/>
    </row>
    <row r="25" spans="1:11" x14ac:dyDescent="0.25">
      <c r="A25" t="s">
        <v>539</v>
      </c>
      <c r="B25" t="str">
        <f>IF(A25&lt;&gt;A22,A25&amp;$B$1,"")</f>
        <v>BSP_DINIT</v>
      </c>
      <c r="C25">
        <f>LEN(B25)</f>
        <v>9</v>
      </c>
      <c r="E25" t="s">
        <v>562</v>
      </c>
      <c r="F25">
        <f ca="1">IF(E25="*",F26,VLOOKUP(E25,INDIRECT($F$1),2,FALSE))</f>
        <v>74</v>
      </c>
      <c r="H25">
        <f ca="1">VLOOKUP(B25,INDIRECT(GlobalPlcmnt!$B$133),GlobalPlcmnt!$A$138,FALSE)</f>
        <v>66096</v>
      </c>
      <c r="I25" t="str">
        <f ca="1">"0x"&amp;DEC2HEX(H25,8)</f>
        <v>0x00010230</v>
      </c>
      <c r="J25" s="4" t="str">
        <f ca="1">IF(E25&lt;&gt;"*","","define symbol "&amp;B25&amp;REPT(" ",$C$4-C25)&amp;" = "&amp;I25&amp;";")</f>
        <v>define symbol BSP_DINIT             = 0x00010230;</v>
      </c>
      <c r="K25" s="4" t="str">
        <f>IF(E25="*",""""&amp;B25&amp;""":"&amp;REPT(" ",$C$4-C25)&amp;" place at address mem: "&amp;B25&amp;REPT(" ",$C$4-C25)&amp;" { "&amp;$K$1&amp;E25&amp;"("&amp;A25&amp;".a)"&amp;IF(E26=""," };",","),IF(E25="","",REPT(" ",$K$3)&amp;$K$1&amp;E25&amp;IF(E26=""," };",",")))</f>
        <v>"BSP_DINIT":             place at address mem: BSP_DINIT             { ro data section *_init object *(BSP.a) };</v>
      </c>
    </row>
    <row r="26" spans="1:11" x14ac:dyDescent="0.25">
      <c r="B26" t="str">
        <f>B25&amp;"_end"</f>
        <v>BSP_DINIT_end</v>
      </c>
      <c r="F26">
        <f ca="1">VLOOKUP(B26,INDIRECT($F$1),2,FALSE)</f>
        <v>74</v>
      </c>
      <c r="G26">
        <f ca="1">INT(($G$23/100)*F26)</f>
        <v>0</v>
      </c>
      <c r="H26">
        <f ca="1">F25+H25+G26+IF(MOD(F25+H25+G26,$G$24)=0,0,$G$24-MOD(F25+H25+G26,$G$24))</f>
        <v>66172</v>
      </c>
      <c r="I26" t="str">
        <f ca="1">"0x"&amp;DEC2HEX(H26,8)</f>
        <v>0x0001027C</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526</v>
      </c>
      <c r="G28">
        <f ca="1">VLOOKUP(B30,INDIRECT(GlobalPlcmnt!$B$133),GlobalPlcmnt!$B$138,FALSE)</f>
        <v>1</v>
      </c>
      <c r="J28" s="4"/>
      <c r="K28" s="4"/>
    </row>
    <row r="29" spans="1:11" x14ac:dyDescent="0.25">
      <c r="F29" t="s">
        <v>608</v>
      </c>
      <c r="G29">
        <f ca="1">VLOOKUP(B30,INDIRECT(GlobalPlcmnt!$B$133),GlobalPlcmnt!$C$138,FALSE)</f>
        <v>4</v>
      </c>
      <c r="J29" s="4"/>
      <c r="K29" s="4"/>
    </row>
    <row r="30" spans="1:11" x14ac:dyDescent="0.25">
      <c r="A30" t="s">
        <v>540</v>
      </c>
      <c r="B30" t="str">
        <f>IF(A30&lt;&gt;A27,A30&amp;$B$1,"")</f>
        <v>PSP_DINIT</v>
      </c>
      <c r="C30">
        <f>LEN(B30)</f>
        <v>9</v>
      </c>
      <c r="E30" t="s">
        <v>562</v>
      </c>
      <c r="F30">
        <f ca="1">IF(E30="*",F31,VLOOKUP(E30,INDIRECT($F$1),2,FALSE))</f>
        <v>6</v>
      </c>
      <c r="H30">
        <f ca="1">VLOOKUP(B30,INDIRECT(GlobalPlcmnt!$B$133),GlobalPlcmnt!$A$138,FALSE)</f>
        <v>41968</v>
      </c>
      <c r="I30" t="str">
        <f ca="1">"0x"&amp;DEC2HEX(H30,8)</f>
        <v>0x0000A3F0</v>
      </c>
      <c r="J30" s="4" t="str">
        <f ca="1">IF(E30&lt;&gt;"*","","define symbol "&amp;B30&amp;REPT(" ",$C$4-C30)&amp;" = "&amp;I30&amp;";")</f>
        <v>define symbol PSP_DINIT             = 0x0000A3F0;</v>
      </c>
      <c r="K30" s="4" t="str">
        <f>IF(E30="*",""""&amp;B30&amp;""":"&amp;REPT(" ",$C$4-C30)&amp;" place at address mem: "&amp;B30&amp;REPT(" ",$C$4-C30)&amp;" { "&amp;$K$1&amp;E30&amp;"("&amp;A30&amp;".a)"&amp;IF(E31=""," };",","),IF(E30="","",REPT(" ",$K$3)&amp;$K$1&amp;E30&amp;IF(E31=""," };",",")))</f>
        <v>"PSP_DINIT":             place at address mem: PSP_DINIT             { ro data section *_init object *(PSP.a) };</v>
      </c>
    </row>
    <row r="31" spans="1:11" x14ac:dyDescent="0.25">
      <c r="B31" t="str">
        <f>B30&amp;"_end"</f>
        <v>PSP_DINIT_end</v>
      </c>
      <c r="F31">
        <f ca="1">VLOOKUP(B31,INDIRECT($F$1),2,FALSE)</f>
        <v>6</v>
      </c>
      <c r="G31">
        <f ca="1">INT(($G$28/100)*F31)</f>
        <v>0</v>
      </c>
      <c r="H31">
        <f ca="1">H30+F30+G31+IF(MOD(F30+H30+G31,$G$29)=0,0,$G$29-MOD(F30+H30+G31,$G$29))</f>
        <v>41976</v>
      </c>
      <c r="I31" t="str">
        <f ca="1">"0x"&amp;DEC2HEX(H31,8)</f>
        <v>0x0000A3F8</v>
      </c>
    </row>
    <row r="33" spans="1:11" x14ac:dyDescent="0.25">
      <c r="F33" t="s">
        <v>526</v>
      </c>
      <c r="G33">
        <f ca="1">VLOOKUP(B35,INDIRECT(GlobalPlcmnt!$B$133),GlobalPlcmnt!$B$138,FALSE)</f>
        <v>1</v>
      </c>
      <c r="J33" s="4"/>
      <c r="K33" s="4"/>
    </row>
    <row r="34" spans="1:11" x14ac:dyDescent="0.25">
      <c r="F34" t="s">
        <v>608</v>
      </c>
      <c r="G34">
        <f ca="1">VLOOKUP(B35,INDIRECT(GlobalPlcmnt!$B$133),GlobalPlcmnt!$C$138,FALSE)</f>
        <v>4</v>
      </c>
      <c r="J34" s="4"/>
      <c r="K34" s="4"/>
    </row>
    <row r="35" spans="1:11" x14ac:dyDescent="0.25">
      <c r="A35" t="s">
        <v>541</v>
      </c>
      <c r="B35" t="str">
        <f>SUBSTITUTE(IF(A35&lt;&gt;A32,A35&amp;$B$1,""),"-","_")</f>
        <v>wolfSSL_Lib_MTU_DINIT</v>
      </c>
      <c r="C35">
        <f>LEN(B35)</f>
        <v>21</v>
      </c>
      <c r="E35" t="s">
        <v>562</v>
      </c>
      <c r="F35">
        <f ca="1">IF(E35="*",F36,VLOOKUP(E35,INDIRECT($F$1),2,FALSE))</f>
        <v>2</v>
      </c>
      <c r="H35">
        <f ca="1">VLOOKUP(B35,INDIRECT(GlobalPlcmnt!$B$133),GlobalPlcmnt!$A$138,FALSE)</f>
        <v>84720</v>
      </c>
      <c r="I35" t="str">
        <f ca="1">"0x"&amp;DEC2HEX(H35,8)</f>
        <v>0x00014AF0</v>
      </c>
      <c r="J35" s="4" t="str">
        <f ca="1">IF(E35&lt;&gt;"*","","define symbol "&amp;B35&amp;REPT(" ",$C$4-C35)&amp;" = "&amp;I35&amp;";")</f>
        <v>define symbol wolfSSL_Lib_MTU_DINIT = 0x00014AF0;</v>
      </c>
      <c r="K35" s="4" t="str">
        <f>IF(E35="*",""""&amp;B35&amp;""":"&amp;REPT(" ",$C$4-C35)&amp;" place at address mem: "&amp;B35&amp;REPT(" ",$C$4-C35)&amp;" { "&amp;$K$1&amp;E35&amp;"("&amp;A35&amp;".a)"&amp;IF(E36=""," };",","),IF(E35="","",REPT(" ",$K$3)&amp;$K$1&amp;E35&amp;IF(E36=""," };",",")))</f>
        <v>"wolfSSL_Lib_MTU_DINIT": place at address mem: wolfSSL_Lib_MTU_DINIT { ro data section *_init object *(wolfSSL-Lib_MTU.a) };</v>
      </c>
    </row>
    <row r="36" spans="1:11" x14ac:dyDescent="0.25">
      <c r="B36" t="str">
        <f>B35&amp;"_end"</f>
        <v>wolfSSL_Lib_MTU_DINIT_end</v>
      </c>
      <c r="F36">
        <f ca="1">VLOOKUP(B36,INDIRECT($F$1),2,FALSE)</f>
        <v>2</v>
      </c>
      <c r="G36">
        <f ca="1">INT(($G$33/100)*F36)</f>
        <v>0</v>
      </c>
      <c r="H36">
        <f ca="1">H35+F35+G36+IF(MOD(F35+H35+G36,$G$34)=0,0,$G$34-MOD(F35+H35+G36,$G$34))</f>
        <v>84724</v>
      </c>
      <c r="I36" t="str">
        <f ca="1">"0x"&amp;DEC2HEX(H36,8)</f>
        <v>0x00014AF4</v>
      </c>
    </row>
    <row r="38" spans="1:11" x14ac:dyDescent="0.25">
      <c r="F38" t="s">
        <v>526</v>
      </c>
      <c r="G38">
        <f ca="1">VLOOKUP(B40,INDIRECT(GlobalPlcmnt!$B$133),GlobalPlcmnt!$B$138,FALSE)</f>
        <v>1</v>
      </c>
      <c r="J38" s="2"/>
      <c r="K38" s="2"/>
    </row>
    <row r="39" spans="1:11" x14ac:dyDescent="0.25">
      <c r="F39" t="s">
        <v>608</v>
      </c>
      <c r="G39">
        <f ca="1">VLOOKUP(B40,INDIRECT(GlobalPlcmnt!$B$133),GlobalPlcmnt!$C$138,FALSE)</f>
        <v>4</v>
      </c>
    </row>
    <row r="40" spans="1:11" x14ac:dyDescent="0.25">
      <c r="A40" t="s">
        <v>598</v>
      </c>
      <c r="B40" t="str">
        <f>IF(A40&lt;&gt;A37,A40&amp;$B$1,"")</f>
        <v>DLIB_DINIT</v>
      </c>
      <c r="C40">
        <f>LEN(B40)</f>
        <v>10</v>
      </c>
      <c r="E40" t="s">
        <v>562</v>
      </c>
      <c r="F40">
        <f ca="1">IF(E40="*",F41,VLOOKUP(E40,INDIRECT($F$1),2,FALSE))</f>
        <v>2</v>
      </c>
      <c r="H40">
        <f ca="1">VLOOKUP(B40,INDIRECT(GlobalPlcmnt!$B$133),GlobalPlcmnt!$A$138,FALSE)</f>
        <v>213736</v>
      </c>
      <c r="I40" t="str">
        <f ca="1">"0x"&amp;DEC2HEX(H40,8)</f>
        <v>0x000342E8</v>
      </c>
      <c r="J40" s="4" t="str">
        <f ca="1">IF(E40&lt;&gt;"*","","define symbol "&amp;B40&amp;REPT(" ",$C$4-C40)&amp;" = "&amp;I40&amp;";")</f>
        <v>define symbol DLIB_DINIT            = 0x000342E8;</v>
      </c>
      <c r="K40" s="4" t="str">
        <f>""""&amp;B40&amp;""":"&amp;REPT(" ",$C$4-C40)&amp;" place at address mem: "&amp;B40&amp;REPT(" ",$C$4-C40)&amp;" { ro data section __DLIB_PERTHREAD_init object * };"</f>
        <v>"DLIB_DINIT":            place at address mem: DLIB_DINIT            { ro data section __DLIB_PERTHREAD_init object * };</v>
      </c>
    </row>
    <row r="41" spans="1:11" x14ac:dyDescent="0.25">
      <c r="B41" t="str">
        <f>B40&amp;"_end"</f>
        <v>DLIB_DINIT_end</v>
      </c>
      <c r="F41">
        <f ca="1">VLOOKUP(B41,INDIRECT($F$1),2,FALSE)</f>
        <v>2</v>
      </c>
      <c r="G41">
        <f ca="1">INT(($G$38/100)*F41)</f>
        <v>0</v>
      </c>
      <c r="H41">
        <f ca="1">H40+F40+G41+IF(MOD(F40+H40+G41,$G$39)=0,0,$G$39-MOD(F40+H40+G41,$G$39))</f>
        <v>213740</v>
      </c>
      <c r="I41" t="str">
        <f ca="1">"0x"&amp;DEC2HEX(H41,8)</f>
        <v>0x000342EC</v>
      </c>
      <c r="J41" s="2"/>
      <c r="K41" s="2"/>
    </row>
    <row r="43" spans="1:11" x14ac:dyDescent="0.25">
      <c r="A43" t="s">
        <v>928</v>
      </c>
      <c r="B43" t="str">
        <f ca="1">CELL("address",J41)</f>
        <v>$J$41</v>
      </c>
      <c r="J43" s="4" t="str">
        <f ca="1">J5</f>
        <v>define symbol dl7M_tln_DINIT        = 0x00004400;</v>
      </c>
      <c r="K43" s="4" t="str">
        <f ca="1">IF(MID(J43,1,1)="/","//","")&amp;K5</f>
        <v>"dl7M_tln_DINIT":        place at address mem: dl7M_tln_DINIT        { ro data section *_init object *(dl7M_tln.a) };</v>
      </c>
    </row>
    <row r="44" spans="1:11" x14ac:dyDescent="0.25">
      <c r="J44" s="4" t="str">
        <f ca="1">J10</f>
        <v>define symbol m7M_tls_DINIT         = 0x000070A0;</v>
      </c>
      <c r="K44" s="4" t="str">
        <f ca="1">IF(MID(J44,1,1)="/","//","")&amp;K10</f>
        <v>"m7M_tls_DINIT":         place at address mem: m7M_tls_DINIT         { ro data section *_init object *(m7M_tls.a) };</v>
      </c>
    </row>
    <row r="45" spans="1:11" x14ac:dyDescent="0.25">
      <c r="J45" s="4" t="str">
        <f ca="1">J15</f>
        <v>define symbol rt7M_tl_DINIT         = 0x00009D40;</v>
      </c>
      <c r="K45" s="4" t="str">
        <f ca="1">IF(MID(J45,1,1)="/","//","")&amp;K15</f>
        <v>"rt7M_tl_DINIT":         place at address mem: rt7M_tl_DINIT         { ro data section *_init object *(rt7M_tl.a) };</v>
      </c>
    </row>
    <row r="46" spans="1:11" x14ac:dyDescent="0.25">
      <c r="J46" s="4" t="str">
        <f ca="1">J20</f>
        <v>define symbol shb_l_DINIT           = 0x0000A3B0;</v>
      </c>
      <c r="K46" s="4" t="str">
        <f ca="1">IF(MID(J46,1,1)="/","//","")&amp;K20</f>
        <v>"shb_l_DINIT":           place at address mem: shb_l_DINIT           { ro data section *_init object *(shb_l.a) };</v>
      </c>
    </row>
    <row r="47" spans="1:11" x14ac:dyDescent="0.25">
      <c r="J47" s="4" t="str">
        <f ca="1">J25</f>
        <v>define symbol BSP_DINIT             = 0x00010230;</v>
      </c>
      <c r="K47" s="4" t="str">
        <f ca="1">IF(MID(J47,1,1)="/","//","")&amp;K25</f>
        <v>"BSP_DINIT":             place at address mem: BSP_DINIT             { ro data section *_init object *(BSP.a) };</v>
      </c>
    </row>
    <row r="48" spans="1:11" x14ac:dyDescent="0.25">
      <c r="J48" s="4" t="str">
        <f ca="1">J30</f>
        <v>define symbol PSP_DINIT             = 0x0000A3F0;</v>
      </c>
      <c r="K48" s="4" t="str">
        <f ca="1">IF(MID(J48,1,1)="/","//","")&amp;K30</f>
        <v>"PSP_DINIT":             place at address mem: PSP_DINIT             { ro data section *_init object *(PSP.a) };</v>
      </c>
    </row>
    <row r="49" spans="10:11" x14ac:dyDescent="0.25">
      <c r="J49" s="4" t="str">
        <f ca="1">J35</f>
        <v>define symbol wolfSSL_Lib_MTU_DINIT = 0x00014AF0;</v>
      </c>
      <c r="K49" s="4" t="str">
        <f ca="1">IF(MID(J49,1,1)="/","//","")&amp;K35</f>
        <v>"wolfSSL_Lib_MTU_DINIT": place at address mem: wolfSSL_Lib_MTU_DINIT { ro data section *_init object *(wolfSSL-Lib_MTU.a) };</v>
      </c>
    </row>
    <row r="51" spans="10:11" x14ac:dyDescent="0.25">
      <c r="J51" s="4" t="str">
        <f ca="1">J40</f>
        <v>define symbol DLIB_DINIT            = 0x000342E8;</v>
      </c>
      <c r="K51" s="4" t="str">
        <f ca="1">IF(MID(J51,1,1)="/","//","")&amp;K40</f>
        <v>"DLIB_DINIT":            place at address mem: DLIB_DINIT            { ro data section __DLIB_PERTHREAD_init object * };</v>
      </c>
    </row>
    <row r="52" spans="10:11" x14ac:dyDescent="0.25">
      <c r="K52"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57"/>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8.425781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581</v>
      </c>
      <c r="F1" s="3" t="str">
        <f ca="1">'.map data'!B14</f>
        <v>'.map data'!$AL$133:$AM$185</v>
      </c>
      <c r="K1" t="s">
        <v>579</v>
      </c>
    </row>
    <row r="2" spans="1:11" x14ac:dyDescent="0.25">
      <c r="F2" t="s">
        <v>526</v>
      </c>
      <c r="G2">
        <f ca="1">VLOOKUP(B5,INDIRECT(GlobalPlcmnt!$B$134),GlobalPlcmnt!$B$138,FALSE)</f>
        <v>5</v>
      </c>
    </row>
    <row r="3" spans="1:11" x14ac:dyDescent="0.25">
      <c r="A3" t="s">
        <v>927</v>
      </c>
      <c r="B3" t="str">
        <f ca="1">CELL("address",B5)</f>
        <v>$B$5</v>
      </c>
      <c r="F3" t="s">
        <v>608</v>
      </c>
      <c r="G3">
        <f ca="1">VLOOKUP(B5,INDIRECT(GlobalPlcmnt!$B$134),GlobalPlcmnt!$C$138,FALSE)</f>
        <v>8</v>
      </c>
      <c r="K3">
        <f>2*$C$4+LEN("place at address mem: { ")+5</f>
        <v>69</v>
      </c>
    </row>
    <row r="4" spans="1:11" x14ac:dyDescent="0.25">
      <c r="C4">
        <f>MAX(C5:C40)</f>
        <v>20</v>
      </c>
      <c r="F4" t="s">
        <v>542</v>
      </c>
    </row>
    <row r="5" spans="1:11" x14ac:dyDescent="0.25">
      <c r="A5" t="s">
        <v>558</v>
      </c>
      <c r="B5" t="str">
        <f>IF(A5&lt;&gt;A3,A5&amp;$B$1,"")</f>
        <v>dl7M_tln_INIT</v>
      </c>
      <c r="C5">
        <f>LEN(B5)</f>
        <v>13</v>
      </c>
      <c r="E5" t="s">
        <v>562</v>
      </c>
      <c r="F5">
        <f ca="1">IF(E5="*",F6,VLOOKUP(E5,INDIRECT($F$1),2,FALSE))</f>
        <v>0</v>
      </c>
      <c r="H5">
        <f ca="1">VLOOKUP(B5,INDIRECT(GlobalPlcmnt!$B$134),GlobalPlcmnt!$A$138,FALSE)</f>
        <v>536805384</v>
      </c>
      <c r="I5" t="str">
        <f ca="1">"0x"&amp;DEC2HEX(H5,8)</f>
        <v>0x1FFF0008</v>
      </c>
      <c r="J5" s="4" t="str">
        <f ca="1">IF(E5&lt;&gt;"*","","define symbol "&amp;B5&amp;REPT(" ",$C$4-C5)&amp;" = "&amp;I5&amp;";")</f>
        <v>define symbol dl7M_tln_INIT        = 0x1FFF0008;</v>
      </c>
      <c r="K5" s="4" t="str">
        <f>IF(E5="*",""""&amp;B5&amp;""":"&amp;REPT(" ",$C$4-C5)&amp;" place at address mem: "&amp;B5&amp;REPT(" ",$C$4-C5)&amp;" { "&amp;$K$1&amp;E5&amp;"("&amp;A5&amp;".a)"&amp;IF(E6=""," };",","),IF(E5="","",REPT(" ",$K$3)&amp;$K$1&amp;E5&amp;IF(E6=""," };",",")))</f>
        <v>"dl7M_tln_INIT":        place at address mem: dl7M_tln_INIT        { rw data section .data object *(dl7M_tln.a) };</v>
      </c>
    </row>
    <row r="6" spans="1:11" x14ac:dyDescent="0.25">
      <c r="B6" t="str">
        <f>B5&amp;"_end"</f>
        <v>dl7M_tln_INIT_end</v>
      </c>
      <c r="F6">
        <f ca="1">VLOOKUP(B6,INDIRECT($F$1),2,FALSE)</f>
        <v>0</v>
      </c>
      <c r="G6">
        <f ca="1">INT(($G$2/100)*F6)</f>
        <v>0</v>
      </c>
      <c r="H6">
        <f ca="1">H5+F5+G6+IF(MOD(F5+H5+G6,$G$3)=0,0,$G$3-MOD(F5+H5+G6,$G$3))</f>
        <v>536805384</v>
      </c>
      <c r="I6" t="str">
        <f ca="1">"0x"&amp;DEC2HEX(H6,8)</f>
        <v>0x1FFF0008</v>
      </c>
      <c r="J6" s="4"/>
      <c r="K6" s="4"/>
    </row>
    <row r="7" spans="1:11" x14ac:dyDescent="0.25">
      <c r="J7" s="4"/>
      <c r="K7" s="4"/>
    </row>
    <row r="8" spans="1:11" x14ac:dyDescent="0.25">
      <c r="F8" t="s">
        <v>526</v>
      </c>
      <c r="G8">
        <f ca="1">VLOOKUP(B10,INDIRECT(GlobalPlcmnt!$B$134),GlobalPlcmnt!$B$138,FALSE)</f>
        <v>5</v>
      </c>
      <c r="J8" s="4"/>
      <c r="K8" s="4"/>
    </row>
    <row r="9" spans="1:11" x14ac:dyDescent="0.25">
      <c r="F9" t="s">
        <v>608</v>
      </c>
      <c r="G9">
        <f ca="1">VLOOKUP(B10,INDIRECT(GlobalPlcmnt!$B$134),GlobalPlcmnt!$C$138,FALSE)</f>
        <v>8</v>
      </c>
      <c r="J9" s="4"/>
      <c r="K9" s="4"/>
    </row>
    <row r="10" spans="1:11" x14ac:dyDescent="0.25">
      <c r="A10" t="s">
        <v>559</v>
      </c>
      <c r="B10" t="str">
        <f>IF(A10&lt;&gt;A7,A10&amp;$B$1,"")</f>
        <v>m7M_tls_INIT</v>
      </c>
      <c r="C10">
        <f>LEN(B10)</f>
        <v>12</v>
      </c>
      <c r="E10" t="s">
        <v>562</v>
      </c>
      <c r="F10">
        <f ca="1">IF(E10="*",F11,VLOOKUP(E10,INDIRECT($F$1),2,FALSE))</f>
        <v>0</v>
      </c>
      <c r="H10">
        <f ca="1">VLOOKUP(B10,INDIRECT(GlobalPlcmnt!$B$134),GlobalPlcmnt!$A$138,FALSE)</f>
        <v>536805384</v>
      </c>
      <c r="I10" t="str">
        <f ca="1">"0x"&amp;DEC2HEX(H10,8)</f>
        <v>0x1FFF0008</v>
      </c>
      <c r="J10" s="4" t="str">
        <f ca="1">IF(E10&lt;&gt;"*","","define symbol "&amp;B10&amp;REPT(" ",$C$4-C10)&amp;" = "&amp;I10&amp;";")</f>
        <v>define symbol m7M_tls_INIT         = 0x1FFF0008;</v>
      </c>
      <c r="K10" s="4" t="str">
        <f>IF(E10="*",""""&amp;B10&amp;""":"&amp;REPT(" ",$C$4-C10)&amp;" place at address mem: "&amp;B10&amp;REPT(" ",$C$4-C10)&amp;" { "&amp;$K$1&amp;E10&amp;"("&amp;A10&amp;".a)"&amp;IF(E11=""," };",","),IF(E10="","",REPT(" ",$K$3)&amp;$K$1&amp;E10&amp;IF(E11=""," };",",")))</f>
        <v>"m7M_tls_INIT":         place at address mem: m7M_tls_INIT         { rw data section .data object *(m7M_tls.a) };</v>
      </c>
    </row>
    <row r="11" spans="1:11" x14ac:dyDescent="0.25">
      <c r="B11" t="str">
        <f>B10&amp;"_end"</f>
        <v>m7M_tls_INIT_end</v>
      </c>
      <c r="F11">
        <f ca="1">VLOOKUP(B11,INDIRECT($F$1),2,FALSE)</f>
        <v>0</v>
      </c>
      <c r="G11">
        <f ca="1">INT(($G$8/100)*F11)</f>
        <v>0</v>
      </c>
      <c r="H11">
        <f ca="1">H10+F10+G11+IF(MOD(F10+H10+G11,$G$9)=0,0,$G$9-MOD(F10+H10+G11,$G$9))</f>
        <v>536805384</v>
      </c>
      <c r="I11" t="str">
        <f ca="1">"0x"&amp;DEC2HEX(H11,8)</f>
        <v>0x1FFF0008</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526</v>
      </c>
      <c r="G13">
        <f ca="1">VLOOKUP(B15,INDIRECT(GlobalPlcmnt!$B$134),GlobalPlcmnt!$B$138,FALSE)</f>
        <v>5</v>
      </c>
      <c r="J13" s="4"/>
      <c r="K13" s="4"/>
    </row>
    <row r="14" spans="1:11" x14ac:dyDescent="0.25">
      <c r="F14" t="s">
        <v>608</v>
      </c>
      <c r="G14">
        <f ca="1">VLOOKUP(B15,INDIRECT(GlobalPlcmnt!$B$134),GlobalPlcmnt!$C$138,FALSE)</f>
        <v>8</v>
      </c>
      <c r="J14" s="4"/>
      <c r="K14" s="4"/>
    </row>
    <row r="15" spans="1:11" x14ac:dyDescent="0.25">
      <c r="A15" t="s">
        <v>560</v>
      </c>
      <c r="B15" t="str">
        <f>IF(A15&lt;&gt;A12,A15&amp;$B$1,"")</f>
        <v>rt7M_tl_INIT</v>
      </c>
      <c r="C15">
        <f>LEN(B15)</f>
        <v>12</v>
      </c>
      <c r="E15" t="s">
        <v>562</v>
      </c>
      <c r="F15">
        <f ca="1">IF(E15="*",F16,VLOOKUP(E15,INDIRECT($F$1),2,FALSE))</f>
        <v>0</v>
      </c>
      <c r="H15">
        <f ca="1">VLOOKUP(B15,INDIRECT(GlobalPlcmnt!$B$134),GlobalPlcmnt!$A$138,FALSE)</f>
        <v>536805384</v>
      </c>
      <c r="I15" t="str">
        <f ca="1">"0x"&amp;DEC2HEX(H15,8)</f>
        <v>0x1FFF0008</v>
      </c>
      <c r="J15" s="4" t="str">
        <f ca="1">IF(E15&lt;&gt;"*","","define symbol "&amp;B15&amp;REPT(" ",$C$4-C15)&amp;" = "&amp;I15&amp;";")</f>
        <v>define symbol rt7M_tl_INIT         = 0x1FFF0008;</v>
      </c>
      <c r="K15" s="4" t="str">
        <f>IF(E15="*",""""&amp;B15&amp;""":"&amp;REPT(" ",$C$4-C15)&amp;" place at address mem: "&amp;B15&amp;REPT(" ",$C$4-C15)&amp;" { "&amp;$K$1&amp;E15&amp;"("&amp;A15&amp;".a)"&amp;IF(E16=""," };",","),IF(E15="","",REPT(" ",$K$3)&amp;$K$1&amp;E15&amp;IF(E16=""," };",",")))</f>
        <v>"rt7M_tl_INIT":         place at address mem: rt7M_tl_INIT         { rw data section .data object *(rt7M_tl.a) };</v>
      </c>
    </row>
    <row r="16" spans="1:11" x14ac:dyDescent="0.25">
      <c r="B16" t="str">
        <f>B15&amp;"_end"</f>
        <v>rt7M_tl_INIT_end</v>
      </c>
      <c r="F16">
        <f ca="1">VLOOKUP(B16,INDIRECT($F$1),2,FALSE)</f>
        <v>0</v>
      </c>
      <c r="G16">
        <f ca="1">INT(($G$13/100)*F16)</f>
        <v>0</v>
      </c>
      <c r="H16">
        <f ca="1">H15+F15+G16+IF(MOD(F15+H15+G16,$G$14)=0,0,$G$14-MOD(F15+H15+G16,$G$14))</f>
        <v>536805384</v>
      </c>
      <c r="I16" t="str">
        <f ca="1">"0x"&amp;DEC2HEX(H16,8)</f>
        <v>0x1FFF0008</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526</v>
      </c>
      <c r="G18">
        <f ca="1">VLOOKUP(B20,INDIRECT(GlobalPlcmnt!$B$134),GlobalPlcmnt!$B$138,FALSE)</f>
        <v>5</v>
      </c>
      <c r="J18" s="4"/>
      <c r="K18" s="4"/>
    </row>
    <row r="19" spans="1:11" x14ac:dyDescent="0.25">
      <c r="F19" t="s">
        <v>608</v>
      </c>
      <c r="G19">
        <f ca="1">VLOOKUP(B20,INDIRECT(GlobalPlcmnt!$B$134),GlobalPlcmnt!$C$138,FALSE)</f>
        <v>8</v>
      </c>
      <c r="J19" s="4"/>
      <c r="K19" s="4"/>
    </row>
    <row r="20" spans="1:11" x14ac:dyDescent="0.25">
      <c r="A20" t="s">
        <v>561</v>
      </c>
      <c r="B20" t="str">
        <f>IF(A20&lt;&gt;A17,A20&amp;$B$1,"")</f>
        <v>shb_l_INIT</v>
      </c>
      <c r="C20">
        <f>LEN(B20)</f>
        <v>10</v>
      </c>
      <c r="E20" t="s">
        <v>562</v>
      </c>
      <c r="F20">
        <f ca="1">IF(E20="*",F21,VLOOKUP(E20,INDIRECT($F$1),2,FALSE))</f>
        <v>0</v>
      </c>
      <c r="H20">
        <f ca="1">VLOOKUP(B20,INDIRECT(GlobalPlcmnt!$B$134),GlobalPlcmnt!$A$138,FALSE)</f>
        <v>536805400</v>
      </c>
      <c r="I20" t="str">
        <f ca="1">"0x"&amp;DEC2HEX(H20,8)</f>
        <v>0x1FFF0018</v>
      </c>
      <c r="J20" s="4" t="str">
        <f ca="1">IF(E20&lt;&gt;"*","","define symbol "&amp;B20&amp;REPT(" ",$C$4-C20)&amp;" = "&amp;I20&amp;";")</f>
        <v>define symbol shb_l_INIT           = 0x1FFF0018;</v>
      </c>
      <c r="K20" s="4" t="str">
        <f>IF(E20="*",""""&amp;B20&amp;""":"&amp;REPT(" ",$C$4-C20)&amp;" place at address mem: "&amp;B20&amp;REPT(" ",$C$4-C20)&amp;" { "&amp;$K$1&amp;E20&amp;"("&amp;A20&amp;".a)"&amp;IF(E21=""," };",","),IF(E20="","",REPT(" ",$K$3)&amp;$K$1&amp;E20&amp;IF(E21=""," };",",")))</f>
        <v>"shb_l_INIT":           place at address mem: shb_l_INIT           { rw data section .data object *(shb_l.a) };</v>
      </c>
    </row>
    <row r="21" spans="1:11" x14ac:dyDescent="0.25">
      <c r="B21" t="str">
        <f>B20&amp;"_end"</f>
        <v>shb_l_INIT_end</v>
      </c>
      <c r="F21">
        <f ca="1">VLOOKUP(B21,INDIRECT($F$1),2,FALSE)</f>
        <v>0</v>
      </c>
      <c r="G21">
        <f ca="1">INT(($G$18/100)*F21)</f>
        <v>0</v>
      </c>
      <c r="H21">
        <f ca="1">H20+F20+G21+IF(MOD(F20+H20+G21,$G$19)=0,0,$G$19-MOD(F20+H20+G21,$G$19))</f>
        <v>536805400</v>
      </c>
      <c r="I21" t="str">
        <f ca="1">"0x"&amp;DEC2HEX(H21,8)</f>
        <v>0x1FFF0018</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526</v>
      </c>
      <c r="G23">
        <f ca="1">VLOOKUP(B25,INDIRECT(GlobalPlcmnt!$B$134),GlobalPlcmnt!$B$138,FALSE)</f>
        <v>5</v>
      </c>
      <c r="J23" s="4"/>
      <c r="K23" s="4"/>
    </row>
    <row r="24" spans="1:11" x14ac:dyDescent="0.25">
      <c r="F24" t="s">
        <v>608</v>
      </c>
      <c r="G24">
        <f ca="1">VLOOKUP(B25,INDIRECT(GlobalPlcmnt!$B$134),GlobalPlcmnt!$C$138,FALSE)</f>
        <v>8</v>
      </c>
      <c r="J24" s="4"/>
      <c r="K24" s="4"/>
    </row>
    <row r="25" spans="1:11" x14ac:dyDescent="0.25">
      <c r="A25" t="s">
        <v>539</v>
      </c>
      <c r="B25" t="str">
        <f>IF(A25&lt;&gt;A22,A25&amp;$B$1,"")</f>
        <v>BSP_INIT</v>
      </c>
      <c r="C25">
        <f>LEN(B25)</f>
        <v>8</v>
      </c>
      <c r="E25" t="s">
        <v>562</v>
      </c>
      <c r="F25">
        <f ca="1">IF(E25="*",F26,VLOOKUP(E25,INDIRECT($F$1),2,FALSE))</f>
        <v>172</v>
      </c>
      <c r="H25">
        <f ca="1">VLOOKUP(B25,INDIRECT(GlobalPlcmnt!$B$134),GlobalPlcmnt!$A$138,FALSE)</f>
        <v>536805416</v>
      </c>
      <c r="I25" t="str">
        <f ca="1">"0x"&amp;DEC2HEX(H25,8)</f>
        <v>0x1FFF0028</v>
      </c>
      <c r="J25" s="4" t="str">
        <f ca="1">IF(E25&lt;&gt;"*","","define symbol "&amp;B25&amp;REPT(" ",$C$4-C25)&amp;" = "&amp;I25&amp;";")</f>
        <v>define symbol BSP_INIT             = 0x1FFF0028;</v>
      </c>
      <c r="K25" s="4" t="str">
        <f>IF(E25="*",""""&amp;B25&amp;""":"&amp;REPT(" ",$C$4-C25)&amp;" place at address mem: "&amp;B25&amp;REPT(" ",$C$4-C25)&amp;" { "&amp;$K$1&amp;E25&amp;"("&amp;A25&amp;".a)"&amp;IF(E26=""," };",","),IF(E25="","",REPT(" ",$K$3)&amp;$K$1&amp;E25&amp;IF(E26=""," };",",")))</f>
        <v>"BSP_INIT":             place at address mem: BSP_INIT             { rw data section .data object *(BSP.a) };</v>
      </c>
    </row>
    <row r="26" spans="1:11" x14ac:dyDescent="0.25">
      <c r="B26" t="str">
        <f>B25&amp;"_end"</f>
        <v>BSP_INIT_end</v>
      </c>
      <c r="F26">
        <f ca="1">VLOOKUP(B26,INDIRECT($F$1),2,FALSE)</f>
        <v>172</v>
      </c>
      <c r="G26">
        <f ca="1">INT(($G$23/100)*F26)</f>
        <v>8</v>
      </c>
      <c r="H26">
        <f ca="1">F25+H25+G26+IF(MOD(F25+H25+G26,$G$24)=0,0,$G$24-MOD(F25+H25+G26,$G$24))</f>
        <v>536805600</v>
      </c>
      <c r="I26" t="str">
        <f ca="1">"0x"&amp;DEC2HEX(H26,8)</f>
        <v>0x1FFF00E0</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526</v>
      </c>
      <c r="G28">
        <f ca="1">VLOOKUP(B30,INDIRECT(GlobalPlcmnt!$B$134),GlobalPlcmnt!$B$138,FALSE)</f>
        <v>5</v>
      </c>
      <c r="J28" s="4"/>
      <c r="K28" s="4"/>
    </row>
    <row r="29" spans="1:11" x14ac:dyDescent="0.25">
      <c r="F29" t="s">
        <v>608</v>
      </c>
      <c r="G29">
        <f ca="1">VLOOKUP(B30,INDIRECT(GlobalPlcmnt!$B$134),GlobalPlcmnt!$C$138,FALSE)</f>
        <v>8</v>
      </c>
      <c r="J29" s="4"/>
      <c r="K29" s="4"/>
    </row>
    <row r="30" spans="1:11" x14ac:dyDescent="0.25">
      <c r="A30" t="s">
        <v>540</v>
      </c>
      <c r="B30" t="str">
        <f>IF(A30&lt;&gt;A27,A30&amp;$B$1,"")</f>
        <v>PSP_INIT</v>
      </c>
      <c r="C30">
        <f>LEN(B30)</f>
        <v>8</v>
      </c>
      <c r="E30" t="s">
        <v>562</v>
      </c>
      <c r="F30">
        <f ca="1">IF(E30="*",F31,VLOOKUP(E30,INDIRECT($F$1),2,FALSE))</f>
        <v>8</v>
      </c>
      <c r="H30">
        <f ca="1">VLOOKUP(B30,INDIRECT(GlobalPlcmnt!$B$134),GlobalPlcmnt!$A$138,FALSE)</f>
        <v>536805400</v>
      </c>
      <c r="I30" t="str">
        <f ca="1">"0x"&amp;DEC2HEX(H30,8)</f>
        <v>0x1FFF0018</v>
      </c>
      <c r="J30" s="4" t="str">
        <f ca="1">IF(E30&lt;&gt;"*","","define symbol "&amp;B30&amp;REPT(" ",$C$4-C30)&amp;" = "&amp;I30&amp;";")</f>
        <v>define symbol PSP_INIT             = 0x1FFF0018;</v>
      </c>
      <c r="K30" s="4" t="str">
        <f>IF(E30="*",""""&amp;B30&amp;""":"&amp;REPT(" ",$C$4-C30)&amp;" place at address mem: "&amp;B30&amp;REPT(" ",$C$4-C30)&amp;" { "&amp;$K$1&amp;E30&amp;"("&amp;A30&amp;".a)"&amp;IF(E31=""," };",","),IF(E30="","",REPT(" ",$K$3)&amp;$K$1&amp;E30&amp;IF(E31=""," };",",")))</f>
        <v>"PSP_INIT":             place at address mem: PSP_INIT             { rw data section .data object *(PSP.a) };</v>
      </c>
    </row>
    <row r="31" spans="1:11" x14ac:dyDescent="0.25">
      <c r="B31" t="str">
        <f>B30&amp;"_end"</f>
        <v>PSP_INIT_end</v>
      </c>
      <c r="F31">
        <f ca="1">VLOOKUP(B31,INDIRECT($F$1),2,FALSE)</f>
        <v>8</v>
      </c>
      <c r="G31">
        <f ca="1">INT(($G$28/100)*F31)</f>
        <v>0</v>
      </c>
      <c r="H31">
        <f ca="1">H30+F30+G31+IF(MOD(F30+H30+G31,$G$29)=0,0,$G$29-MOD(F30+H30+G31,$G$29))</f>
        <v>536805408</v>
      </c>
      <c r="I31" t="str">
        <f ca="1">"0x"&amp;DEC2HEX(H31,8)</f>
        <v>0x1FFF0020</v>
      </c>
    </row>
    <row r="33" spans="1:11" x14ac:dyDescent="0.25">
      <c r="F33" t="s">
        <v>526</v>
      </c>
      <c r="G33">
        <f ca="1">VLOOKUP(B35,INDIRECT(GlobalPlcmnt!$B$134),GlobalPlcmnt!$B$138,FALSE)</f>
        <v>5</v>
      </c>
      <c r="J33" s="4"/>
      <c r="K33" s="4"/>
    </row>
    <row r="34" spans="1:11" x14ac:dyDescent="0.25">
      <c r="F34" t="s">
        <v>608</v>
      </c>
      <c r="G34">
        <f ca="1">VLOOKUP(B35,INDIRECT(GlobalPlcmnt!$B$134),GlobalPlcmnt!$C$138,FALSE)</f>
        <v>8</v>
      </c>
      <c r="J34" s="4"/>
      <c r="K34" s="4"/>
    </row>
    <row r="35" spans="1:11" x14ac:dyDescent="0.25">
      <c r="A35" t="s">
        <v>541</v>
      </c>
      <c r="B35" t="str">
        <f>SUBSTITUTE(IF(A35&lt;&gt;A32,A35&amp;$B$1,""),"-","_")</f>
        <v>wolfSSL_Lib_MTU_INIT</v>
      </c>
      <c r="C35">
        <f>LEN(B35)</f>
        <v>20</v>
      </c>
      <c r="E35" t="s">
        <v>562</v>
      </c>
      <c r="F35">
        <f ca="1">IF(E35="*",F36,VLOOKUP(E35,INDIRECT($F$1),2,FALSE))</f>
        <v>1</v>
      </c>
      <c r="H35">
        <f ca="1">VLOOKUP(B35,INDIRECT(GlobalPlcmnt!$B$134),GlobalPlcmnt!$A$138,FALSE)</f>
        <v>536805776</v>
      </c>
      <c r="I35" t="str">
        <f ca="1">"0x"&amp;DEC2HEX(H35,8)</f>
        <v>0x1FFF0190</v>
      </c>
      <c r="J35" s="4" t="str">
        <f ca="1">IF(E35&lt;&gt;"*","","define symbol "&amp;B35&amp;REPT(" ",$C$4-C35)&amp;" = "&amp;I35&amp;";")</f>
        <v>define symbol wolfSSL_Lib_MTU_INIT = 0x1FFF0190;</v>
      </c>
      <c r="K35" s="4" t="str">
        <f>IF(E35="*",""""&amp;B35&amp;""":"&amp;REPT(" ",$C$4-C35)&amp;" place at address mem: "&amp;B35&amp;REPT(" ",$C$4-C35)&amp;" { "&amp;$K$1&amp;E35&amp;"("&amp;A35&amp;".a)"&amp;IF(E36=""," };",","),IF(E35="","",REPT(" ",$K$3)&amp;$K$1&amp;E35&amp;IF(E36=""," };",",")))</f>
        <v>"wolfSSL_Lib_MTU_INIT": place at address mem: wolfSSL_Lib_MTU_INIT { rw data section .data object *(wolfSSL-Lib_MTU.a) };</v>
      </c>
    </row>
    <row r="36" spans="1:11" x14ac:dyDescent="0.25">
      <c r="B36" t="str">
        <f>B35&amp;"_end"</f>
        <v>wolfSSL_Lib_MTU_INIT_end</v>
      </c>
      <c r="F36">
        <f ca="1">VLOOKUP(B36,INDIRECT($F$1),2,FALSE)</f>
        <v>1</v>
      </c>
      <c r="G36">
        <f ca="1">INT(($G$33/100)*F36)</f>
        <v>0</v>
      </c>
      <c r="H36">
        <f ca="1">H35+F35+G36+IF(MOD(F35+H35+G36,$G$34)=0,0,$G$34-MOD(F35+H35+G36,$G$34))</f>
        <v>536805784</v>
      </c>
      <c r="I36" t="str">
        <f ca="1">"0x"&amp;DEC2HEX(H36,8)</f>
        <v>0x1FFF0198</v>
      </c>
    </row>
    <row r="38" spans="1:11" x14ac:dyDescent="0.25">
      <c r="F38" t="s">
        <v>526</v>
      </c>
      <c r="G38">
        <f ca="1">VLOOKUP(B40,INDIRECT(GlobalPlcmnt!$B$134),GlobalPlcmnt!$B$138,FALSE)</f>
        <v>0</v>
      </c>
      <c r="J38" s="2"/>
      <c r="K38" s="2"/>
    </row>
    <row r="39" spans="1:11" x14ac:dyDescent="0.25">
      <c r="F39" t="s">
        <v>608</v>
      </c>
      <c r="G39">
        <f ca="1">VLOOKUP(B40,INDIRECT(GlobalPlcmnt!$B$134),GlobalPlcmnt!$C$138,FALSE)</f>
        <v>16</v>
      </c>
    </row>
    <row r="40" spans="1:11" x14ac:dyDescent="0.25">
      <c r="A40" t="s">
        <v>456</v>
      </c>
      <c r="B40" t="str">
        <f>IF(A40&lt;&gt;A37,A40&amp;$B$1,"")</f>
        <v>KERNEL_DATA_INIT</v>
      </c>
      <c r="C40">
        <f>LEN(B40)</f>
        <v>16</v>
      </c>
      <c r="E40" t="s">
        <v>562</v>
      </c>
      <c r="F40">
        <f ca="1">IF(E40="*",F41,VLOOKUP(E40,INDIRECT($F$1),2,FALSE))</f>
        <v>4</v>
      </c>
      <c r="H40">
        <f ca="1">VLOOKUP(B40,INDIRECT(GlobalPlcmnt!$B$134),GlobalPlcmnt!$A$138,FALSE)</f>
        <v>536859776</v>
      </c>
      <c r="I40" t="str">
        <f ca="1">"0x"&amp;DEC2HEX(H40,8)</f>
        <v>0x1FFFD480</v>
      </c>
      <c r="J40" s="4" t="str">
        <f ca="1">IF(E40&lt;&gt;"*","","define symbol "&amp;B40&amp;REPT(" ",$C$4-C40)&amp;" = "&amp;I40&amp;";")</f>
        <v>define symbol KERNEL_DATA_INIT     = 0x1FFFD480;</v>
      </c>
      <c r="K40" s="4" t="str">
        <f>""""&amp;B40&amp;""":"&amp;REPT(" ",$C$4-C40)&amp;" place at address mem: "&amp;B40&amp;REPT(" ",$C$4-C40)&amp;" { rw data section .kernel_data object * };"</f>
        <v>"KERNEL_DATA_INIT":     place at address mem: KERNEL_DATA_INIT     { rw data section .kernel_data object * };</v>
      </c>
    </row>
    <row r="41" spans="1:11" x14ac:dyDescent="0.25">
      <c r="B41" t="str">
        <f>B40&amp;"_end"</f>
        <v>KERNEL_DATA_INIT_end</v>
      </c>
      <c r="F41">
        <f ca="1">VLOOKUP(B41,INDIRECT($F$1),2,FALSE)</f>
        <v>4</v>
      </c>
      <c r="G41">
        <f ca="1">INT(($G$38/100)*F41)</f>
        <v>0</v>
      </c>
      <c r="H41">
        <f ca="1">H40+F40+G41+IF(MOD(F40+H40+G41,$G$39)=0,0,$G$39-MOD(F40+H40+G41,$G$39))</f>
        <v>536859792</v>
      </c>
      <c r="I41" t="str">
        <f ca="1">"0x"&amp;DEC2HEX(H41,8)</f>
        <v>0x1FFFD490</v>
      </c>
      <c r="J41" s="2"/>
      <c r="K41" s="2"/>
    </row>
    <row r="43" spans="1:11" x14ac:dyDescent="0.25">
      <c r="F43" t="s">
        <v>526</v>
      </c>
      <c r="G43">
        <f ca="1">VLOOKUP(B45,INDIRECT(GlobalPlcmnt!$B$134),GlobalPlcmnt!$B$138,FALSE)</f>
        <v>5</v>
      </c>
      <c r="J43" s="2"/>
      <c r="K43" s="2"/>
    </row>
    <row r="44" spans="1:11" x14ac:dyDescent="0.25">
      <c r="F44" t="s">
        <v>608</v>
      </c>
      <c r="G44">
        <f ca="1">VLOOKUP(B45,INDIRECT(GlobalPlcmnt!$B$134),GlobalPlcmnt!$C$138,FALSE)</f>
        <v>8</v>
      </c>
    </row>
    <row r="45" spans="1:11" x14ac:dyDescent="0.25">
      <c r="A45" t="s">
        <v>598</v>
      </c>
      <c r="B45" t="str">
        <f>IF(A45&lt;&gt;A42,A45&amp;$B$1,"")</f>
        <v>DLIB_INIT</v>
      </c>
      <c r="C45">
        <f>LEN(B45)</f>
        <v>9</v>
      </c>
      <c r="E45" t="s">
        <v>562</v>
      </c>
      <c r="F45">
        <f ca="1">IF(E45="*",F46,VLOOKUP(E45,INDIRECT($F$1),2,FALSE))</f>
        <v>8</v>
      </c>
      <c r="H45">
        <f ca="1">VLOOKUP(B45,INDIRECT(GlobalPlcmnt!$B$134),GlobalPlcmnt!$A$138,FALSE)</f>
        <v>536805376</v>
      </c>
      <c r="I45" t="str">
        <f ca="1">"0x"&amp;DEC2HEX(H45,8)</f>
        <v>0x1FFF0000</v>
      </c>
      <c r="J45" s="4" t="str">
        <f ca="1">IF(E45&lt;&gt;"*","","define symbol "&amp;B45&amp;REPT(" ",$C$4-C45)&amp;" = "&amp;I45&amp;";")</f>
        <v>define symbol DLIB_INIT            = 0x1FFF0000;</v>
      </c>
      <c r="K45" s="4" t="str">
        <f>""""&amp;B45&amp;""":"&amp;REPT(" ",$C$4-C45)&amp;" place at address mem: "&amp;B45&amp;REPT(" ",$C$4-C45)&amp;" { rw data section __DLIB_PERTHREAD object * };"</f>
        <v>"DLIB_INIT":            place at address mem: DLIB_INIT            { rw data section __DLIB_PERTHREAD object * };</v>
      </c>
    </row>
    <row r="46" spans="1:11" x14ac:dyDescent="0.25">
      <c r="B46" t="str">
        <f>B45&amp;"_end"</f>
        <v>DLIB_INIT_end</v>
      </c>
      <c r="F46">
        <f ca="1">VLOOKUP(B46,INDIRECT($F$1),2,FALSE)</f>
        <v>8</v>
      </c>
      <c r="G46">
        <f ca="1">INT(($G$43/100)*F46)</f>
        <v>0</v>
      </c>
      <c r="H46">
        <f ca="1">H45+F45+G46+IF(MOD(F45+H45+G46,$G$44)=0,0,$G$44-MOD(F45+H45+G46,$G$44))</f>
        <v>536805384</v>
      </c>
      <c r="I46" t="str">
        <f ca="1">"0x"&amp;DEC2HEX(H46,8)</f>
        <v>0x1FFF0008</v>
      </c>
      <c r="J46" s="2"/>
      <c r="K46" s="2"/>
    </row>
    <row r="48" spans="1:11" x14ac:dyDescent="0.25">
      <c r="A48" t="s">
        <v>928</v>
      </c>
      <c r="B48" t="str">
        <f ca="1">CELL("address",J46)</f>
        <v>$J$46</v>
      </c>
      <c r="J48" s="4" t="str">
        <f ca="1">J45</f>
        <v>define symbol DLIB_INIT            = 0x1FFF0000;</v>
      </c>
      <c r="K48" s="4" t="str">
        <f>K45</f>
        <v>"DLIB_INIT":            place at address mem: DLIB_INIT            { rw data section __DLIB_PERTHREAD object * };</v>
      </c>
    </row>
    <row r="49" spans="10:11" x14ac:dyDescent="0.25">
      <c r="J49" s="4" t="str">
        <f ca="1">J5</f>
        <v>define symbol dl7M_tln_INIT        = 0x1FFF0008;</v>
      </c>
      <c r="K49" s="4" t="str">
        <f ca="1">IF(MID(J49,1,1)="/","//","")&amp;K5</f>
        <v>"dl7M_tln_INIT":        place at address mem: dl7M_tln_INIT        { rw data section .data object *(dl7M_tln.a) };</v>
      </c>
    </row>
    <row r="50" spans="10:11" x14ac:dyDescent="0.25">
      <c r="J50" s="4" t="str">
        <f ca="1">J10</f>
        <v>define symbol m7M_tls_INIT         = 0x1FFF0008;</v>
      </c>
      <c r="K50" s="4" t="str">
        <f ca="1">IF(MID(J50,1,1)="/","//","")&amp;K10</f>
        <v>"m7M_tls_INIT":         place at address mem: m7M_tls_INIT         { rw data section .data object *(m7M_tls.a) };</v>
      </c>
    </row>
    <row r="51" spans="10:11" x14ac:dyDescent="0.25">
      <c r="J51" s="4" t="str">
        <f ca="1">J15</f>
        <v>define symbol rt7M_tl_INIT         = 0x1FFF0008;</v>
      </c>
      <c r="K51" s="4" t="str">
        <f ca="1">IF(MID(J51,1,1)="/","//","")&amp;K15</f>
        <v>"rt7M_tl_INIT":         place at address mem: rt7M_tl_INIT         { rw data section .data object *(rt7M_tl.a) };</v>
      </c>
    </row>
    <row r="52" spans="10:11" x14ac:dyDescent="0.25">
      <c r="J52" s="4" t="str">
        <f ca="1">J20</f>
        <v>define symbol shb_l_INIT           = 0x1FFF0018;</v>
      </c>
      <c r="K52" s="4" t="str">
        <f ca="1">IF(MID(J52,1,1)="/","//","")&amp;K20</f>
        <v>"shb_l_INIT":           place at address mem: shb_l_INIT           { rw data section .data object *(shb_l.a) };</v>
      </c>
    </row>
    <row r="53" spans="10:11" x14ac:dyDescent="0.25">
      <c r="J53" s="4" t="str">
        <f ca="1">J25</f>
        <v>define symbol BSP_INIT             = 0x1FFF0028;</v>
      </c>
      <c r="K53" s="4" t="str">
        <f ca="1">IF(MID(J53,1,1)="/","//","")&amp;K25</f>
        <v>"BSP_INIT":             place at address mem: BSP_INIT             { rw data section .data object *(BSP.a) };</v>
      </c>
    </row>
    <row r="54" spans="10:11" x14ac:dyDescent="0.25">
      <c r="J54" s="4" t="str">
        <f ca="1">J30</f>
        <v>define symbol PSP_INIT             = 0x1FFF0018;</v>
      </c>
      <c r="K54" s="4" t="str">
        <f ca="1">IF(MID(J54,1,1)="/","//","")&amp;K30</f>
        <v>"PSP_INIT":             place at address mem: PSP_INIT             { rw data section .data object *(PSP.a) };</v>
      </c>
    </row>
    <row r="55" spans="10:11" x14ac:dyDescent="0.25">
      <c r="J55" s="4" t="str">
        <f ca="1">J35</f>
        <v>define symbol wolfSSL_Lib_MTU_INIT = 0x1FFF0190;</v>
      </c>
      <c r="K55" s="4" t="str">
        <f ca="1">IF(MID(J55,1,1)="/","//","")&amp;K35</f>
        <v>"wolfSSL_Lib_MTU_INIT": place at address mem: wolfSSL_Lib_MTU_INIT { rw data section .data object *(wolfSSL-Lib_MTU.a) };</v>
      </c>
    </row>
    <row r="57" spans="10:11" x14ac:dyDescent="0.25">
      <c r="J57" s="4" t="str">
        <f ca="1">J40</f>
        <v>define symbol KERNEL_DATA_INIT     = 0x1FFFD480;</v>
      </c>
      <c r="K57" s="4" t="str">
        <f ca="1">IF(MID(J57,1,1)="/","//","")&amp;K40</f>
        <v>"KERNEL_DATA_INIT":     place at address mem: KERNEL_DATA_INIT     { rw data section .kernel_data object *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403"/>
  <sheetViews>
    <sheetView topLeftCell="E326" workbookViewId="0">
      <selection activeCell="K365" sqref="K365"/>
    </sheetView>
  </sheetViews>
  <sheetFormatPr defaultRowHeight="15" x14ac:dyDescent="0.25"/>
  <cols>
    <col min="1" max="2" width="14.140625" bestFit="1" customWidth="1"/>
    <col min="3" max="3" width="3" bestFit="1" customWidth="1"/>
    <col min="4" max="4" width="31.140625" customWidth="1"/>
    <col min="5" max="5" width="32" customWidth="1"/>
    <col min="6" max="6" width="6.28515625" bestFit="1" customWidth="1"/>
    <col min="7" max="7" width="8.140625" bestFit="1" customWidth="1"/>
    <col min="8" max="8" width="10" customWidth="1"/>
    <col min="9" max="9" width="11.5703125" bestFit="1" customWidth="1"/>
    <col min="10" max="10" width="52.7109375" bestFit="1" customWidth="1"/>
    <col min="11" max="11" width="140.28515625" bestFit="1" customWidth="1"/>
  </cols>
  <sheetData>
    <row r="1" spans="1:11" x14ac:dyDescent="0.25">
      <c r="B1" t="s">
        <v>584</v>
      </c>
      <c r="F1" s="3" t="str">
        <f ca="1">'.map data'!B7</f>
        <v>'.map data'!$AB$31:$AC$95</v>
      </c>
    </row>
    <row r="2" spans="1:11" x14ac:dyDescent="0.25">
      <c r="F2" t="s">
        <v>526</v>
      </c>
      <c r="G2">
        <f ca="1">VLOOKUP(B5,INDIRECT(GlobalPlcmnt!$B$133),GlobalPlcmnt!$B$138,FALSE)</f>
        <v>1</v>
      </c>
      <c r="K2" t="s">
        <v>590</v>
      </c>
    </row>
    <row r="3" spans="1:11" x14ac:dyDescent="0.25">
      <c r="A3" t="s">
        <v>927</v>
      </c>
      <c r="B3" t="str">
        <f ca="1">CELL("address",B5)</f>
        <v>$B$5</v>
      </c>
      <c r="F3" t="s">
        <v>608</v>
      </c>
      <c r="G3">
        <f ca="1">VLOOKUP(B5,INDIRECT(GlobalPlcmnt!$B$133),GlobalPlcmnt!$C$138,FALSE)</f>
        <v>4</v>
      </c>
    </row>
    <row r="4" spans="1:11" x14ac:dyDescent="0.25">
      <c r="C4">
        <f>MAX(C5:C208)+1</f>
        <v>17</v>
      </c>
      <c r="F4" t="s">
        <v>542</v>
      </c>
      <c r="K4">
        <f>$C$4+LEN("place at address mem: { ")+3</f>
        <v>44</v>
      </c>
    </row>
    <row r="5" spans="1:11" x14ac:dyDescent="0.25">
      <c r="A5" t="s">
        <v>527</v>
      </c>
      <c r="B5" t="str">
        <f t="shared" ref="B5:B15" si="0">IF(A5&lt;&gt;A4,A5&amp;$B$1,"")</f>
        <v>utils_DINIT</v>
      </c>
      <c r="C5">
        <f>LEN(B5)</f>
        <v>11</v>
      </c>
      <c r="D5" t="s">
        <v>322</v>
      </c>
      <c r="E5" t="str">
        <f>SUBSTITUTE(D5,"-","_")</f>
        <v>ascii.o</v>
      </c>
      <c r="F5">
        <f ca="1">IFERROR(VLOOKUP(D5,INDIRECT($F$1),2,FALSE),0)</f>
        <v>0</v>
      </c>
      <c r="H5">
        <f ca="1">VLOOKUP(B5,INDIRECT(GlobalPlcmnt!$B$133),GlobalPlcmnt!$A$138,FALSE)</f>
        <v>213740</v>
      </c>
      <c r="I5" t="str">
        <f t="shared" ref="I5:I134" ca="1" si="1">"0x"&amp;DEC2HEX(H5,8)</f>
        <v>0x000342EC</v>
      </c>
      <c r="J5" s="4" t="str">
        <f ca="1">IF(B5="","","define symbol "&amp;B5&amp;REPT(" ",$C$4-C5)&amp;"= "&amp;I5&amp;";")</f>
        <v>define symbol utils_DINIT      = 0x000342EC;</v>
      </c>
      <c r="K5" s="4" t="str">
        <f>IF(B5="",REPT(" ",$C$4+$K$4)&amp;$K$2&amp;D5&amp;IF(B6="",","," };"),""""&amp;B5&amp;""":"&amp;REPT(" ",$C$4-C5)&amp;"place at address mem: "&amp;B5&amp;REPT(" ",$C$4-C5)&amp;"{ "&amp;K$2&amp;D5&amp;IF(B6="",","," };"))</f>
        <v>"utils_DINIT":      place at address mem: utils_DINIT      { ro data section *_init object ascii.o,</v>
      </c>
    </row>
    <row r="6" spans="1:11" x14ac:dyDescent="0.25">
      <c r="A6" t="s">
        <v>527</v>
      </c>
      <c r="B6" t="str">
        <f t="shared" si="0"/>
        <v/>
      </c>
      <c r="C6">
        <f t="shared" ref="C6:C134" si="2">LEN(B6)</f>
        <v>0</v>
      </c>
      <c r="D6" t="s">
        <v>565</v>
      </c>
      <c r="E6" t="str">
        <f t="shared" ref="E6:E134" si="3">SUBSTITUTE(D6,"-","_")</f>
        <v>bcd.o</v>
      </c>
      <c r="F6">
        <f t="shared" ref="F6:F15" ca="1" si="4">IFERROR(VLOOKUP(D6,INDIRECT($F$1),2,FALSE),0)</f>
        <v>0</v>
      </c>
      <c r="H6">
        <f ca="1">H5+F5+G5+IF(MOD(F5+H5+G5,$G$3)=0,0,$G$3-MOD(F5+H5+G5,$G$3))</f>
        <v>213740</v>
      </c>
      <c r="I6" t="str">
        <f t="shared" ca="1" si="1"/>
        <v>0x000342EC</v>
      </c>
      <c r="J6" s="4" t="str">
        <f t="shared" ref="J6:J15" si="5">IF(B6="","","define symbol "&amp;B6&amp;REPT(" ",$C$4-C6)&amp;"= "&amp;I6&amp;";")</f>
        <v/>
      </c>
      <c r="K6" s="4" t="str">
        <f t="shared" ref="K6:K15" si="6">IF(B6="",REPT(" ",$C$4+$K$4)&amp;$K$2&amp;D6&amp;IF(B7="",","," };"),""""&amp;B6&amp;""":"&amp;REPT(" ",$C$4-C6)&amp;"place at address mem: "&amp;B6&amp;REPT(" ",$C$4-C6)&amp;"{ "&amp;K$2&amp;D6&amp;IF(B7="",","," };"))</f>
        <v xml:space="preserve">                                                             ro data section *_init object bcd.o,</v>
      </c>
    </row>
    <row r="7" spans="1:11" x14ac:dyDescent="0.25">
      <c r="A7" t="s">
        <v>527</v>
      </c>
      <c r="B7" t="str">
        <f t="shared" si="0"/>
        <v/>
      </c>
      <c r="C7">
        <f t="shared" si="2"/>
        <v>0</v>
      </c>
      <c r="D7" t="s">
        <v>566</v>
      </c>
      <c r="E7" t="str">
        <f t="shared" ref="E7:E15" si="7">SUBSTITUTE(D7,"-","_")</f>
        <v>bit_util.o</v>
      </c>
      <c r="F7">
        <f t="shared" ca="1" si="4"/>
        <v>0</v>
      </c>
      <c r="H7">
        <f t="shared" ref="H7:H15" ca="1" si="8">H6+F6+G6+IF(MOD(F6+H6+G6,$G$3)=0,0,$G$3-MOD(F6+H6+G6,$G$3))</f>
        <v>213740</v>
      </c>
      <c r="I7" t="str">
        <f t="shared" ca="1" si="1"/>
        <v>0x000342EC</v>
      </c>
      <c r="J7" s="4" t="str">
        <f t="shared" si="5"/>
        <v/>
      </c>
      <c r="K7" s="4" t="str">
        <f t="shared" si="6"/>
        <v xml:space="preserve">                                                             ro data section *_init object bit_util.o,</v>
      </c>
    </row>
    <row r="8" spans="1:11" x14ac:dyDescent="0.25">
      <c r="A8" t="s">
        <v>527</v>
      </c>
      <c r="B8" t="str">
        <f t="shared" si="0"/>
        <v/>
      </c>
      <c r="C8">
        <f t="shared" si="2"/>
        <v>0</v>
      </c>
      <c r="D8" t="s">
        <v>96</v>
      </c>
      <c r="E8" t="str">
        <f t="shared" si="7"/>
        <v>byteswap.o</v>
      </c>
      <c r="F8">
        <f t="shared" ca="1" si="4"/>
        <v>0</v>
      </c>
      <c r="H8">
        <f t="shared" ca="1" si="8"/>
        <v>213740</v>
      </c>
      <c r="I8" t="str">
        <f t="shared" ca="1" si="1"/>
        <v>0x000342EC</v>
      </c>
      <c r="J8" s="4" t="str">
        <f t="shared" si="5"/>
        <v/>
      </c>
      <c r="K8" s="4" t="str">
        <f t="shared" si="6"/>
        <v xml:space="preserve">                                                             ro data section *_init object byteswap.o,</v>
      </c>
    </row>
    <row r="9" spans="1:11" x14ac:dyDescent="0.25">
      <c r="A9" t="s">
        <v>527</v>
      </c>
      <c r="B9" t="str">
        <f t="shared" si="0"/>
        <v/>
      </c>
      <c r="C9">
        <f t="shared" si="2"/>
        <v>0</v>
      </c>
      <c r="D9" t="s">
        <v>399</v>
      </c>
      <c r="E9" t="str">
        <f t="shared" si="7"/>
        <v>crc16_m.o</v>
      </c>
      <c r="F9">
        <f t="shared" ca="1" si="4"/>
        <v>0</v>
      </c>
      <c r="H9">
        <f t="shared" ca="1" si="8"/>
        <v>213740</v>
      </c>
      <c r="I9" t="str">
        <f t="shared" ca="1" si="1"/>
        <v>0x000342EC</v>
      </c>
      <c r="J9" s="4" t="str">
        <f t="shared" si="5"/>
        <v/>
      </c>
      <c r="K9" s="4" t="str">
        <f t="shared" si="6"/>
        <v xml:space="preserve">                                                             ro data section *_init object crc16_m.o,</v>
      </c>
    </row>
    <row r="10" spans="1:11" x14ac:dyDescent="0.25">
      <c r="A10" t="s">
        <v>527</v>
      </c>
      <c r="B10" t="str">
        <f t="shared" si="0"/>
        <v/>
      </c>
      <c r="C10">
        <f t="shared" si="2"/>
        <v>0</v>
      </c>
      <c r="D10" t="s">
        <v>178</v>
      </c>
      <c r="E10" t="str">
        <f t="shared" si="7"/>
        <v>crc32.o</v>
      </c>
      <c r="F10">
        <f t="shared" ca="1" si="4"/>
        <v>0</v>
      </c>
      <c r="H10">
        <f t="shared" ca="1" si="8"/>
        <v>213740</v>
      </c>
      <c r="I10" t="str">
        <f t="shared" ca="1" si="1"/>
        <v>0x000342EC</v>
      </c>
      <c r="J10" s="4" t="str">
        <f t="shared" si="5"/>
        <v/>
      </c>
      <c r="K10" s="4" t="str">
        <f t="shared" si="6"/>
        <v xml:space="preserve">                                                             ro data section *_init object crc32.o,</v>
      </c>
    </row>
    <row r="11" spans="1:11" x14ac:dyDescent="0.25">
      <c r="A11" t="s">
        <v>527</v>
      </c>
      <c r="B11" t="str">
        <f t="shared" si="0"/>
        <v/>
      </c>
      <c r="C11">
        <f t="shared" si="2"/>
        <v>0</v>
      </c>
      <c r="D11" t="s">
        <v>296</v>
      </c>
      <c r="E11" t="str">
        <f t="shared" si="7"/>
        <v>invert_bits.o</v>
      </c>
      <c r="F11">
        <f t="shared" ca="1" si="4"/>
        <v>0</v>
      </c>
      <c r="H11">
        <f t="shared" ca="1" si="8"/>
        <v>213740</v>
      </c>
      <c r="I11" t="str">
        <f t="shared" ca="1" si="1"/>
        <v>0x000342EC</v>
      </c>
      <c r="J11" s="4" t="str">
        <f t="shared" si="5"/>
        <v/>
      </c>
      <c r="K11" s="4" t="str">
        <f t="shared" si="6"/>
        <v xml:space="preserve">                                                             ro data section *_init object invert_bits.o,</v>
      </c>
    </row>
    <row r="12" spans="1:11" x14ac:dyDescent="0.25">
      <c r="A12" t="s">
        <v>527</v>
      </c>
      <c r="B12" t="str">
        <f t="shared" si="0"/>
        <v/>
      </c>
      <c r="C12">
        <f t="shared" si="2"/>
        <v>0</v>
      </c>
      <c r="D12" t="s">
        <v>97</v>
      </c>
      <c r="E12" t="str">
        <f t="shared" si="7"/>
        <v>pack.o</v>
      </c>
      <c r="F12">
        <f t="shared" ca="1" si="4"/>
        <v>0</v>
      </c>
      <c r="H12">
        <f t="shared" ca="1" si="8"/>
        <v>213740</v>
      </c>
      <c r="I12" t="str">
        <f t="shared" ca="1" si="1"/>
        <v>0x000342EC</v>
      </c>
      <c r="J12" s="4" t="str">
        <f t="shared" si="5"/>
        <v/>
      </c>
      <c r="K12" s="4" t="str">
        <f t="shared" si="6"/>
        <v xml:space="preserve">                                                             ro data section *_init object pack.o,</v>
      </c>
    </row>
    <row r="13" spans="1:11" x14ac:dyDescent="0.25">
      <c r="A13" t="s">
        <v>527</v>
      </c>
      <c r="B13" t="str">
        <f t="shared" si="0"/>
        <v/>
      </c>
      <c r="C13">
        <f t="shared" si="2"/>
        <v>0</v>
      </c>
      <c r="D13" t="s">
        <v>81</v>
      </c>
      <c r="E13" t="str">
        <f t="shared" si="7"/>
        <v>rand.o</v>
      </c>
      <c r="F13">
        <f t="shared" ca="1" si="4"/>
        <v>65</v>
      </c>
      <c r="H13">
        <f t="shared" ca="1" si="8"/>
        <v>213740</v>
      </c>
      <c r="I13" t="str">
        <f t="shared" ca="1" si="1"/>
        <v>0x000342EC</v>
      </c>
      <c r="J13" s="4" t="str">
        <f t="shared" si="5"/>
        <v/>
      </c>
      <c r="K13" s="4" t="str">
        <f t="shared" si="6"/>
        <v xml:space="preserve">                                                             ro data section *_init object rand.o,</v>
      </c>
    </row>
    <row r="14" spans="1:11" x14ac:dyDescent="0.25">
      <c r="A14" t="s">
        <v>527</v>
      </c>
      <c r="B14" t="str">
        <f t="shared" si="0"/>
        <v/>
      </c>
      <c r="C14">
        <f t="shared" si="2"/>
        <v>0</v>
      </c>
      <c r="D14" t="s">
        <v>93</v>
      </c>
      <c r="E14" t="str">
        <f t="shared" si="7"/>
        <v>time_util.o</v>
      </c>
      <c r="F14">
        <f t="shared" ca="1" si="4"/>
        <v>0</v>
      </c>
      <c r="H14">
        <f t="shared" ca="1" si="8"/>
        <v>213808</v>
      </c>
      <c r="I14" t="str">
        <f t="shared" ca="1" si="1"/>
        <v>0x00034330</v>
      </c>
      <c r="J14" s="4" t="str">
        <f t="shared" si="5"/>
        <v/>
      </c>
      <c r="K14" s="4" t="str">
        <f t="shared" si="6"/>
        <v xml:space="preserve">                                                             ro data section *_init object time_util.o,</v>
      </c>
    </row>
    <row r="15" spans="1:11" x14ac:dyDescent="0.25">
      <c r="A15" t="s">
        <v>527</v>
      </c>
      <c r="B15" t="str">
        <f t="shared" si="0"/>
        <v/>
      </c>
      <c r="C15">
        <f t="shared" si="2"/>
        <v>0</v>
      </c>
      <c r="D15" t="s">
        <v>130</v>
      </c>
      <c r="E15" t="str">
        <f t="shared" si="7"/>
        <v>timer_util.o</v>
      </c>
      <c r="F15">
        <f t="shared" ca="1" si="4"/>
        <v>3</v>
      </c>
      <c r="H15">
        <f t="shared" ca="1" si="8"/>
        <v>213808</v>
      </c>
      <c r="I15" t="str">
        <f t="shared" ca="1" si="1"/>
        <v>0x00034330</v>
      </c>
      <c r="J15" s="4" t="str">
        <f t="shared" si="5"/>
        <v/>
      </c>
      <c r="K15" s="4" t="str">
        <f t="shared" si="6"/>
        <v xml:space="preserve">                                                             ro data section *_init object timer_util.o };</v>
      </c>
    </row>
    <row r="16" spans="1:11" x14ac:dyDescent="0.25">
      <c r="B16" t="str">
        <f>B5&amp;"_end"</f>
        <v>utils_DINIT_end</v>
      </c>
      <c r="F16">
        <f ca="1">SUM(F5:F15)</f>
        <v>68</v>
      </c>
      <c r="G16">
        <f ca="1">INT(($G$2/100)*F16)</f>
        <v>0</v>
      </c>
      <c r="H16">
        <f ca="1">H15+F15+G16+IF(MOD(F15+H15+G16,$G$3)=0,0,$G$3-MOD(F15+H15+G16,$G$3))</f>
        <v>213812</v>
      </c>
      <c r="I16" t="str">
        <f t="shared" ca="1" si="1"/>
        <v>0x00034334</v>
      </c>
      <c r="J16" s="4"/>
      <c r="K16" s="4"/>
    </row>
    <row r="17" spans="1:11" x14ac:dyDescent="0.25">
      <c r="J17" s="4"/>
      <c r="K17" s="4"/>
    </row>
    <row r="18" spans="1:11" x14ac:dyDescent="0.25">
      <c r="F18" t="s">
        <v>526</v>
      </c>
      <c r="G18">
        <f ca="1">VLOOKUP(B21,INDIRECT(GlobalPlcmnt!$B$133),GlobalPlcmnt!$B$138,FALSE)</f>
        <v>1</v>
      </c>
      <c r="J18" s="4"/>
      <c r="K18" s="4"/>
    </row>
    <row r="19" spans="1:11" x14ac:dyDescent="0.25">
      <c r="F19" t="s">
        <v>608</v>
      </c>
      <c r="G19">
        <f ca="1">VLOOKUP(B21,INDIRECT(GlobalPlcmnt!$B$133),GlobalPlcmnt!$C$138,FALSE)</f>
        <v>4</v>
      </c>
      <c r="J19" s="4"/>
      <c r="K19" s="4"/>
    </row>
    <row r="20" spans="1:11" x14ac:dyDescent="0.25">
      <c r="F20" t="s">
        <v>542</v>
      </c>
      <c r="J20" s="4"/>
      <c r="K20" s="4"/>
    </row>
    <row r="21" spans="1:11" x14ac:dyDescent="0.25">
      <c r="A21" t="s">
        <v>528</v>
      </c>
      <c r="B21" t="str">
        <f>IF(A21&lt;&gt;A20,A21&amp;$B$1,"")</f>
        <v>dfw_DINIT</v>
      </c>
      <c r="C21">
        <f t="shared" si="2"/>
        <v>9</v>
      </c>
      <c r="D21" t="s">
        <v>228</v>
      </c>
      <c r="E21" t="str">
        <f t="shared" si="3"/>
        <v>dfw_app.o</v>
      </c>
      <c r="F21">
        <f ca="1">IFERROR(VLOOKUP(D21,INDIRECT($F$1),2,FALSE),0)</f>
        <v>2</v>
      </c>
      <c r="H21">
        <f ca="1">VLOOKUP(B21,INDIRECT(GlobalPlcmnt!$B$133),GlobalPlcmnt!$A$138,FALSE)</f>
        <v>213812</v>
      </c>
      <c r="I21" t="str">
        <f t="shared" ca="1" si="1"/>
        <v>0x00034334</v>
      </c>
      <c r="J21" s="4" t="str">
        <f ca="1">IF(B21="","","define symbol "&amp;B21&amp;REPT(" ",$C$4-C21)&amp;"= "&amp;I21&amp;";")</f>
        <v>define symbol dfw_DINIT        = 0x00034334;</v>
      </c>
      <c r="K21" s="4" t="str">
        <f>IF(B21="",REPT(" ",$C$4+$K$4)&amp;$K$2&amp;D21&amp;IF(B22="",","," };"),""""&amp;B21&amp;""":"&amp;REPT(" ",$C$4-C21)&amp;"place at address mem: "&amp;B21&amp;REPT(" ",$C$4-C21)&amp;"{ "&amp;K$2&amp;D21&amp;IF(B22="",","," };"))</f>
        <v>"dfw_DINIT":        place at address mem: dfw_DINIT        { ro data section *_init object dfw_app.o,</v>
      </c>
    </row>
    <row r="22" spans="1:11" x14ac:dyDescent="0.25">
      <c r="A22" t="s">
        <v>528</v>
      </c>
      <c r="B22" t="str">
        <f>IF(A22&lt;&gt;A21,A22&amp;$B$1,"")</f>
        <v/>
      </c>
      <c r="C22">
        <f t="shared" si="2"/>
        <v>0</v>
      </c>
      <c r="D22" t="s">
        <v>193</v>
      </c>
      <c r="E22" t="str">
        <f t="shared" si="3"/>
        <v>dfw_interface.o</v>
      </c>
      <c r="F22">
        <f t="shared" ref="F22:F24" ca="1" si="9">IFERROR(VLOOKUP(D22,INDIRECT($F$1),2,FALSE),0)</f>
        <v>0</v>
      </c>
      <c r="H22">
        <f ca="1">H21+F21+G21+IF(MOD(F21+H21+G21,$G$19)=0,0,$G$19-MOD(F21+H21+G21,$G$19))</f>
        <v>213816</v>
      </c>
      <c r="I22" t="str">
        <f t="shared" ca="1" si="1"/>
        <v>0x00034338</v>
      </c>
      <c r="J22" s="4" t="str">
        <f t="shared" ref="J22:J24" si="10">IF(B22="","","define symbol "&amp;B22&amp;REPT(" ",$C$4-C22)&amp;"= "&amp;I22&amp;";")</f>
        <v/>
      </c>
      <c r="K22" s="4" t="str">
        <f t="shared" ref="K22:K24" si="11">IF(B22="",REPT(" ",$C$4+$K$4)&amp;$K$2&amp;D22&amp;IF(B23="",","," };"),""""&amp;B22&amp;""":"&amp;REPT(" ",$C$4-C22)&amp;"place at address mem: "&amp;B22&amp;REPT(" ",$C$4-C22)&amp;"{ "&amp;K$2&amp;D22&amp;IF(B23="",","," };"))</f>
        <v xml:space="preserve">                                                             ro data section *_init object dfw_interface.o,</v>
      </c>
    </row>
    <row r="23" spans="1:11" x14ac:dyDescent="0.25">
      <c r="A23" t="s">
        <v>528</v>
      </c>
      <c r="B23" t="str">
        <f>IF(A23&lt;&gt;A22,A23&amp;$B$1,"")</f>
        <v/>
      </c>
      <c r="C23">
        <f t="shared" si="2"/>
        <v>0</v>
      </c>
      <c r="D23" t="s">
        <v>286</v>
      </c>
      <c r="E23" t="str">
        <f t="shared" ref="E23:E24" si="12">SUBSTITUTE(D23,"-","_")</f>
        <v>dfw_pckt.o</v>
      </c>
      <c r="F23">
        <f t="shared" ca="1" si="9"/>
        <v>0</v>
      </c>
      <c r="H23">
        <f t="shared" ref="H23:H24" ca="1" si="13">H22+F22+G22+IF(MOD(F22+H22+G22,$G$19)=0,0,$G$19-MOD(F22+H22+G22,$G$19))</f>
        <v>213816</v>
      </c>
      <c r="I23" t="str">
        <f t="shared" ca="1" si="1"/>
        <v>0x00034338</v>
      </c>
      <c r="J23" s="4" t="str">
        <f t="shared" si="10"/>
        <v/>
      </c>
      <c r="K23" s="4" t="str">
        <f t="shared" si="11"/>
        <v xml:space="preserve">                                                             ro data section *_init object dfw_pckt.o,</v>
      </c>
    </row>
    <row r="24" spans="1:11" x14ac:dyDescent="0.25">
      <c r="A24" t="s">
        <v>528</v>
      </c>
      <c r="B24" t="str">
        <f>IF(A24&lt;&gt;A23,A24&amp;$B$1,"")</f>
        <v/>
      </c>
      <c r="C24">
        <f t="shared" si="2"/>
        <v>0</v>
      </c>
      <c r="D24" t="s">
        <v>195</v>
      </c>
      <c r="E24" t="str">
        <f t="shared" si="12"/>
        <v>dfwtd_config.o</v>
      </c>
      <c r="F24">
        <f t="shared" ca="1" si="9"/>
        <v>0</v>
      </c>
      <c r="H24">
        <f t="shared" ca="1" si="13"/>
        <v>213816</v>
      </c>
      <c r="I24" t="str">
        <f t="shared" ca="1" si="1"/>
        <v>0x00034338</v>
      </c>
      <c r="J24" s="4" t="str">
        <f t="shared" si="10"/>
        <v/>
      </c>
      <c r="K24" s="4" t="str">
        <f t="shared" si="11"/>
        <v xml:space="preserve">                                                             ro data section *_init object dfwtd_config.o };</v>
      </c>
    </row>
    <row r="25" spans="1:11" x14ac:dyDescent="0.25">
      <c r="B25" t="str">
        <f>B21&amp;"_end"</f>
        <v>dfw_DINIT_end</v>
      </c>
      <c r="F25">
        <f ca="1">SUM(F21:F24)</f>
        <v>2</v>
      </c>
      <c r="G25">
        <f ca="1">INT(($G$18/100)*F25)</f>
        <v>0</v>
      </c>
      <c r="H25">
        <f ca="1">H24+F24+G25+IF(MOD(F24+H24+G25,$G$19)=0,0,$G$19-MOD(F24+H24+G25,$G$19))</f>
        <v>213816</v>
      </c>
      <c r="I25" t="str">
        <f t="shared" ca="1" si="1"/>
        <v>0x00034338</v>
      </c>
      <c r="J25" s="4"/>
      <c r="K25" s="4"/>
    </row>
    <row r="26" spans="1:11" x14ac:dyDescent="0.25">
      <c r="J26" s="4"/>
      <c r="K26" s="4"/>
    </row>
    <row r="27" spans="1:11" x14ac:dyDescent="0.25">
      <c r="F27" t="s">
        <v>526</v>
      </c>
      <c r="G27">
        <f ca="1">VLOOKUP(B30,INDIRECT(GlobalPlcmnt!$B$133),GlobalPlcmnt!$B$138,FALSE)</f>
        <v>1</v>
      </c>
      <c r="J27" s="4"/>
      <c r="K27" s="4"/>
    </row>
    <row r="28" spans="1:11" x14ac:dyDescent="0.25">
      <c r="F28" t="s">
        <v>608</v>
      </c>
      <c r="G28">
        <f ca="1">VLOOKUP(B30,INDIRECT(GlobalPlcmnt!$B$133),GlobalPlcmnt!$C$138,FALSE)</f>
        <v>4</v>
      </c>
      <c r="J28" s="4"/>
      <c r="K28" s="4"/>
    </row>
    <row r="29" spans="1:11" x14ac:dyDescent="0.25">
      <c r="F29" t="s">
        <v>542</v>
      </c>
      <c r="J29" s="4"/>
      <c r="K29" s="4"/>
    </row>
    <row r="30" spans="1:11" x14ac:dyDescent="0.25">
      <c r="A30" t="s">
        <v>529</v>
      </c>
      <c r="B30" t="str">
        <f t="shared" ref="B30:B36" si="14">IF(A30&lt;&gt;A29,A30&amp;$B$1,"")</f>
        <v>driver_DINIT</v>
      </c>
      <c r="C30">
        <f t="shared" si="2"/>
        <v>12</v>
      </c>
      <c r="D30" t="s">
        <v>401</v>
      </c>
      <c r="E30" t="str">
        <f t="shared" si="3"/>
        <v>dvr_banked.o</v>
      </c>
      <c r="F30">
        <f t="shared" ref="F30:F36" ca="1" si="15">IFERROR(VLOOKUP(D30,INDIRECT($F$1),2,FALSE),0)</f>
        <v>0</v>
      </c>
      <c r="H30">
        <f ca="1">VLOOKUP(B30,INDIRECT(GlobalPlcmnt!$B$133),GlobalPlcmnt!$A$138,FALSE)</f>
        <v>213816</v>
      </c>
      <c r="I30" t="str">
        <f t="shared" ca="1" si="1"/>
        <v>0x00034338</v>
      </c>
      <c r="J30" s="4" t="str">
        <f t="shared" ref="J30" ca="1" si="16">IF(B30="","","define symbol "&amp;B30&amp;REPT(" ",$C$4-C30)&amp;"= "&amp;I30&amp;";")</f>
        <v>define symbol driver_DINIT     = 0x00034338;</v>
      </c>
      <c r="K30" s="4" t="str">
        <f t="shared" ref="K30" si="17">IF(B30="",REPT(" ",$C$4+$K$4)&amp;$K$2&amp;D30&amp;IF(B31="",","," };"),""""&amp;B30&amp;""":"&amp;REPT(" ",$C$4-C30)&amp;"place at address mem: "&amp;B30&amp;REPT(" ",$C$4-C30)&amp;"{ "&amp;K$2&amp;D30&amp;IF(B31="",","," };"))</f>
        <v>"driver_DINIT":     place at address mem: driver_DINIT     { ro data section *_init object dvr_banked.o,</v>
      </c>
    </row>
    <row r="31" spans="1:11" x14ac:dyDescent="0.25">
      <c r="A31" t="s">
        <v>529</v>
      </c>
      <c r="B31" t="str">
        <f t="shared" si="14"/>
        <v/>
      </c>
      <c r="C31">
        <f t="shared" si="2"/>
        <v>0</v>
      </c>
      <c r="D31" t="s">
        <v>402</v>
      </c>
      <c r="E31" t="str">
        <f t="shared" si="3"/>
        <v>dvr_cache.o</v>
      </c>
      <c r="F31">
        <f t="shared" ca="1" si="15"/>
        <v>0</v>
      </c>
      <c r="H31">
        <f ca="1">H30+F30+G30+IF(MOD(F30+H30+G30,$G$28)=0,0,$G$28-MOD(F30+H30+G30,$G$28))</f>
        <v>213816</v>
      </c>
      <c r="I31" t="str">
        <f t="shared" ca="1" si="1"/>
        <v>0x00034338</v>
      </c>
      <c r="J31" s="4" t="str">
        <f t="shared" ref="J31:J36" si="18">IF(B31="","","define symbol "&amp;B31&amp;REPT(" ",$C$4-C31)&amp;"= "&amp;I31&amp;";")</f>
        <v/>
      </c>
      <c r="K31" s="4" t="str">
        <f t="shared" ref="K31:K36" si="19">IF(B31="",REPT(" ",$C$4+$K$4)&amp;$K$2&amp;D31&amp;IF(B32="",","," };"),""""&amp;B31&amp;""":"&amp;REPT(" ",$C$4-C31)&amp;"place at address mem: "&amp;B31&amp;REPT(" ",$C$4-C31)&amp;"{ "&amp;K$2&amp;D31&amp;IF(B32="",","," };"))</f>
        <v xml:space="preserve">                                                             ro data section *_init object dvr_cache.o,</v>
      </c>
    </row>
    <row r="32" spans="1:11" x14ac:dyDescent="0.25">
      <c r="A32" t="s">
        <v>529</v>
      </c>
      <c r="B32" t="str">
        <f t="shared" si="14"/>
        <v/>
      </c>
      <c r="C32">
        <f t="shared" si="2"/>
        <v>0</v>
      </c>
      <c r="D32" t="s">
        <v>199</v>
      </c>
      <c r="E32" t="str">
        <f t="shared" ref="E32:E36" si="20">SUBSTITUTE(D32,"-","_")</f>
        <v>dvr_extflash.o</v>
      </c>
      <c r="F32">
        <f t="shared" ca="1" si="15"/>
        <v>8</v>
      </c>
      <c r="H32">
        <f t="shared" ref="H32:H36" ca="1" si="21">H31+F31+G31+IF(MOD(F31+H31+G31,$G$28)=0,0,$G$28-MOD(F31+H31+G31,$G$28))</f>
        <v>213816</v>
      </c>
      <c r="I32" t="str">
        <f t="shared" ca="1" si="1"/>
        <v>0x00034338</v>
      </c>
      <c r="J32" s="4" t="str">
        <f t="shared" si="18"/>
        <v/>
      </c>
      <c r="K32" s="4" t="str">
        <f t="shared" si="19"/>
        <v xml:space="preserve">                                                             ro data section *_init object dvr_extflash.o,</v>
      </c>
    </row>
    <row r="33" spans="1:11" x14ac:dyDescent="0.25">
      <c r="A33" t="s">
        <v>529</v>
      </c>
      <c r="B33" t="str">
        <f t="shared" si="14"/>
        <v/>
      </c>
      <c r="C33">
        <f t="shared" si="2"/>
        <v>0</v>
      </c>
      <c r="D33" t="s">
        <v>403</v>
      </c>
      <c r="E33" t="str">
        <f t="shared" si="20"/>
        <v>dvr_sectPreErase.o</v>
      </c>
      <c r="F33">
        <f t="shared" ca="1" si="15"/>
        <v>0</v>
      </c>
      <c r="H33">
        <f t="shared" ca="1" si="21"/>
        <v>213824</v>
      </c>
      <c r="I33" t="str">
        <f t="shared" ca="1" si="1"/>
        <v>0x00034340</v>
      </c>
      <c r="J33" s="4" t="str">
        <f t="shared" si="18"/>
        <v/>
      </c>
      <c r="K33" s="4" t="str">
        <f t="shared" si="19"/>
        <v xml:space="preserve">                                                             ro data section *_init object dvr_sectPreErase.o,</v>
      </c>
    </row>
    <row r="34" spans="1:11" x14ac:dyDescent="0.25">
      <c r="A34" t="s">
        <v>529</v>
      </c>
      <c r="B34" t="str">
        <f t="shared" si="14"/>
        <v/>
      </c>
      <c r="C34">
        <f t="shared" si="2"/>
        <v>0</v>
      </c>
      <c r="D34" t="s">
        <v>90</v>
      </c>
      <c r="E34" t="str">
        <f t="shared" si="20"/>
        <v>dvr_sharedMem.o</v>
      </c>
      <c r="F34">
        <f t="shared" ca="1" si="15"/>
        <v>0</v>
      </c>
      <c r="H34">
        <f t="shared" ca="1" si="21"/>
        <v>213824</v>
      </c>
      <c r="I34" t="str">
        <f t="shared" ca="1" si="1"/>
        <v>0x00034340</v>
      </c>
      <c r="J34" s="4" t="str">
        <f t="shared" si="18"/>
        <v/>
      </c>
      <c r="K34" s="4" t="str">
        <f t="shared" si="19"/>
        <v xml:space="preserve">                                                             ro data section *_init object dvr_sharedMem.o,</v>
      </c>
    </row>
    <row r="35" spans="1:11" x14ac:dyDescent="0.25">
      <c r="A35" t="s">
        <v>529</v>
      </c>
      <c r="B35" t="str">
        <f t="shared" si="14"/>
        <v/>
      </c>
      <c r="C35">
        <f t="shared" si="2"/>
        <v>0</v>
      </c>
      <c r="D35" t="s">
        <v>406</v>
      </c>
      <c r="E35" t="str">
        <f t="shared" si="20"/>
        <v>IF_intFlash.o</v>
      </c>
      <c r="F35">
        <f t="shared" ca="1" si="15"/>
        <v>0</v>
      </c>
      <c r="H35">
        <f t="shared" ca="1" si="21"/>
        <v>213824</v>
      </c>
      <c r="I35" t="str">
        <f t="shared" ca="1" si="1"/>
        <v>0x00034340</v>
      </c>
      <c r="J35" s="4" t="str">
        <f t="shared" si="18"/>
        <v/>
      </c>
      <c r="K35" s="4" t="str">
        <f t="shared" si="19"/>
        <v xml:space="preserve">                                                             ro data section *_init object IF_intFlash.o,</v>
      </c>
    </row>
    <row r="36" spans="1:11" x14ac:dyDescent="0.25">
      <c r="A36" t="s">
        <v>529</v>
      </c>
      <c r="B36" t="str">
        <f t="shared" si="14"/>
        <v/>
      </c>
      <c r="C36">
        <f t="shared" si="2"/>
        <v>0</v>
      </c>
      <c r="D36" t="s">
        <v>294</v>
      </c>
      <c r="E36" t="str">
        <f t="shared" si="20"/>
        <v>spi_mstr.o</v>
      </c>
      <c r="F36">
        <f t="shared" ca="1" si="15"/>
        <v>2</v>
      </c>
      <c r="H36">
        <f t="shared" ca="1" si="21"/>
        <v>213824</v>
      </c>
      <c r="I36" t="str">
        <f t="shared" ca="1" si="1"/>
        <v>0x00034340</v>
      </c>
      <c r="J36" s="4" t="str">
        <f t="shared" si="18"/>
        <v/>
      </c>
      <c r="K36" s="4" t="str">
        <f t="shared" si="19"/>
        <v xml:space="preserve">                                                             ro data section *_init object spi_mstr.o };</v>
      </c>
    </row>
    <row r="37" spans="1:11" x14ac:dyDescent="0.25">
      <c r="B37" t="str">
        <f>B30&amp;"_end"</f>
        <v>driver_DINIT_end</v>
      </c>
      <c r="F37">
        <f ca="1">SUM(F30:F36)</f>
        <v>10</v>
      </c>
      <c r="G37">
        <f ca="1">INT(($G$27/100)*F37)</f>
        <v>0</v>
      </c>
      <c r="H37">
        <f ca="1">H36+F36+G37+IF(MOD(F36+H36+G37,$G$28)=0,0,$G$28-MOD(F36+H36+G37,$G$28))</f>
        <v>213828</v>
      </c>
      <c r="I37" t="str">
        <f t="shared" ca="1" si="1"/>
        <v>0x00034344</v>
      </c>
      <c r="J37" s="4"/>
      <c r="K37" s="4"/>
    </row>
    <row r="38" spans="1:11" x14ac:dyDescent="0.25">
      <c r="J38" s="4"/>
      <c r="K38" s="4"/>
    </row>
    <row r="39" spans="1:11" x14ac:dyDescent="0.25">
      <c r="F39" t="s">
        <v>526</v>
      </c>
      <c r="G39">
        <f ca="1">VLOOKUP(B42,INDIRECT(GlobalPlcmnt!$B$133),GlobalPlcmnt!$B$138,FALSE)</f>
        <v>1</v>
      </c>
      <c r="J39" s="4"/>
      <c r="K39" s="4"/>
    </row>
    <row r="40" spans="1:11" x14ac:dyDescent="0.25">
      <c r="F40" t="s">
        <v>608</v>
      </c>
      <c r="G40">
        <f ca="1">VLOOKUP(B42,INDIRECT(GlobalPlcmnt!$B$133),GlobalPlcmnt!$C$138,FALSE)</f>
        <v>4</v>
      </c>
      <c r="J40" s="4"/>
      <c r="K40" s="4"/>
    </row>
    <row r="41" spans="1:11" x14ac:dyDescent="0.25">
      <c r="F41" t="s">
        <v>542</v>
      </c>
      <c r="J41" s="4"/>
      <c r="K41" s="4"/>
    </row>
    <row r="42" spans="1:11" x14ac:dyDescent="0.25">
      <c r="A42" t="s">
        <v>530</v>
      </c>
      <c r="B42" t="str">
        <f t="shared" ref="B42:B43" si="22">IF(A42&lt;&gt;A41,A42&amp;$B$1,"")</f>
        <v>stack_DINIT</v>
      </c>
      <c r="C42">
        <f t="shared" si="2"/>
        <v>11</v>
      </c>
      <c r="D42" t="s">
        <v>232</v>
      </c>
      <c r="E42" t="str">
        <f t="shared" si="3"/>
        <v>COMM.o</v>
      </c>
      <c r="F42">
        <f t="shared" ref="F42:F75" ca="1" si="23">IFERROR(VLOOKUP(D42,INDIRECT($F$1),2,FALSE),0)</f>
        <v>0</v>
      </c>
      <c r="H42">
        <f ca="1">VLOOKUP(B42,INDIRECT(GlobalPlcmnt!$B$133),GlobalPlcmnt!$A$138,FALSE)</f>
        <v>213900</v>
      </c>
      <c r="I42" t="str">
        <f t="shared" ca="1" si="1"/>
        <v>0x0003438C</v>
      </c>
      <c r="J42" s="4" t="str">
        <f t="shared" ref="J42" ca="1" si="24">IF(B42="","","define symbol "&amp;B42&amp;REPT(" ",$C$4-C42)&amp;"= "&amp;I42&amp;";")</f>
        <v>define symbol stack_DINIT      = 0x0003438C;</v>
      </c>
      <c r="K42" s="4" t="str">
        <f t="shared" ref="K42" si="25">IF(B42="",REPT(" ",$C$4+$K$4)&amp;$K$2&amp;D42&amp;IF(B43="",","," };"),""""&amp;B42&amp;""":"&amp;REPT(" ",$C$4-C42)&amp;"place at address mem: "&amp;B42&amp;REPT(" ",$C$4-C42)&amp;"{ "&amp;K$2&amp;D42&amp;IF(B43="",","," };"))</f>
        <v>"stack_DINIT":      place at address mem: stack_DINIT      { ro data section *_init object COMM.o,</v>
      </c>
    </row>
    <row r="43" spans="1:11" x14ac:dyDescent="0.25">
      <c r="A43" t="s">
        <v>530</v>
      </c>
      <c r="B43" t="str">
        <f t="shared" si="22"/>
        <v/>
      </c>
      <c r="C43">
        <f t="shared" si="2"/>
        <v>0</v>
      </c>
      <c r="D43" t="s">
        <v>233</v>
      </c>
      <c r="E43" t="str">
        <f t="shared" si="3"/>
        <v>SM.o</v>
      </c>
      <c r="F43">
        <f t="shared" ca="1" si="23"/>
        <v>14</v>
      </c>
      <c r="H43">
        <f ca="1">H42+F42+G42+IF(MOD(F42+H42+G42,$G$40)=0,0,$G$40-MOD(F42+H42+G42,$G$40))</f>
        <v>213900</v>
      </c>
      <c r="I43" t="str">
        <f t="shared" ca="1" si="1"/>
        <v>0x0003438C</v>
      </c>
      <c r="J43" s="4" t="str">
        <f t="shared" ref="J43:J75" si="26">IF(B43="","","define symbol "&amp;B43&amp;REPT(" ",$C$4-C43)&amp;"= "&amp;I43&amp;";")</f>
        <v/>
      </c>
      <c r="K43" s="4" t="str">
        <f t="shared" ref="K43:K75" si="27">IF(B43="",REPT(" ",$C$4+$K$4)&amp;$K$2&amp;D43&amp;IF(B44="",","," };"),""""&amp;B43&amp;""":"&amp;REPT(" ",$C$4-C43)&amp;"place at address mem: "&amp;B43&amp;REPT(" ",$C$4-C43)&amp;"{ "&amp;K$2&amp;D43&amp;IF(B44="",","," };"))</f>
        <v xml:space="preserve">                                                             ro data section *_init object SM.o,</v>
      </c>
    </row>
    <row r="44" spans="1:11" x14ac:dyDescent="0.25">
      <c r="A44" t="s">
        <v>530</v>
      </c>
      <c r="B44" t="str">
        <f t="shared" ref="B44:B75" si="28">IF(A44&lt;&gt;A43,A44&amp;$B$1,"")</f>
        <v/>
      </c>
      <c r="C44">
        <f t="shared" ref="C44:C75" si="29">LEN(B44)</f>
        <v>0</v>
      </c>
      <c r="D44" t="s">
        <v>226</v>
      </c>
      <c r="E44" t="str">
        <f t="shared" ref="E44:E75" si="30">SUBSTITUTE(D44,"-","_")</f>
        <v>smtd_config.o</v>
      </c>
      <c r="F44">
        <f t="shared" ca="1" si="23"/>
        <v>0</v>
      </c>
      <c r="H44">
        <f t="shared" ref="H44:H75" ca="1" si="31">H43+F43+G43+IF(MOD(F43+H43+G43,$G$40)=0,0,$G$40-MOD(F43+H43+G43,$G$40))</f>
        <v>213916</v>
      </c>
      <c r="I44" t="str">
        <f t="shared" ca="1" si="1"/>
        <v>0x0003439C</v>
      </c>
      <c r="J44" s="4" t="str">
        <f t="shared" si="26"/>
        <v/>
      </c>
      <c r="K44" s="4" t="str">
        <f t="shared" si="27"/>
        <v xml:space="preserve">                                                             ro data section *_init object smtd_config.o,</v>
      </c>
    </row>
    <row r="45" spans="1:11" x14ac:dyDescent="0.25">
      <c r="A45" t="s">
        <v>530</v>
      </c>
      <c r="B45" t="str">
        <f t="shared" si="28"/>
        <v/>
      </c>
      <c r="C45">
        <f t="shared" si="29"/>
        <v>0</v>
      </c>
      <c r="D45" t="s">
        <v>137</v>
      </c>
      <c r="E45" t="str">
        <f t="shared" si="30"/>
        <v>dtls.o</v>
      </c>
      <c r="F45">
        <f t="shared" ca="1" si="23"/>
        <v>45</v>
      </c>
      <c r="H45">
        <f t="shared" ca="1" si="31"/>
        <v>213916</v>
      </c>
      <c r="I45" t="str">
        <f t="shared" ca="1" si="1"/>
        <v>0x0003439C</v>
      </c>
      <c r="J45" s="4" t="str">
        <f t="shared" si="26"/>
        <v/>
      </c>
      <c r="K45" s="4" t="str">
        <f t="shared" si="27"/>
        <v xml:space="preserve">                                                             ro data section *_init object dtls.o,</v>
      </c>
    </row>
    <row r="46" spans="1:11" x14ac:dyDescent="0.25">
      <c r="A46" t="s">
        <v>530</v>
      </c>
      <c r="B46" t="str">
        <f t="shared" si="28"/>
        <v/>
      </c>
      <c r="C46">
        <f t="shared" si="29"/>
        <v>0</v>
      </c>
      <c r="D46" t="s">
        <v>1046</v>
      </c>
      <c r="E46" t="str">
        <f t="shared" si="30"/>
        <v>mtls.o</v>
      </c>
      <c r="F46">
        <f t="shared" ca="1" si="23"/>
        <v>38</v>
      </c>
      <c r="H46">
        <f t="shared" ca="1" si="31"/>
        <v>213964</v>
      </c>
      <c r="I46" t="str">
        <f t="shared" ca="1" si="1"/>
        <v>0x000343CC</v>
      </c>
      <c r="J46" s="4" t="str">
        <f t="shared" si="26"/>
        <v/>
      </c>
      <c r="K46" s="4" t="str">
        <f t="shared" si="27"/>
        <v xml:space="preserve">                                                             ro data section *_init object mtls.o,</v>
      </c>
    </row>
    <row r="47" spans="1:11" x14ac:dyDescent="0.25">
      <c r="A47" t="s">
        <v>530</v>
      </c>
      <c r="B47" t="str">
        <f t="shared" si="28"/>
        <v/>
      </c>
      <c r="C47">
        <f t="shared" si="29"/>
        <v>0</v>
      </c>
      <c r="D47" t="s">
        <v>138</v>
      </c>
      <c r="E47" t="str">
        <f t="shared" si="30"/>
        <v>STACK.o</v>
      </c>
      <c r="F47">
        <f t="shared" ca="1" si="23"/>
        <v>49</v>
      </c>
      <c r="H47">
        <f t="shared" ca="1" si="31"/>
        <v>214004</v>
      </c>
      <c r="I47" t="str">
        <f t="shared" ca="1" si="1"/>
        <v>0x000343F4</v>
      </c>
      <c r="J47" s="4" t="str">
        <f t="shared" si="26"/>
        <v/>
      </c>
      <c r="K47" s="4" t="str">
        <f t="shared" si="27"/>
        <v xml:space="preserve">                                                             ro data section *_init object STACK.o,</v>
      </c>
    </row>
    <row r="48" spans="1:11" x14ac:dyDescent="0.25">
      <c r="A48" t="s">
        <v>530</v>
      </c>
      <c r="B48" t="str">
        <f t="shared" si="28"/>
        <v/>
      </c>
      <c r="C48">
        <f t="shared" si="29"/>
        <v>0</v>
      </c>
      <c r="D48" t="s">
        <v>91</v>
      </c>
      <c r="E48" t="str">
        <f t="shared" si="30"/>
        <v>MAC.o</v>
      </c>
      <c r="F48">
        <f t="shared" ca="1" si="23"/>
        <v>38</v>
      </c>
      <c r="H48">
        <f t="shared" ca="1" si="31"/>
        <v>214056</v>
      </c>
      <c r="I48" t="str">
        <f t="shared" ca="1" si="1"/>
        <v>0x00034428</v>
      </c>
      <c r="J48" s="4" t="str">
        <f t="shared" si="26"/>
        <v/>
      </c>
      <c r="K48" s="4" t="str">
        <f t="shared" si="27"/>
        <v xml:space="preserve">                                                             ro data section *_init object MAC.o,</v>
      </c>
    </row>
    <row r="49" spans="1:11" x14ac:dyDescent="0.25">
      <c r="A49" t="s">
        <v>530</v>
      </c>
      <c r="B49" t="str">
        <f t="shared" si="28"/>
        <v/>
      </c>
      <c r="C49">
        <f t="shared" si="29"/>
        <v>0</v>
      </c>
      <c r="D49" t="s">
        <v>160</v>
      </c>
      <c r="E49" t="str">
        <f t="shared" si="30"/>
        <v>MAC_FrameEncoder.o</v>
      </c>
      <c r="F49">
        <f t="shared" ca="1" si="23"/>
        <v>0</v>
      </c>
      <c r="H49">
        <f t="shared" ca="1" si="31"/>
        <v>214096</v>
      </c>
      <c r="I49" t="str">
        <f t="shared" ca="1" si="1"/>
        <v>0x00034450</v>
      </c>
      <c r="J49" s="4" t="str">
        <f t="shared" si="26"/>
        <v/>
      </c>
      <c r="K49" s="4" t="str">
        <f t="shared" si="27"/>
        <v xml:space="preserve">                                                             ro data section *_init object MAC_FrameEncoder.o,</v>
      </c>
    </row>
    <row r="50" spans="1:11" x14ac:dyDescent="0.25">
      <c r="A50" t="s">
        <v>530</v>
      </c>
      <c r="B50" t="str">
        <f t="shared" si="28"/>
        <v/>
      </c>
      <c r="C50">
        <f t="shared" si="29"/>
        <v>0</v>
      </c>
      <c r="D50" t="s">
        <v>157</v>
      </c>
      <c r="E50" t="str">
        <f t="shared" si="30"/>
        <v>MAC_FrameManagement.o</v>
      </c>
      <c r="F50">
        <f t="shared" ca="1" si="23"/>
        <v>0</v>
      </c>
      <c r="H50">
        <f t="shared" ca="1" si="31"/>
        <v>214096</v>
      </c>
      <c r="I50" t="str">
        <f t="shared" ca="1" si="1"/>
        <v>0x00034450</v>
      </c>
      <c r="J50" s="4" t="str">
        <f t="shared" si="26"/>
        <v/>
      </c>
      <c r="K50" s="4" t="str">
        <f t="shared" si="27"/>
        <v xml:space="preserve">                                                             ro data section *_init object MAC_FrameManagement.o,</v>
      </c>
    </row>
    <row r="51" spans="1:11" x14ac:dyDescent="0.25">
      <c r="A51" t="s">
        <v>530</v>
      </c>
      <c r="B51" t="str">
        <f t="shared" si="28"/>
        <v/>
      </c>
      <c r="C51">
        <f t="shared" si="29"/>
        <v>0</v>
      </c>
      <c r="D51" t="s">
        <v>158</v>
      </c>
      <c r="E51" t="str">
        <f t="shared" si="30"/>
        <v>MAC_PacketManagement.o</v>
      </c>
      <c r="F51">
        <f t="shared" ca="1" si="23"/>
        <v>3</v>
      </c>
      <c r="H51">
        <f t="shared" ca="1" si="31"/>
        <v>214096</v>
      </c>
      <c r="I51" t="str">
        <f t="shared" ca="1" si="1"/>
        <v>0x00034450</v>
      </c>
      <c r="J51" s="4" t="str">
        <f t="shared" si="26"/>
        <v/>
      </c>
      <c r="K51" s="4" t="str">
        <f t="shared" si="27"/>
        <v xml:space="preserve">                                                             ro data section *_init object MAC_PacketManagement.o,</v>
      </c>
    </row>
    <row r="52" spans="1:11" x14ac:dyDescent="0.25">
      <c r="A52" t="s">
        <v>530</v>
      </c>
      <c r="B52" t="str">
        <f t="shared" si="28"/>
        <v/>
      </c>
      <c r="C52">
        <f t="shared" si="29"/>
        <v>0</v>
      </c>
      <c r="D52" t="s">
        <v>159</v>
      </c>
      <c r="E52" t="str">
        <f t="shared" si="30"/>
        <v>PHY.o</v>
      </c>
      <c r="F52">
        <f t="shared" ca="1" si="23"/>
        <v>171</v>
      </c>
      <c r="H52">
        <f t="shared" ca="1" si="31"/>
        <v>214100</v>
      </c>
      <c r="I52" t="str">
        <f t="shared" ca="1" si="1"/>
        <v>0x00034454</v>
      </c>
      <c r="J52" s="4" t="str">
        <f t="shared" si="26"/>
        <v/>
      </c>
      <c r="K52" s="4" t="str">
        <f t="shared" si="27"/>
        <v xml:space="preserve">                                                             ro data section *_init object PHY.o,</v>
      </c>
    </row>
    <row r="53" spans="1:11" x14ac:dyDescent="0.25">
      <c r="A53" t="s">
        <v>530</v>
      </c>
      <c r="B53" t="str">
        <f t="shared" si="28"/>
        <v/>
      </c>
      <c r="C53">
        <f t="shared" si="29"/>
        <v>0</v>
      </c>
      <c r="D53" t="s">
        <v>1106</v>
      </c>
      <c r="E53" t="str">
        <f t="shared" si="30"/>
        <v>EstimateCarrierFrequencyOffset.o</v>
      </c>
      <c r="F53">
        <f t="shared" ca="1" si="23"/>
        <v>0</v>
      </c>
      <c r="H53">
        <f t="shared" ca="1" si="31"/>
        <v>214272</v>
      </c>
      <c r="I53" t="str">
        <f t="shared" ca="1" si="1"/>
        <v>0x00034500</v>
      </c>
      <c r="J53" s="4" t="str">
        <f t="shared" si="26"/>
        <v/>
      </c>
      <c r="K53" s="4" t="str">
        <f t="shared" si="27"/>
        <v xml:space="preserve">                                                             ro data section *_init object EstimateCarrierFrequencyOffset.o,</v>
      </c>
    </row>
    <row r="54" spans="1:11" x14ac:dyDescent="0.25">
      <c r="A54" t="s">
        <v>530</v>
      </c>
      <c r="B54" t="str">
        <f t="shared" si="28"/>
        <v/>
      </c>
      <c r="C54">
        <f t="shared" si="29"/>
        <v>0</v>
      </c>
      <c r="D54" t="s">
        <v>1107</v>
      </c>
      <c r="E54" t="str">
        <f t="shared" si="30"/>
        <v>MaximizeEyeOpening.o</v>
      </c>
      <c r="F54">
        <f t="shared" ca="1" si="23"/>
        <v>0</v>
      </c>
      <c r="H54">
        <f t="shared" ca="1" si="31"/>
        <v>214272</v>
      </c>
      <c r="I54" t="str">
        <f t="shared" ca="1" si="1"/>
        <v>0x00034500</v>
      </c>
      <c r="J54" s="4" t="str">
        <f t="shared" si="26"/>
        <v/>
      </c>
      <c r="K54" s="4" t="str">
        <f t="shared" si="27"/>
        <v xml:space="preserve">                                                             ro data section *_init object MaximizeEyeOpening.o,</v>
      </c>
    </row>
    <row r="55" spans="1:11" x14ac:dyDescent="0.25">
      <c r="A55" t="s">
        <v>530</v>
      </c>
      <c r="B55" t="str">
        <f t="shared" si="28"/>
        <v/>
      </c>
      <c r="C55">
        <f t="shared" si="29"/>
        <v>0</v>
      </c>
      <c r="D55" t="s">
        <v>1108</v>
      </c>
      <c r="E55" t="str">
        <f t="shared" si="30"/>
        <v>PerformCFOCompensation.o</v>
      </c>
      <c r="F55">
        <f t="shared" ca="1" si="23"/>
        <v>0</v>
      </c>
      <c r="H55">
        <f t="shared" ca="1" si="31"/>
        <v>214272</v>
      </c>
      <c r="I55" t="str">
        <f t="shared" ca="1" si="1"/>
        <v>0x00034500</v>
      </c>
      <c r="J55" s="4" t="str">
        <f t="shared" si="26"/>
        <v/>
      </c>
      <c r="K55" s="4" t="str">
        <f t="shared" si="27"/>
        <v xml:space="preserve">                                                             ro data section *_init object PerformCFOCompensation.o,</v>
      </c>
    </row>
    <row r="56" spans="1:11" x14ac:dyDescent="0.25">
      <c r="A56" t="s">
        <v>530</v>
      </c>
      <c r="B56" t="str">
        <f t="shared" si="28"/>
        <v/>
      </c>
      <c r="C56">
        <f t="shared" si="29"/>
        <v>0</v>
      </c>
      <c r="D56" t="s">
        <v>1109</v>
      </c>
      <c r="E56" t="str">
        <f t="shared" si="30"/>
        <v>preamble_detect.o</v>
      </c>
      <c r="F56">
        <f t="shared" ca="1" si="23"/>
        <v>0</v>
      </c>
      <c r="H56">
        <f t="shared" ca="1" si="31"/>
        <v>214272</v>
      </c>
      <c r="I56" t="str">
        <f t="shared" ca="1" si="1"/>
        <v>0x00034500</v>
      </c>
      <c r="J56" s="4" t="str">
        <f t="shared" si="26"/>
        <v/>
      </c>
      <c r="K56" s="4" t="str">
        <f t="shared" si="27"/>
        <v xml:space="preserve">                                                             ro data section *_init object preamble_detect.o,</v>
      </c>
    </row>
    <row r="57" spans="1:11" x14ac:dyDescent="0.25">
      <c r="A57" t="s">
        <v>530</v>
      </c>
      <c r="B57" t="str">
        <f t="shared" si="28"/>
        <v/>
      </c>
      <c r="C57">
        <f t="shared" si="29"/>
        <v>0</v>
      </c>
      <c r="D57" t="s">
        <v>1110</v>
      </c>
      <c r="E57" t="str">
        <f t="shared" si="30"/>
        <v>preambleDetector.o</v>
      </c>
      <c r="F57">
        <f t="shared" ca="1" si="23"/>
        <v>0</v>
      </c>
      <c r="H57">
        <f t="shared" ca="1" si="31"/>
        <v>214272</v>
      </c>
      <c r="I57" t="str">
        <f t="shared" ca="1" si="1"/>
        <v>0x00034500</v>
      </c>
      <c r="J57" s="4" t="str">
        <f t="shared" si="26"/>
        <v/>
      </c>
      <c r="K57" s="4" t="str">
        <f t="shared" si="27"/>
        <v xml:space="preserve">                                                             ro data section *_init object preambleDetector.o,</v>
      </c>
    </row>
    <row r="58" spans="1:11" x14ac:dyDescent="0.25">
      <c r="A58" t="s">
        <v>530</v>
      </c>
      <c r="B58" t="str">
        <f t="shared" si="28"/>
        <v/>
      </c>
      <c r="C58">
        <f t="shared" si="29"/>
        <v>0</v>
      </c>
      <c r="D58" t="s">
        <v>1127</v>
      </c>
      <c r="E58" t="str">
        <f t="shared" si="30"/>
        <v>preambleDetector_Data.o</v>
      </c>
      <c r="F58">
        <f t="shared" ca="1" si="23"/>
        <v>0</v>
      </c>
      <c r="H58">
        <f t="shared" ca="1" si="31"/>
        <v>214272</v>
      </c>
      <c r="I58" t="str">
        <f t="shared" ca="1" si="1"/>
        <v>0x00034500</v>
      </c>
      <c r="J58" s="4" t="str">
        <f t="shared" si="26"/>
        <v/>
      </c>
      <c r="K58" s="4" t="str">
        <f t="shared" si="27"/>
        <v xml:space="preserve">                                                             ro data section *_init object preambleDetector_Data.o,</v>
      </c>
    </row>
    <row r="59" spans="1:11" x14ac:dyDescent="0.25">
      <c r="A59" t="s">
        <v>530</v>
      </c>
      <c r="B59" t="str">
        <f t="shared" si="28"/>
        <v/>
      </c>
      <c r="C59">
        <f t="shared" si="29"/>
        <v>0</v>
      </c>
      <c r="D59" t="s">
        <v>1112</v>
      </c>
      <c r="E59" t="str">
        <f t="shared" si="30"/>
        <v>preambleDetector_initialize.o</v>
      </c>
      <c r="F59">
        <f t="shared" ca="1" si="23"/>
        <v>0</v>
      </c>
      <c r="H59">
        <f t="shared" ca="1" si="31"/>
        <v>214272</v>
      </c>
      <c r="I59" t="str">
        <f t="shared" ca="1" si="1"/>
        <v>0x00034500</v>
      </c>
      <c r="J59" s="4" t="str">
        <f t="shared" si="26"/>
        <v/>
      </c>
      <c r="K59" s="4" t="str">
        <f t="shared" si="27"/>
        <v xml:space="preserve">                                                             ro data section *_init object preambleDetector_initialize.o,</v>
      </c>
    </row>
    <row r="60" spans="1:11" x14ac:dyDescent="0.25">
      <c r="A60" t="s">
        <v>530</v>
      </c>
      <c r="B60" t="str">
        <f t="shared" si="28"/>
        <v/>
      </c>
      <c r="C60">
        <f t="shared" si="29"/>
        <v>0</v>
      </c>
      <c r="D60" t="s">
        <v>1128</v>
      </c>
      <c r="E60" t="str">
        <f t="shared" si="30"/>
        <v>processDerotatedSamples.o</v>
      </c>
      <c r="F60">
        <f t="shared" ca="1" si="23"/>
        <v>0</v>
      </c>
      <c r="H60">
        <f t="shared" ca="1" si="31"/>
        <v>214272</v>
      </c>
      <c r="I60" t="str">
        <f t="shared" ca="1" si="1"/>
        <v>0x00034500</v>
      </c>
      <c r="J60" s="4" t="str">
        <f t="shared" si="26"/>
        <v/>
      </c>
      <c r="K60" s="4" t="str">
        <f t="shared" si="27"/>
        <v xml:space="preserve">                                                             ro data section *_init object processDerotatedSamples.o,</v>
      </c>
    </row>
    <row r="61" spans="1:11" x14ac:dyDescent="0.25">
      <c r="A61" t="s">
        <v>530</v>
      </c>
      <c r="B61" t="str">
        <f t="shared" si="28"/>
        <v/>
      </c>
      <c r="C61">
        <f t="shared" si="29"/>
        <v>0</v>
      </c>
      <c r="D61" t="s">
        <v>1113</v>
      </c>
      <c r="E61" t="str">
        <f t="shared" si="30"/>
        <v>ScaleClipFreq2phase.o</v>
      </c>
      <c r="F61">
        <f t="shared" ca="1" si="23"/>
        <v>0</v>
      </c>
      <c r="H61">
        <f t="shared" ca="1" si="31"/>
        <v>214272</v>
      </c>
      <c r="I61" t="str">
        <f t="shared" ca="1" si="1"/>
        <v>0x00034500</v>
      </c>
      <c r="J61" s="4" t="str">
        <f t="shared" si="26"/>
        <v/>
      </c>
      <c r="K61" s="4" t="str">
        <f t="shared" si="27"/>
        <v xml:space="preserve">                                                             ro data section *_init object ScaleClipFreq2phase.o,</v>
      </c>
    </row>
    <row r="62" spans="1:11" x14ac:dyDescent="0.25">
      <c r="A62" t="s">
        <v>530</v>
      </c>
      <c r="B62" t="str">
        <f t="shared" si="28"/>
        <v/>
      </c>
      <c r="C62">
        <f t="shared" si="29"/>
        <v>0</v>
      </c>
      <c r="D62" t="s">
        <v>1114</v>
      </c>
      <c r="E62" t="str">
        <f t="shared" si="30"/>
        <v>sign.o</v>
      </c>
      <c r="F62">
        <f t="shared" ca="1" si="23"/>
        <v>0</v>
      </c>
      <c r="H62">
        <f t="shared" ca="1" si="31"/>
        <v>214272</v>
      </c>
      <c r="I62" t="str">
        <f t="shared" ca="1" si="1"/>
        <v>0x00034500</v>
      </c>
      <c r="J62" s="4" t="str">
        <f t="shared" si="26"/>
        <v/>
      </c>
      <c r="K62" s="4" t="str">
        <f t="shared" si="27"/>
        <v xml:space="preserve">                                                             ro data section *_init object sign.o,</v>
      </c>
    </row>
    <row r="63" spans="1:11" x14ac:dyDescent="0.25">
      <c r="A63" t="s">
        <v>530</v>
      </c>
      <c r="B63" t="str">
        <f t="shared" si="28"/>
        <v/>
      </c>
      <c r="C63">
        <f t="shared" si="29"/>
        <v>0</v>
      </c>
      <c r="D63" t="s">
        <v>1115</v>
      </c>
      <c r="E63" t="str">
        <f t="shared" si="30"/>
        <v>fir_filt_circ_buff.o</v>
      </c>
      <c r="F63">
        <f t="shared" ca="1" si="23"/>
        <v>0</v>
      </c>
      <c r="H63">
        <f t="shared" ca="1" si="31"/>
        <v>214272</v>
      </c>
      <c r="I63" t="str">
        <f t="shared" ca="1" si="1"/>
        <v>0x00034500</v>
      </c>
      <c r="J63" s="4" t="str">
        <f t="shared" si="26"/>
        <v/>
      </c>
      <c r="K63" s="4" t="str">
        <f t="shared" si="27"/>
        <v xml:space="preserve">                                                             ro data section *_init object fir_filt_circ_buff.o,</v>
      </c>
    </row>
    <row r="64" spans="1:11" x14ac:dyDescent="0.25">
      <c r="A64" t="s">
        <v>530</v>
      </c>
      <c r="B64" t="str">
        <f t="shared" si="28"/>
        <v/>
      </c>
      <c r="C64">
        <f t="shared" si="29"/>
        <v>0</v>
      </c>
      <c r="D64" t="s">
        <v>1116</v>
      </c>
      <c r="E64" t="str">
        <f t="shared" si="30"/>
        <v>gresample.o</v>
      </c>
      <c r="F64">
        <f t="shared" ca="1" si="23"/>
        <v>0</v>
      </c>
      <c r="H64">
        <f t="shared" ca="1" si="31"/>
        <v>214272</v>
      </c>
      <c r="I64" t="str">
        <f t="shared" ca="1" si="1"/>
        <v>0x00034500</v>
      </c>
      <c r="J64" s="4" t="str">
        <f t="shared" si="26"/>
        <v/>
      </c>
      <c r="K64" s="4" t="str">
        <f t="shared" si="27"/>
        <v xml:space="preserve">                                                             ro data section *_init object gresample.o,</v>
      </c>
    </row>
    <row r="65" spans="1:11" x14ac:dyDescent="0.25">
      <c r="A65" t="s">
        <v>530</v>
      </c>
      <c r="B65" t="str">
        <f t="shared" si="28"/>
        <v/>
      </c>
      <c r="C65">
        <f t="shared" si="29"/>
        <v>0</v>
      </c>
      <c r="D65" t="s">
        <v>1117</v>
      </c>
      <c r="E65" t="str">
        <f t="shared" si="30"/>
        <v>phase2freq_wi_unwrap.o</v>
      </c>
      <c r="F65">
        <f t="shared" ca="1" si="23"/>
        <v>0</v>
      </c>
      <c r="H65">
        <f t="shared" ca="1" si="31"/>
        <v>214272</v>
      </c>
      <c r="I65" t="str">
        <f t="shared" ca="1" si="1"/>
        <v>0x00034500</v>
      </c>
      <c r="J65" s="4" t="str">
        <f t="shared" si="26"/>
        <v/>
      </c>
      <c r="K65" s="4" t="str">
        <f t="shared" si="27"/>
        <v xml:space="preserve">                                                             ro data section *_init object phase2freq_wi_unwrap.o,</v>
      </c>
    </row>
    <row r="66" spans="1:11" x14ac:dyDescent="0.25">
      <c r="A66" t="s">
        <v>530</v>
      </c>
      <c r="B66" t="str">
        <f t="shared" si="28"/>
        <v/>
      </c>
      <c r="C66">
        <f t="shared" si="29"/>
        <v>0</v>
      </c>
      <c r="D66" t="s">
        <v>1118</v>
      </c>
      <c r="E66" t="str">
        <f t="shared" si="30"/>
        <v>findSYNC.o</v>
      </c>
      <c r="F66">
        <f t="shared" ca="1" si="23"/>
        <v>0</v>
      </c>
      <c r="H66">
        <f t="shared" ca="1" si="31"/>
        <v>214272</v>
      </c>
      <c r="I66" t="str">
        <f t="shared" ca="1" si="1"/>
        <v>0x00034500</v>
      </c>
      <c r="J66" s="4" t="str">
        <f t="shared" si="26"/>
        <v/>
      </c>
      <c r="K66" s="4" t="str">
        <f t="shared" si="27"/>
        <v xml:space="preserve">                                                             ro data section *_init object findSYNC.o,</v>
      </c>
    </row>
    <row r="67" spans="1:11" x14ac:dyDescent="0.25">
      <c r="A67" t="s">
        <v>530</v>
      </c>
      <c r="B67" t="str">
        <f t="shared" si="28"/>
        <v/>
      </c>
      <c r="C67">
        <f t="shared" si="29"/>
        <v>0</v>
      </c>
      <c r="D67" t="s">
        <v>1120</v>
      </c>
      <c r="E67" t="str">
        <f t="shared" si="30"/>
        <v>FreqDomMlseP4GfskStruct2.o</v>
      </c>
      <c r="F67">
        <f t="shared" ca="1" si="23"/>
        <v>0</v>
      </c>
      <c r="H67">
        <f t="shared" ca="1" si="31"/>
        <v>214272</v>
      </c>
      <c r="I67" t="str">
        <f t="shared" ca="1" si="1"/>
        <v>0x00034500</v>
      </c>
      <c r="J67" s="4" t="str">
        <f t="shared" si="26"/>
        <v/>
      </c>
      <c r="K67" s="4" t="str">
        <f t="shared" si="27"/>
        <v xml:space="preserve">                                                             ro data section *_init object FreqDomMlseP4GfskStruct2.o,</v>
      </c>
    </row>
    <row r="68" spans="1:11" x14ac:dyDescent="0.25">
      <c r="A68" t="s">
        <v>530</v>
      </c>
      <c r="B68" t="str">
        <f t="shared" si="28"/>
        <v/>
      </c>
      <c r="C68">
        <f t="shared" si="29"/>
        <v>0</v>
      </c>
      <c r="D68" t="s">
        <v>1121</v>
      </c>
      <c r="E68" t="str">
        <f t="shared" si="30"/>
        <v>processDerotatedSPDSamples.o</v>
      </c>
      <c r="F68">
        <f t="shared" ca="1" si="23"/>
        <v>0</v>
      </c>
      <c r="H68">
        <f t="shared" ca="1" si="31"/>
        <v>214272</v>
      </c>
      <c r="I68" t="str">
        <f t="shared" ca="1" si="1"/>
        <v>0x00034500</v>
      </c>
      <c r="J68" s="4" t="str">
        <f t="shared" si="26"/>
        <v/>
      </c>
      <c r="K68" s="4" t="str">
        <f t="shared" si="27"/>
        <v xml:space="preserve">                                                             ro data section *_init object processDerotatedSPDSamples.o,</v>
      </c>
    </row>
    <row r="69" spans="1:11" x14ac:dyDescent="0.25">
      <c r="A69" t="s">
        <v>530</v>
      </c>
      <c r="B69" t="str">
        <f t="shared" ref="B69:B72" si="32">IF(A69&lt;&gt;A68,A69&amp;$B$1,"")</f>
        <v/>
      </c>
      <c r="C69">
        <f t="shared" ref="C69:C72" si="33">LEN(B69)</f>
        <v>0</v>
      </c>
      <c r="D69" t="s">
        <v>1119</v>
      </c>
      <c r="E69" t="str">
        <f t="shared" ref="E69:E71" si="34">SUBSTITUTE(D69,"-","_")</f>
        <v>SyncAndPayloadDemodulator.o</v>
      </c>
      <c r="F69">
        <f t="shared" ref="F69:F73" ca="1" si="35">IFERROR(VLOOKUP(D69,INDIRECT($F$1),2,FALSE),0)</f>
        <v>0</v>
      </c>
      <c r="H69">
        <f t="shared" ref="H69:H73" ca="1" si="36">H68+F68+G68+IF(MOD(F68+H68+G68,$G$40)=0,0,$G$40-MOD(F68+H68+G68,$G$40))</f>
        <v>214272</v>
      </c>
      <c r="I69" t="str">
        <f t="shared" ref="I69:I73" ca="1" si="37">"0x"&amp;DEC2HEX(H69,8)</f>
        <v>0x00034500</v>
      </c>
      <c r="J69" s="4" t="str">
        <f t="shared" ref="J69:J73" si="38">IF(B69="","","define symbol "&amp;B69&amp;REPT(" ",$C$4-C69)&amp;"= "&amp;I69&amp;";")</f>
        <v/>
      </c>
      <c r="K69" s="4" t="str">
        <f t="shared" ref="K69:K73" si="39">IF(B69="",REPT(" ",$C$4+$K$4)&amp;$K$2&amp;D69&amp;IF(B70="",","," };"),""""&amp;B69&amp;""":"&amp;REPT(" ",$C$4-C69)&amp;"place at address mem: "&amp;B69&amp;REPT(" ",$C$4-C69)&amp;"{ "&amp;K$2&amp;D69&amp;IF(B70="",","," };"))</f>
        <v xml:space="preserve">                                                             ro data section *_init object SyncAndPayloadDemodulator.o,</v>
      </c>
    </row>
    <row r="70" spans="1:11" x14ac:dyDescent="0.25">
      <c r="A70" t="s">
        <v>530</v>
      </c>
      <c r="B70" t="str">
        <f t="shared" si="32"/>
        <v/>
      </c>
      <c r="C70">
        <f t="shared" si="33"/>
        <v>0</v>
      </c>
      <c r="D70" t="s">
        <v>1122</v>
      </c>
      <c r="E70" t="str">
        <f t="shared" si="34"/>
        <v>SoftDemodulator.o</v>
      </c>
      <c r="F70">
        <f t="shared" ca="1" si="35"/>
        <v>0</v>
      </c>
      <c r="H70">
        <f t="shared" ca="1" si="36"/>
        <v>214272</v>
      </c>
      <c r="I70" t="str">
        <f t="shared" ca="1" si="37"/>
        <v>0x00034500</v>
      </c>
      <c r="J70" s="4" t="str">
        <f t="shared" si="38"/>
        <v/>
      </c>
      <c r="K70" s="4" t="str">
        <f t="shared" si="39"/>
        <v xml:space="preserve">                                                             ro data section *_init object SoftDemodulator.o,</v>
      </c>
    </row>
    <row r="71" spans="1:11" x14ac:dyDescent="0.25">
      <c r="A71" t="s">
        <v>530</v>
      </c>
      <c r="B71" t="str">
        <f t="shared" si="32"/>
        <v/>
      </c>
      <c r="C71">
        <f t="shared" si="33"/>
        <v>0</v>
      </c>
      <c r="D71" t="s">
        <v>259</v>
      </c>
      <c r="E71" t="str">
        <f t="shared" si="34"/>
        <v>rs.o</v>
      </c>
      <c r="F71">
        <f t="shared" ca="1" si="35"/>
        <v>0</v>
      </c>
      <c r="H71">
        <f t="shared" ca="1" si="36"/>
        <v>214272</v>
      </c>
      <c r="I71" t="str">
        <f t="shared" ca="1" si="37"/>
        <v>0x00034500</v>
      </c>
      <c r="J71" s="4" t="str">
        <f t="shared" si="38"/>
        <v/>
      </c>
      <c r="K71" s="4" t="str">
        <f t="shared" si="39"/>
        <v xml:space="preserve">                                                             ro data section *_init object rs.o,</v>
      </c>
    </row>
    <row r="72" spans="1:11" x14ac:dyDescent="0.25">
      <c r="A72" t="s">
        <v>530</v>
      </c>
      <c r="B72" t="str">
        <f t="shared" si="32"/>
        <v/>
      </c>
      <c r="C72">
        <f t="shared" si="33"/>
        <v>0</v>
      </c>
      <c r="D72" t="s">
        <v>1071</v>
      </c>
      <c r="E72" t="str">
        <f t="shared" si="30"/>
        <v>galois.o</v>
      </c>
      <c r="F72">
        <f t="shared" ca="1" si="35"/>
        <v>0</v>
      </c>
      <c r="H72">
        <f t="shared" ca="1" si="36"/>
        <v>214272</v>
      </c>
      <c r="I72" t="str">
        <f t="shared" ca="1" si="37"/>
        <v>0x00034500</v>
      </c>
      <c r="J72" s="4" t="str">
        <f t="shared" si="38"/>
        <v/>
      </c>
      <c r="K72" s="4" t="str">
        <f t="shared" si="39"/>
        <v xml:space="preserve">                                                             ro data section *_init object galois.o,</v>
      </c>
    </row>
    <row r="73" spans="1:11" x14ac:dyDescent="0.25">
      <c r="A73" t="s">
        <v>530</v>
      </c>
      <c r="B73" t="str">
        <f t="shared" si="28"/>
        <v/>
      </c>
      <c r="C73">
        <f t="shared" si="29"/>
        <v>0</v>
      </c>
      <c r="D73" t="s">
        <v>1072</v>
      </c>
      <c r="E73" t="str">
        <f t="shared" si="30"/>
        <v>rsdec.o</v>
      </c>
      <c r="F73">
        <f t="shared" ca="1" si="35"/>
        <v>0</v>
      </c>
      <c r="H73">
        <f t="shared" ca="1" si="36"/>
        <v>214272</v>
      </c>
      <c r="I73" t="str">
        <f t="shared" ca="1" si="37"/>
        <v>0x00034500</v>
      </c>
      <c r="J73" s="4" t="str">
        <f t="shared" si="38"/>
        <v/>
      </c>
      <c r="K73" s="4" t="str">
        <f t="shared" si="39"/>
        <v xml:space="preserve">                                                             ro data section *_init object rsdec.o,</v>
      </c>
    </row>
    <row r="74" spans="1:11" x14ac:dyDescent="0.25">
      <c r="A74" t="s">
        <v>530</v>
      </c>
      <c r="B74" t="str">
        <f t="shared" si="28"/>
        <v/>
      </c>
      <c r="C74">
        <f t="shared" si="29"/>
        <v>0</v>
      </c>
      <c r="D74" t="s">
        <v>1075</v>
      </c>
      <c r="E74" t="str">
        <f t="shared" si="30"/>
        <v>rsenc.o</v>
      </c>
      <c r="F74">
        <f t="shared" ca="1" si="23"/>
        <v>0</v>
      </c>
      <c r="H74">
        <f t="shared" ca="1" si="31"/>
        <v>214272</v>
      </c>
      <c r="I74" t="str">
        <f t="shared" ca="1" si="1"/>
        <v>0x00034500</v>
      </c>
      <c r="J74" s="4" t="str">
        <f t="shared" si="26"/>
        <v/>
      </c>
      <c r="K74" s="4" t="str">
        <f t="shared" si="27"/>
        <v xml:space="preserve">                                                             ro data section *_init object rsenc.o,</v>
      </c>
    </row>
    <row r="75" spans="1:11" x14ac:dyDescent="0.25">
      <c r="A75" t="s">
        <v>530</v>
      </c>
      <c r="B75" t="str">
        <f t="shared" si="28"/>
        <v/>
      </c>
      <c r="C75">
        <f t="shared" si="29"/>
        <v>0</v>
      </c>
      <c r="D75" t="s">
        <v>1086</v>
      </c>
      <c r="E75" t="str">
        <f t="shared" si="30"/>
        <v>indication.o</v>
      </c>
      <c r="F75">
        <f t="shared" ca="1" si="23"/>
        <v>0</v>
      </c>
      <c r="H75">
        <f t="shared" ca="1" si="31"/>
        <v>214272</v>
      </c>
      <c r="I75" t="str">
        <f t="shared" ca="1" si="1"/>
        <v>0x00034500</v>
      </c>
      <c r="J75" s="4" t="str">
        <f t="shared" si="26"/>
        <v/>
      </c>
      <c r="K75" s="4" t="str">
        <f t="shared" si="27"/>
        <v xml:space="preserve">                                                             ro data section *_init object indication.o };</v>
      </c>
    </row>
    <row r="76" spans="1:11" x14ac:dyDescent="0.25">
      <c r="B76" t="str">
        <f>B42&amp;"_end"</f>
        <v>stack_DINIT_end</v>
      </c>
      <c r="F76">
        <f ca="1">SUM(F42:F75)</f>
        <v>358</v>
      </c>
      <c r="G76">
        <f ca="1">INT(($G$39/100)*F76)</f>
        <v>3</v>
      </c>
      <c r="H76">
        <f ca="1">H75+F75+G76+IF(MOD(F75+H75+G76,$G$40)=0,0,$G$40-MOD(F75+H75+G76,$G$40))</f>
        <v>214276</v>
      </c>
      <c r="I76" t="str">
        <f t="shared" ca="1" si="1"/>
        <v>0x00034504</v>
      </c>
      <c r="J76" s="4"/>
      <c r="K76" s="4"/>
    </row>
    <row r="77" spans="1:11" x14ac:dyDescent="0.25">
      <c r="J77" s="4"/>
      <c r="K77" s="4"/>
    </row>
    <row r="78" spans="1:11" x14ac:dyDescent="0.25">
      <c r="F78" t="s">
        <v>526</v>
      </c>
      <c r="G78">
        <f ca="1">VLOOKUP(B81,INDIRECT(GlobalPlcmnt!$B$133),GlobalPlcmnt!$B$138,FALSE)</f>
        <v>1</v>
      </c>
      <c r="J78" s="4"/>
      <c r="K78" s="4"/>
    </row>
    <row r="79" spans="1:11" x14ac:dyDescent="0.25">
      <c r="F79" t="s">
        <v>608</v>
      </c>
      <c r="G79">
        <f ca="1">VLOOKUP(B81,INDIRECT(GlobalPlcmnt!$B$133),GlobalPlcmnt!$C$138,FALSE)</f>
        <v>4</v>
      </c>
      <c r="J79" s="4"/>
      <c r="K79" s="4"/>
    </row>
    <row r="80" spans="1:11" x14ac:dyDescent="0.25">
      <c r="F80" t="s">
        <v>542</v>
      </c>
      <c r="J80" s="4"/>
      <c r="K80" s="4"/>
    </row>
    <row r="81" spans="1:11" x14ac:dyDescent="0.25">
      <c r="A81" t="s">
        <v>531</v>
      </c>
      <c r="B81" t="str">
        <f t="shared" ref="B81:B86" si="40">IF(A81&lt;&gt;A80,A81&amp;$B$1,"")</f>
        <v>OS_API_DINIT</v>
      </c>
      <c r="C81">
        <f t="shared" si="2"/>
        <v>12</v>
      </c>
      <c r="D81" t="s">
        <v>239</v>
      </c>
      <c r="E81" t="str">
        <f t="shared" si="3"/>
        <v>Event.o</v>
      </c>
      <c r="F81">
        <f t="shared" ref="F81:F86" ca="1" si="41">IFERROR(VLOOKUP(D81,INDIRECT($F$1),2,FALSE),0)</f>
        <v>0</v>
      </c>
      <c r="H81">
        <f ca="1">VLOOKUP(B81,INDIRECT(GlobalPlcmnt!$B$133),GlobalPlcmnt!$A$138,FALSE)</f>
        <v>214276</v>
      </c>
      <c r="I81" t="str">
        <f t="shared" ca="1" si="1"/>
        <v>0x00034504</v>
      </c>
      <c r="J81" s="4" t="str">
        <f t="shared" ref="J81" ca="1" si="42">IF(B81="","","define symbol "&amp;B81&amp;REPT(" ",$C$4-C81)&amp;"= "&amp;I81&amp;";")</f>
        <v>define symbol OS_API_DINIT     = 0x00034504;</v>
      </c>
      <c r="K81" s="4" t="str">
        <f t="shared" ref="K81" si="43">IF(B81="",REPT(" ",$C$4+$K$4)&amp;$K$2&amp;D81&amp;IF(B82="",","," };"),""""&amp;B81&amp;""":"&amp;REPT(" ",$C$4-C81)&amp;"place at address mem: "&amp;B81&amp;REPT(" ",$C$4-C81)&amp;"{ "&amp;K$2&amp;D81&amp;IF(B82="",","," };"))</f>
        <v>"OS_API_DINIT":     place at address mem: OS_API_DINIT     { ro data section *_init object Event.o,</v>
      </c>
    </row>
    <row r="82" spans="1:11" x14ac:dyDescent="0.25">
      <c r="A82" t="s">
        <v>531</v>
      </c>
      <c r="B82" t="str">
        <f t="shared" si="40"/>
        <v/>
      </c>
      <c r="C82">
        <f t="shared" si="2"/>
        <v>0</v>
      </c>
      <c r="D82" t="s">
        <v>115</v>
      </c>
      <c r="E82" t="str">
        <f t="shared" si="3"/>
        <v>MessageQ.o</v>
      </c>
      <c r="F82">
        <f t="shared" ca="1" si="41"/>
        <v>0</v>
      </c>
      <c r="H82">
        <f ca="1">H81+F81+G81+IF(MOD(F81+H81+G81,$G$79)=0,0,$G$79-MOD(F81+H81+G81,$G$79))</f>
        <v>214276</v>
      </c>
      <c r="I82" t="str">
        <f t="shared" ca="1" si="1"/>
        <v>0x00034504</v>
      </c>
      <c r="J82" s="4" t="str">
        <f t="shared" ref="J82:J86" si="44">IF(B82="","","define symbol "&amp;B82&amp;REPT(" ",$C$4-C82)&amp;"= "&amp;I82&amp;";")</f>
        <v/>
      </c>
      <c r="K82" s="4" t="str">
        <f t="shared" ref="K82:K86" si="45">IF(B82="",REPT(" ",$C$4+$K$4)&amp;$K$2&amp;D82&amp;IF(B83="",","," };"),""""&amp;B82&amp;""":"&amp;REPT(" ",$C$4-C82)&amp;"place at address mem: "&amp;B82&amp;REPT(" ",$C$4-C82)&amp;"{ "&amp;K$2&amp;D82&amp;IF(B83="",","," };"))</f>
        <v xml:space="preserve">                                                             ro data section *_init object MessageQ.o,</v>
      </c>
    </row>
    <row r="83" spans="1:11" x14ac:dyDescent="0.25">
      <c r="A83" t="s">
        <v>531</v>
      </c>
      <c r="B83" t="str">
        <f t="shared" si="40"/>
        <v/>
      </c>
      <c r="C83">
        <f t="shared" si="2"/>
        <v>0</v>
      </c>
      <c r="D83" t="s">
        <v>117</v>
      </c>
      <c r="E83" t="str">
        <f t="shared" ref="E83:E86" si="46">SUBSTITUTE(D83,"-","_")</f>
        <v>Mutex.o</v>
      </c>
      <c r="F83">
        <f t="shared" ca="1" si="41"/>
        <v>0</v>
      </c>
      <c r="H83">
        <f t="shared" ref="H83:H86" ca="1" si="47">H82+F82+G82+IF(MOD(F82+H82+G82,$G$79)=0,0,$G$79-MOD(F82+H82+G82,$G$79))</f>
        <v>214276</v>
      </c>
      <c r="I83" t="str">
        <f t="shared" ca="1" si="1"/>
        <v>0x00034504</v>
      </c>
      <c r="J83" s="4" t="str">
        <f t="shared" si="44"/>
        <v/>
      </c>
      <c r="K83" s="4" t="str">
        <f t="shared" si="45"/>
        <v xml:space="preserve">                                                             ro data section *_init object Mutex.o,</v>
      </c>
    </row>
    <row r="84" spans="1:11" x14ac:dyDescent="0.25">
      <c r="A84" t="s">
        <v>531</v>
      </c>
      <c r="B84" t="str">
        <f t="shared" si="40"/>
        <v/>
      </c>
      <c r="C84">
        <f t="shared" si="2"/>
        <v>0</v>
      </c>
      <c r="D84" t="s">
        <v>175</v>
      </c>
      <c r="E84" t="str">
        <f t="shared" si="46"/>
        <v>Queue.o</v>
      </c>
      <c r="F84">
        <f t="shared" ca="1" si="41"/>
        <v>0</v>
      </c>
      <c r="H84">
        <f t="shared" ca="1" si="47"/>
        <v>214276</v>
      </c>
      <c r="I84" t="str">
        <f t="shared" ca="1" si="1"/>
        <v>0x00034504</v>
      </c>
      <c r="J84" s="4" t="str">
        <f t="shared" si="44"/>
        <v/>
      </c>
      <c r="K84" s="4" t="str">
        <f t="shared" si="45"/>
        <v xml:space="preserve">                                                             ro data section *_init object Queue.o,</v>
      </c>
    </row>
    <row r="85" spans="1:11" x14ac:dyDescent="0.25">
      <c r="A85" t="s">
        <v>531</v>
      </c>
      <c r="B85" t="str">
        <f t="shared" si="40"/>
        <v/>
      </c>
      <c r="C85">
        <f t="shared" si="2"/>
        <v>0</v>
      </c>
      <c r="D85" t="s">
        <v>80</v>
      </c>
      <c r="E85" t="str">
        <f t="shared" si="46"/>
        <v>Semaphore.o</v>
      </c>
      <c r="F85">
        <f t="shared" ca="1" si="41"/>
        <v>0</v>
      </c>
      <c r="H85">
        <f t="shared" ca="1" si="47"/>
        <v>214276</v>
      </c>
      <c r="I85" t="str">
        <f t="shared" ca="1" si="1"/>
        <v>0x00034504</v>
      </c>
      <c r="J85" s="4" t="str">
        <f t="shared" si="44"/>
        <v/>
      </c>
      <c r="K85" s="4" t="str">
        <f t="shared" si="45"/>
        <v xml:space="preserve">                                                             ro data section *_init object Semaphore.o,</v>
      </c>
    </row>
    <row r="86" spans="1:11" x14ac:dyDescent="0.25">
      <c r="A86" t="s">
        <v>531</v>
      </c>
      <c r="B86" t="str">
        <f t="shared" si="40"/>
        <v/>
      </c>
      <c r="C86">
        <f t="shared" si="2"/>
        <v>0</v>
      </c>
      <c r="D86" t="s">
        <v>85</v>
      </c>
      <c r="E86" t="str">
        <f t="shared" si="46"/>
        <v>TickTime.o</v>
      </c>
      <c r="F86">
        <f t="shared" ca="1" si="41"/>
        <v>0</v>
      </c>
      <c r="H86">
        <f t="shared" ca="1" si="47"/>
        <v>214276</v>
      </c>
      <c r="I86" t="str">
        <f t="shared" ca="1" si="1"/>
        <v>0x00034504</v>
      </c>
      <c r="J86" s="4" t="str">
        <f t="shared" si="44"/>
        <v/>
      </c>
      <c r="K86" s="4" t="str">
        <f t="shared" si="45"/>
        <v xml:space="preserve">                                                             ro data section *_init object TickTime.o };</v>
      </c>
    </row>
    <row r="87" spans="1:11" x14ac:dyDescent="0.25">
      <c r="B87" t="str">
        <f>B81&amp;"_end"</f>
        <v>OS_API_DINIT_end</v>
      </c>
      <c r="F87">
        <f ca="1">SUM(F81:F86)</f>
        <v>0</v>
      </c>
      <c r="G87">
        <f ca="1">INT(($G$78/100)*F87)</f>
        <v>0</v>
      </c>
      <c r="H87">
        <f ca="1">H86+F86+G87+IF(MOD(F86+H86+G87,$G$79)=0,0,$G$79-MOD(F86+H86+G87,$G$79))</f>
        <v>214276</v>
      </c>
      <c r="I87" t="str">
        <f t="shared" ca="1" si="1"/>
        <v>0x00034504</v>
      </c>
      <c r="J87" s="4"/>
      <c r="K87" s="4"/>
    </row>
    <row r="88" spans="1:11" x14ac:dyDescent="0.25">
      <c r="J88" s="4"/>
      <c r="K88" s="4"/>
    </row>
    <row r="89" spans="1:11" x14ac:dyDescent="0.25">
      <c r="F89" t="s">
        <v>526</v>
      </c>
      <c r="G89">
        <f ca="1">VLOOKUP(B92,INDIRECT(GlobalPlcmnt!$B$133),GlobalPlcmnt!$B$138,FALSE)</f>
        <v>1</v>
      </c>
      <c r="J89" s="4"/>
      <c r="K89" s="4"/>
    </row>
    <row r="90" spans="1:11" x14ac:dyDescent="0.25">
      <c r="F90" t="s">
        <v>608</v>
      </c>
      <c r="G90">
        <f ca="1">VLOOKUP(B92,INDIRECT(GlobalPlcmnt!$B$133),GlobalPlcmnt!$C$138,FALSE)</f>
        <v>4</v>
      </c>
      <c r="J90" s="4"/>
      <c r="K90" s="4"/>
    </row>
    <row r="91" spans="1:11" x14ac:dyDescent="0.25">
      <c r="F91" t="s">
        <v>542</v>
      </c>
      <c r="J91" s="4"/>
      <c r="K91" s="4"/>
    </row>
    <row r="92" spans="1:11" x14ac:dyDescent="0.25">
      <c r="A92" t="s">
        <v>532</v>
      </c>
      <c r="B92" t="str">
        <f t="shared" ref="B92:B99" si="48">IF(A92&lt;&gt;A91,A92&amp;$B$1,"")</f>
        <v>radio_DINIT</v>
      </c>
      <c r="C92">
        <f t="shared" si="2"/>
        <v>11</v>
      </c>
      <c r="D92" t="s">
        <v>235</v>
      </c>
      <c r="E92" t="str">
        <f t="shared" si="3"/>
        <v>radio.o</v>
      </c>
      <c r="F92">
        <f t="shared" ref="F92:F99" ca="1" si="49">IFERROR(VLOOKUP(D92,INDIRECT($F$1),2,FALSE),0)</f>
        <v>57</v>
      </c>
      <c r="H92">
        <f ca="1">VLOOKUP(B92,INDIRECT(GlobalPlcmnt!$B$133),GlobalPlcmnt!$A$138,FALSE)</f>
        <v>214276</v>
      </c>
      <c r="I92" t="str">
        <f t="shared" ca="1" si="1"/>
        <v>0x00034504</v>
      </c>
      <c r="J92" s="4" t="str">
        <f t="shared" ref="J92" ca="1" si="50">IF(B92="","","define symbol "&amp;B92&amp;REPT(" ",$C$4-C92)&amp;"= "&amp;I92&amp;";")</f>
        <v>define symbol radio_DINIT      = 0x00034504;</v>
      </c>
      <c r="K92" s="4" t="str">
        <f t="shared" ref="K92" si="51">IF(B92="",REPT(" ",$C$4+$K$4)&amp;$K$2&amp;D92&amp;IF(B93="",","," };"),""""&amp;B92&amp;""":"&amp;REPT(" ",$C$4-C92)&amp;"place at address mem: "&amp;B92&amp;REPT(" ",$C$4-C92)&amp;"{ "&amp;K$2&amp;D92&amp;IF(B93="",","," };"))</f>
        <v>"radio_DINIT":      place at address mem: radio_DINIT      { ro data section *_init object radio.o,</v>
      </c>
    </row>
    <row r="93" spans="1:11" x14ac:dyDescent="0.25">
      <c r="A93" t="s">
        <v>532</v>
      </c>
      <c r="B93" t="str">
        <f t="shared" si="48"/>
        <v/>
      </c>
      <c r="C93">
        <f t="shared" si="2"/>
        <v>0</v>
      </c>
      <c r="D93" t="s">
        <v>316</v>
      </c>
      <c r="E93" t="str">
        <f>SUBSTITUTE(D93,"-","_")</f>
        <v>radio_comm.o</v>
      </c>
      <c r="F93">
        <f t="shared" ca="1" si="49"/>
        <v>0</v>
      </c>
      <c r="H93">
        <f ca="1">H92+F92+G92+IF(MOD(F92+H92+G92,$G$90)=0,0,$G$90-MOD(F92+H92+G92,$G$90))</f>
        <v>214336</v>
      </c>
      <c r="I93" t="str">
        <f t="shared" ca="1" si="1"/>
        <v>0x00034540</v>
      </c>
      <c r="J93" s="4" t="str">
        <f t="shared" ref="J93:J99" si="52">IF(B93="","","define symbol "&amp;B93&amp;REPT(" ",$C$4-C93)&amp;"= "&amp;I93&amp;";")</f>
        <v/>
      </c>
      <c r="K93" s="4" t="str">
        <f t="shared" ref="K93:K100" si="53">IF(B93="",REPT(" ",$C$4+$K$4)&amp;$K$2&amp;D93&amp;IF(B94="",","," };"),""""&amp;B93&amp;""":"&amp;REPT(" ",$C$4-C93)&amp;"place at address mem: "&amp;B93&amp;REPT(" ",$C$4-C93)&amp;"{ "&amp;K$2&amp;D93&amp;IF(B94="",","," };"))</f>
        <v xml:space="preserve">                                                             ro data section *_init object radio_comm.o,</v>
      </c>
    </row>
    <row r="94" spans="1:11" x14ac:dyDescent="0.25">
      <c r="A94" t="s">
        <v>532</v>
      </c>
      <c r="B94" t="str">
        <f t="shared" si="48"/>
        <v/>
      </c>
      <c r="C94">
        <f t="shared" si="2"/>
        <v>0</v>
      </c>
      <c r="D94" t="s">
        <v>224</v>
      </c>
      <c r="E94" t="str">
        <f t="shared" ref="E94:E99" si="54">SUBSTITUTE(D94,"-","_")</f>
        <v>si446x_api_lib.o</v>
      </c>
      <c r="F94">
        <f t="shared" ca="1" si="49"/>
        <v>0</v>
      </c>
      <c r="H94">
        <f t="shared" ref="H94:H101" ca="1" si="55">H93+F93+G93+IF(MOD(F93+H93+G93,$G$90)=0,0,$G$90-MOD(F93+H93+G93,$G$90))</f>
        <v>214336</v>
      </c>
      <c r="I94" t="str">
        <f t="shared" ca="1" si="1"/>
        <v>0x00034540</v>
      </c>
      <c r="J94" s="4" t="str">
        <f t="shared" si="52"/>
        <v/>
      </c>
      <c r="K94" s="4" t="str">
        <f t="shared" si="53"/>
        <v xml:space="preserve">                                                             ro data section *_init object si446x_api_lib.o,</v>
      </c>
    </row>
    <row r="95" spans="1:11" x14ac:dyDescent="0.25">
      <c r="A95" t="s">
        <v>532</v>
      </c>
      <c r="B95" t="str">
        <f t="shared" si="48"/>
        <v/>
      </c>
      <c r="C95">
        <f t="shared" si="2"/>
        <v>0</v>
      </c>
      <c r="D95" t="s">
        <v>423</v>
      </c>
      <c r="E95" t="str">
        <f t="shared" si="54"/>
        <v>radio_config_normal.o</v>
      </c>
      <c r="F95">
        <f t="shared" ca="1" si="49"/>
        <v>0</v>
      </c>
      <c r="H95">
        <f t="shared" ca="1" si="55"/>
        <v>214336</v>
      </c>
      <c r="I95" t="str">
        <f t="shared" ca="1" si="1"/>
        <v>0x00034540</v>
      </c>
      <c r="J95" s="4" t="str">
        <f t="shared" si="52"/>
        <v/>
      </c>
      <c r="K95" s="4" t="str">
        <f t="shared" si="53"/>
        <v xml:space="preserve">                                                             ro data section *_init object radio_config_normal.o,</v>
      </c>
    </row>
    <row r="96" spans="1:11" x14ac:dyDescent="0.25">
      <c r="A96" t="s">
        <v>532</v>
      </c>
      <c r="B96" t="str">
        <f t="shared" si="48"/>
        <v/>
      </c>
      <c r="C96">
        <f t="shared" si="2"/>
        <v>0</v>
      </c>
      <c r="D96" t="s">
        <v>426</v>
      </c>
      <c r="E96" t="str">
        <f t="shared" si="54"/>
        <v>radio_config_cw.o</v>
      </c>
      <c r="F96">
        <f t="shared" ca="1" si="49"/>
        <v>0</v>
      </c>
      <c r="H96">
        <f t="shared" ca="1" si="55"/>
        <v>214336</v>
      </c>
      <c r="I96" t="str">
        <f t="shared" ca="1" si="1"/>
        <v>0x00034540</v>
      </c>
      <c r="J96" s="4" t="str">
        <f t="shared" si="52"/>
        <v/>
      </c>
      <c r="K96" s="4" t="str">
        <f t="shared" si="53"/>
        <v xml:space="preserve">                                                             ro data section *_init object radio_config_cw.o,</v>
      </c>
    </row>
    <row r="97" spans="1:11" x14ac:dyDescent="0.25">
      <c r="A97" t="s">
        <v>532</v>
      </c>
      <c r="B97" t="str">
        <f t="shared" si="48"/>
        <v/>
      </c>
      <c r="C97">
        <f t="shared" si="2"/>
        <v>0</v>
      </c>
      <c r="D97" t="s">
        <v>425</v>
      </c>
      <c r="E97" t="str">
        <f t="shared" si="54"/>
        <v>radio_config_PN9.o</v>
      </c>
      <c r="F97">
        <f t="shared" ca="1" si="49"/>
        <v>0</v>
      </c>
      <c r="H97">
        <f t="shared" ca="1" si="55"/>
        <v>214336</v>
      </c>
      <c r="I97" t="str">
        <f t="shared" ca="1" si="1"/>
        <v>0x00034540</v>
      </c>
      <c r="J97" s="4" t="str">
        <f t="shared" si="52"/>
        <v/>
      </c>
      <c r="K97" s="4" t="str">
        <f t="shared" si="53"/>
        <v xml:space="preserve">                                                             ro data section *_init object radio_config_PN9.o,</v>
      </c>
    </row>
    <row r="98" spans="1:11" x14ac:dyDescent="0.25">
      <c r="A98" t="s">
        <v>532</v>
      </c>
      <c r="B98" t="str">
        <f t="shared" si="48"/>
        <v/>
      </c>
      <c r="C98">
        <f t="shared" ref="C98:C99" si="56">LEN(B98)</f>
        <v>0</v>
      </c>
      <c r="D98" t="s">
        <v>424</v>
      </c>
      <c r="E98" t="str">
        <f t="shared" si="54"/>
        <v>radio_config_2GFSK_BER.o</v>
      </c>
      <c r="F98">
        <f t="shared" ca="1" si="49"/>
        <v>0</v>
      </c>
      <c r="H98">
        <f t="shared" ca="1" si="55"/>
        <v>214336</v>
      </c>
      <c r="I98" t="str">
        <f t="shared" ca="1" si="1"/>
        <v>0x00034540</v>
      </c>
      <c r="J98" s="4" t="str">
        <f t="shared" si="52"/>
        <v/>
      </c>
      <c r="K98" s="4" t="str">
        <f t="shared" si="53"/>
        <v xml:space="preserve">                                                             ro data section *_init object radio_config_2GFSK_BER.o,</v>
      </c>
    </row>
    <row r="99" spans="1:11" x14ac:dyDescent="0.25">
      <c r="A99" t="s">
        <v>532</v>
      </c>
      <c r="B99" t="str">
        <f t="shared" si="48"/>
        <v/>
      </c>
      <c r="C99">
        <f t="shared" si="56"/>
        <v>0</v>
      </c>
      <c r="D99" t="s">
        <v>427</v>
      </c>
      <c r="E99" t="str">
        <f t="shared" si="54"/>
        <v>radio_config_4GFSK_BER.o</v>
      </c>
      <c r="F99">
        <f t="shared" ca="1" si="49"/>
        <v>0</v>
      </c>
      <c r="H99">
        <f t="shared" ca="1" si="55"/>
        <v>214336</v>
      </c>
      <c r="I99" t="str">
        <f t="shared" ca="1" si="1"/>
        <v>0x00034540</v>
      </c>
      <c r="J99" s="4" t="str">
        <f t="shared" si="52"/>
        <v/>
      </c>
      <c r="K99" s="4" t="str">
        <f t="shared" si="53"/>
        <v xml:space="preserve">                                                             ro data section *_init object radio_config_4GFSK_BER.o,</v>
      </c>
    </row>
    <row r="100" spans="1:11" x14ac:dyDescent="0.25">
      <c r="A100" t="s">
        <v>532</v>
      </c>
      <c r="B100" t="str">
        <f t="shared" ref="B100" si="57">IF(A100&lt;&gt;A99,A100&amp;$B$1,"")</f>
        <v/>
      </c>
      <c r="C100">
        <f t="shared" ref="C100" si="58">LEN(B100)</f>
        <v>0</v>
      </c>
      <c r="D100" t="s">
        <v>1667</v>
      </c>
      <c r="E100" t="str">
        <f t="shared" ref="E100" si="59">SUBSTITUTE(D100,"-","_")</f>
        <v>radio_TCXO.o</v>
      </c>
      <c r="F100">
        <f t="shared" ref="F100" ca="1" si="60">IFERROR(VLOOKUP(D100,INDIRECT($F$1),2,FALSE),0)</f>
        <v>0</v>
      </c>
      <c r="H100">
        <f t="shared" ca="1" si="55"/>
        <v>214336</v>
      </c>
      <c r="I100" t="str">
        <f t="shared" ref="I100" ca="1" si="61">"0x"&amp;DEC2HEX(H100,8)</f>
        <v>0x00034540</v>
      </c>
      <c r="J100" s="4" t="str">
        <f t="shared" ref="J100" si="62">IF(B100="","","define symbol "&amp;B100&amp;REPT(" ",$C$4-C100)&amp;"= "&amp;I100&amp;";")</f>
        <v/>
      </c>
      <c r="K100" s="4" t="str">
        <f t="shared" si="53"/>
        <v xml:space="preserve">                                                             ro data section *_init object radio_TCXO.o };</v>
      </c>
    </row>
    <row r="101" spans="1:11" x14ac:dyDescent="0.25">
      <c r="B101" t="str">
        <f>B92&amp;"_end"</f>
        <v>radio_DINIT_end</v>
      </c>
      <c r="F101">
        <f ca="1">SUM(F92:F100)</f>
        <v>57</v>
      </c>
      <c r="G101">
        <f ca="1">INT(($G$89/100)*F101)</f>
        <v>0</v>
      </c>
      <c r="H101">
        <f t="shared" ca="1" si="55"/>
        <v>214336</v>
      </c>
      <c r="I101" t="str">
        <f t="shared" ca="1" si="1"/>
        <v>0x00034540</v>
      </c>
      <c r="J101" s="4"/>
      <c r="K101" s="4"/>
    </row>
    <row r="102" spans="1:11" x14ac:dyDescent="0.25">
      <c r="J102" s="4"/>
      <c r="K102" s="4"/>
    </row>
    <row r="103" spans="1:11" x14ac:dyDescent="0.25">
      <c r="F103" t="s">
        <v>526</v>
      </c>
      <c r="G103">
        <f ca="1">VLOOKUP(B106,INDIRECT(GlobalPlcmnt!$B$133),GlobalPlcmnt!$B$138,FALSE)</f>
        <v>1</v>
      </c>
      <c r="J103" s="4"/>
      <c r="K103" s="4"/>
    </row>
    <row r="104" spans="1:11" x14ac:dyDescent="0.25">
      <c r="F104" t="s">
        <v>608</v>
      </c>
      <c r="G104">
        <f ca="1">VLOOKUP(B106,INDIRECT(GlobalPlcmnt!$B$133),GlobalPlcmnt!$C$138,FALSE)</f>
        <v>4</v>
      </c>
      <c r="J104" s="4"/>
      <c r="K104" s="4"/>
    </row>
    <row r="105" spans="1:11" x14ac:dyDescent="0.25">
      <c r="F105" t="s">
        <v>542</v>
      </c>
      <c r="J105" s="4"/>
      <c r="K105" s="4"/>
    </row>
    <row r="106" spans="1:11" x14ac:dyDescent="0.25">
      <c r="A106" t="s">
        <v>533</v>
      </c>
      <c r="B106" t="str">
        <f t="shared" ref="B106:B111" si="63">IF(A106&lt;&gt;A105,A106&amp;$B$1,"")</f>
        <v>security_DINIT</v>
      </c>
      <c r="C106">
        <f t="shared" si="2"/>
        <v>14</v>
      </c>
      <c r="D106" t="s">
        <v>302</v>
      </c>
      <c r="E106" t="str">
        <f t="shared" si="3"/>
        <v>cert_builder.o</v>
      </c>
      <c r="F106">
        <f t="shared" ref="F106:F111" ca="1" si="64">IFERROR(VLOOKUP(D106,INDIRECT($F$1),2,FALSE),0)</f>
        <v>0</v>
      </c>
      <c r="H106">
        <f ca="1">VLOOKUP(B106,INDIRECT(GlobalPlcmnt!$B$133),GlobalPlcmnt!$A$138,FALSE)</f>
        <v>214536</v>
      </c>
      <c r="I106" t="str">
        <f t="shared" ca="1" si="1"/>
        <v>0x00034608</v>
      </c>
      <c r="J106" s="4" t="str">
        <f t="shared" ref="J106" ca="1" si="65">IF(B106="","","define symbol "&amp;B106&amp;REPT(" ",$C$4-C106)&amp;"= "&amp;I106&amp;";")</f>
        <v>define symbol security_DINIT   = 0x00034608;</v>
      </c>
      <c r="K106" s="4" t="str">
        <f t="shared" ref="K106" si="66">IF(B106="",REPT(" ",$C$4+$K$4)&amp;$K$2&amp;D106&amp;IF(B107="",","," };"),""""&amp;B106&amp;""":"&amp;REPT(" ",$C$4-C106)&amp;"place at address mem: "&amp;B106&amp;REPT(" ",$C$4-C106)&amp;"{ "&amp;K$2&amp;D106&amp;IF(B107="",","," };"))</f>
        <v>"security_DINIT":   place at address mem: security_DINIT   { ro data section *_init object cert-builder.o,</v>
      </c>
    </row>
    <row r="107" spans="1:11" x14ac:dyDescent="0.25">
      <c r="A107" t="s">
        <v>533</v>
      </c>
      <c r="B107" t="str">
        <f t="shared" si="63"/>
        <v/>
      </c>
      <c r="C107">
        <f t="shared" si="2"/>
        <v>0</v>
      </c>
      <c r="D107" t="s">
        <v>204</v>
      </c>
      <c r="E107" t="str">
        <f t="shared" si="3"/>
        <v>ecc108_apps.o</v>
      </c>
      <c r="F107">
        <f t="shared" ca="1" si="64"/>
        <v>0</v>
      </c>
      <c r="H107">
        <f ca="1">H106+F106+G106+IF(MOD(F106+H106+G106,$G$104)=0,0,$G$104-MOD(F106+H106+G106,$G$104))</f>
        <v>214536</v>
      </c>
      <c r="I107" t="str">
        <f t="shared" ca="1" si="1"/>
        <v>0x00034608</v>
      </c>
      <c r="J107" s="4" t="str">
        <f t="shared" ref="J107:J111" si="67">IF(B107="","","define symbol "&amp;B107&amp;REPT(" ",$C$4-C107)&amp;"= "&amp;I107&amp;";")</f>
        <v/>
      </c>
      <c r="K107" s="4" t="str">
        <f t="shared" ref="K107:K111" si="68">IF(B107="",REPT(" ",$C$4+$K$4)&amp;$K$2&amp;D107&amp;IF(B108="",","," };"),""""&amp;B107&amp;""":"&amp;REPT(" ",$C$4-C107)&amp;"place at address mem: "&amp;B107&amp;REPT(" ",$C$4-C107)&amp;"{ "&amp;K$2&amp;D107&amp;IF(B108="",","," };"))</f>
        <v xml:space="preserve">                                                             ro data section *_init object ecc108_apps.o,</v>
      </c>
    </row>
    <row r="108" spans="1:11" x14ac:dyDescent="0.25">
      <c r="A108" t="s">
        <v>533</v>
      </c>
      <c r="B108" t="str">
        <f t="shared" si="63"/>
        <v/>
      </c>
      <c r="C108">
        <f t="shared" si="2"/>
        <v>0</v>
      </c>
      <c r="D108" t="s">
        <v>299</v>
      </c>
      <c r="E108" t="str">
        <f t="shared" ref="E108:E111" si="69">SUBSTITUTE(D108,"-","_")</f>
        <v>ecc108_comm.o</v>
      </c>
      <c r="F108">
        <f t="shared" ca="1" si="64"/>
        <v>0</v>
      </c>
      <c r="H108">
        <f t="shared" ref="H108:H111" ca="1" si="70">H107+F107+G107+IF(MOD(F107+H107+G107,$G$104)=0,0,$G$104-MOD(F107+H107+G107,$G$104))</f>
        <v>214536</v>
      </c>
      <c r="I108" t="str">
        <f t="shared" ca="1" si="1"/>
        <v>0x00034608</v>
      </c>
      <c r="J108" s="4" t="str">
        <f t="shared" si="67"/>
        <v/>
      </c>
      <c r="K108" s="4" t="str">
        <f t="shared" si="68"/>
        <v xml:space="preserve">                                                             ro data section *_init object ecc108_comm.o,</v>
      </c>
    </row>
    <row r="109" spans="1:11" x14ac:dyDescent="0.25">
      <c r="A109" t="s">
        <v>533</v>
      </c>
      <c r="B109" t="str">
        <f t="shared" si="63"/>
        <v/>
      </c>
      <c r="C109">
        <f t="shared" si="2"/>
        <v>0</v>
      </c>
      <c r="D109" t="s">
        <v>300</v>
      </c>
      <c r="E109" t="str">
        <f t="shared" si="69"/>
        <v>ecc108_comm_marshaling.o</v>
      </c>
      <c r="F109">
        <f t="shared" ca="1" si="64"/>
        <v>0</v>
      </c>
      <c r="H109">
        <f t="shared" ca="1" si="70"/>
        <v>214536</v>
      </c>
      <c r="I109" t="str">
        <f t="shared" ca="1" si="1"/>
        <v>0x00034608</v>
      </c>
      <c r="J109" s="4" t="str">
        <f t="shared" si="67"/>
        <v/>
      </c>
      <c r="K109" s="4" t="str">
        <f t="shared" si="68"/>
        <v xml:space="preserve">                                                             ro data section *_init object ecc108_comm_marshaling.o,</v>
      </c>
    </row>
    <row r="110" spans="1:11" x14ac:dyDescent="0.25">
      <c r="A110" t="s">
        <v>533</v>
      </c>
      <c r="B110" t="str">
        <f t="shared" si="63"/>
        <v/>
      </c>
      <c r="C110">
        <f t="shared" si="2"/>
        <v>0</v>
      </c>
      <c r="D110" t="s">
        <v>298</v>
      </c>
      <c r="E110" t="str">
        <f t="shared" si="69"/>
        <v>ecc108_i2c.o</v>
      </c>
      <c r="F110">
        <f t="shared" ca="1" si="64"/>
        <v>0</v>
      </c>
      <c r="H110">
        <f t="shared" ca="1" si="70"/>
        <v>214536</v>
      </c>
      <c r="I110" t="str">
        <f t="shared" ca="1" si="1"/>
        <v>0x00034608</v>
      </c>
      <c r="J110" s="4" t="str">
        <f t="shared" si="67"/>
        <v/>
      </c>
      <c r="K110" s="4" t="str">
        <f t="shared" si="68"/>
        <v xml:space="preserve">                                                             ro data section *_init object ecc108_i2c.o,</v>
      </c>
    </row>
    <row r="111" spans="1:11" x14ac:dyDescent="0.25">
      <c r="A111" t="s">
        <v>533</v>
      </c>
      <c r="B111" t="str">
        <f t="shared" si="63"/>
        <v/>
      </c>
      <c r="C111">
        <f t="shared" si="2"/>
        <v>0</v>
      </c>
      <c r="D111" t="s">
        <v>205</v>
      </c>
      <c r="E111" t="str">
        <f t="shared" si="69"/>
        <v>ecc108_mqx.o</v>
      </c>
      <c r="F111">
        <f t="shared" ca="1" si="64"/>
        <v>0</v>
      </c>
      <c r="H111">
        <f t="shared" ca="1" si="70"/>
        <v>214536</v>
      </c>
      <c r="I111" t="str">
        <f t="shared" ca="1" si="1"/>
        <v>0x00034608</v>
      </c>
      <c r="J111" s="4" t="str">
        <f t="shared" si="67"/>
        <v/>
      </c>
      <c r="K111" s="4" t="str">
        <f t="shared" si="68"/>
        <v xml:space="preserve">                                                             ro data section *_init object ecc108_mqx.o };</v>
      </c>
    </row>
    <row r="112" spans="1:11" x14ac:dyDescent="0.25">
      <c r="B112" t="str">
        <f>B106&amp;"_end"</f>
        <v>security_DINIT_end</v>
      </c>
      <c r="F112">
        <f ca="1">SUM(F106:F111)</f>
        <v>0</v>
      </c>
      <c r="G112">
        <f ca="1">INT(($G$103/100)*F112)</f>
        <v>0</v>
      </c>
      <c r="H112">
        <f ca="1">H111+F111+G112+IF(MOD(F111+H111+G112,$G$104)=0,0,$G$104-MOD(F111+H111+G112,$G$104))</f>
        <v>214536</v>
      </c>
      <c r="I112" t="str">
        <f t="shared" ca="1" si="1"/>
        <v>0x00034608</v>
      </c>
      <c r="J112" s="4"/>
      <c r="K112" s="4"/>
    </row>
    <row r="113" spans="1:11" x14ac:dyDescent="0.25">
      <c r="J113" s="4"/>
      <c r="K113" s="4"/>
    </row>
    <row r="114" spans="1:11" x14ac:dyDescent="0.25">
      <c r="F114" t="s">
        <v>526</v>
      </c>
      <c r="G114">
        <f ca="1">VLOOKUP(B117,INDIRECT(GlobalPlcmnt!$B$133),GlobalPlcmnt!$B$138,FALSE)</f>
        <v>1</v>
      </c>
      <c r="J114" s="4"/>
      <c r="K114" s="4"/>
    </row>
    <row r="115" spans="1:11" x14ac:dyDescent="0.25">
      <c r="F115" t="s">
        <v>608</v>
      </c>
      <c r="G115">
        <f ca="1">VLOOKUP(B117,INDIRECT(GlobalPlcmnt!$B$133),GlobalPlcmnt!$C$138,FALSE)</f>
        <v>4</v>
      </c>
      <c r="J115" s="4"/>
      <c r="K115" s="4"/>
    </row>
    <row r="116" spans="1:11" x14ac:dyDescent="0.25">
      <c r="F116" t="s">
        <v>542</v>
      </c>
      <c r="J116" s="4"/>
      <c r="K116" s="4"/>
    </row>
    <row r="117" spans="1:11" x14ac:dyDescent="0.25">
      <c r="A117" t="s">
        <v>534</v>
      </c>
      <c r="B117" t="str">
        <f t="shared" ref="B117:B127" si="71">IF(A117&lt;&gt;A116,A117&amp;$B$1,"")</f>
        <v>AclaraBSP_DINIT</v>
      </c>
      <c r="C117">
        <f t="shared" si="2"/>
        <v>15</v>
      </c>
      <c r="D117" t="s">
        <v>99</v>
      </c>
      <c r="E117" t="str">
        <f t="shared" si="3"/>
        <v>ADC.o</v>
      </c>
      <c r="F117">
        <f t="shared" ref="F117:F127" ca="1" si="72">IFERROR(VLOOKUP(D117,INDIRECT($F$1),2,FALSE),0)</f>
        <v>0</v>
      </c>
      <c r="H117">
        <f ca="1">VLOOKUP(B117,INDIRECT(GlobalPlcmnt!$B$133),GlobalPlcmnt!$A$138,FALSE)</f>
        <v>214536</v>
      </c>
      <c r="I117" t="str">
        <f t="shared" ca="1" si="1"/>
        <v>0x00034608</v>
      </c>
      <c r="J117" s="4" t="str">
        <f t="shared" ref="J117" ca="1" si="73">IF(B117="","","define symbol "&amp;B117&amp;REPT(" ",$C$4-C117)&amp;"= "&amp;I117&amp;";")</f>
        <v>define symbol AclaraBSP_DINIT  = 0x00034608;</v>
      </c>
      <c r="K117" s="4" t="str">
        <f>IF(B117="",REPT(" ",$C$4+$K$4)&amp;$K$2&amp;D117&amp;IF(B118="",","," };"),""""&amp;B117&amp;""":"&amp;REPT(" ",$C$4-C117)&amp;"place at address mem: "&amp;B117&amp;REPT(" ",$C$4-C117)&amp;"{ "&amp;K$2&amp;D117&amp;IF(B118="",","," };"))</f>
        <v>"AclaraBSP_DINIT":  place at address mem: AclaraBSP_DINIT  { ro data section *_init object ADC.o,</v>
      </c>
    </row>
    <row r="118" spans="1:11" x14ac:dyDescent="0.25">
      <c r="A118" t="s">
        <v>534</v>
      </c>
      <c r="B118" t="str">
        <f t="shared" si="71"/>
        <v/>
      </c>
      <c r="C118">
        <f t="shared" si="2"/>
        <v>0</v>
      </c>
      <c r="D118" t="s">
        <v>231</v>
      </c>
      <c r="E118" t="str">
        <f t="shared" si="3"/>
        <v>BSP_aclara.o</v>
      </c>
      <c r="F118">
        <f t="shared" ca="1" si="72"/>
        <v>0</v>
      </c>
      <c r="H118">
        <f ca="1">H117+F117+G117+IF(MOD(F117+H117+G117,$G$115)=0,0,$G$115-MOD(F117+H117+G117,$G$115))</f>
        <v>214536</v>
      </c>
      <c r="I118" t="str">
        <f t="shared" ca="1" si="1"/>
        <v>0x00034608</v>
      </c>
      <c r="J118" s="4" t="str">
        <f t="shared" ref="J118:J127" si="74">IF(B118="","","define symbol "&amp;B118&amp;REPT(" ",$C$4-C118)&amp;"= "&amp;I118&amp;";")</f>
        <v/>
      </c>
      <c r="K118" s="4" t="str">
        <f t="shared" ref="K118:K127" si="75">IF(B118="",REPT(" ",$C$4+$K$4)&amp;$K$2&amp;D118&amp;IF(B119="",","," };"),""""&amp;B118&amp;""":"&amp;REPT(" ",$C$4-C118)&amp;"place at address mem: "&amp;B118&amp;REPT(" ",$C$4-C118)&amp;"{ "&amp;K$2&amp;D118&amp;IF(B119="",","," };"))</f>
        <v xml:space="preserve">                                                             ro data section *_init object BSP_aclara.o,</v>
      </c>
    </row>
    <row r="119" spans="1:11" x14ac:dyDescent="0.25">
      <c r="A119" t="s">
        <v>534</v>
      </c>
      <c r="B119" t="str">
        <f t="shared" si="71"/>
        <v/>
      </c>
      <c r="C119">
        <f t="shared" si="2"/>
        <v>0</v>
      </c>
      <c r="D119" t="s">
        <v>161</v>
      </c>
      <c r="E119" t="str">
        <f t="shared" ref="E119:E127" si="76">SUBSTITUTE(D119,"-","_")</f>
        <v>CRC.o</v>
      </c>
      <c r="F119">
        <f t="shared" ca="1" si="72"/>
        <v>0</v>
      </c>
      <c r="H119">
        <f t="shared" ref="H119:H127" ca="1" si="77">H118+F118+G118+IF(MOD(F118+H118+G118,$G$115)=0,0,$G$115-MOD(F118+H118+G118,$G$115))</f>
        <v>214536</v>
      </c>
      <c r="I119" t="str">
        <f t="shared" ca="1" si="1"/>
        <v>0x00034608</v>
      </c>
      <c r="J119" s="4" t="str">
        <f t="shared" si="74"/>
        <v/>
      </c>
      <c r="K119" s="4" t="str">
        <f t="shared" si="75"/>
        <v xml:space="preserve">                                                             ro data section *_init object CRC.o,</v>
      </c>
    </row>
    <row r="120" spans="1:11" x14ac:dyDescent="0.25">
      <c r="A120" t="s">
        <v>534</v>
      </c>
      <c r="B120" t="str">
        <f t="shared" si="71"/>
        <v/>
      </c>
      <c r="C120">
        <f t="shared" si="2"/>
        <v>0</v>
      </c>
      <c r="D120" t="s">
        <v>1039</v>
      </c>
      <c r="E120" t="str">
        <f t="shared" si="76"/>
        <v>gpio.o</v>
      </c>
      <c r="F120">
        <f t="shared" ca="1" si="72"/>
        <v>0</v>
      </c>
      <c r="H120">
        <f t="shared" ca="1" si="77"/>
        <v>214536</v>
      </c>
      <c r="I120" t="str">
        <f t="shared" ca="1" si="1"/>
        <v>0x00034608</v>
      </c>
      <c r="J120" s="4" t="str">
        <f t="shared" si="74"/>
        <v/>
      </c>
      <c r="K120" s="4" t="str">
        <f t="shared" si="75"/>
        <v xml:space="preserve">                                                             ro data section *_init object gpio.o,</v>
      </c>
    </row>
    <row r="121" spans="1:11" x14ac:dyDescent="0.25">
      <c r="A121" t="s">
        <v>534</v>
      </c>
      <c r="C121">
        <f t="shared" si="2"/>
        <v>0</v>
      </c>
      <c r="D121" t="s">
        <v>134</v>
      </c>
      <c r="E121" t="str">
        <f t="shared" si="76"/>
        <v>LED.o</v>
      </c>
      <c r="F121">
        <f t="shared" ca="1" si="72"/>
        <v>2</v>
      </c>
      <c r="H121">
        <f t="shared" ca="1" si="77"/>
        <v>214536</v>
      </c>
      <c r="I121" t="str">
        <f t="shared" ca="1" si="1"/>
        <v>0x00034608</v>
      </c>
      <c r="J121" s="4" t="str">
        <f t="shared" si="74"/>
        <v/>
      </c>
      <c r="K121" s="4" t="str">
        <f t="shared" si="75"/>
        <v xml:space="preserve">                                                             ro data section *_init object LED.o,</v>
      </c>
    </row>
    <row r="122" spans="1:11" x14ac:dyDescent="0.25">
      <c r="A122" t="s">
        <v>534</v>
      </c>
      <c r="B122" t="str">
        <f>IF(A122&lt;&gt;A120,A122&amp;$B$1,"")</f>
        <v/>
      </c>
      <c r="C122">
        <f t="shared" si="2"/>
        <v>0</v>
      </c>
      <c r="D122" t="s">
        <v>315</v>
      </c>
      <c r="E122" t="str">
        <f t="shared" si="76"/>
        <v>radio_hal.o</v>
      </c>
      <c r="F122">
        <f t="shared" ca="1" si="72"/>
        <v>5</v>
      </c>
      <c r="H122">
        <f t="shared" ca="1" si="77"/>
        <v>214540</v>
      </c>
      <c r="I122" t="str">
        <f t="shared" ca="1" si="1"/>
        <v>0x0003460C</v>
      </c>
      <c r="J122" s="4" t="str">
        <f t="shared" si="74"/>
        <v/>
      </c>
      <c r="K122" s="4" t="str">
        <f t="shared" si="75"/>
        <v xml:space="preserve">                                                             ro data section *_init object radio_hal.o,</v>
      </c>
    </row>
    <row r="123" spans="1:11" x14ac:dyDescent="0.25">
      <c r="A123" t="s">
        <v>534</v>
      </c>
      <c r="B123" t="str">
        <f t="shared" si="71"/>
        <v/>
      </c>
      <c r="C123">
        <f t="shared" si="2"/>
        <v>0</v>
      </c>
      <c r="D123" t="s">
        <v>567</v>
      </c>
      <c r="E123" t="str">
        <f t="shared" si="76"/>
        <v>rng.o</v>
      </c>
      <c r="F123">
        <f t="shared" ca="1" si="72"/>
        <v>0</v>
      </c>
      <c r="H123">
        <f t="shared" ca="1" si="77"/>
        <v>214548</v>
      </c>
      <c r="I123" t="str">
        <f t="shared" ca="1" si="1"/>
        <v>0x00034614</v>
      </c>
      <c r="J123" s="4" t="str">
        <f t="shared" si="74"/>
        <v/>
      </c>
      <c r="K123" s="4" t="str">
        <f t="shared" si="75"/>
        <v xml:space="preserve">                                                             ro data section *_init object rng.o,</v>
      </c>
    </row>
    <row r="124" spans="1:11" x14ac:dyDescent="0.25">
      <c r="A124" t="s">
        <v>534</v>
      </c>
      <c r="B124" t="str">
        <f t="shared" si="71"/>
        <v/>
      </c>
      <c r="C124">
        <f t="shared" si="2"/>
        <v>0</v>
      </c>
      <c r="D124" t="s">
        <v>163</v>
      </c>
      <c r="E124" t="str">
        <f t="shared" si="76"/>
        <v>RTC.o</v>
      </c>
      <c r="F124">
        <f t="shared" ca="1" si="72"/>
        <v>0</v>
      </c>
      <c r="H124">
        <f t="shared" ca="1" si="77"/>
        <v>214548</v>
      </c>
      <c r="I124" t="str">
        <f t="shared" ca="1" si="1"/>
        <v>0x00034614</v>
      </c>
      <c r="J124" s="4" t="str">
        <f t="shared" si="74"/>
        <v/>
      </c>
      <c r="K124" s="4" t="str">
        <f t="shared" si="75"/>
        <v xml:space="preserve">                                                             ro data section *_init object RTC.o,</v>
      </c>
    </row>
    <row r="125" spans="1:11" x14ac:dyDescent="0.25">
      <c r="A125" t="s">
        <v>534</v>
      </c>
      <c r="B125" t="str">
        <f t="shared" si="71"/>
        <v/>
      </c>
      <c r="C125">
        <f t="shared" si="2"/>
        <v>0</v>
      </c>
      <c r="D125" t="s">
        <v>295</v>
      </c>
      <c r="E125" t="str">
        <f t="shared" si="76"/>
        <v>sys_clock.o</v>
      </c>
      <c r="F125">
        <f t="shared" ca="1" si="72"/>
        <v>0</v>
      </c>
      <c r="H125">
        <f t="shared" ca="1" si="77"/>
        <v>214548</v>
      </c>
      <c r="I125" t="str">
        <f t="shared" ca="1" si="1"/>
        <v>0x00034614</v>
      </c>
      <c r="J125" s="4" t="str">
        <f t="shared" si="74"/>
        <v/>
      </c>
      <c r="K125" s="4" t="str">
        <f t="shared" si="75"/>
        <v xml:space="preserve">                                                             ro data section *_init object sys_clock.o,</v>
      </c>
    </row>
    <row r="126" spans="1:11" x14ac:dyDescent="0.25">
      <c r="A126" t="s">
        <v>534</v>
      </c>
      <c r="B126" t="str">
        <f t="shared" si="71"/>
        <v/>
      </c>
      <c r="C126">
        <f t="shared" si="2"/>
        <v>0</v>
      </c>
      <c r="D126" t="s">
        <v>336</v>
      </c>
      <c r="E126" t="str">
        <f t="shared" si="76"/>
        <v>UART.o</v>
      </c>
      <c r="F126">
        <f t="shared" ca="1" si="72"/>
        <v>0</v>
      </c>
      <c r="H126">
        <f t="shared" ca="1" si="77"/>
        <v>214548</v>
      </c>
      <c r="I126" t="str">
        <f t="shared" ca="1" si="1"/>
        <v>0x00034614</v>
      </c>
      <c r="J126" s="4" t="str">
        <f t="shared" si="74"/>
        <v/>
      </c>
      <c r="K126" s="4" t="str">
        <f t="shared" si="75"/>
        <v xml:space="preserve">                                                             ro data section *_init object UART.o,</v>
      </c>
    </row>
    <row r="127" spans="1:11" x14ac:dyDescent="0.25">
      <c r="A127" t="s">
        <v>534</v>
      </c>
      <c r="B127" t="str">
        <f t="shared" si="71"/>
        <v/>
      </c>
      <c r="C127">
        <f t="shared" si="2"/>
        <v>0</v>
      </c>
      <c r="D127" t="s">
        <v>277</v>
      </c>
      <c r="E127" t="str">
        <f t="shared" si="76"/>
        <v>WDOG.o</v>
      </c>
      <c r="F127">
        <f t="shared" ca="1" si="72"/>
        <v>0</v>
      </c>
      <c r="H127">
        <f t="shared" ca="1" si="77"/>
        <v>214548</v>
      </c>
      <c r="I127" t="str">
        <f t="shared" ca="1" si="1"/>
        <v>0x00034614</v>
      </c>
      <c r="J127" s="4" t="str">
        <f t="shared" si="74"/>
        <v/>
      </c>
      <c r="K127" s="4" t="str">
        <f t="shared" si="75"/>
        <v xml:space="preserve">                                                             ro data section *_init object WDOG.o };</v>
      </c>
    </row>
    <row r="128" spans="1:11" x14ac:dyDescent="0.25">
      <c r="B128" t="str">
        <f>B117&amp;"_end"</f>
        <v>AclaraBSP_DINIT_end</v>
      </c>
      <c r="F128">
        <f ca="1">SUM(F117:F127)</f>
        <v>7</v>
      </c>
      <c r="G128">
        <f ca="1">INT(($G$114/100)*F128)</f>
        <v>0</v>
      </c>
      <c r="H128">
        <f ca="1">H127+F127+G128+IF(MOD(F127+H127+G128,$G$115)=0,0,$G$115-MOD(F127+H127+G128,$G$115))</f>
        <v>214548</v>
      </c>
      <c r="I128" t="str">
        <f t="shared" ca="1" si="1"/>
        <v>0x00034614</v>
      </c>
      <c r="J128" s="4"/>
      <c r="K128" s="4"/>
    </row>
    <row r="129" spans="1:11" x14ac:dyDescent="0.25">
      <c r="J129" s="4"/>
      <c r="K129" s="4"/>
    </row>
    <row r="130" spans="1:11" x14ac:dyDescent="0.25">
      <c r="F130" t="s">
        <v>526</v>
      </c>
      <c r="G130">
        <f ca="1">VLOOKUP(B133,INDIRECT(GlobalPlcmnt!$B$133),GlobalPlcmnt!$B$138,FALSE)</f>
        <v>1</v>
      </c>
      <c r="J130" s="4"/>
      <c r="K130" s="4"/>
    </row>
    <row r="131" spans="1:11" x14ac:dyDescent="0.25">
      <c r="F131" t="s">
        <v>608</v>
      </c>
      <c r="G131">
        <f ca="1">VLOOKUP(B133,INDIRECT(GlobalPlcmnt!$B$133),GlobalPlcmnt!$C$138,FALSE)</f>
        <v>4</v>
      </c>
      <c r="J131" s="4"/>
      <c r="K131" s="4"/>
    </row>
    <row r="132" spans="1:11" x14ac:dyDescent="0.25">
      <c r="F132" t="s">
        <v>542</v>
      </c>
      <c r="J132" s="4"/>
      <c r="K132" s="4"/>
    </row>
    <row r="133" spans="1:11" x14ac:dyDescent="0.25">
      <c r="A133" t="s">
        <v>536</v>
      </c>
      <c r="B133" t="str">
        <f t="shared" ref="B133:B153" si="78">IF(A133&lt;&gt;A132,A133&amp;$B$1,"")</f>
        <v>Common_DINIT</v>
      </c>
      <c r="C133">
        <f t="shared" si="2"/>
        <v>12</v>
      </c>
      <c r="D133" t="s">
        <v>568</v>
      </c>
      <c r="E133" t="str">
        <f t="shared" si="3"/>
        <v>alarm_task.o</v>
      </c>
      <c r="F133">
        <f t="shared" ref="F133:F159" ca="1" si="79">IFERROR(VLOOKUP(D133,INDIRECT($F$1),2,FALSE),0)</f>
        <v>0</v>
      </c>
      <c r="H133">
        <f ca="1">VLOOKUP(B133,INDIRECT(GlobalPlcmnt!$B$133),GlobalPlcmnt!$A$138,FALSE)</f>
        <v>214548</v>
      </c>
      <c r="I133" t="str">
        <f t="shared" ca="1" si="1"/>
        <v>0x00034614</v>
      </c>
      <c r="J133" s="4" t="str">
        <f t="shared" ref="J133" ca="1" si="80">IF(B133="","","define symbol "&amp;B133&amp;REPT(" ",$C$4-C133)&amp;"= "&amp;I133&amp;";")</f>
        <v>define symbol Common_DINIT     = 0x00034614;</v>
      </c>
      <c r="K133" s="4" t="str">
        <f t="shared" ref="K133" si="81">IF(B133="",REPT(" ",$C$4+$K$4)&amp;$K$2&amp;D133&amp;IF(B134="",","," };"),""""&amp;B133&amp;""":"&amp;REPT(" ",$C$4-C133)&amp;"place at address mem: "&amp;B133&amp;REPT(" ",$C$4-C133)&amp;"{ "&amp;K$2&amp;D133&amp;IF(B134="",","," };"))</f>
        <v>"Common_DINIT":     place at address mem: Common_DINIT     { ro data section *_init object alarm_task.o,</v>
      </c>
    </row>
    <row r="134" spans="1:11" x14ac:dyDescent="0.25">
      <c r="A134" t="s">
        <v>536</v>
      </c>
      <c r="B134" t="str">
        <f t="shared" si="78"/>
        <v/>
      </c>
      <c r="C134">
        <f t="shared" si="2"/>
        <v>0</v>
      </c>
      <c r="D134" t="s">
        <v>135</v>
      </c>
      <c r="E134" t="str">
        <f t="shared" si="3"/>
        <v>ALRM_Handler.o</v>
      </c>
      <c r="F134">
        <f t="shared" ca="1" si="79"/>
        <v>0</v>
      </c>
      <c r="H134">
        <f ca="1">H133+F133+G133+IF(MOD(F133+H133+G133,$G$131)=0,0,$G$131-MOD(F133+H133+G133,$G$131))</f>
        <v>214548</v>
      </c>
      <c r="I134" t="str">
        <f t="shared" ca="1" si="1"/>
        <v>0x00034614</v>
      </c>
      <c r="J134" s="4" t="str">
        <f t="shared" ref="J134:J159" si="82">IF(B134="","","define symbol "&amp;B134&amp;REPT(" ",$C$4-C134)&amp;"= "&amp;I134&amp;";")</f>
        <v/>
      </c>
      <c r="K134" s="4" t="str">
        <f t="shared" ref="K134:K163" si="83">IF(B134="",REPT(" ",$C$4+$K$4)&amp;$K$2&amp;D134&amp;IF(B135="",","," };"),""""&amp;B134&amp;""":"&amp;REPT(" ",$C$4-C134)&amp;"place at address mem: "&amp;B134&amp;REPT(" ",$C$4-C134)&amp;"{ "&amp;K$2&amp;D134&amp;IF(B135="",","," };"))</f>
        <v xml:space="preserve">                                                             ro data section *_init object ALRM_Handler.o,</v>
      </c>
    </row>
    <row r="135" spans="1:11" x14ac:dyDescent="0.25">
      <c r="A135" t="s">
        <v>536</v>
      </c>
      <c r="B135" t="str">
        <f t="shared" si="78"/>
        <v/>
      </c>
      <c r="C135">
        <f t="shared" ref="C135:C225" si="84">LEN(B135)</f>
        <v>0</v>
      </c>
      <c r="D135" t="s">
        <v>256</v>
      </c>
      <c r="E135" t="str">
        <f t="shared" ref="E135:E159" si="85">SUBSTITUTE(D135,"-","_")</f>
        <v>BUF_MemoryBuffers.o</v>
      </c>
      <c r="F135">
        <f t="shared" ca="1" si="79"/>
        <v>0</v>
      </c>
      <c r="H135">
        <f t="shared" ref="H135:H164" ca="1" si="86">H134+F134+G134+IF(MOD(F134+H134+G134,$G$131)=0,0,$G$131-MOD(F134+H134+G134,$G$131))</f>
        <v>214548</v>
      </c>
      <c r="I135" t="str">
        <f t="shared" ref="I135:I164" ca="1" si="87">"0x"&amp;DEC2HEX(H135,8)</f>
        <v>0x00034614</v>
      </c>
      <c r="J135" s="4" t="str">
        <f t="shared" si="82"/>
        <v/>
      </c>
      <c r="K135" s="4" t="str">
        <f t="shared" si="83"/>
        <v xml:space="preserve">                                                             ro data section *_init object BUF_MemoryBuffers.o,</v>
      </c>
    </row>
    <row r="136" spans="1:11" x14ac:dyDescent="0.25">
      <c r="A136" t="s">
        <v>536</v>
      </c>
      <c r="B136" t="str">
        <f t="shared" si="78"/>
        <v/>
      </c>
      <c r="C136">
        <f t="shared" si="84"/>
        <v>0</v>
      </c>
      <c r="D136" t="s">
        <v>92</v>
      </c>
      <c r="E136" t="str">
        <f t="shared" si="85"/>
        <v>buffer.o</v>
      </c>
      <c r="F136">
        <f t="shared" ca="1" si="79"/>
        <v>0</v>
      </c>
      <c r="H136">
        <f t="shared" ca="1" si="86"/>
        <v>214548</v>
      </c>
      <c r="I136" t="str">
        <f t="shared" ca="1" si="87"/>
        <v>0x00034614</v>
      </c>
      <c r="J136" s="4" t="str">
        <f t="shared" si="82"/>
        <v/>
      </c>
      <c r="K136" s="4" t="str">
        <f t="shared" si="83"/>
        <v xml:space="preserve">                                                             ro data section *_init object buffer.o,</v>
      </c>
    </row>
    <row r="137" spans="1:11" x14ac:dyDescent="0.25">
      <c r="A137" t="s">
        <v>536</v>
      </c>
      <c r="B137" t="str">
        <f t="shared" si="78"/>
        <v/>
      </c>
      <c r="C137">
        <f t="shared" si="84"/>
        <v>0</v>
      </c>
      <c r="D137" t="s">
        <v>131</v>
      </c>
      <c r="E137" t="str">
        <f t="shared" si="85"/>
        <v>DBG_CommandLine.o</v>
      </c>
      <c r="F137">
        <f t="shared" ca="1" si="79"/>
        <v>0</v>
      </c>
      <c r="H137">
        <f t="shared" ca="1" si="86"/>
        <v>214548</v>
      </c>
      <c r="I137" t="str">
        <f t="shared" ca="1" si="87"/>
        <v>0x00034614</v>
      </c>
      <c r="J137" s="4" t="str">
        <f t="shared" si="82"/>
        <v/>
      </c>
      <c r="K137" s="4" t="str">
        <f t="shared" si="83"/>
        <v xml:space="preserve">                                                             ro data section *_init object DBG_CommandLine.o,</v>
      </c>
    </row>
    <row r="138" spans="1:11" x14ac:dyDescent="0.25">
      <c r="A138" t="s">
        <v>536</v>
      </c>
      <c r="B138" t="str">
        <f t="shared" si="78"/>
        <v/>
      </c>
      <c r="C138">
        <f t="shared" si="84"/>
        <v>0</v>
      </c>
      <c r="D138" t="s">
        <v>82</v>
      </c>
      <c r="E138" t="str">
        <f t="shared" si="85"/>
        <v>DBG_SerialDebug.o</v>
      </c>
      <c r="F138">
        <f t="shared" ca="1" si="79"/>
        <v>2</v>
      </c>
      <c r="H138">
        <f t="shared" ca="1" si="86"/>
        <v>214548</v>
      </c>
      <c r="I138" t="str">
        <f t="shared" ca="1" si="87"/>
        <v>0x00034614</v>
      </c>
      <c r="J138" s="4" t="str">
        <f t="shared" si="82"/>
        <v/>
      </c>
      <c r="K138" s="4" t="str">
        <f t="shared" si="83"/>
        <v xml:space="preserve">                                                             ro data section *_init object DBG_SerialDebug.o,</v>
      </c>
    </row>
    <row r="139" spans="1:11" x14ac:dyDescent="0.25">
      <c r="A139" t="s">
        <v>536</v>
      </c>
      <c r="B139" t="str">
        <f t="shared" si="78"/>
        <v/>
      </c>
      <c r="C139">
        <f t="shared" si="84"/>
        <v>0</v>
      </c>
      <c r="D139" t="s">
        <v>249</v>
      </c>
      <c r="E139" t="str">
        <f t="shared" si="85"/>
        <v>eng_res.o</v>
      </c>
      <c r="F139">
        <f t="shared" ca="1" si="79"/>
        <v>0</v>
      </c>
      <c r="H139">
        <f t="shared" ca="1" si="86"/>
        <v>214552</v>
      </c>
      <c r="I139" t="str">
        <f t="shared" ca="1" si="87"/>
        <v>0x00034618</v>
      </c>
      <c r="J139" s="4" t="str">
        <f t="shared" si="82"/>
        <v/>
      </c>
      <c r="K139" s="4" t="str">
        <f t="shared" si="83"/>
        <v xml:space="preserve">                                                             ro data section *_init object eng_res.o,</v>
      </c>
    </row>
    <row r="140" spans="1:11" x14ac:dyDescent="0.25">
      <c r="A140" t="s">
        <v>536</v>
      </c>
      <c r="B140" t="str">
        <f t="shared" si="78"/>
        <v/>
      </c>
      <c r="C140">
        <f t="shared" si="84"/>
        <v>0</v>
      </c>
      <c r="D140" t="s">
        <v>136</v>
      </c>
      <c r="E140" t="str">
        <f t="shared" si="85"/>
        <v>EVL_event_log.o</v>
      </c>
      <c r="F140">
        <f t="shared" ca="1" si="79"/>
        <v>0</v>
      </c>
      <c r="H140">
        <f t="shared" ca="1" si="86"/>
        <v>214552</v>
      </c>
      <c r="I140" t="str">
        <f t="shared" ca="1" si="87"/>
        <v>0x00034618</v>
      </c>
      <c r="J140" s="4" t="str">
        <f t="shared" si="82"/>
        <v/>
      </c>
      <c r="K140" s="4" t="str">
        <f t="shared" si="83"/>
        <v xml:space="preserve">                                                             ro data section *_init object EVL_event_log.o,</v>
      </c>
    </row>
    <row r="141" spans="1:11" x14ac:dyDescent="0.25">
      <c r="A141" t="s">
        <v>536</v>
      </c>
      <c r="B141" t="str">
        <f t="shared" si="78"/>
        <v/>
      </c>
      <c r="C141">
        <f t="shared" si="84"/>
        <v>0</v>
      </c>
      <c r="D141" t="s">
        <v>569</v>
      </c>
      <c r="E141" t="str">
        <f t="shared" si="85"/>
        <v>exe_list.o</v>
      </c>
      <c r="F141">
        <f t="shared" ca="1" si="79"/>
        <v>0</v>
      </c>
      <c r="H141">
        <f t="shared" ca="1" si="86"/>
        <v>214552</v>
      </c>
      <c r="I141" t="str">
        <f t="shared" ca="1" si="87"/>
        <v>0x00034618</v>
      </c>
      <c r="J141" s="4" t="str">
        <f t="shared" si="82"/>
        <v/>
      </c>
      <c r="K141" s="4" t="str">
        <f t="shared" si="83"/>
        <v xml:space="preserve">                                                             ro data section *_init object exe_list.o,</v>
      </c>
    </row>
    <row r="142" spans="1:11" x14ac:dyDescent="0.25">
      <c r="A142" t="s">
        <v>536</v>
      </c>
      <c r="B142" t="str">
        <f t="shared" si="78"/>
        <v/>
      </c>
      <c r="C142">
        <f t="shared" si="84"/>
        <v>0</v>
      </c>
      <c r="D142" t="s">
        <v>118</v>
      </c>
      <c r="E142" t="str">
        <f t="shared" si="85"/>
        <v>file_io.o</v>
      </c>
      <c r="F142">
        <f t="shared" ca="1" si="79"/>
        <v>0</v>
      </c>
      <c r="H142">
        <f t="shared" ca="1" si="86"/>
        <v>214552</v>
      </c>
      <c r="I142" t="str">
        <f t="shared" ca="1" si="87"/>
        <v>0x00034618</v>
      </c>
      <c r="J142" s="4" t="str">
        <f t="shared" si="82"/>
        <v/>
      </c>
      <c r="K142" s="4" t="str">
        <f t="shared" si="83"/>
        <v xml:space="preserve">                                                             ro data section *_init object file_io.o,</v>
      </c>
    </row>
    <row r="143" spans="1:11" x14ac:dyDescent="0.25">
      <c r="A143" t="s">
        <v>536</v>
      </c>
      <c r="B143" t="str">
        <f t="shared" si="78"/>
        <v/>
      </c>
      <c r="C143">
        <f t="shared" si="84"/>
        <v>0</v>
      </c>
      <c r="D143" t="s">
        <v>87</v>
      </c>
      <c r="E143" t="str">
        <f t="shared" si="85"/>
        <v>HEEP_util.o</v>
      </c>
      <c r="F143">
        <f t="shared" ca="1" si="79"/>
        <v>0</v>
      </c>
      <c r="H143">
        <f t="shared" ca="1" si="86"/>
        <v>214552</v>
      </c>
      <c r="I143" t="str">
        <f t="shared" ca="1" si="87"/>
        <v>0x00034618</v>
      </c>
      <c r="J143" s="4" t="str">
        <f t="shared" si="82"/>
        <v/>
      </c>
      <c r="K143" s="4" t="str">
        <f t="shared" si="83"/>
        <v xml:space="preserve">                                                             ro data section *_init object HEEP_util.o,</v>
      </c>
    </row>
    <row r="144" spans="1:11" x14ac:dyDescent="0.25">
      <c r="A144" t="s">
        <v>536</v>
      </c>
      <c r="B144" t="str">
        <f t="shared" si="78"/>
        <v/>
      </c>
      <c r="C144">
        <f t="shared" si="84"/>
        <v>0</v>
      </c>
      <c r="D144" t="s">
        <v>570</v>
      </c>
      <c r="E144" t="str">
        <f t="shared" si="85"/>
        <v>mem_chk.o</v>
      </c>
      <c r="F144">
        <f t="shared" ca="1" si="79"/>
        <v>0</v>
      </c>
      <c r="H144">
        <f t="shared" ca="1" si="86"/>
        <v>214552</v>
      </c>
      <c r="I144" t="str">
        <f t="shared" ca="1" si="87"/>
        <v>0x00034618</v>
      </c>
      <c r="J144" s="4" t="str">
        <f t="shared" si="82"/>
        <v/>
      </c>
      <c r="K144" s="4" t="str">
        <f t="shared" si="83"/>
        <v xml:space="preserve">                                                             ro data section *_init object mem_chk.o,</v>
      </c>
    </row>
    <row r="145" spans="1:11" x14ac:dyDescent="0.25">
      <c r="A145" t="s">
        <v>536</v>
      </c>
      <c r="B145" t="str">
        <f t="shared" si="78"/>
        <v/>
      </c>
      <c r="C145">
        <f t="shared" si="84"/>
        <v>0</v>
      </c>
      <c r="D145" t="s">
        <v>248</v>
      </c>
      <c r="E145" t="str">
        <f t="shared" si="85"/>
        <v>MFG_Dtls.o</v>
      </c>
      <c r="F145">
        <f t="shared" ca="1" si="79"/>
        <v>0</v>
      </c>
      <c r="H145">
        <f t="shared" ca="1" si="86"/>
        <v>214552</v>
      </c>
      <c r="I145" t="str">
        <f t="shared" ca="1" si="87"/>
        <v>0x00034618</v>
      </c>
      <c r="J145" s="4" t="str">
        <f t="shared" si="82"/>
        <v/>
      </c>
      <c r="K145" s="4" t="str">
        <f t="shared" si="83"/>
        <v xml:space="preserve">                                                             ro data section *_init object MFG_Dtls.o,</v>
      </c>
    </row>
    <row r="146" spans="1:11" x14ac:dyDescent="0.25">
      <c r="A146" t="s">
        <v>536</v>
      </c>
      <c r="B146" t="str">
        <f t="shared" si="78"/>
        <v/>
      </c>
      <c r="C146">
        <f t="shared" si="84"/>
        <v>0</v>
      </c>
      <c r="D146" t="s">
        <v>244</v>
      </c>
      <c r="E146" t="str">
        <f t="shared" si="85"/>
        <v>MFG_Port.o</v>
      </c>
      <c r="F146">
        <f t="shared" ca="1" si="79"/>
        <v>0</v>
      </c>
      <c r="H146">
        <f t="shared" ca="1" si="86"/>
        <v>214552</v>
      </c>
      <c r="I146" t="str">
        <f t="shared" ca="1" si="87"/>
        <v>0x00034618</v>
      </c>
      <c r="J146" s="4" t="str">
        <f t="shared" si="82"/>
        <v/>
      </c>
      <c r="K146" s="4" t="str">
        <f t="shared" si="83"/>
        <v xml:space="preserve">                                                             ro data section *_init object MFG_Port.o,</v>
      </c>
    </row>
    <row r="147" spans="1:11" x14ac:dyDescent="0.25">
      <c r="A147" t="s">
        <v>536</v>
      </c>
      <c r="B147" t="str">
        <f t="shared" si="78"/>
        <v/>
      </c>
      <c r="C147">
        <f>LEN(B147)</f>
        <v>0</v>
      </c>
      <c r="D147" t="s">
        <v>919</v>
      </c>
      <c r="E147" t="str">
        <f t="shared" si="85"/>
        <v>MIMT_info.o</v>
      </c>
      <c r="F147">
        <f t="shared" ca="1" si="79"/>
        <v>0</v>
      </c>
      <c r="H147">
        <f t="shared" ca="1" si="86"/>
        <v>214552</v>
      </c>
      <c r="I147" t="str">
        <f t="shared" ca="1" si="87"/>
        <v>0x00034618</v>
      </c>
      <c r="J147" s="4" t="str">
        <f t="shared" si="82"/>
        <v/>
      </c>
      <c r="K147" s="4" t="str">
        <f t="shared" si="83"/>
        <v xml:space="preserve">                                                             ro data section *_init object MIMT_info.o,</v>
      </c>
    </row>
    <row r="148" spans="1:11" x14ac:dyDescent="0.25">
      <c r="A148" t="s">
        <v>536</v>
      </c>
      <c r="B148" t="str">
        <f t="shared" si="78"/>
        <v/>
      </c>
      <c r="C148">
        <f>LEN(B148)</f>
        <v>0</v>
      </c>
      <c r="D148" t="s">
        <v>86</v>
      </c>
      <c r="E148" t="str">
        <f t="shared" si="85"/>
        <v>mode_config.o</v>
      </c>
      <c r="F148">
        <f t="shared" ca="1" si="79"/>
        <v>0</v>
      </c>
      <c r="H148">
        <f t="shared" ca="1" si="86"/>
        <v>214552</v>
      </c>
      <c r="I148" t="str">
        <f t="shared" ca="1" si="87"/>
        <v>0x00034618</v>
      </c>
      <c r="J148" s="4" t="str">
        <f t="shared" si="82"/>
        <v/>
      </c>
      <c r="K148" s="4" t="str">
        <f t="shared" si="83"/>
        <v xml:space="preserve">                                                             ro data section *_init object mode_config.o,</v>
      </c>
    </row>
    <row r="149" spans="1:11" x14ac:dyDescent="0.25">
      <c r="A149" t="s">
        <v>536</v>
      </c>
      <c r="B149" t="str">
        <f t="shared" si="78"/>
        <v/>
      </c>
      <c r="C149">
        <f t="shared" si="84"/>
        <v>0</v>
      </c>
      <c r="D149" t="s">
        <v>308</v>
      </c>
      <c r="E149" t="str">
        <f t="shared" si="85"/>
        <v>object_list.o</v>
      </c>
      <c r="F149">
        <f t="shared" ca="1" si="79"/>
        <v>0</v>
      </c>
      <c r="H149">
        <f t="shared" ca="1" si="86"/>
        <v>214552</v>
      </c>
      <c r="I149" t="str">
        <f t="shared" ca="1" si="87"/>
        <v>0x00034618</v>
      </c>
      <c r="J149" s="4" t="str">
        <f t="shared" si="82"/>
        <v/>
      </c>
      <c r="K149" s="4" t="str">
        <f t="shared" si="83"/>
        <v xml:space="preserve">                                                             ro data section *_init object object_list.o,</v>
      </c>
    </row>
    <row r="150" spans="1:11" x14ac:dyDescent="0.25">
      <c r="A150" t="s">
        <v>536</v>
      </c>
      <c r="B150" t="str">
        <f t="shared" si="78"/>
        <v/>
      </c>
      <c r="C150">
        <f t="shared" si="84"/>
        <v>0</v>
      </c>
      <c r="D150" t="s">
        <v>177</v>
      </c>
      <c r="E150" t="str">
        <f t="shared" si="85"/>
        <v>partitions.o</v>
      </c>
      <c r="F150">
        <f t="shared" ca="1" si="79"/>
        <v>46</v>
      </c>
      <c r="H150">
        <f t="shared" ca="1" si="86"/>
        <v>214552</v>
      </c>
      <c r="I150" t="str">
        <f t="shared" ca="1" si="87"/>
        <v>0x00034618</v>
      </c>
      <c r="J150" s="4" t="str">
        <f t="shared" si="82"/>
        <v/>
      </c>
      <c r="K150" s="4" t="str">
        <f t="shared" si="83"/>
        <v xml:space="preserve">                                                             ro data section *_init object partitions.o,</v>
      </c>
    </row>
    <row r="151" spans="1:11" x14ac:dyDescent="0.25">
      <c r="A151" t="s">
        <v>536</v>
      </c>
      <c r="B151" t="str">
        <f t="shared" si="78"/>
        <v/>
      </c>
      <c r="C151">
        <f t="shared" si="84"/>
        <v>0</v>
      </c>
      <c r="D151" t="s">
        <v>571</v>
      </c>
      <c r="E151" t="str">
        <f t="shared" si="85"/>
        <v>runTimeInit.o</v>
      </c>
      <c r="F151">
        <f t="shared" ca="1" si="79"/>
        <v>0</v>
      </c>
      <c r="H151">
        <f t="shared" ca="1" si="86"/>
        <v>214600</v>
      </c>
      <c r="I151" t="str">
        <f t="shared" ca="1" si="87"/>
        <v>0x00034648</v>
      </c>
      <c r="J151" s="4" t="str">
        <f t="shared" si="82"/>
        <v/>
      </c>
      <c r="K151" s="4" t="str">
        <f t="shared" si="83"/>
        <v xml:space="preserve">                                                             ro data section *_init object runTimeInit.o,</v>
      </c>
    </row>
    <row r="152" spans="1:11" x14ac:dyDescent="0.25">
      <c r="A152" t="s">
        <v>536</v>
      </c>
      <c r="B152" t="str">
        <f t="shared" si="78"/>
        <v/>
      </c>
      <c r="C152">
        <f t="shared" si="84"/>
        <v>0</v>
      </c>
      <c r="D152" t="s">
        <v>223</v>
      </c>
      <c r="E152" t="str">
        <f t="shared" si="85"/>
        <v>SELF_test.o</v>
      </c>
      <c r="F152">
        <f t="shared" ca="1" si="79"/>
        <v>23</v>
      </c>
      <c r="H152">
        <f t="shared" ca="1" si="86"/>
        <v>214600</v>
      </c>
      <c r="I152" t="str">
        <f t="shared" ca="1" si="87"/>
        <v>0x00034648</v>
      </c>
      <c r="J152" s="4" t="str">
        <f t="shared" si="82"/>
        <v/>
      </c>
      <c r="K152" s="4" t="str">
        <f t="shared" si="83"/>
        <v xml:space="preserve">                                                             ro data section *_init object SELF_test.o,</v>
      </c>
    </row>
    <row r="153" spans="1:11" x14ac:dyDescent="0.25">
      <c r="A153" t="s">
        <v>536</v>
      </c>
      <c r="B153" t="str">
        <f t="shared" si="78"/>
        <v/>
      </c>
      <c r="C153">
        <f t="shared" si="84"/>
        <v>0</v>
      </c>
      <c r="D153" t="s">
        <v>133</v>
      </c>
      <c r="E153" t="str">
        <f t="shared" si="85"/>
        <v>stack_check.o</v>
      </c>
      <c r="F153">
        <f t="shared" ca="1" si="79"/>
        <v>0</v>
      </c>
      <c r="H153">
        <f t="shared" ca="1" si="86"/>
        <v>214624</v>
      </c>
      <c r="I153" t="str">
        <f t="shared" ca="1" si="87"/>
        <v>0x00034660</v>
      </c>
      <c r="J153" s="4" t="str">
        <f t="shared" si="82"/>
        <v/>
      </c>
      <c r="K153" s="4" t="str">
        <f t="shared" si="83"/>
        <v xml:space="preserve">                                                             ro data section *_init object stack_check.o,</v>
      </c>
    </row>
    <row r="154" spans="1:11" x14ac:dyDescent="0.25">
      <c r="A154" t="s">
        <v>536</v>
      </c>
      <c r="B154" t="str">
        <f t="shared" ref="B154:B159" si="88">IF(A154&lt;&gt;A153,A154&amp;$B$1,"")</f>
        <v/>
      </c>
      <c r="C154">
        <f t="shared" ref="C154:C159" si="89">LEN(B154)</f>
        <v>0</v>
      </c>
      <c r="D154" t="s">
        <v>309</v>
      </c>
      <c r="E154" t="str">
        <f t="shared" si="85"/>
        <v>sys_busy.o</v>
      </c>
      <c r="F154">
        <f t="shared" ca="1" si="79"/>
        <v>0</v>
      </c>
      <c r="H154">
        <f t="shared" ca="1" si="86"/>
        <v>214624</v>
      </c>
      <c r="I154" t="str">
        <f t="shared" ca="1" si="87"/>
        <v>0x00034660</v>
      </c>
      <c r="J154" s="4" t="str">
        <f t="shared" si="82"/>
        <v/>
      </c>
      <c r="K154" s="4" t="str">
        <f t="shared" si="83"/>
        <v xml:space="preserve">                                                             ro data section *_init object sys_busy.o,</v>
      </c>
    </row>
    <row r="155" spans="1:11" x14ac:dyDescent="0.25">
      <c r="A155" t="s">
        <v>536</v>
      </c>
      <c r="B155" t="str">
        <f t="shared" si="88"/>
        <v/>
      </c>
      <c r="C155">
        <f t="shared" si="89"/>
        <v>0</v>
      </c>
      <c r="D155" t="s">
        <v>1094</v>
      </c>
      <c r="E155" t="str">
        <f t="shared" si="85"/>
        <v>temperature.o</v>
      </c>
      <c r="F155">
        <f t="shared" ca="1" si="79"/>
        <v>0</v>
      </c>
      <c r="H155">
        <f t="shared" ca="1" si="86"/>
        <v>214624</v>
      </c>
      <c r="I155" t="str">
        <f t="shared" ca="1" si="87"/>
        <v>0x00034660</v>
      </c>
      <c r="J155" s="4" t="str">
        <f t="shared" si="82"/>
        <v/>
      </c>
      <c r="K155" s="4" t="str">
        <f t="shared" si="83"/>
        <v xml:space="preserve">                                                             ro data section *_init object temperature.o,</v>
      </c>
    </row>
    <row r="156" spans="1:11" x14ac:dyDescent="0.25">
      <c r="A156" t="s">
        <v>536</v>
      </c>
      <c r="B156" t="str">
        <f t="shared" si="88"/>
        <v/>
      </c>
      <c r="C156">
        <f t="shared" si="89"/>
        <v>0</v>
      </c>
      <c r="D156" t="s">
        <v>206</v>
      </c>
      <c r="E156" t="str">
        <f t="shared" si="85"/>
        <v>time_DST.o</v>
      </c>
      <c r="F156">
        <f t="shared" ca="1" si="79"/>
        <v>0</v>
      </c>
      <c r="H156">
        <f t="shared" ca="1" si="86"/>
        <v>214624</v>
      </c>
      <c r="I156" t="str">
        <f t="shared" ca="1" si="87"/>
        <v>0x00034660</v>
      </c>
      <c r="J156" s="4" t="str">
        <f t="shared" si="82"/>
        <v/>
      </c>
      <c r="K156" s="4" t="str">
        <f t="shared" si="83"/>
        <v xml:space="preserve">                                                             ro data section *_init object time_DST.o,</v>
      </c>
    </row>
    <row r="157" spans="1:11" x14ac:dyDescent="0.25">
      <c r="A157" t="s">
        <v>536</v>
      </c>
      <c r="B157" t="str">
        <f t="shared" si="88"/>
        <v/>
      </c>
      <c r="C157">
        <f t="shared" si="89"/>
        <v>0</v>
      </c>
      <c r="D157" t="s">
        <v>1038</v>
      </c>
      <c r="E157" t="str">
        <f t="shared" si="85"/>
        <v>time_sync.o</v>
      </c>
      <c r="F157">
        <f t="shared" ca="1" si="79"/>
        <v>2</v>
      </c>
      <c r="H157">
        <f t="shared" ca="1" si="86"/>
        <v>214624</v>
      </c>
      <c r="I157" t="str">
        <f t="shared" ca="1" si="87"/>
        <v>0x00034660</v>
      </c>
      <c r="J157" s="4" t="str">
        <f t="shared" si="82"/>
        <v/>
      </c>
      <c r="K157" s="4" t="str">
        <f t="shared" si="83"/>
        <v xml:space="preserve">                                                             ro data section *_init object time_sync.o,</v>
      </c>
    </row>
    <row r="158" spans="1:11" x14ac:dyDescent="0.25">
      <c r="A158" t="s">
        <v>536</v>
      </c>
      <c r="B158" t="str">
        <f t="shared" si="88"/>
        <v/>
      </c>
      <c r="C158">
        <f t="shared" si="89"/>
        <v>0</v>
      </c>
      <c r="D158" t="s">
        <v>162</v>
      </c>
      <c r="E158" t="str">
        <f t="shared" si="85"/>
        <v>time_sys.o</v>
      </c>
      <c r="F158">
        <f t="shared" ca="1" si="79"/>
        <v>0</v>
      </c>
      <c r="H158">
        <f t="shared" ca="1" si="86"/>
        <v>214628</v>
      </c>
      <c r="I158" t="str">
        <f t="shared" ca="1" si="87"/>
        <v>0x00034664</v>
      </c>
      <c r="J158" s="4" t="str">
        <f t="shared" si="82"/>
        <v/>
      </c>
      <c r="K158" s="4" t="str">
        <f t="shared" si="83"/>
        <v xml:space="preserve">                                                             ro data section *_init object time_sys.o,</v>
      </c>
    </row>
    <row r="159" spans="1:11" x14ac:dyDescent="0.25">
      <c r="A159" t="s">
        <v>536</v>
      </c>
      <c r="B159" t="str">
        <f t="shared" si="88"/>
        <v/>
      </c>
      <c r="C159">
        <f t="shared" si="89"/>
        <v>0</v>
      </c>
      <c r="D159" t="s">
        <v>291</v>
      </c>
      <c r="E159" t="str">
        <f t="shared" si="85"/>
        <v>virgin_device.o</v>
      </c>
      <c r="F159">
        <f t="shared" ca="1" si="79"/>
        <v>0</v>
      </c>
      <c r="H159">
        <f t="shared" ca="1" si="86"/>
        <v>214628</v>
      </c>
      <c r="I159" t="str">
        <f t="shared" ca="1" si="87"/>
        <v>0x00034664</v>
      </c>
      <c r="J159" s="4" t="str">
        <f t="shared" si="82"/>
        <v/>
      </c>
      <c r="K159" s="4" t="str">
        <f t="shared" si="83"/>
        <v xml:space="preserve">                                                             ro data section *_init object virgin_device.o,</v>
      </c>
    </row>
    <row r="160" spans="1:11" x14ac:dyDescent="0.25">
      <c r="A160" t="s">
        <v>536</v>
      </c>
      <c r="B160" t="str">
        <f t="shared" ref="B160" si="90">IF(A160&lt;&gt;A159,A160&amp;$B$1,"")</f>
        <v/>
      </c>
      <c r="C160">
        <f t="shared" ref="C160" si="91">LEN(B160)</f>
        <v>0</v>
      </c>
      <c r="D160" t="s">
        <v>1668</v>
      </c>
      <c r="E160" t="str">
        <f t="shared" ref="E160" si="92">SUBSTITUTE(D160,"-","_")</f>
        <v>FTM0.o</v>
      </c>
      <c r="F160">
        <f t="shared" ref="F160" ca="1" si="93">IFERROR(VLOOKUP(D160,INDIRECT($F$1),2,FALSE),0)</f>
        <v>0</v>
      </c>
      <c r="H160">
        <f t="shared" ca="1" si="86"/>
        <v>214628</v>
      </c>
      <c r="I160" t="str">
        <f t="shared" ref="I160" ca="1" si="94">"0x"&amp;DEC2HEX(H160,8)</f>
        <v>0x00034664</v>
      </c>
      <c r="J160" s="4" t="str">
        <f t="shared" ref="J160" si="95">IF(B160="","","define symbol "&amp;B160&amp;REPT(" ",$C$4-C160)&amp;"= "&amp;I160&amp;";")</f>
        <v/>
      </c>
      <c r="K160" s="4" t="str">
        <f t="shared" si="83"/>
        <v xml:space="preserve">                                                             ro data section *_init object FTM0.o,</v>
      </c>
    </row>
    <row r="161" spans="1:11" x14ac:dyDescent="0.25">
      <c r="A161" t="s">
        <v>536</v>
      </c>
      <c r="B161" t="str">
        <f t="shared" ref="B161" si="96">IF(A161&lt;&gt;A160,A161&amp;$B$1,"")</f>
        <v/>
      </c>
      <c r="C161">
        <f t="shared" ref="C161" si="97">LEN(B161)</f>
        <v>0</v>
      </c>
      <c r="D161" t="s">
        <v>1669</v>
      </c>
      <c r="E161" t="str">
        <f t="shared" ref="E161" si="98">SUBSTITUTE(D161,"-","_")</f>
        <v>FTM1.o</v>
      </c>
      <c r="F161">
        <f t="shared" ref="F161" ca="1" si="99">IFERROR(VLOOKUP(D161,INDIRECT($F$1),2,FALSE),0)</f>
        <v>0</v>
      </c>
      <c r="H161">
        <f t="shared" ca="1" si="86"/>
        <v>214628</v>
      </c>
      <c r="I161" t="str">
        <f t="shared" ref="I161" ca="1" si="100">"0x"&amp;DEC2HEX(H161,8)</f>
        <v>0x00034664</v>
      </c>
      <c r="J161" s="4" t="str">
        <f t="shared" ref="J161" si="101">IF(B161="","","define symbol "&amp;B161&amp;REPT(" ",$C$4-C161)&amp;"= "&amp;I161&amp;";")</f>
        <v/>
      </c>
      <c r="K161" s="4" t="str">
        <f t="shared" si="83"/>
        <v xml:space="preserve">                                                             ro data section *_init object FTM1.o,</v>
      </c>
    </row>
    <row r="162" spans="1:11" x14ac:dyDescent="0.25">
      <c r="A162" t="s">
        <v>536</v>
      </c>
      <c r="B162" t="str">
        <f t="shared" ref="B162" si="102">IF(A162&lt;&gt;A161,A162&amp;$B$1,"")</f>
        <v/>
      </c>
      <c r="C162">
        <f t="shared" ref="C162" si="103">LEN(B162)</f>
        <v>0</v>
      </c>
      <c r="D162" t="s">
        <v>1670</v>
      </c>
      <c r="E162" t="str">
        <f t="shared" ref="E162" si="104">SUBSTITUTE(D162,"-","_")</f>
        <v>FTM2.o</v>
      </c>
      <c r="F162">
        <f t="shared" ref="F162" ca="1" si="105">IFERROR(VLOOKUP(D162,INDIRECT($F$1),2,FALSE),0)</f>
        <v>0</v>
      </c>
      <c r="H162">
        <f t="shared" ca="1" si="86"/>
        <v>214628</v>
      </c>
      <c r="I162" t="str">
        <f t="shared" ref="I162" ca="1" si="106">"0x"&amp;DEC2HEX(H162,8)</f>
        <v>0x00034664</v>
      </c>
      <c r="J162" s="4" t="str">
        <f t="shared" ref="J162" si="107">IF(B162="","","define symbol "&amp;B162&amp;REPT(" ",$C$4-C162)&amp;"= "&amp;I162&amp;";")</f>
        <v/>
      </c>
      <c r="K162" s="4" t="str">
        <f t="shared" si="83"/>
        <v xml:space="preserve">                                                             ro data section *_init object FTM2.o,</v>
      </c>
    </row>
    <row r="163" spans="1:11" x14ac:dyDescent="0.25">
      <c r="A163" t="s">
        <v>536</v>
      </c>
      <c r="B163" t="str">
        <f t="shared" ref="B163" si="108">IF(A163&lt;&gt;A162,A163&amp;$B$1,"")</f>
        <v/>
      </c>
      <c r="C163">
        <f t="shared" ref="C163" si="109">LEN(B163)</f>
        <v>0</v>
      </c>
      <c r="D163" t="s">
        <v>1671</v>
      </c>
      <c r="E163" t="str">
        <f t="shared" ref="E163" si="110">SUBSTITUTE(D163,"-","_")</f>
        <v>FTM3.o</v>
      </c>
      <c r="F163">
        <f t="shared" ref="F163" ca="1" si="111">IFERROR(VLOOKUP(D163,INDIRECT($F$1),2,FALSE),0)</f>
        <v>0</v>
      </c>
      <c r="H163">
        <f t="shared" ca="1" si="86"/>
        <v>214628</v>
      </c>
      <c r="I163" t="str">
        <f t="shared" ref="I163" ca="1" si="112">"0x"&amp;DEC2HEX(H163,8)</f>
        <v>0x00034664</v>
      </c>
      <c r="J163" s="4" t="str">
        <f t="shared" ref="J163" si="113">IF(B163="","","define symbol "&amp;B163&amp;REPT(" ",$C$4-C163)&amp;"= "&amp;I163&amp;";")</f>
        <v/>
      </c>
      <c r="K163" s="4" t="str">
        <f t="shared" si="83"/>
        <v xml:space="preserve">                                                             ro data section *_init object FTM3.o };</v>
      </c>
    </row>
    <row r="164" spans="1:11" x14ac:dyDescent="0.25">
      <c r="B164" t="str">
        <f>B133&amp;"_end"</f>
        <v>Common_DINIT_end</v>
      </c>
      <c r="F164">
        <f ca="1">SUM(F133:F163)</f>
        <v>73</v>
      </c>
      <c r="G164">
        <f ca="1">INT(($G$130/100)*F164)</f>
        <v>0</v>
      </c>
      <c r="H164">
        <f t="shared" ca="1" si="86"/>
        <v>214628</v>
      </c>
      <c r="I164" t="str">
        <f t="shared" ca="1" si="87"/>
        <v>0x00034664</v>
      </c>
      <c r="J164" s="4"/>
      <c r="K164" s="4"/>
    </row>
    <row r="165" spans="1:11" x14ac:dyDescent="0.25">
      <c r="J165" s="4"/>
      <c r="K165" s="4"/>
    </row>
    <row r="166" spans="1:11" x14ac:dyDescent="0.25">
      <c r="F166" t="s">
        <v>526</v>
      </c>
      <c r="G166">
        <f ca="1">VLOOKUP(B169,INDIRECT(GlobalPlcmnt!$B$133),GlobalPlcmnt!$B$138,FALSE)</f>
        <v>1</v>
      </c>
      <c r="J166" s="4"/>
      <c r="K166" s="4"/>
    </row>
    <row r="167" spans="1:11" x14ac:dyDescent="0.25">
      <c r="F167" t="s">
        <v>608</v>
      </c>
      <c r="G167">
        <f ca="1">VLOOKUP(B169,INDIRECT(GlobalPlcmnt!$B$133),GlobalPlcmnt!$C$138,FALSE)</f>
        <v>4</v>
      </c>
      <c r="J167" s="4"/>
      <c r="K167" s="4"/>
    </row>
    <row r="168" spans="1:11" x14ac:dyDescent="0.25">
      <c r="F168" t="s">
        <v>542</v>
      </c>
      <c r="J168" s="4"/>
      <c r="K168" s="4"/>
    </row>
    <row r="169" spans="1:11" x14ac:dyDescent="0.25">
      <c r="A169" t="s">
        <v>535</v>
      </c>
      <c r="B169" t="str">
        <f t="shared" ref="B169:B186" si="114">IF(A169&lt;&gt;A168,A169&amp;$B$1,"")</f>
        <v>HMC_DINIT</v>
      </c>
      <c r="C169">
        <f t="shared" si="84"/>
        <v>9</v>
      </c>
      <c r="D169" t="s">
        <v>341</v>
      </c>
      <c r="E169" t="str">
        <f t="shared" ref="E169:E209" si="115">SUBSTITUTE(D169,"-","_")</f>
        <v>hmc_app.o</v>
      </c>
      <c r="F169">
        <f t="shared" ref="F169:F187" ca="1" si="116">IFERROR(VLOOKUP(D169,INDIRECT($F$1),2,FALSE),0)</f>
        <v>0</v>
      </c>
      <c r="H169">
        <f ca="1">VLOOKUP(B169,INDIRECT(GlobalPlcmnt!$B$133),GlobalPlcmnt!$A$138,FALSE)</f>
        <v>214628</v>
      </c>
      <c r="I169" t="str">
        <f t="shared" ref="I169:I226" ca="1" si="117">"0x"&amp;DEC2HEX(H169,8)</f>
        <v>0x00034664</v>
      </c>
      <c r="J169" s="4" t="str">
        <f t="shared" ref="J169" ca="1" si="118">IF(B169="","","define symbol "&amp;B169&amp;REPT(" ",$C$4-C169)&amp;"= "&amp;I169&amp;";")</f>
        <v>define symbol HMC_DINIT        = 0x00034664;</v>
      </c>
      <c r="K169" s="4" t="str">
        <f t="shared" ref="K169" si="119">IF(B169="",REPT(" ",$C$4+$K$4)&amp;$K$2&amp;D169&amp;IF(B170="",","," };"),""""&amp;B169&amp;""":"&amp;REPT(" ",$C$4-C169)&amp;"place at address mem: "&amp;B169&amp;REPT(" ",$C$4-C169)&amp;"{ "&amp;K$2&amp;D169&amp;IF(B170="",","," };"))</f>
        <v>"HMC_DINIT":        place at address mem: HMC_DINIT        { ro data section *_init object hmc_app.o,</v>
      </c>
    </row>
    <row r="170" spans="1:11" x14ac:dyDescent="0.25">
      <c r="A170" t="s">
        <v>535</v>
      </c>
      <c r="B170" t="str">
        <f t="shared" si="114"/>
        <v/>
      </c>
      <c r="C170">
        <f t="shared" si="84"/>
        <v>0</v>
      </c>
      <c r="D170" t="s">
        <v>572</v>
      </c>
      <c r="E170" t="str">
        <f t="shared" si="115"/>
        <v>hmc_demand.o</v>
      </c>
      <c r="F170">
        <f t="shared" ca="1" si="116"/>
        <v>0</v>
      </c>
      <c r="H170">
        <f ca="1">H169+F169+G169+IF(MOD(F169+H169+G169,$G$167)=0,0,$G$167-MOD(F169+H169+G169,$G$167))</f>
        <v>214628</v>
      </c>
      <c r="I170" t="str">
        <f t="shared" ca="1" si="117"/>
        <v>0x00034664</v>
      </c>
      <c r="J170" s="4" t="str">
        <f t="shared" ref="J170:J187" si="120">IF(B170="","","define symbol "&amp;B170&amp;REPT(" ",$C$4-C170)&amp;"= "&amp;I170&amp;";")</f>
        <v/>
      </c>
      <c r="K170" s="4" t="str">
        <f t="shared" ref="K170:K188" si="121">IF(B170="",REPT(" ",$C$4+$K$4)&amp;$K$2&amp;D170&amp;IF(B171="",","," };"),""""&amp;B170&amp;""":"&amp;REPT(" ",$C$4-C170)&amp;"place at address mem: "&amp;B170&amp;REPT(" ",$C$4-C170)&amp;"{ "&amp;K$2&amp;D170&amp;IF(B171="",","," };"))</f>
        <v xml:space="preserve">                                                             ro data section *_init object hmc_demand.o,</v>
      </c>
    </row>
    <row r="171" spans="1:11" x14ac:dyDescent="0.25">
      <c r="A171" t="s">
        <v>535</v>
      </c>
      <c r="B171" t="str">
        <f t="shared" si="114"/>
        <v/>
      </c>
      <c r="C171">
        <f t="shared" si="84"/>
        <v>0</v>
      </c>
      <c r="D171" t="s">
        <v>573</v>
      </c>
      <c r="E171" t="str">
        <f t="shared" ref="E171:E187" si="122">SUBSTITUTE(D171,"-","_")</f>
        <v>hmc_diags.o</v>
      </c>
      <c r="F171">
        <f t="shared" ca="1" si="116"/>
        <v>0</v>
      </c>
      <c r="H171">
        <f t="shared" ref="H171:H189" ca="1" si="123">H170+F170+G170+IF(MOD(F170+H170+G170,$G$167)=0,0,$G$167-MOD(F170+H170+G170,$G$167))</f>
        <v>214628</v>
      </c>
      <c r="I171" t="str">
        <f t="shared" ca="1" si="117"/>
        <v>0x00034664</v>
      </c>
      <c r="J171" s="4" t="str">
        <f t="shared" si="120"/>
        <v/>
      </c>
      <c r="K171" s="4" t="str">
        <f t="shared" si="121"/>
        <v xml:space="preserve">                                                             ro data section *_init object hmc_diags.o,</v>
      </c>
    </row>
    <row r="172" spans="1:11" x14ac:dyDescent="0.25">
      <c r="A172" t="s">
        <v>535</v>
      </c>
      <c r="B172" t="str">
        <f t="shared" si="114"/>
        <v/>
      </c>
      <c r="C172">
        <f t="shared" si="84"/>
        <v>0</v>
      </c>
      <c r="D172" t="s">
        <v>217</v>
      </c>
      <c r="E172" t="str">
        <f t="shared" si="122"/>
        <v>hmc_ds.o</v>
      </c>
      <c r="F172">
        <f t="shared" ca="1" si="116"/>
        <v>0</v>
      </c>
      <c r="H172">
        <f t="shared" ca="1" si="123"/>
        <v>214628</v>
      </c>
      <c r="I172" t="str">
        <f t="shared" ca="1" si="117"/>
        <v>0x00034664</v>
      </c>
      <c r="J172" s="4" t="str">
        <f t="shared" si="120"/>
        <v/>
      </c>
      <c r="K172" s="4" t="str">
        <f t="shared" si="121"/>
        <v xml:space="preserve">                                                             ro data section *_init object hmc_ds.o,</v>
      </c>
    </row>
    <row r="173" spans="1:11" x14ac:dyDescent="0.25">
      <c r="A173" t="s">
        <v>535</v>
      </c>
      <c r="B173" t="str">
        <f t="shared" si="114"/>
        <v/>
      </c>
      <c r="C173">
        <f t="shared" si="84"/>
        <v>0</v>
      </c>
      <c r="D173" t="s">
        <v>219</v>
      </c>
      <c r="E173" t="str">
        <f t="shared" si="122"/>
        <v>hmc_eng.o</v>
      </c>
      <c r="F173">
        <f t="shared" ca="1" si="116"/>
        <v>0</v>
      </c>
      <c r="H173">
        <f t="shared" ca="1" si="123"/>
        <v>214628</v>
      </c>
      <c r="I173" t="str">
        <f t="shared" ca="1" si="117"/>
        <v>0x00034664</v>
      </c>
      <c r="J173" s="4" t="str">
        <f t="shared" si="120"/>
        <v/>
      </c>
      <c r="K173" s="4" t="str">
        <f t="shared" si="121"/>
        <v xml:space="preserve">                                                             ro data section *_init object hmc_eng.o,</v>
      </c>
    </row>
    <row r="174" spans="1:11" x14ac:dyDescent="0.25">
      <c r="A174" t="s">
        <v>535</v>
      </c>
      <c r="B174" t="str">
        <f t="shared" si="114"/>
        <v/>
      </c>
      <c r="C174">
        <f t="shared" si="84"/>
        <v>0</v>
      </c>
      <c r="D174" t="s">
        <v>366</v>
      </c>
      <c r="E174" t="str">
        <f t="shared" si="122"/>
        <v>hmc_finish.o</v>
      </c>
      <c r="F174">
        <f t="shared" ca="1" si="116"/>
        <v>0</v>
      </c>
      <c r="H174">
        <f t="shared" ca="1" si="123"/>
        <v>214628</v>
      </c>
      <c r="I174" t="str">
        <f t="shared" ca="1" si="117"/>
        <v>0x00034664</v>
      </c>
      <c r="J174" s="4" t="str">
        <f t="shared" si="120"/>
        <v/>
      </c>
      <c r="K174" s="4" t="str">
        <f t="shared" si="121"/>
        <v xml:space="preserve">                                                             ro data section *_init object hmc_finish.o,</v>
      </c>
    </row>
    <row r="175" spans="1:11" x14ac:dyDescent="0.25">
      <c r="A175" t="s">
        <v>535</v>
      </c>
      <c r="B175" t="str">
        <f t="shared" si="114"/>
        <v/>
      </c>
      <c r="C175">
        <f t="shared" si="84"/>
        <v>0</v>
      </c>
      <c r="D175" t="s">
        <v>390</v>
      </c>
      <c r="E175" t="str">
        <f t="shared" si="122"/>
        <v>hmc_msg.o</v>
      </c>
      <c r="F175">
        <f t="shared" ca="1" si="116"/>
        <v>0</v>
      </c>
      <c r="H175">
        <f t="shared" ca="1" si="123"/>
        <v>214628</v>
      </c>
      <c r="I175" t="str">
        <f t="shared" ca="1" si="117"/>
        <v>0x00034664</v>
      </c>
      <c r="J175" s="4" t="str">
        <f t="shared" si="120"/>
        <v/>
      </c>
      <c r="K175" s="4" t="str">
        <f t="shared" si="121"/>
        <v xml:space="preserve">                                                             ro data section *_init object hmc_msg.o,</v>
      </c>
    </row>
    <row r="176" spans="1:11" x14ac:dyDescent="0.25">
      <c r="A176" t="s">
        <v>535</v>
      </c>
      <c r="B176" t="str">
        <f t="shared" si="114"/>
        <v/>
      </c>
      <c r="C176">
        <f t="shared" si="84"/>
        <v>0</v>
      </c>
      <c r="D176" t="s">
        <v>216</v>
      </c>
      <c r="E176" t="str">
        <f t="shared" si="122"/>
        <v>hmc_mtr_info.o</v>
      </c>
      <c r="F176">
        <f t="shared" ca="1" si="116"/>
        <v>0</v>
      </c>
      <c r="H176">
        <f t="shared" ca="1" si="123"/>
        <v>214628</v>
      </c>
      <c r="I176" t="str">
        <f t="shared" ca="1" si="117"/>
        <v>0x00034664</v>
      </c>
      <c r="J176" s="4" t="str">
        <f t="shared" si="120"/>
        <v/>
      </c>
      <c r="K176" s="4" t="str">
        <f t="shared" si="121"/>
        <v xml:space="preserve">                                                             ro data section *_init object hmc_mtr_info.o,</v>
      </c>
    </row>
    <row r="177" spans="1:11" x14ac:dyDescent="0.25">
      <c r="A177" t="s">
        <v>535</v>
      </c>
      <c r="B177" t="str">
        <f t="shared" si="114"/>
        <v/>
      </c>
      <c r="C177">
        <f t="shared" si="84"/>
        <v>0</v>
      </c>
      <c r="D177" t="s">
        <v>574</v>
      </c>
      <c r="E177" t="str">
        <f t="shared" si="122"/>
        <v>hmc_mtr_lp.o</v>
      </c>
      <c r="F177">
        <f t="shared" ca="1" si="116"/>
        <v>0</v>
      </c>
      <c r="H177">
        <f t="shared" ca="1" si="123"/>
        <v>214628</v>
      </c>
      <c r="I177" t="str">
        <f t="shared" ca="1" si="117"/>
        <v>0x00034664</v>
      </c>
      <c r="J177" s="4" t="str">
        <f t="shared" si="120"/>
        <v/>
      </c>
      <c r="K177" s="4" t="str">
        <f t="shared" si="121"/>
        <v xml:space="preserve">                                                             ro data section *_init object hmc_mtr_lp.o,</v>
      </c>
    </row>
    <row r="178" spans="1:11" x14ac:dyDescent="0.25">
      <c r="A178" t="s">
        <v>535</v>
      </c>
      <c r="B178" t="str">
        <f t="shared" si="114"/>
        <v/>
      </c>
      <c r="C178">
        <f t="shared" si="84"/>
        <v>0</v>
      </c>
      <c r="D178" t="s">
        <v>378</v>
      </c>
      <c r="E178" t="str">
        <f t="shared" si="122"/>
        <v>hmc_prot.o</v>
      </c>
      <c r="F178">
        <f t="shared" ca="1" si="116"/>
        <v>0</v>
      </c>
      <c r="H178">
        <f t="shared" ca="1" si="123"/>
        <v>214628</v>
      </c>
      <c r="I178" t="str">
        <f t="shared" ca="1" si="117"/>
        <v>0x00034664</v>
      </c>
      <c r="J178" s="4" t="str">
        <f t="shared" si="120"/>
        <v/>
      </c>
      <c r="K178" s="4" t="str">
        <f t="shared" si="121"/>
        <v xml:space="preserve">                                                             ro data section *_init object hmc_prot.o,</v>
      </c>
    </row>
    <row r="179" spans="1:11" x14ac:dyDescent="0.25">
      <c r="A179" t="s">
        <v>535</v>
      </c>
      <c r="B179" t="str">
        <f t="shared" si="114"/>
        <v/>
      </c>
      <c r="C179">
        <f t="shared" si="84"/>
        <v>0</v>
      </c>
      <c r="D179" t="s">
        <v>404</v>
      </c>
      <c r="E179" t="str">
        <f t="shared" si="122"/>
        <v>hmc_request.o</v>
      </c>
      <c r="F179">
        <f t="shared" ca="1" si="116"/>
        <v>0</v>
      </c>
      <c r="H179">
        <f t="shared" ca="1" si="123"/>
        <v>214628</v>
      </c>
      <c r="I179" t="str">
        <f t="shared" ca="1" si="117"/>
        <v>0x00034664</v>
      </c>
      <c r="J179" s="4" t="str">
        <f t="shared" si="120"/>
        <v/>
      </c>
      <c r="K179" s="4" t="str">
        <f t="shared" si="121"/>
        <v xml:space="preserve">                                                             ro data section *_init object hmc_request.o,</v>
      </c>
    </row>
    <row r="180" spans="1:11" x14ac:dyDescent="0.25">
      <c r="A180" t="s">
        <v>535</v>
      </c>
      <c r="B180" t="str">
        <f t="shared" si="114"/>
        <v/>
      </c>
      <c r="C180">
        <f t="shared" si="84"/>
        <v>0</v>
      </c>
      <c r="D180" t="s">
        <v>575</v>
      </c>
      <c r="E180" t="str">
        <f t="shared" si="122"/>
        <v>hmc_seq_id.o</v>
      </c>
      <c r="F180">
        <f t="shared" ca="1" si="116"/>
        <v>0</v>
      </c>
      <c r="H180">
        <f t="shared" ca="1" si="123"/>
        <v>214628</v>
      </c>
      <c r="I180" t="str">
        <f t="shared" ca="1" si="117"/>
        <v>0x00034664</v>
      </c>
      <c r="J180" s="4" t="str">
        <f t="shared" si="120"/>
        <v/>
      </c>
      <c r="K180" s="4" t="str">
        <f t="shared" si="121"/>
        <v xml:space="preserve">                                                             ro data section *_init object hmc_seq_id.o,</v>
      </c>
    </row>
    <row r="181" spans="1:11" x14ac:dyDescent="0.25">
      <c r="A181" t="s">
        <v>535</v>
      </c>
      <c r="B181" t="str">
        <f t="shared" si="114"/>
        <v/>
      </c>
      <c r="C181">
        <f t="shared" si="84"/>
        <v>0</v>
      </c>
      <c r="D181" t="s">
        <v>405</v>
      </c>
      <c r="E181" t="str">
        <f t="shared" si="122"/>
        <v>hmc_snapshot.o</v>
      </c>
      <c r="F181">
        <f t="shared" ca="1" si="116"/>
        <v>0</v>
      </c>
      <c r="H181">
        <f t="shared" ca="1" si="123"/>
        <v>214628</v>
      </c>
      <c r="I181" t="str">
        <f t="shared" ca="1" si="117"/>
        <v>0x00034664</v>
      </c>
      <c r="J181" s="4" t="str">
        <f t="shared" si="120"/>
        <v/>
      </c>
      <c r="K181" s="4" t="str">
        <f t="shared" si="121"/>
        <v xml:space="preserve">                                                             ro data section *_init object hmc_snapshot.o,</v>
      </c>
    </row>
    <row r="182" spans="1:11" x14ac:dyDescent="0.25">
      <c r="A182" t="s">
        <v>535</v>
      </c>
      <c r="B182" t="str">
        <f t="shared" si="114"/>
        <v/>
      </c>
      <c r="C182">
        <f t="shared" si="84"/>
        <v>0</v>
      </c>
      <c r="D182" t="s">
        <v>311</v>
      </c>
      <c r="E182" t="str">
        <f t="shared" si="122"/>
        <v>hmc_start.o</v>
      </c>
      <c r="F182">
        <f t="shared" ca="1" si="116"/>
        <v>0</v>
      </c>
      <c r="H182">
        <f t="shared" ca="1" si="123"/>
        <v>214628</v>
      </c>
      <c r="I182" t="str">
        <f t="shared" ca="1" si="117"/>
        <v>0x00034664</v>
      </c>
      <c r="J182" s="4" t="str">
        <f t="shared" si="120"/>
        <v/>
      </c>
      <c r="K182" s="4" t="str">
        <f t="shared" si="121"/>
        <v xml:space="preserve">                                                             ro data section *_init object hmc_start.o,</v>
      </c>
    </row>
    <row r="183" spans="1:11" x14ac:dyDescent="0.25">
      <c r="A183" t="s">
        <v>535</v>
      </c>
      <c r="B183" t="str">
        <f t="shared" si="114"/>
        <v/>
      </c>
      <c r="C183">
        <f t="shared" si="84"/>
        <v>0</v>
      </c>
      <c r="D183" t="s">
        <v>576</v>
      </c>
      <c r="E183" t="str">
        <f t="shared" si="122"/>
        <v>hmc_sync.o</v>
      </c>
      <c r="F183">
        <f t="shared" ca="1" si="116"/>
        <v>0</v>
      </c>
      <c r="H183">
        <f t="shared" ca="1" si="123"/>
        <v>214628</v>
      </c>
      <c r="I183" t="str">
        <f t="shared" ca="1" si="117"/>
        <v>0x00034664</v>
      </c>
      <c r="J183" s="4" t="str">
        <f t="shared" si="120"/>
        <v/>
      </c>
      <c r="K183" s="4" t="str">
        <f t="shared" si="121"/>
        <v xml:space="preserve">                                                             ro data section *_init object hmc_sync.o,</v>
      </c>
    </row>
    <row r="184" spans="1:11" x14ac:dyDescent="0.25">
      <c r="A184" t="s">
        <v>535</v>
      </c>
      <c r="B184" t="str">
        <f t="shared" si="114"/>
        <v/>
      </c>
      <c r="C184">
        <f t="shared" si="84"/>
        <v>0</v>
      </c>
      <c r="D184" t="s">
        <v>577</v>
      </c>
      <c r="E184" t="str">
        <f t="shared" si="122"/>
        <v>hmc_time.o</v>
      </c>
      <c r="F184">
        <f t="shared" ca="1" si="116"/>
        <v>0</v>
      </c>
      <c r="H184">
        <f t="shared" ca="1" si="123"/>
        <v>214628</v>
      </c>
      <c r="I184" t="str">
        <f t="shared" ca="1" si="117"/>
        <v>0x00034664</v>
      </c>
      <c r="J184" s="4" t="str">
        <f t="shared" si="120"/>
        <v/>
      </c>
      <c r="K184" s="4" t="str">
        <f t="shared" si="121"/>
        <v xml:space="preserve">                                                             ro data section *_init object hmc_time.o,</v>
      </c>
    </row>
    <row r="185" spans="1:11" x14ac:dyDescent="0.25">
      <c r="A185" t="s">
        <v>535</v>
      </c>
      <c r="B185" t="str">
        <f t="shared" si="114"/>
        <v/>
      </c>
      <c r="C185">
        <f t="shared" si="84"/>
        <v>0</v>
      </c>
      <c r="D185" t="s">
        <v>438</v>
      </c>
      <c r="E185" t="str">
        <f t="shared" si="122"/>
        <v>hmc_tsk_lst.o</v>
      </c>
      <c r="F185">
        <f t="shared" ca="1" si="116"/>
        <v>0</v>
      </c>
      <c r="H185">
        <f t="shared" ca="1" si="123"/>
        <v>214628</v>
      </c>
      <c r="I185" t="str">
        <f t="shared" ca="1" si="117"/>
        <v>0x00034664</v>
      </c>
      <c r="J185" s="4" t="str">
        <f t="shared" si="120"/>
        <v/>
      </c>
      <c r="K185" s="4" t="str">
        <f t="shared" si="121"/>
        <v xml:space="preserve">                                                             ro data section *_init object hmc_tsk_lst.o,</v>
      </c>
    </row>
    <row r="186" spans="1:11" x14ac:dyDescent="0.25">
      <c r="A186" t="s">
        <v>535</v>
      </c>
      <c r="B186" t="str">
        <f t="shared" si="114"/>
        <v/>
      </c>
      <c r="C186">
        <f t="shared" si="84"/>
        <v>0</v>
      </c>
      <c r="D186" t="s">
        <v>214</v>
      </c>
      <c r="E186" t="str">
        <f t="shared" si="122"/>
        <v>intf_cim_cmd.o</v>
      </c>
      <c r="F186">
        <f t="shared" ca="1" si="116"/>
        <v>0</v>
      </c>
      <c r="H186">
        <f t="shared" ca="1" si="123"/>
        <v>214628</v>
      </c>
      <c r="I186" t="str">
        <f t="shared" ca="1" si="117"/>
        <v>0x00034664</v>
      </c>
      <c r="J186" s="4" t="str">
        <f t="shared" si="120"/>
        <v/>
      </c>
      <c r="K186" s="4" t="str">
        <f t="shared" si="121"/>
        <v xml:space="preserve">                                                             ro data section *_init object intf_cim_cmd.o,</v>
      </c>
    </row>
    <row r="187" spans="1:11" x14ac:dyDescent="0.25">
      <c r="A187" t="s">
        <v>535</v>
      </c>
      <c r="B187" t="str">
        <f t="shared" ref="B187" si="124">IF(A187&lt;&gt;A186,A187&amp;$B$1,"")</f>
        <v/>
      </c>
      <c r="C187">
        <f t="shared" ref="C187" si="125">LEN(B187)</f>
        <v>0</v>
      </c>
      <c r="D187" t="s">
        <v>1085</v>
      </c>
      <c r="E187" t="str">
        <f t="shared" si="122"/>
        <v>hmc_prg_mtr.o</v>
      </c>
      <c r="F187">
        <f t="shared" ca="1" si="116"/>
        <v>0</v>
      </c>
      <c r="H187">
        <f t="shared" ca="1" si="123"/>
        <v>214628</v>
      </c>
      <c r="I187" t="str">
        <f t="shared" ca="1" si="117"/>
        <v>0x00034664</v>
      </c>
      <c r="J187" s="4" t="str">
        <f t="shared" si="120"/>
        <v/>
      </c>
      <c r="K187" s="4" t="str">
        <f t="shared" si="121"/>
        <v xml:space="preserve">                                                             ro data section *_init object hmc_prg_mtr.o,</v>
      </c>
    </row>
    <row r="188" spans="1:11" x14ac:dyDescent="0.25">
      <c r="A188" t="s">
        <v>535</v>
      </c>
      <c r="B188" t="str">
        <f t="shared" ref="B188" si="126">IF(A188&lt;&gt;A187,A188&amp;$B$1,"")</f>
        <v/>
      </c>
      <c r="C188">
        <f t="shared" ref="C188" si="127">LEN(B188)</f>
        <v>0</v>
      </c>
      <c r="D188" t="s">
        <v>1727</v>
      </c>
      <c r="E188" t="str">
        <f t="shared" ref="E188" si="128">SUBSTITUTE(D188,"-","_")</f>
        <v>hmc_display.o</v>
      </c>
      <c r="F188">
        <f t="shared" ref="F188" ca="1" si="129">IFERROR(VLOOKUP(D188,INDIRECT($F$1),2,FALSE),0)</f>
        <v>0</v>
      </c>
      <c r="H188">
        <f t="shared" ca="1" si="123"/>
        <v>214628</v>
      </c>
      <c r="I188" t="str">
        <f t="shared" ref="I188" ca="1" si="130">"0x"&amp;DEC2HEX(H188,8)</f>
        <v>0x00034664</v>
      </c>
      <c r="J188" s="4" t="str">
        <f t="shared" ref="J188" si="131">IF(B188="","","define symbol "&amp;B188&amp;REPT(" ",$C$4-C188)&amp;"= "&amp;I188&amp;";")</f>
        <v/>
      </c>
      <c r="K188" s="4" t="str">
        <f t="shared" si="121"/>
        <v xml:space="preserve">                                                             ro data section *_init object hmc_display.o };</v>
      </c>
    </row>
    <row r="189" spans="1:11" x14ac:dyDescent="0.25">
      <c r="B189" t="str">
        <f>B169&amp;"_end"</f>
        <v>HMC_DINIT_end</v>
      </c>
      <c r="F189">
        <f ca="1">SUM(F169:F188)</f>
        <v>0</v>
      </c>
      <c r="G189">
        <f ca="1">INT(($G$166/100)*F189)</f>
        <v>0</v>
      </c>
      <c r="H189">
        <f t="shared" ca="1" si="123"/>
        <v>214628</v>
      </c>
      <c r="I189" t="str">
        <f t="shared" ca="1" si="117"/>
        <v>0x00034664</v>
      </c>
      <c r="J189" s="4"/>
      <c r="K189" s="4"/>
    </row>
    <row r="190" spans="1:11" x14ac:dyDescent="0.25">
      <c r="J190" s="4"/>
      <c r="K190" s="4"/>
    </row>
    <row r="191" spans="1:11" x14ac:dyDescent="0.25">
      <c r="F191" t="s">
        <v>526</v>
      </c>
      <c r="G191">
        <f ca="1">VLOOKUP(B194,INDIRECT(GlobalPlcmnt!$B$133),GlobalPlcmnt!$B$138,FALSE)</f>
        <v>1</v>
      </c>
      <c r="J191" s="4"/>
      <c r="K191" s="4"/>
    </row>
    <row r="192" spans="1:11" x14ac:dyDescent="0.25">
      <c r="F192" t="s">
        <v>608</v>
      </c>
      <c r="G192">
        <f ca="1">VLOOKUP(B194,INDIRECT(GlobalPlcmnt!$B$133),GlobalPlcmnt!$C$138,FALSE)</f>
        <v>4</v>
      </c>
      <c r="J192" s="4"/>
      <c r="K192" s="4"/>
    </row>
    <row r="193" spans="1:11" x14ac:dyDescent="0.25">
      <c r="F193" t="s">
        <v>542</v>
      </c>
      <c r="J193" s="4"/>
      <c r="K193" s="4"/>
    </row>
    <row r="194" spans="1:11" x14ac:dyDescent="0.25">
      <c r="A194" t="s">
        <v>1129</v>
      </c>
      <c r="B194" t="str">
        <f t="shared" ref="B194:B195" si="132">IF(A194&lt;&gt;A193,A194&amp;$B$1,"")</f>
        <v>AclaraDA_DINIT</v>
      </c>
      <c r="C194">
        <f t="shared" ref="C194:C202" si="133">LEN(B194)</f>
        <v>14</v>
      </c>
      <c r="D194" t="s">
        <v>1130</v>
      </c>
      <c r="E194" t="str">
        <f t="shared" ref="E194:E197" si="134">SUBSTITUTE(D194,"-","_")</f>
        <v>b2b.o</v>
      </c>
      <c r="F194">
        <f t="shared" ref="F194:F202" ca="1" si="135">IFERROR(VLOOKUP(D194,INDIRECT($F$1),2,FALSE),0)</f>
        <v>0</v>
      </c>
      <c r="H194">
        <f ca="1">VLOOKUP(B194,INDIRECT(GlobalPlcmnt!$B$133),GlobalPlcmnt!$A$138,FALSE)</f>
        <v>214628</v>
      </c>
      <c r="I194" t="str">
        <f t="shared" ref="I194:I203" ca="1" si="136">"0x"&amp;DEC2HEX(H194,8)</f>
        <v>0x00034664</v>
      </c>
      <c r="J194" s="4" t="str">
        <f ca="1">IF(B194="","","define symbol "&amp;B194&amp;REPT(" ",$C$4-C194)&amp;" = "&amp;I194&amp;";")</f>
        <v>define symbol AclaraDA_DINIT    = 0x00034664;</v>
      </c>
      <c r="K194" s="4" t="str">
        <f>IF(B194="",REPT(" ",$C$4+$K$4)&amp;$K$2&amp;D194&amp;IF(B195="",","," };"),""""&amp;B194&amp;""":"&amp;REPT(" ",$C$4-C194)&amp;"place at address mem: "&amp;B194&amp;REPT(" ",$C$4-C194)&amp;"{ "&amp;$K$2&amp;D194&amp;IF(B195="",","," };"))</f>
        <v>"AclaraDA_DINIT":   place at address mem: AclaraDA_DINIT   { ro data section *_init object b2b.o,</v>
      </c>
    </row>
    <row r="195" spans="1:11" x14ac:dyDescent="0.25">
      <c r="A195" t="s">
        <v>1129</v>
      </c>
      <c r="B195" t="str">
        <f t="shared" si="132"/>
        <v/>
      </c>
      <c r="C195">
        <f t="shared" si="133"/>
        <v>0</v>
      </c>
      <c r="D195" t="s">
        <v>1131</v>
      </c>
      <c r="E195" t="str">
        <f t="shared" si="134"/>
        <v>b2b_req_handler.o</v>
      </c>
      <c r="F195">
        <f t="shared" ca="1" si="135"/>
        <v>0</v>
      </c>
      <c r="H195">
        <f ca="1">H194+F194+G194+IF(MOD(F194+H194+G194,$G$192)=0,0,$G$192-MOD(F194+H194+G194,$G$192))</f>
        <v>214628</v>
      </c>
      <c r="I195" t="str">
        <f t="shared" ca="1" si="136"/>
        <v>0x00034664</v>
      </c>
      <c r="J195" s="4" t="str">
        <f t="shared" ref="J195:J197" si="137">IF(B195="","","define symbol "&amp;B195&amp;REPT(" ",$C$3-C195)&amp;" = "&amp;I195&amp;";")</f>
        <v/>
      </c>
      <c r="K195" s="4" t="str">
        <f t="shared" ref="K195:K202" si="138">IF(B195="",REPT(" ",$C$4+$K$4)&amp;$K$2&amp;D195&amp;IF(B196="",","," };"),""""&amp;B195&amp;""":"&amp;REPT(" ",$C$4-C195)&amp;"place at address mem: "&amp;B195&amp;REPT(" ",$C$4-C195)&amp;"{ "&amp;$K$2&amp;D195&amp;IF(B196="",","," };"))</f>
        <v xml:space="preserve">                                                             ro data section *_init object b2b_req_handler.o,</v>
      </c>
    </row>
    <row r="196" spans="1:11" x14ac:dyDescent="0.25">
      <c r="A196" t="s">
        <v>1129</v>
      </c>
      <c r="C196">
        <f t="shared" si="133"/>
        <v>0</v>
      </c>
      <c r="D196" t="s">
        <v>1132</v>
      </c>
      <c r="E196" t="str">
        <f t="shared" si="134"/>
        <v>b2bMessage.o</v>
      </c>
      <c r="F196">
        <f t="shared" ca="1" si="135"/>
        <v>0</v>
      </c>
      <c r="H196">
        <f t="shared" ref="H196:H202" ca="1" si="139">H195+F195+G195+IF(MOD(F195+H195+G195,$G$192)=0,0,$G$192-MOD(F195+H195+G195,$G$192))</f>
        <v>214628</v>
      </c>
      <c r="I196" t="str">
        <f t="shared" ca="1" si="136"/>
        <v>0x00034664</v>
      </c>
      <c r="J196" s="4" t="str">
        <f t="shared" si="137"/>
        <v/>
      </c>
      <c r="K196" s="4" t="str">
        <f t="shared" si="138"/>
        <v xml:space="preserve">                                                             ro data section *_init object b2bMessage.o,</v>
      </c>
    </row>
    <row r="197" spans="1:11" x14ac:dyDescent="0.25">
      <c r="A197" t="s">
        <v>1129</v>
      </c>
      <c r="C197">
        <f t="shared" si="133"/>
        <v>0</v>
      </c>
      <c r="D197" t="s">
        <v>1133</v>
      </c>
      <c r="E197" t="str">
        <f t="shared" si="134"/>
        <v>da_srfn_reg.o</v>
      </c>
      <c r="F197">
        <f t="shared" ca="1" si="135"/>
        <v>0</v>
      </c>
      <c r="H197">
        <f t="shared" ca="1" si="139"/>
        <v>214628</v>
      </c>
      <c r="I197" t="str">
        <f t="shared" ca="1" si="136"/>
        <v>0x00034664</v>
      </c>
      <c r="J197" s="4" t="str">
        <f t="shared" si="137"/>
        <v/>
      </c>
      <c r="K197" s="4" t="str">
        <f>IF(B197="",REPT(" ",$C$4+$K$4)&amp;$K$2&amp;D197&amp;IF(B199="",","," };"),""""&amp;B197&amp;""":"&amp;REPT(" ",$C$4-C197)&amp;"place at address mem: "&amp;B197&amp;REPT(" ",$C$4-C197)&amp;"{ "&amp;$K$2&amp;D197&amp;IF(B199="",","," };"))</f>
        <v xml:space="preserve">                                                             ro data section *_init object da_srfn_reg.o,</v>
      </c>
    </row>
    <row r="198" spans="1:11" x14ac:dyDescent="0.25">
      <c r="A198" t="s">
        <v>1129</v>
      </c>
      <c r="C198">
        <f t="shared" si="133"/>
        <v>0</v>
      </c>
      <c r="D198" t="s">
        <v>1134</v>
      </c>
      <c r="E198" t="str">
        <f>SUBSTITUTE(D198,"-","_")</f>
        <v>hdlc_frame.o</v>
      </c>
      <c r="F198">
        <f t="shared" ca="1" si="135"/>
        <v>0</v>
      </c>
      <c r="H198">
        <f t="shared" ca="1" si="139"/>
        <v>214628</v>
      </c>
      <c r="I198" t="str">
        <f t="shared" ca="1" si="136"/>
        <v>0x00034664</v>
      </c>
      <c r="J198" s="4"/>
      <c r="K198" s="4" t="str">
        <f>IF(B198="",REPT(" ",$C$4+$K$4)&amp;$K$2&amp;D198&amp;IF(B200="",","," };"),""""&amp;B198&amp;""":"&amp;REPT(" ",$C$4-C198)&amp;"place at address mem: "&amp;B198&amp;REPT(" ",$C$4-C198)&amp;"{ "&amp;$K$2&amp;D198&amp;IF(B200="",","," };"))</f>
        <v xml:space="preserve">                                                             ro data section *_init object hdlc_frame.o,</v>
      </c>
    </row>
    <row r="199" spans="1:11" x14ac:dyDescent="0.25">
      <c r="A199" t="s">
        <v>1129</v>
      </c>
      <c r="C199">
        <f t="shared" si="133"/>
        <v>0</v>
      </c>
      <c r="D199" t="s">
        <v>1135</v>
      </c>
      <c r="E199" t="str">
        <f t="shared" ref="E199:E202" si="140">SUBSTITUTE(D199,"-","_")</f>
        <v>host_reset.o</v>
      </c>
      <c r="F199">
        <f t="shared" ca="1" si="135"/>
        <v>0</v>
      </c>
      <c r="H199">
        <f t="shared" ca="1" si="139"/>
        <v>214628</v>
      </c>
      <c r="I199" t="str">
        <f t="shared" ca="1" si="136"/>
        <v>0x00034664</v>
      </c>
      <c r="J199" s="4" t="str">
        <f t="shared" ref="J199:J202" si="141">IF(B199="","","define symbol "&amp;B199&amp;REPT(" ",$C$3-C199)&amp;" = "&amp;I199&amp;";")</f>
        <v/>
      </c>
      <c r="K199" s="4" t="str">
        <f t="shared" si="138"/>
        <v xml:space="preserve">                                                             ro data section *_init object host_reset.o,</v>
      </c>
    </row>
    <row r="200" spans="1:11" x14ac:dyDescent="0.25">
      <c r="A200" t="s">
        <v>1129</v>
      </c>
      <c r="C200">
        <f t="shared" si="133"/>
        <v>0</v>
      </c>
      <c r="D200" t="s">
        <v>1136</v>
      </c>
      <c r="E200" t="str">
        <f t="shared" si="140"/>
        <v>nw_connected.o</v>
      </c>
      <c r="F200">
        <f t="shared" ca="1" si="135"/>
        <v>0</v>
      </c>
      <c r="H200">
        <f t="shared" ca="1" si="139"/>
        <v>214628</v>
      </c>
      <c r="I200" t="str">
        <f t="shared" ca="1" si="136"/>
        <v>0x00034664</v>
      </c>
      <c r="J200" s="4" t="str">
        <f t="shared" si="141"/>
        <v/>
      </c>
      <c r="K200" s="4" t="str">
        <f t="shared" si="138"/>
        <v xml:space="preserve">                                                             ro data section *_init object nw_connected.o,</v>
      </c>
    </row>
    <row r="201" spans="1:11" x14ac:dyDescent="0.25">
      <c r="A201" t="s">
        <v>1129</v>
      </c>
      <c r="C201">
        <f t="shared" si="133"/>
        <v>0</v>
      </c>
      <c r="D201" t="s">
        <v>1137</v>
      </c>
      <c r="E201" t="str">
        <f t="shared" si="140"/>
        <v>TUNNEL_MSG_Handler.o</v>
      </c>
      <c r="F201">
        <f t="shared" ca="1" si="135"/>
        <v>0</v>
      </c>
      <c r="H201">
        <f t="shared" ca="1" si="139"/>
        <v>214628</v>
      </c>
      <c r="I201" t="str">
        <f t="shared" ca="1" si="136"/>
        <v>0x00034664</v>
      </c>
      <c r="J201" s="4" t="str">
        <f t="shared" si="141"/>
        <v/>
      </c>
      <c r="K201" s="4" t="str">
        <f t="shared" si="138"/>
        <v xml:space="preserve">                                                             ro data section *_init object TUNNEL_MSG_Handler.o,</v>
      </c>
    </row>
    <row r="202" spans="1:11" x14ac:dyDescent="0.25">
      <c r="A202" t="s">
        <v>1129</v>
      </c>
      <c r="C202">
        <f t="shared" si="133"/>
        <v>0</v>
      </c>
      <c r="D202" t="s">
        <v>1138</v>
      </c>
      <c r="E202" t="str">
        <f t="shared" si="140"/>
        <v>tunnel_Util.o</v>
      </c>
      <c r="F202">
        <f t="shared" ca="1" si="135"/>
        <v>0</v>
      </c>
      <c r="H202">
        <f t="shared" ca="1" si="139"/>
        <v>214628</v>
      </c>
      <c r="I202" t="str">
        <f t="shared" ca="1" si="136"/>
        <v>0x00034664</v>
      </c>
      <c r="J202" s="4" t="str">
        <f t="shared" si="141"/>
        <v/>
      </c>
      <c r="K202" s="4" t="str">
        <f t="shared" si="138"/>
        <v xml:space="preserve">                                                             ro data section *_init object tunnel_Util.o };</v>
      </c>
    </row>
    <row r="203" spans="1:11" x14ac:dyDescent="0.25">
      <c r="B203" t="str">
        <f>B194&amp;"_end"</f>
        <v>AclaraDA_DINIT_end</v>
      </c>
      <c r="F203">
        <f ca="1">SUM(F194:F202)</f>
        <v>0</v>
      </c>
      <c r="G203">
        <f ca="1">INT(($G$191/100)*F203)</f>
        <v>0</v>
      </c>
      <c r="H203">
        <f ca="1">H202+F202+G203+IF(MOD(F202+H202+G203,$G$192)=0,0,$G$192-MOD(F202+H202+G203,$G$192))</f>
        <v>214628</v>
      </c>
      <c r="I203" t="str">
        <f t="shared" ca="1" si="136"/>
        <v>0x00034664</v>
      </c>
      <c r="J203" s="4"/>
      <c r="K203" s="4"/>
    </row>
    <row r="204" spans="1:11" x14ac:dyDescent="0.25">
      <c r="J204" s="4"/>
      <c r="K204" s="4"/>
    </row>
    <row r="205" spans="1:11" x14ac:dyDescent="0.25">
      <c r="F205" t="s">
        <v>526</v>
      </c>
      <c r="G205">
        <f ca="1">VLOOKUP(B208,INDIRECT(GlobalPlcmnt!$B$133),GlobalPlcmnt!$B$138,FALSE)</f>
        <v>1</v>
      </c>
      <c r="J205" s="4"/>
      <c r="K205" s="4"/>
    </row>
    <row r="206" spans="1:11" x14ac:dyDescent="0.25">
      <c r="F206" t="s">
        <v>608</v>
      </c>
      <c r="G206">
        <f ca="1">VLOOKUP(B208,INDIRECT(GlobalPlcmnt!$B$133),GlobalPlcmnt!$C$138,FALSE)</f>
        <v>4</v>
      </c>
      <c r="J206" s="4"/>
      <c r="K206" s="4"/>
    </row>
    <row r="207" spans="1:11" x14ac:dyDescent="0.25">
      <c r="F207" t="s">
        <v>542</v>
      </c>
      <c r="J207" s="4"/>
      <c r="K207" s="4"/>
    </row>
    <row r="208" spans="1:11" x14ac:dyDescent="0.25">
      <c r="A208" t="s">
        <v>537</v>
      </c>
      <c r="B208" t="str">
        <f t="shared" ref="B208:B225" si="142">IF(A208&lt;&gt;A207,A208&amp;$B$1,"")</f>
        <v>MTU_Common_DINIT</v>
      </c>
      <c r="C208">
        <f t="shared" si="84"/>
        <v>16</v>
      </c>
      <c r="D208" t="s">
        <v>221</v>
      </c>
      <c r="E208" t="str">
        <f t="shared" si="115"/>
        <v>APP_MSG_Handler.o</v>
      </c>
      <c r="F208">
        <f t="shared" ref="F208:F225" ca="1" si="143">IFERROR(VLOOKUP(D208,INDIRECT($F$1),2,FALSE),0)</f>
        <v>0</v>
      </c>
      <c r="H208">
        <f ca="1">VLOOKUP(B208,INDIRECT(GlobalPlcmnt!$B$133),GlobalPlcmnt!$A$138,FALSE)</f>
        <v>214628</v>
      </c>
      <c r="I208" t="str">
        <f t="shared" ca="1" si="117"/>
        <v>0x00034664</v>
      </c>
      <c r="J208" s="4" t="str">
        <f t="shared" ref="J208" ca="1" si="144">IF(B208="","","define symbol "&amp;B208&amp;REPT(" ",$C$4-C208)&amp;"= "&amp;I208&amp;";")</f>
        <v>define symbol MTU_Common_DINIT = 0x00034664;</v>
      </c>
      <c r="K208" s="4" t="str">
        <f t="shared" ref="K208" si="145">IF(B208="",REPT(" ",$C$4+$K$4)&amp;$K$2&amp;D208&amp;IF(B209="",","," };"),""""&amp;B208&amp;""":"&amp;REPT(" ",$C$4-C208)&amp;"place at address mem: "&amp;B208&amp;REPT(" ",$C$4-C208)&amp;"{ "&amp;K$2&amp;D208&amp;IF(B209="",","," };"))</f>
        <v>"MTU_Common_DINIT": place at address mem: MTU_Common_DINIT { ro data section *_init object APP_MSG_Handler.o,</v>
      </c>
    </row>
    <row r="209" spans="1:11" x14ac:dyDescent="0.25">
      <c r="A209" t="s">
        <v>537</v>
      </c>
      <c r="B209" t="str">
        <f t="shared" si="142"/>
        <v/>
      </c>
      <c r="C209">
        <f t="shared" si="84"/>
        <v>0</v>
      </c>
      <c r="D209" t="s">
        <v>222</v>
      </c>
      <c r="E209" t="str">
        <f t="shared" si="115"/>
        <v>demand.o</v>
      </c>
      <c r="F209">
        <f t="shared" ca="1" si="143"/>
        <v>0</v>
      </c>
      <c r="H209">
        <f ca="1">H208+F208+G208+IF(MOD(F208+H208+G208,$G$206)=0,0,$G$206-MOD(F208+H208+G208,$G$206))</f>
        <v>214628</v>
      </c>
      <c r="I209" t="str">
        <f t="shared" ca="1" si="117"/>
        <v>0x00034664</v>
      </c>
      <c r="J209" s="4" t="str">
        <f t="shared" ref="J209:J225" si="146">IF(B209="","","define symbol "&amp;B209&amp;REPT(" ",$C$4-C209)&amp;"= "&amp;I209&amp;";")</f>
        <v/>
      </c>
      <c r="K209" s="4" t="str">
        <f t="shared" ref="K209:K225" si="147">IF(B209="",REPT(" ",$C$4+$K$4)&amp;$K$2&amp;D209&amp;IF(B210="",","," };"),""""&amp;B209&amp;""":"&amp;REPT(" ",$C$4-C209)&amp;"place at address mem: "&amp;B209&amp;REPT(" ",$C$4-C209)&amp;"{ "&amp;K$2&amp;D209&amp;IF(B210="",","," };"))</f>
        <v xml:space="preserve">                                                             ro data section *_init object demand.o,</v>
      </c>
    </row>
    <row r="210" spans="1:11" x14ac:dyDescent="0.25">
      <c r="A210" t="s">
        <v>537</v>
      </c>
      <c r="B210" t="str">
        <f t="shared" si="142"/>
        <v/>
      </c>
      <c r="C210">
        <f t="shared" si="84"/>
        <v>0</v>
      </c>
      <c r="D210" t="s">
        <v>227</v>
      </c>
      <c r="E210" t="str">
        <f t="shared" ref="E210:E225" si="148">SUBSTITUTE(D210,"-","_")</f>
        <v>ed_config.o</v>
      </c>
      <c r="F210">
        <f t="shared" ca="1" si="143"/>
        <v>0</v>
      </c>
      <c r="H210">
        <f t="shared" ref="H210:H225" ca="1" si="149">H209+F209+G209+IF(MOD(F209+H209+G209,$G$206)=0,0,$G$206-MOD(F209+H209+G209,$G$206))</f>
        <v>214628</v>
      </c>
      <c r="I210" t="str">
        <f t="shared" ca="1" si="117"/>
        <v>0x00034664</v>
      </c>
      <c r="J210" s="4" t="str">
        <f t="shared" si="146"/>
        <v/>
      </c>
      <c r="K210" s="4" t="str">
        <f t="shared" si="147"/>
        <v xml:space="preserve">                                                             ro data section *_init object ed_config.o,</v>
      </c>
    </row>
    <row r="211" spans="1:11" x14ac:dyDescent="0.25">
      <c r="A211" t="s">
        <v>537</v>
      </c>
      <c r="B211" t="str">
        <f t="shared" si="142"/>
        <v/>
      </c>
      <c r="C211">
        <f t="shared" si="84"/>
        <v>0</v>
      </c>
      <c r="D211" t="s">
        <v>367</v>
      </c>
      <c r="E211" t="str">
        <f t="shared" si="148"/>
        <v>endpt_cim_cmd.o</v>
      </c>
      <c r="F211">
        <f t="shared" ca="1" si="143"/>
        <v>0</v>
      </c>
      <c r="H211">
        <f t="shared" ca="1" si="149"/>
        <v>214628</v>
      </c>
      <c r="I211" t="str">
        <f t="shared" ca="1" si="117"/>
        <v>0x00034664</v>
      </c>
      <c r="J211" s="4" t="str">
        <f t="shared" si="146"/>
        <v/>
      </c>
      <c r="K211" s="4" t="str">
        <f t="shared" si="147"/>
        <v xml:space="preserve">                                                             ro data section *_init object endpt_cim_cmd.o,</v>
      </c>
    </row>
    <row r="212" spans="1:11" x14ac:dyDescent="0.25">
      <c r="A212" t="s">
        <v>537</v>
      </c>
      <c r="B212" t="str">
        <f t="shared" si="142"/>
        <v/>
      </c>
      <c r="C212">
        <f t="shared" si="84"/>
        <v>0</v>
      </c>
      <c r="D212" t="s">
        <v>218</v>
      </c>
      <c r="E212" t="str">
        <f t="shared" si="148"/>
        <v>historyd.o</v>
      </c>
      <c r="F212">
        <f t="shared" ca="1" si="143"/>
        <v>0</v>
      </c>
      <c r="H212">
        <f t="shared" ca="1" si="149"/>
        <v>214628</v>
      </c>
      <c r="I212" t="str">
        <f t="shared" ca="1" si="117"/>
        <v>0x00034664</v>
      </c>
      <c r="J212" s="4" t="str">
        <f t="shared" si="146"/>
        <v/>
      </c>
      <c r="K212" s="4" t="str">
        <f t="shared" si="147"/>
        <v xml:space="preserve">                                                             ro data section *_init object historyd.o,</v>
      </c>
    </row>
    <row r="213" spans="1:11" x14ac:dyDescent="0.25">
      <c r="A213" t="s">
        <v>537</v>
      </c>
      <c r="B213" t="str">
        <f t="shared" si="142"/>
        <v/>
      </c>
      <c r="C213">
        <f t="shared" si="84"/>
        <v>0</v>
      </c>
      <c r="D213" t="s">
        <v>215</v>
      </c>
      <c r="E213" t="str">
        <f t="shared" si="148"/>
        <v>ID_intervalTask.o</v>
      </c>
      <c r="F213">
        <f t="shared" ca="1" si="143"/>
        <v>0</v>
      </c>
      <c r="H213">
        <f t="shared" ca="1" si="149"/>
        <v>214628</v>
      </c>
      <c r="I213" t="str">
        <f t="shared" ca="1" si="117"/>
        <v>0x00034664</v>
      </c>
      <c r="J213" s="4" t="str">
        <f t="shared" si="146"/>
        <v/>
      </c>
      <c r="K213" s="4" t="str">
        <f t="shared" si="147"/>
        <v xml:space="preserve">                                                             ro data section *_init object ID_intervalTask.o,</v>
      </c>
    </row>
    <row r="214" spans="1:11" x14ac:dyDescent="0.25">
      <c r="A214" t="s">
        <v>537</v>
      </c>
      <c r="B214" t="str">
        <f t="shared" si="142"/>
        <v/>
      </c>
      <c r="C214">
        <f t="shared" si="84"/>
        <v>0</v>
      </c>
      <c r="D214" t="s">
        <v>292</v>
      </c>
      <c r="E214" t="str">
        <f t="shared" si="148"/>
        <v>IDL_IdleProcess.o</v>
      </c>
      <c r="F214">
        <f t="shared" ca="1" si="143"/>
        <v>0</v>
      </c>
      <c r="H214">
        <f t="shared" ca="1" si="149"/>
        <v>214628</v>
      </c>
      <c r="I214" t="str">
        <f t="shared" ca="1" si="117"/>
        <v>0x00034664</v>
      </c>
      <c r="J214" s="4" t="str">
        <f t="shared" si="146"/>
        <v/>
      </c>
      <c r="K214" s="4" t="str">
        <f t="shared" si="147"/>
        <v xml:space="preserve">                                                             ro data section *_init object IDL_IdleProcess.o,</v>
      </c>
    </row>
    <row r="215" spans="1:11" x14ac:dyDescent="0.25">
      <c r="A215" t="s">
        <v>537</v>
      </c>
      <c r="B215" t="str">
        <f t="shared" si="142"/>
        <v/>
      </c>
      <c r="C215">
        <f t="shared" si="84"/>
        <v>0</v>
      </c>
      <c r="D215" t="s">
        <v>210</v>
      </c>
      <c r="E215" t="str">
        <f t="shared" si="148"/>
        <v>OR_MR_Handler.o</v>
      </c>
      <c r="F215">
        <f t="shared" ca="1" si="143"/>
        <v>0</v>
      </c>
      <c r="H215">
        <f t="shared" ca="1" si="149"/>
        <v>214628</v>
      </c>
      <c r="I215" t="str">
        <f t="shared" ca="1" si="117"/>
        <v>0x00034664</v>
      </c>
      <c r="J215" s="4" t="str">
        <f t="shared" si="146"/>
        <v/>
      </c>
      <c r="K215" s="4" t="str">
        <f t="shared" si="147"/>
        <v xml:space="preserve">                                                             ro data section *_init object OR_MR_Handler.o,</v>
      </c>
    </row>
    <row r="216" spans="1:11" x14ac:dyDescent="0.25">
      <c r="A216" t="s">
        <v>537</v>
      </c>
      <c r="B216" t="str">
        <f t="shared" si="142"/>
        <v/>
      </c>
      <c r="C216">
        <f t="shared" si="84"/>
        <v>0</v>
      </c>
      <c r="D216" t="s">
        <v>98</v>
      </c>
      <c r="E216" t="str">
        <f t="shared" si="148"/>
        <v>pwr_config.o</v>
      </c>
      <c r="F216">
        <f t="shared" ca="1" si="143"/>
        <v>0</v>
      </c>
      <c r="H216">
        <f t="shared" ca="1" si="149"/>
        <v>214628</v>
      </c>
      <c r="I216" t="str">
        <f t="shared" ca="1" si="117"/>
        <v>0x00034664</v>
      </c>
      <c r="J216" s="4" t="str">
        <f t="shared" si="146"/>
        <v/>
      </c>
      <c r="K216" s="4" t="str">
        <f t="shared" si="147"/>
        <v xml:space="preserve">                                                             ro data section *_init object pwr_config.o,</v>
      </c>
    </row>
    <row r="217" spans="1:11" x14ac:dyDescent="0.25">
      <c r="A217" t="s">
        <v>537</v>
      </c>
      <c r="B217" t="str">
        <f t="shared" si="142"/>
        <v/>
      </c>
      <c r="C217">
        <f t="shared" si="84"/>
        <v>0</v>
      </c>
      <c r="D217" t="s">
        <v>36</v>
      </c>
      <c r="E217" t="str">
        <f t="shared" si="148"/>
        <v>pwr_last_gasp.o</v>
      </c>
      <c r="F217">
        <f t="shared" ca="1" si="143"/>
        <v>0</v>
      </c>
      <c r="H217">
        <f t="shared" ca="1" si="149"/>
        <v>214628</v>
      </c>
      <c r="I217" t="str">
        <f t="shared" ca="1" si="117"/>
        <v>0x00034664</v>
      </c>
      <c r="J217" s="4" t="str">
        <f t="shared" si="146"/>
        <v/>
      </c>
      <c r="K217" s="4" t="str">
        <f t="shared" si="147"/>
        <v xml:space="preserve">                                                             ro data section *_init object pwr_last_gasp.o,</v>
      </c>
    </row>
    <row r="218" spans="1:11" x14ac:dyDescent="0.25">
      <c r="A218" t="s">
        <v>537</v>
      </c>
      <c r="B218" t="str">
        <f t="shared" si="142"/>
        <v/>
      </c>
      <c r="C218">
        <f t="shared" si="84"/>
        <v>0</v>
      </c>
      <c r="D218" t="s">
        <v>312</v>
      </c>
      <c r="E218" t="str">
        <f t="shared" si="148"/>
        <v>pwr_restore.o</v>
      </c>
      <c r="F218">
        <f t="shared" ca="1" si="143"/>
        <v>0</v>
      </c>
      <c r="H218">
        <f t="shared" ca="1" si="149"/>
        <v>214628</v>
      </c>
      <c r="I218" t="str">
        <f t="shared" ca="1" si="117"/>
        <v>0x00034664</v>
      </c>
      <c r="J218" s="4" t="str">
        <f t="shared" si="146"/>
        <v/>
      </c>
      <c r="K218" s="4" t="str">
        <f t="shared" si="147"/>
        <v xml:space="preserve">                                                             ro data section *_init object pwr_restore.o,</v>
      </c>
    </row>
    <row r="219" spans="1:11" x14ac:dyDescent="0.25">
      <c r="A219" t="s">
        <v>537</v>
      </c>
      <c r="B219" t="str">
        <f t="shared" si="142"/>
        <v/>
      </c>
      <c r="C219">
        <f t="shared" si="84"/>
        <v>0</v>
      </c>
      <c r="D219" t="s">
        <v>220</v>
      </c>
      <c r="E219" t="str">
        <f t="shared" si="148"/>
        <v>pwr_task.o</v>
      </c>
      <c r="F219">
        <f t="shared" ca="1" si="143"/>
        <v>5</v>
      </c>
      <c r="H219">
        <f t="shared" ca="1" si="149"/>
        <v>214628</v>
      </c>
      <c r="I219" t="str">
        <f t="shared" ca="1" si="117"/>
        <v>0x00034664</v>
      </c>
      <c r="J219" s="4" t="str">
        <f t="shared" si="146"/>
        <v/>
      </c>
      <c r="K219" s="4" t="str">
        <f t="shared" si="147"/>
        <v xml:space="preserve">                                                             ro data section *_init object pwr_task.o,</v>
      </c>
    </row>
    <row r="220" spans="1:11" x14ac:dyDescent="0.25">
      <c r="A220" t="s">
        <v>537</v>
      </c>
      <c r="B220" t="str">
        <f t="shared" si="142"/>
        <v/>
      </c>
      <c r="C220">
        <f t="shared" si="84"/>
        <v>0</v>
      </c>
      <c r="D220" t="s">
        <v>408</v>
      </c>
      <c r="E220" t="str">
        <f t="shared" si="148"/>
        <v>RG_CF_Handler.o</v>
      </c>
      <c r="F220">
        <f t="shared" ca="1" si="143"/>
        <v>0</v>
      </c>
      <c r="H220">
        <f t="shared" ca="1" si="149"/>
        <v>214636</v>
      </c>
      <c r="I220" t="str">
        <f t="shared" ca="1" si="117"/>
        <v>0x0003466C</v>
      </c>
      <c r="J220" s="4" t="str">
        <f t="shared" si="146"/>
        <v/>
      </c>
      <c r="K220" s="4" t="str">
        <f t="shared" si="147"/>
        <v xml:space="preserve">                                                             ro data section *_init object RG_CF_Handler.o,</v>
      </c>
    </row>
    <row r="221" spans="1:11" x14ac:dyDescent="0.25">
      <c r="A221" t="s">
        <v>537</v>
      </c>
      <c r="B221" t="str">
        <f t="shared" si="142"/>
        <v/>
      </c>
      <c r="C221">
        <f t="shared" si="84"/>
        <v>0</v>
      </c>
      <c r="D221" t="s">
        <v>313</v>
      </c>
      <c r="E221" t="str">
        <f t="shared" si="148"/>
        <v>RG_MD_Handler.o</v>
      </c>
      <c r="F221">
        <f t="shared" ca="1" si="143"/>
        <v>0</v>
      </c>
      <c r="H221">
        <f t="shared" ca="1" si="149"/>
        <v>214636</v>
      </c>
      <c r="I221" t="str">
        <f t="shared" ca="1" si="117"/>
        <v>0x0003466C</v>
      </c>
      <c r="J221" s="4" t="str">
        <f t="shared" si="146"/>
        <v/>
      </c>
      <c r="K221" s="4" t="str">
        <f t="shared" si="147"/>
        <v xml:space="preserve">                                                             ro data section *_init object RG_MD_Handler.o,</v>
      </c>
    </row>
    <row r="222" spans="1:11" x14ac:dyDescent="0.25">
      <c r="A222" t="s">
        <v>537</v>
      </c>
      <c r="B222" t="str">
        <f t="shared" si="142"/>
        <v/>
      </c>
      <c r="C222">
        <f t="shared" si="84"/>
        <v>0</v>
      </c>
      <c r="D222" t="s">
        <v>198</v>
      </c>
      <c r="E222" t="str">
        <f t="shared" si="148"/>
        <v>STRT_Startup.o</v>
      </c>
      <c r="F222">
        <f t="shared" ca="1" si="143"/>
        <v>3</v>
      </c>
      <c r="H222">
        <f t="shared" ca="1" si="149"/>
        <v>214636</v>
      </c>
      <c r="I222" t="str">
        <f t="shared" ca="1" si="117"/>
        <v>0x0003466C</v>
      </c>
      <c r="J222" s="4" t="str">
        <f t="shared" si="146"/>
        <v/>
      </c>
      <c r="K222" s="4" t="str">
        <f t="shared" si="147"/>
        <v xml:space="preserve">                                                             ro data section *_init object STRT_Startup.o,</v>
      </c>
    </row>
    <row r="223" spans="1:11" x14ac:dyDescent="0.25">
      <c r="A223" t="s">
        <v>537</v>
      </c>
      <c r="B223" t="str">
        <f t="shared" si="142"/>
        <v/>
      </c>
      <c r="C223">
        <f t="shared" si="84"/>
        <v>0</v>
      </c>
      <c r="D223" t="s">
        <v>83</v>
      </c>
      <c r="E223" t="str">
        <f t="shared" si="148"/>
        <v>Task.o</v>
      </c>
      <c r="F223">
        <f t="shared" ca="1" si="143"/>
        <v>2</v>
      </c>
      <c r="H223">
        <f t="shared" ca="1" si="149"/>
        <v>214640</v>
      </c>
      <c r="I223" t="str">
        <f t="shared" ca="1" si="117"/>
        <v>0x00034670</v>
      </c>
      <c r="J223" s="4" t="str">
        <f t="shared" si="146"/>
        <v/>
      </c>
      <c r="K223" s="4" t="str">
        <f t="shared" si="147"/>
        <v xml:space="preserve">                                                             ro data section *_init object Task.o,</v>
      </c>
    </row>
    <row r="224" spans="1:11" x14ac:dyDescent="0.25">
      <c r="A224" t="s">
        <v>537</v>
      </c>
      <c r="B224" t="str">
        <f t="shared" si="142"/>
        <v/>
      </c>
      <c r="C224">
        <f t="shared" si="84"/>
        <v>0</v>
      </c>
      <c r="D224" t="s">
        <v>409</v>
      </c>
      <c r="E224" t="str">
        <f t="shared" si="148"/>
        <v>vbat_reg.o</v>
      </c>
      <c r="F224">
        <f t="shared" ca="1" si="143"/>
        <v>0</v>
      </c>
      <c r="H224">
        <f t="shared" ca="1" si="149"/>
        <v>214644</v>
      </c>
      <c r="I224" t="str">
        <f t="shared" ca="1" si="117"/>
        <v>0x00034674</v>
      </c>
      <c r="J224" s="4" t="str">
        <f t="shared" si="146"/>
        <v/>
      </c>
      <c r="K224" s="4" t="str">
        <f t="shared" si="147"/>
        <v xml:space="preserve">                                                             ro data section *_init object vbat_reg.o,</v>
      </c>
    </row>
    <row r="225" spans="1:11" x14ac:dyDescent="0.25">
      <c r="A225" t="s">
        <v>537</v>
      </c>
      <c r="B225" t="str">
        <f t="shared" si="142"/>
        <v/>
      </c>
      <c r="C225">
        <f t="shared" si="84"/>
        <v>0</v>
      </c>
      <c r="D225" t="s">
        <v>229</v>
      </c>
      <c r="E225" t="str">
        <f t="shared" si="148"/>
        <v>version.o</v>
      </c>
      <c r="F225">
        <f t="shared" ca="1" si="143"/>
        <v>0</v>
      </c>
      <c r="H225">
        <f t="shared" ca="1" si="149"/>
        <v>214644</v>
      </c>
      <c r="I225" t="str">
        <f t="shared" ca="1" si="117"/>
        <v>0x00034674</v>
      </c>
      <c r="J225" s="4" t="str">
        <f t="shared" si="146"/>
        <v/>
      </c>
      <c r="K225" s="4" t="str">
        <f t="shared" si="147"/>
        <v xml:space="preserve">                                                             ro data section *_init object version.o };</v>
      </c>
    </row>
    <row r="226" spans="1:11" x14ac:dyDescent="0.25">
      <c r="B226" t="str">
        <f>B208&amp;"_end"</f>
        <v>MTU_Common_DINIT_end</v>
      </c>
      <c r="F226">
        <f ca="1">SUM(F208:F225)</f>
        <v>10</v>
      </c>
      <c r="G226">
        <f ca="1">INT(($G$205/100)*F226)</f>
        <v>0</v>
      </c>
      <c r="H226">
        <f ca="1">H225+F225+G226+IF(MOD(F225+H225+G226,$G$206)=0,0,$G$206-MOD(F225+H225+G226,$G$206))</f>
        <v>214644</v>
      </c>
      <c r="I226" t="str">
        <f t="shared" ca="1" si="117"/>
        <v>0x00034674</v>
      </c>
    </row>
    <row r="229" spans="1:11" x14ac:dyDescent="0.25">
      <c r="F229" s="3" t="str">
        <f ca="1">'.map data'!B8</f>
        <v>'.map data'!$AB$100:$AC$101</v>
      </c>
    </row>
    <row r="230" spans="1:11" x14ac:dyDescent="0.25">
      <c r="F230" t="s">
        <v>526</v>
      </c>
      <c r="G230">
        <f ca="1">VLOOKUP(B233,INDIRECT(GlobalPlcmnt!$B$133),GlobalPlcmnt!$B$138,FALSE)</f>
        <v>0</v>
      </c>
      <c r="J230" s="47" t="s">
        <v>596</v>
      </c>
      <c r="K230" s="47"/>
    </row>
    <row r="231" spans="1:11" x14ac:dyDescent="0.25">
      <c r="F231" t="s">
        <v>608</v>
      </c>
      <c r="G231">
        <f ca="1">VLOOKUP(B233,INDIRECT(GlobalPlcmnt!$B$133),GlobalPlcmnt!$C$138,FALSE)</f>
        <v>4</v>
      </c>
      <c r="J231" s="3"/>
      <c r="K231" s="3"/>
    </row>
    <row r="232" spans="1:11" x14ac:dyDescent="0.25">
      <c r="F232" t="s">
        <v>542</v>
      </c>
      <c r="J232" s="3"/>
      <c r="K232" s="3"/>
    </row>
    <row r="233" spans="1:11" x14ac:dyDescent="0.25">
      <c r="A233" t="s">
        <v>592</v>
      </c>
      <c r="B233" t="str">
        <f>IF(A233&lt;&gt;A230,A233&amp;'App Code'!$B$1,"")</f>
        <v>APP_RO_TEXT</v>
      </c>
      <c r="C233">
        <f>LEN(B233)</f>
        <v>11</v>
      </c>
      <c r="D233" t="s">
        <v>406</v>
      </c>
      <c r="E233" t="str">
        <f>SUBSTITUTE(D233,"-","_")</f>
        <v>IF_intFlash.o</v>
      </c>
      <c r="F233">
        <f ca="1">IFERROR(VLOOKUP(D233,INDIRECT($F$229),2,FALSE),0)</f>
        <v>69</v>
      </c>
      <c r="H233">
        <f ca="1">VLOOKUP(B233,INDIRECT(GlobalPlcmnt!$B$133),GlobalPlcmnt!$A$138,FALSE)</f>
        <v>213828</v>
      </c>
      <c r="I233" t="str">
        <f ca="1">"0x"&amp;DEC2HEX(H233,8)</f>
        <v>0x00034344</v>
      </c>
      <c r="J233" s="4" t="str">
        <f ca="1">"define symbol "&amp;B233&amp;REPT(" ",'App Code'!$C$3-C233)&amp;" = "&amp;I233&amp;";"</f>
        <v>define symbol APP_RO_TEXT      = 0x00034344;</v>
      </c>
      <c r="K233" s="7" t="str">
        <f>""""&amp;B233&amp;""": place at address mem: "&amp;B233&amp;" { ro code section .textrw_init object "&amp;D233&amp;" };"</f>
        <v>"APP_RO_TEXT": place at address mem: APP_RO_TEXT { ro code section .textrw_init object IF_intFlash.o };</v>
      </c>
    </row>
    <row r="234" spans="1:11" x14ac:dyDescent="0.25">
      <c r="B234" t="str">
        <f>B233&amp;"_end"</f>
        <v>APP_RO_TEXT_end</v>
      </c>
      <c r="F234">
        <f ca="1">SUM(F233)</f>
        <v>69</v>
      </c>
      <c r="G234">
        <f ca="1">INT(($G$230/100)*F234)</f>
        <v>0</v>
      </c>
      <c r="H234">
        <f ca="1">H233+F233+G234+IF(MOD(F233+H233+G234,$G$231)=0,0,$G$231-MOD(F233+H233+G234,$G$231))</f>
        <v>213900</v>
      </c>
      <c r="I234" t="str">
        <f ca="1">"0x"&amp;DEC2HEX(H234,8)</f>
        <v>0x0003438C</v>
      </c>
    </row>
    <row r="236" spans="1:11" x14ac:dyDescent="0.25">
      <c r="A236" t="s">
        <v>928</v>
      </c>
      <c r="B236" t="str">
        <f ca="1">CELL("address",J234)</f>
        <v>$J$234</v>
      </c>
    </row>
    <row r="237" spans="1:11" x14ac:dyDescent="0.25">
      <c r="J237" s="4" t="str">
        <f ca="1">J5</f>
        <v>define symbol utils_DINIT      = 0x000342EC;</v>
      </c>
      <c r="K237" t="str">
        <f>K5</f>
        <v>"utils_DINIT":      place at address mem: utils_DINIT      { ro data section *_init object ascii.o,</v>
      </c>
    </row>
    <row r="238" spans="1:11" x14ac:dyDescent="0.25">
      <c r="J238" s="4" t="str">
        <f ca="1">J21</f>
        <v>define symbol dfw_DINIT        = 0x00034334;</v>
      </c>
      <c r="K238" t="str">
        <f t="shared" ref="K238:K247" si="150">K6</f>
        <v xml:space="preserve">                                                             ro data section *_init object bcd.o,</v>
      </c>
    </row>
    <row r="239" spans="1:11" x14ac:dyDescent="0.25">
      <c r="J239" s="4" t="str">
        <f ca="1">J30</f>
        <v>define symbol driver_DINIT     = 0x00034338;</v>
      </c>
      <c r="K239" t="str">
        <f t="shared" si="150"/>
        <v xml:space="preserve">                                                             ro data section *_init object bit_util.o,</v>
      </c>
    </row>
    <row r="240" spans="1:11" x14ac:dyDescent="0.25">
      <c r="J240" s="4" t="str">
        <f ca="1">J42</f>
        <v>define symbol stack_DINIT      = 0x0003438C;</v>
      </c>
      <c r="K240" t="str">
        <f t="shared" si="150"/>
        <v xml:space="preserve">                                                             ro data section *_init object byteswap.o,</v>
      </c>
    </row>
    <row r="241" spans="10:11" x14ac:dyDescent="0.25">
      <c r="J241" s="4" t="str">
        <f ca="1">J81</f>
        <v>define symbol OS_API_DINIT     = 0x00034504;</v>
      </c>
      <c r="K241" t="str">
        <f t="shared" si="150"/>
        <v xml:space="preserve">                                                             ro data section *_init object crc16_m.o,</v>
      </c>
    </row>
    <row r="242" spans="10:11" x14ac:dyDescent="0.25">
      <c r="J242" s="4" t="str">
        <f ca="1">J92</f>
        <v>define symbol radio_DINIT      = 0x00034504;</v>
      </c>
      <c r="K242" t="str">
        <f t="shared" si="150"/>
        <v xml:space="preserve">                                                             ro data section *_init object crc32.o,</v>
      </c>
    </row>
    <row r="243" spans="10:11" x14ac:dyDescent="0.25">
      <c r="J243" s="4" t="str">
        <f ca="1">J106</f>
        <v>define symbol security_DINIT   = 0x00034608;</v>
      </c>
      <c r="K243" t="str">
        <f t="shared" si="150"/>
        <v xml:space="preserve">                                                             ro data section *_init object invert_bits.o,</v>
      </c>
    </row>
    <row r="244" spans="10:11" x14ac:dyDescent="0.25">
      <c r="J244" s="4" t="str">
        <f ca="1">J117</f>
        <v>define symbol AclaraBSP_DINIT  = 0x00034608;</v>
      </c>
      <c r="K244" t="str">
        <f t="shared" si="150"/>
        <v xml:space="preserve">                                                             ro data section *_init object pack.o,</v>
      </c>
    </row>
    <row r="245" spans="10:11" x14ac:dyDescent="0.25">
      <c r="J245" s="4" t="str">
        <f ca="1">J133</f>
        <v>define symbol Common_DINIT     = 0x00034614;</v>
      </c>
      <c r="K245" t="str">
        <f t="shared" si="150"/>
        <v xml:space="preserve">                                                             ro data section *_init object rand.o,</v>
      </c>
    </row>
    <row r="246" spans="10:11" x14ac:dyDescent="0.25">
      <c r="J246" s="4" t="str">
        <f ca="1">J169</f>
        <v>define symbol HMC_DINIT        = 0x00034664;</v>
      </c>
      <c r="K246" t="str">
        <f t="shared" si="150"/>
        <v xml:space="preserve">                                                             ro data section *_init object time_util.o,</v>
      </c>
    </row>
    <row r="247" spans="10:11" x14ac:dyDescent="0.25">
      <c r="J247" s="4" t="str">
        <f ca="1">J208</f>
        <v>define symbol MTU_Common_DINIT = 0x00034664;</v>
      </c>
      <c r="K247" t="str">
        <f t="shared" si="150"/>
        <v xml:space="preserve">                                                             ro data section *_init object timer_util.o };</v>
      </c>
    </row>
    <row r="248" spans="10:11" x14ac:dyDescent="0.25">
      <c r="K248" t="str">
        <f>K21</f>
        <v>"dfw_DINIT":        place at address mem: dfw_DINIT        { ro data section *_init object dfw_app.o,</v>
      </c>
    </row>
    <row r="249" spans="10:11" x14ac:dyDescent="0.25">
      <c r="J249" s="4" t="str">
        <f ca="1">J233</f>
        <v>define symbol APP_RO_TEXT      = 0x00034344;</v>
      </c>
      <c r="K249" t="str">
        <f>K22</f>
        <v xml:space="preserve">                                                             ro data section *_init object dfw_interface.o,</v>
      </c>
    </row>
    <row r="250" spans="10:11" x14ac:dyDescent="0.25">
      <c r="K250" t="str">
        <f>K23</f>
        <v xml:space="preserve">                                                             ro data section *_init object dfw_pckt.o,</v>
      </c>
    </row>
    <row r="251" spans="10:11" x14ac:dyDescent="0.25">
      <c r="K251" t="str">
        <f>K24</f>
        <v xml:space="preserve">                                                             ro data section *_init object dfwtd_config.o };</v>
      </c>
    </row>
    <row r="252" spans="10:11" x14ac:dyDescent="0.25">
      <c r="K252" t="str">
        <f t="shared" ref="K252:K258" si="151">K30</f>
        <v>"driver_DINIT":     place at address mem: driver_DINIT     { ro data section *_init object dvr_banked.o,</v>
      </c>
    </row>
    <row r="253" spans="10:11" x14ac:dyDescent="0.25">
      <c r="K253" t="str">
        <f t="shared" si="151"/>
        <v xml:space="preserve">                                                             ro data section *_init object dvr_cache.o,</v>
      </c>
    </row>
    <row r="254" spans="10:11" x14ac:dyDescent="0.25">
      <c r="K254" t="str">
        <f t="shared" si="151"/>
        <v xml:space="preserve">                                                             ro data section *_init object dvr_extflash.o,</v>
      </c>
    </row>
    <row r="255" spans="10:11" x14ac:dyDescent="0.25">
      <c r="K255" t="str">
        <f t="shared" si="151"/>
        <v xml:space="preserve">                                                             ro data section *_init object dvr_sectPreErase.o,</v>
      </c>
    </row>
    <row r="256" spans="10:11" x14ac:dyDescent="0.25">
      <c r="K256" t="str">
        <f t="shared" si="151"/>
        <v xml:space="preserve">                                                             ro data section *_init object dvr_sharedMem.o,</v>
      </c>
    </row>
    <row r="257" spans="11:11" x14ac:dyDescent="0.25">
      <c r="K257" t="str">
        <f t="shared" si="151"/>
        <v xml:space="preserve">                                                             ro data section *_init object IF_intFlash.o,</v>
      </c>
    </row>
    <row r="258" spans="11:11" x14ac:dyDescent="0.25">
      <c r="K258" t="str">
        <f t="shared" si="151"/>
        <v xml:space="preserve">                                                             ro data section *_init object spi_mstr.o };</v>
      </c>
    </row>
    <row r="259" spans="11:11" x14ac:dyDescent="0.25">
      <c r="K259" t="str">
        <f t="shared" ref="K259:K292" si="152">K42</f>
        <v>"stack_DINIT":      place at address mem: stack_DINIT      { ro data section *_init object COMM.o,</v>
      </c>
    </row>
    <row r="260" spans="11:11" x14ac:dyDescent="0.25">
      <c r="K260" t="str">
        <f t="shared" si="152"/>
        <v xml:space="preserve">                                                             ro data section *_init object SM.o,</v>
      </c>
    </row>
    <row r="261" spans="11:11" x14ac:dyDescent="0.25">
      <c r="K261" t="str">
        <f t="shared" si="152"/>
        <v xml:space="preserve">                                                             ro data section *_init object smtd_config.o,</v>
      </c>
    </row>
    <row r="262" spans="11:11" x14ac:dyDescent="0.25">
      <c r="K262" t="str">
        <f t="shared" si="152"/>
        <v xml:space="preserve">                                                             ro data section *_init object dtls.o,</v>
      </c>
    </row>
    <row r="263" spans="11:11" x14ac:dyDescent="0.25">
      <c r="K263" t="str">
        <f t="shared" si="152"/>
        <v xml:space="preserve">                                                             ro data section *_init object mtls.o,</v>
      </c>
    </row>
    <row r="264" spans="11:11" x14ac:dyDescent="0.25">
      <c r="K264" t="str">
        <f t="shared" si="152"/>
        <v xml:space="preserve">                                                             ro data section *_init object STACK.o,</v>
      </c>
    </row>
    <row r="265" spans="11:11" x14ac:dyDescent="0.25">
      <c r="K265" t="str">
        <f t="shared" si="152"/>
        <v xml:space="preserve">                                                             ro data section *_init object MAC.o,</v>
      </c>
    </row>
    <row r="266" spans="11:11" x14ac:dyDescent="0.25">
      <c r="K266" t="str">
        <f t="shared" si="152"/>
        <v xml:space="preserve">                                                             ro data section *_init object MAC_FrameEncoder.o,</v>
      </c>
    </row>
    <row r="267" spans="11:11" x14ac:dyDescent="0.25">
      <c r="K267" t="str">
        <f t="shared" si="152"/>
        <v xml:space="preserve">                                                             ro data section *_init object MAC_FrameManagement.o,</v>
      </c>
    </row>
    <row r="268" spans="11:11" x14ac:dyDescent="0.25">
      <c r="K268" t="str">
        <f t="shared" si="152"/>
        <v xml:space="preserve">                                                             ro data section *_init object MAC_PacketManagement.o,</v>
      </c>
    </row>
    <row r="269" spans="11:11" x14ac:dyDescent="0.25">
      <c r="K269" t="str">
        <f t="shared" si="152"/>
        <v xml:space="preserve">                                                             ro data section *_init object PHY.o,</v>
      </c>
    </row>
    <row r="270" spans="11:11" x14ac:dyDescent="0.25">
      <c r="K270" t="str">
        <f t="shared" si="152"/>
        <v xml:space="preserve">                                                             ro data section *_init object EstimateCarrierFrequencyOffset.o,</v>
      </c>
    </row>
    <row r="271" spans="11:11" x14ac:dyDescent="0.25">
      <c r="K271" t="str">
        <f t="shared" si="152"/>
        <v xml:space="preserve">                                                             ro data section *_init object MaximizeEyeOpening.o,</v>
      </c>
    </row>
    <row r="272" spans="11:11" x14ac:dyDescent="0.25">
      <c r="K272" t="str">
        <f t="shared" si="152"/>
        <v xml:space="preserve">                                                             ro data section *_init object PerformCFOCompensation.o,</v>
      </c>
    </row>
    <row r="273" spans="11:11" x14ac:dyDescent="0.25">
      <c r="K273" t="str">
        <f t="shared" si="152"/>
        <v xml:space="preserve">                                                             ro data section *_init object preamble_detect.o,</v>
      </c>
    </row>
    <row r="274" spans="11:11" x14ac:dyDescent="0.25">
      <c r="K274" t="str">
        <f t="shared" si="152"/>
        <v xml:space="preserve">                                                             ro data section *_init object preambleDetector.o,</v>
      </c>
    </row>
    <row r="275" spans="11:11" x14ac:dyDescent="0.25">
      <c r="K275" t="str">
        <f t="shared" si="152"/>
        <v xml:space="preserve">                                                             ro data section *_init object preambleDetector_Data.o,</v>
      </c>
    </row>
    <row r="276" spans="11:11" x14ac:dyDescent="0.25">
      <c r="K276" t="str">
        <f t="shared" si="152"/>
        <v xml:space="preserve">                                                             ro data section *_init object preambleDetector_initialize.o,</v>
      </c>
    </row>
    <row r="277" spans="11:11" x14ac:dyDescent="0.25">
      <c r="K277" t="str">
        <f t="shared" si="152"/>
        <v xml:space="preserve">                                                             ro data section *_init object processDerotatedSamples.o,</v>
      </c>
    </row>
    <row r="278" spans="11:11" x14ac:dyDescent="0.25">
      <c r="K278" t="str">
        <f t="shared" si="152"/>
        <v xml:space="preserve">                                                             ro data section *_init object ScaleClipFreq2phase.o,</v>
      </c>
    </row>
    <row r="279" spans="11:11" x14ac:dyDescent="0.25">
      <c r="K279" t="str">
        <f t="shared" si="152"/>
        <v xml:space="preserve">                                                             ro data section *_init object sign.o,</v>
      </c>
    </row>
    <row r="280" spans="11:11" x14ac:dyDescent="0.25">
      <c r="K280" t="str">
        <f t="shared" si="152"/>
        <v xml:space="preserve">                                                             ro data section *_init object fir_filt_circ_buff.o,</v>
      </c>
    </row>
    <row r="281" spans="11:11" x14ac:dyDescent="0.25">
      <c r="K281" t="str">
        <f t="shared" si="152"/>
        <v xml:space="preserve">                                                             ro data section *_init object gresample.o,</v>
      </c>
    </row>
    <row r="282" spans="11:11" x14ac:dyDescent="0.25">
      <c r="K282" t="str">
        <f t="shared" si="152"/>
        <v xml:space="preserve">                                                             ro data section *_init object phase2freq_wi_unwrap.o,</v>
      </c>
    </row>
    <row r="283" spans="11:11" x14ac:dyDescent="0.25">
      <c r="K283" t="str">
        <f t="shared" si="152"/>
        <v xml:space="preserve">                                                             ro data section *_init object findSYNC.o,</v>
      </c>
    </row>
    <row r="284" spans="11:11" x14ac:dyDescent="0.25">
      <c r="K284" t="str">
        <f t="shared" si="152"/>
        <v xml:space="preserve">                                                             ro data section *_init object FreqDomMlseP4GfskStruct2.o,</v>
      </c>
    </row>
    <row r="285" spans="11:11" x14ac:dyDescent="0.25">
      <c r="K285" t="str">
        <f t="shared" si="152"/>
        <v xml:space="preserve">                                                             ro data section *_init object processDerotatedSPDSamples.o,</v>
      </c>
    </row>
    <row r="286" spans="11:11" x14ac:dyDescent="0.25">
      <c r="K286" t="str">
        <f t="shared" si="152"/>
        <v xml:space="preserve">                                                             ro data section *_init object SyncAndPayloadDemodulator.o,</v>
      </c>
    </row>
    <row r="287" spans="11:11" x14ac:dyDescent="0.25">
      <c r="K287" t="str">
        <f t="shared" si="152"/>
        <v xml:space="preserve">                                                             ro data section *_init object SoftDemodulator.o,</v>
      </c>
    </row>
    <row r="288" spans="11:11" x14ac:dyDescent="0.25">
      <c r="K288" t="str">
        <f t="shared" si="152"/>
        <v xml:space="preserve">                                                             ro data section *_init object rs.o,</v>
      </c>
    </row>
    <row r="289" spans="11:11" x14ac:dyDescent="0.25">
      <c r="K289" t="str">
        <f t="shared" si="152"/>
        <v xml:space="preserve">                                                             ro data section *_init object galois.o,</v>
      </c>
    </row>
    <row r="290" spans="11:11" x14ac:dyDescent="0.25">
      <c r="K290" t="str">
        <f t="shared" si="152"/>
        <v xml:space="preserve">                                                             ro data section *_init object rsdec.o,</v>
      </c>
    </row>
    <row r="291" spans="11:11" x14ac:dyDescent="0.25">
      <c r="K291" t="str">
        <f t="shared" si="152"/>
        <v xml:space="preserve">                                                             ro data section *_init object rsenc.o,</v>
      </c>
    </row>
    <row r="292" spans="11:11" x14ac:dyDescent="0.25">
      <c r="K292" t="str">
        <f t="shared" si="152"/>
        <v xml:space="preserve">                                                             ro data section *_init object indication.o };</v>
      </c>
    </row>
    <row r="293" spans="11:11" x14ac:dyDescent="0.25">
      <c r="K293" t="str">
        <f t="shared" ref="K293:K298" si="153">K81</f>
        <v>"OS_API_DINIT":     place at address mem: OS_API_DINIT     { ro data section *_init object Event.o,</v>
      </c>
    </row>
    <row r="294" spans="11:11" x14ac:dyDescent="0.25">
      <c r="K294" t="str">
        <f t="shared" si="153"/>
        <v xml:space="preserve">                                                             ro data section *_init object MessageQ.o,</v>
      </c>
    </row>
    <row r="295" spans="11:11" x14ac:dyDescent="0.25">
      <c r="K295" t="str">
        <f t="shared" si="153"/>
        <v xml:space="preserve">                                                             ro data section *_init object Mutex.o,</v>
      </c>
    </row>
    <row r="296" spans="11:11" x14ac:dyDescent="0.25">
      <c r="K296" t="str">
        <f t="shared" si="153"/>
        <v xml:space="preserve">                                                             ro data section *_init object Queue.o,</v>
      </c>
    </row>
    <row r="297" spans="11:11" x14ac:dyDescent="0.25">
      <c r="K297" t="str">
        <f t="shared" si="153"/>
        <v xml:space="preserve">                                                             ro data section *_init object Semaphore.o,</v>
      </c>
    </row>
    <row r="298" spans="11:11" x14ac:dyDescent="0.25">
      <c r="K298" t="str">
        <f t="shared" si="153"/>
        <v xml:space="preserve">                                                             ro data section *_init object TickTime.o };</v>
      </c>
    </row>
    <row r="299" spans="11:11" x14ac:dyDescent="0.25">
      <c r="K299" t="str">
        <f t="shared" ref="K299:K307" si="154">K92</f>
        <v>"radio_DINIT":      place at address mem: radio_DINIT      { ro data section *_init object radio.o,</v>
      </c>
    </row>
    <row r="300" spans="11:11" x14ac:dyDescent="0.25">
      <c r="K300" t="str">
        <f t="shared" si="154"/>
        <v xml:space="preserve">                                                             ro data section *_init object radio_comm.o,</v>
      </c>
    </row>
    <row r="301" spans="11:11" x14ac:dyDescent="0.25">
      <c r="K301" t="str">
        <f t="shared" si="154"/>
        <v xml:space="preserve">                                                             ro data section *_init object si446x_api_lib.o,</v>
      </c>
    </row>
    <row r="302" spans="11:11" x14ac:dyDescent="0.25">
      <c r="K302" t="str">
        <f t="shared" si="154"/>
        <v xml:space="preserve">                                                             ro data section *_init object radio_config_normal.o,</v>
      </c>
    </row>
    <row r="303" spans="11:11" x14ac:dyDescent="0.25">
      <c r="K303" t="str">
        <f t="shared" si="154"/>
        <v xml:space="preserve">                                                             ro data section *_init object radio_config_cw.o,</v>
      </c>
    </row>
    <row r="304" spans="11:11" x14ac:dyDescent="0.25">
      <c r="K304" t="str">
        <f t="shared" si="154"/>
        <v xml:space="preserve">                                                             ro data section *_init object radio_config_PN9.o,</v>
      </c>
    </row>
    <row r="305" spans="11:11" x14ac:dyDescent="0.25">
      <c r="K305" t="str">
        <f t="shared" si="154"/>
        <v xml:space="preserve">                                                             ro data section *_init object radio_config_2GFSK_BER.o,</v>
      </c>
    </row>
    <row r="306" spans="11:11" x14ac:dyDescent="0.25">
      <c r="K306" t="str">
        <f t="shared" si="154"/>
        <v xml:space="preserve">                                                             ro data section *_init object radio_config_4GFSK_BER.o,</v>
      </c>
    </row>
    <row r="307" spans="11:11" x14ac:dyDescent="0.25">
      <c r="K307" t="str">
        <f t="shared" si="154"/>
        <v xml:space="preserve">                                                             ro data section *_init object radio_TCXO.o };</v>
      </c>
    </row>
    <row r="308" spans="11:11" x14ac:dyDescent="0.25">
      <c r="K308" t="str">
        <f t="shared" ref="K308:K313" si="155">K106</f>
        <v>"security_DINIT":   place at address mem: security_DINIT   { ro data section *_init object cert-builder.o,</v>
      </c>
    </row>
    <row r="309" spans="11:11" x14ac:dyDescent="0.25">
      <c r="K309" t="str">
        <f t="shared" si="155"/>
        <v xml:space="preserve">                                                             ro data section *_init object ecc108_apps.o,</v>
      </c>
    </row>
    <row r="310" spans="11:11" x14ac:dyDescent="0.25">
      <c r="K310" t="str">
        <f t="shared" si="155"/>
        <v xml:space="preserve">                                                             ro data section *_init object ecc108_comm.o,</v>
      </c>
    </row>
    <row r="311" spans="11:11" x14ac:dyDescent="0.25">
      <c r="K311" t="str">
        <f t="shared" si="155"/>
        <v xml:space="preserve">                                                             ro data section *_init object ecc108_comm_marshaling.o,</v>
      </c>
    </row>
    <row r="312" spans="11:11" x14ac:dyDescent="0.25">
      <c r="K312" t="str">
        <f t="shared" si="155"/>
        <v xml:space="preserve">                                                             ro data section *_init object ecc108_i2c.o,</v>
      </c>
    </row>
    <row r="313" spans="11:11" x14ac:dyDescent="0.25">
      <c r="K313" t="str">
        <f t="shared" si="155"/>
        <v xml:space="preserve">                                                             ro data section *_init object ecc108_mqx.o };</v>
      </c>
    </row>
    <row r="314" spans="11:11" x14ac:dyDescent="0.25">
      <c r="K314" t="str">
        <f t="shared" ref="K314:K324" si="156">K117</f>
        <v>"AclaraBSP_DINIT":  place at address mem: AclaraBSP_DINIT  { ro data section *_init object ADC.o,</v>
      </c>
    </row>
    <row r="315" spans="11:11" x14ac:dyDescent="0.25">
      <c r="K315" t="str">
        <f t="shared" si="156"/>
        <v xml:space="preserve">                                                             ro data section *_init object BSP_aclara.o,</v>
      </c>
    </row>
    <row r="316" spans="11:11" x14ac:dyDescent="0.25">
      <c r="K316" t="str">
        <f t="shared" si="156"/>
        <v xml:space="preserve">                                                             ro data section *_init object CRC.o,</v>
      </c>
    </row>
    <row r="317" spans="11:11" x14ac:dyDescent="0.25">
      <c r="K317" t="str">
        <f t="shared" si="156"/>
        <v xml:space="preserve">                                                             ro data section *_init object gpio.o,</v>
      </c>
    </row>
    <row r="318" spans="11:11" x14ac:dyDescent="0.25">
      <c r="K318" t="str">
        <f t="shared" si="156"/>
        <v xml:space="preserve">                                                             ro data section *_init object LED.o,</v>
      </c>
    </row>
    <row r="319" spans="11:11" x14ac:dyDescent="0.25">
      <c r="K319" t="str">
        <f t="shared" si="156"/>
        <v xml:space="preserve">                                                             ro data section *_init object radio_hal.o,</v>
      </c>
    </row>
    <row r="320" spans="11:11" x14ac:dyDescent="0.25">
      <c r="K320" t="str">
        <f t="shared" si="156"/>
        <v xml:space="preserve">                                                             ro data section *_init object rng.o,</v>
      </c>
    </row>
    <row r="321" spans="11:11" x14ac:dyDescent="0.25">
      <c r="K321" t="str">
        <f t="shared" si="156"/>
        <v xml:space="preserve">                                                             ro data section *_init object RTC.o,</v>
      </c>
    </row>
    <row r="322" spans="11:11" x14ac:dyDescent="0.25">
      <c r="K322" t="str">
        <f t="shared" si="156"/>
        <v xml:space="preserve">                                                             ro data section *_init object sys_clock.o,</v>
      </c>
    </row>
    <row r="323" spans="11:11" x14ac:dyDescent="0.25">
      <c r="K323" t="str">
        <f t="shared" si="156"/>
        <v xml:space="preserve">                                                             ro data section *_init object UART.o,</v>
      </c>
    </row>
    <row r="324" spans="11:11" x14ac:dyDescent="0.25">
      <c r="K324" t="str">
        <f t="shared" si="156"/>
        <v xml:space="preserve">                                                             ro data section *_init object WDOG.o };</v>
      </c>
    </row>
    <row r="325" spans="11:11" x14ac:dyDescent="0.25">
      <c r="K325" t="str">
        <f t="shared" ref="K325:K355" si="157">K133</f>
        <v>"Common_DINIT":     place at address mem: Common_DINIT     { ro data section *_init object alarm_task.o,</v>
      </c>
    </row>
    <row r="326" spans="11:11" x14ac:dyDescent="0.25">
      <c r="K326" t="str">
        <f t="shared" si="157"/>
        <v xml:space="preserve">                                                             ro data section *_init object ALRM_Handler.o,</v>
      </c>
    </row>
    <row r="327" spans="11:11" x14ac:dyDescent="0.25">
      <c r="K327" t="str">
        <f t="shared" si="157"/>
        <v xml:space="preserve">                                                             ro data section *_init object BUF_MemoryBuffers.o,</v>
      </c>
    </row>
    <row r="328" spans="11:11" x14ac:dyDescent="0.25">
      <c r="K328" t="str">
        <f t="shared" si="157"/>
        <v xml:space="preserve">                                                             ro data section *_init object buffer.o,</v>
      </c>
    </row>
    <row r="329" spans="11:11" x14ac:dyDescent="0.25">
      <c r="K329" t="str">
        <f t="shared" si="157"/>
        <v xml:space="preserve">                                                             ro data section *_init object DBG_CommandLine.o,</v>
      </c>
    </row>
    <row r="330" spans="11:11" x14ac:dyDescent="0.25">
      <c r="K330" t="str">
        <f t="shared" si="157"/>
        <v xml:space="preserve">                                                             ro data section *_init object DBG_SerialDebug.o,</v>
      </c>
    </row>
    <row r="331" spans="11:11" x14ac:dyDescent="0.25">
      <c r="K331" t="str">
        <f t="shared" si="157"/>
        <v xml:space="preserve">                                                             ro data section *_init object eng_res.o,</v>
      </c>
    </row>
    <row r="332" spans="11:11" x14ac:dyDescent="0.25">
      <c r="K332" t="str">
        <f t="shared" si="157"/>
        <v xml:space="preserve">                                                             ro data section *_init object EVL_event_log.o,</v>
      </c>
    </row>
    <row r="333" spans="11:11" x14ac:dyDescent="0.25">
      <c r="K333" t="str">
        <f t="shared" si="157"/>
        <v xml:space="preserve">                                                             ro data section *_init object exe_list.o,</v>
      </c>
    </row>
    <row r="334" spans="11:11" x14ac:dyDescent="0.25">
      <c r="K334" t="str">
        <f t="shared" si="157"/>
        <v xml:space="preserve">                                                             ro data section *_init object file_io.o,</v>
      </c>
    </row>
    <row r="335" spans="11:11" x14ac:dyDescent="0.25">
      <c r="K335" t="str">
        <f t="shared" si="157"/>
        <v xml:space="preserve">                                                             ro data section *_init object HEEP_util.o,</v>
      </c>
    </row>
    <row r="336" spans="11:11" x14ac:dyDescent="0.25">
      <c r="K336" t="str">
        <f t="shared" si="157"/>
        <v xml:space="preserve">                                                             ro data section *_init object mem_chk.o,</v>
      </c>
    </row>
    <row r="337" spans="11:11" x14ac:dyDescent="0.25">
      <c r="K337" t="str">
        <f t="shared" si="157"/>
        <v xml:space="preserve">                                                             ro data section *_init object MFG_Dtls.o,</v>
      </c>
    </row>
    <row r="338" spans="11:11" x14ac:dyDescent="0.25">
      <c r="K338" t="str">
        <f t="shared" si="157"/>
        <v xml:space="preserve">                                                             ro data section *_init object MFG_Port.o,</v>
      </c>
    </row>
    <row r="339" spans="11:11" x14ac:dyDescent="0.25">
      <c r="K339" t="str">
        <f t="shared" si="157"/>
        <v xml:space="preserve">                                                             ro data section *_init object MIMT_info.o,</v>
      </c>
    </row>
    <row r="340" spans="11:11" x14ac:dyDescent="0.25">
      <c r="K340" t="str">
        <f t="shared" si="157"/>
        <v xml:space="preserve">                                                             ro data section *_init object mode_config.o,</v>
      </c>
    </row>
    <row r="341" spans="11:11" x14ac:dyDescent="0.25">
      <c r="K341" t="str">
        <f t="shared" si="157"/>
        <v xml:space="preserve">                                                             ro data section *_init object object_list.o,</v>
      </c>
    </row>
    <row r="342" spans="11:11" x14ac:dyDescent="0.25">
      <c r="K342" t="str">
        <f t="shared" si="157"/>
        <v xml:space="preserve">                                                             ro data section *_init object partitions.o,</v>
      </c>
    </row>
    <row r="343" spans="11:11" x14ac:dyDescent="0.25">
      <c r="K343" t="str">
        <f t="shared" si="157"/>
        <v xml:space="preserve">                                                             ro data section *_init object runTimeInit.o,</v>
      </c>
    </row>
    <row r="344" spans="11:11" x14ac:dyDescent="0.25">
      <c r="K344" t="str">
        <f t="shared" si="157"/>
        <v xml:space="preserve">                                                             ro data section *_init object SELF_test.o,</v>
      </c>
    </row>
    <row r="345" spans="11:11" x14ac:dyDescent="0.25">
      <c r="K345" t="str">
        <f t="shared" si="157"/>
        <v xml:space="preserve">                                                             ro data section *_init object stack_check.o,</v>
      </c>
    </row>
    <row r="346" spans="11:11" x14ac:dyDescent="0.25">
      <c r="K346" t="str">
        <f t="shared" si="157"/>
        <v xml:space="preserve">                                                             ro data section *_init object sys_busy.o,</v>
      </c>
    </row>
    <row r="347" spans="11:11" x14ac:dyDescent="0.25">
      <c r="K347" t="str">
        <f t="shared" si="157"/>
        <v xml:space="preserve">                                                             ro data section *_init object temperature.o,</v>
      </c>
    </row>
    <row r="348" spans="11:11" x14ac:dyDescent="0.25">
      <c r="K348" t="str">
        <f t="shared" si="157"/>
        <v xml:space="preserve">                                                             ro data section *_init object time_DST.o,</v>
      </c>
    </row>
    <row r="349" spans="11:11" x14ac:dyDescent="0.25">
      <c r="K349" t="str">
        <f t="shared" si="157"/>
        <v xml:space="preserve">                                                             ro data section *_init object time_sync.o,</v>
      </c>
    </row>
    <row r="350" spans="11:11" x14ac:dyDescent="0.25">
      <c r="K350" t="str">
        <f t="shared" si="157"/>
        <v xml:space="preserve">                                                             ro data section *_init object time_sys.o,</v>
      </c>
    </row>
    <row r="351" spans="11:11" x14ac:dyDescent="0.25">
      <c r="K351" t="str">
        <f t="shared" si="157"/>
        <v xml:space="preserve">                                                             ro data section *_init object virgin_device.o,</v>
      </c>
    </row>
    <row r="352" spans="11:11" x14ac:dyDescent="0.25">
      <c r="K352" t="str">
        <f t="shared" si="157"/>
        <v xml:space="preserve">                                                             ro data section *_init object FTM0.o,</v>
      </c>
    </row>
    <row r="353" spans="11:11" x14ac:dyDescent="0.25">
      <c r="K353" t="str">
        <f t="shared" si="157"/>
        <v xml:space="preserve">                                                             ro data section *_init object FTM1.o,</v>
      </c>
    </row>
    <row r="354" spans="11:11" x14ac:dyDescent="0.25">
      <c r="K354" t="str">
        <f t="shared" si="157"/>
        <v xml:space="preserve">                                                             ro data section *_init object FTM2.o,</v>
      </c>
    </row>
    <row r="355" spans="11:11" x14ac:dyDescent="0.25">
      <c r="K355" t="str">
        <f t="shared" si="157"/>
        <v xml:space="preserve">                                                             ro data section *_init object FTM3.o };</v>
      </c>
    </row>
    <row r="356" spans="11:11" x14ac:dyDescent="0.25">
      <c r="K356" t="str">
        <f t="shared" ref="K356:K375" si="158">K169</f>
        <v>"HMC_DINIT":        place at address mem: HMC_DINIT        { ro data section *_init object hmc_app.o,</v>
      </c>
    </row>
    <row r="357" spans="11:11" x14ac:dyDescent="0.25">
      <c r="K357" t="str">
        <f t="shared" si="158"/>
        <v xml:space="preserve">                                                             ro data section *_init object hmc_demand.o,</v>
      </c>
    </row>
    <row r="358" spans="11:11" x14ac:dyDescent="0.25">
      <c r="K358" t="str">
        <f t="shared" si="158"/>
        <v xml:space="preserve">                                                             ro data section *_init object hmc_diags.o,</v>
      </c>
    </row>
    <row r="359" spans="11:11" x14ac:dyDescent="0.25">
      <c r="K359" t="str">
        <f t="shared" si="158"/>
        <v xml:space="preserve">                                                             ro data section *_init object hmc_ds.o,</v>
      </c>
    </row>
    <row r="360" spans="11:11" x14ac:dyDescent="0.25">
      <c r="K360" t="str">
        <f t="shared" si="158"/>
        <v xml:space="preserve">                                                             ro data section *_init object hmc_eng.o,</v>
      </c>
    </row>
    <row r="361" spans="11:11" x14ac:dyDescent="0.25">
      <c r="K361" t="str">
        <f t="shared" si="158"/>
        <v xml:space="preserve">                                                             ro data section *_init object hmc_finish.o,</v>
      </c>
    </row>
    <row r="362" spans="11:11" x14ac:dyDescent="0.25">
      <c r="K362" t="str">
        <f t="shared" si="158"/>
        <v xml:space="preserve">                                                             ro data section *_init object hmc_msg.o,</v>
      </c>
    </row>
    <row r="363" spans="11:11" x14ac:dyDescent="0.25">
      <c r="K363" t="str">
        <f t="shared" si="158"/>
        <v xml:space="preserve">                                                             ro data section *_init object hmc_mtr_info.o,</v>
      </c>
    </row>
    <row r="364" spans="11:11" x14ac:dyDescent="0.25">
      <c r="K364" t="str">
        <f t="shared" si="158"/>
        <v xml:space="preserve">                                                             ro data section *_init object hmc_mtr_lp.o,</v>
      </c>
    </row>
    <row r="365" spans="11:11" x14ac:dyDescent="0.25">
      <c r="K365" t="str">
        <f t="shared" si="158"/>
        <v xml:space="preserve">                                                             ro data section *_init object hmc_prot.o,</v>
      </c>
    </row>
    <row r="366" spans="11:11" x14ac:dyDescent="0.25">
      <c r="K366" t="str">
        <f t="shared" si="158"/>
        <v xml:space="preserve">                                                             ro data section *_init object hmc_request.o,</v>
      </c>
    </row>
    <row r="367" spans="11:11" x14ac:dyDescent="0.25">
      <c r="K367" t="str">
        <f t="shared" si="158"/>
        <v xml:space="preserve">                                                             ro data section *_init object hmc_seq_id.o,</v>
      </c>
    </row>
    <row r="368" spans="11:11" x14ac:dyDescent="0.25">
      <c r="K368" t="str">
        <f t="shared" si="158"/>
        <v xml:space="preserve">                                                             ro data section *_init object hmc_snapshot.o,</v>
      </c>
    </row>
    <row r="369" spans="11:11" x14ac:dyDescent="0.25">
      <c r="K369" t="str">
        <f t="shared" si="158"/>
        <v xml:space="preserve">                                                             ro data section *_init object hmc_start.o,</v>
      </c>
    </row>
    <row r="370" spans="11:11" x14ac:dyDescent="0.25">
      <c r="K370" t="str">
        <f t="shared" si="158"/>
        <v xml:space="preserve">                                                             ro data section *_init object hmc_sync.o,</v>
      </c>
    </row>
    <row r="371" spans="11:11" x14ac:dyDescent="0.25">
      <c r="K371" t="str">
        <f t="shared" si="158"/>
        <v xml:space="preserve">                                                             ro data section *_init object hmc_time.o,</v>
      </c>
    </row>
    <row r="372" spans="11:11" x14ac:dyDescent="0.25">
      <c r="K372" t="str">
        <f t="shared" si="158"/>
        <v xml:space="preserve">                                                             ro data section *_init object hmc_tsk_lst.o,</v>
      </c>
    </row>
    <row r="373" spans="11:11" x14ac:dyDescent="0.25">
      <c r="K373" t="str">
        <f t="shared" si="158"/>
        <v xml:space="preserve">                                                             ro data section *_init object intf_cim_cmd.o,</v>
      </c>
    </row>
    <row r="374" spans="11:11" x14ac:dyDescent="0.25">
      <c r="K374" t="str">
        <f t="shared" si="158"/>
        <v xml:space="preserve">                                                             ro data section *_init object hmc_prg_mtr.o,</v>
      </c>
    </row>
    <row r="375" spans="11:11" x14ac:dyDescent="0.25">
      <c r="K375" t="str">
        <f t="shared" si="158"/>
        <v xml:space="preserve">                                                             ro data section *_init object hmc_display.o };</v>
      </c>
    </row>
    <row r="376" spans="11:11" x14ac:dyDescent="0.25">
      <c r="K376" t="str">
        <f>K194</f>
        <v>"AclaraDA_DINIT":   place at address mem: AclaraDA_DINIT   { ro data section *_init object b2b.o,</v>
      </c>
    </row>
    <row r="377" spans="11:11" x14ac:dyDescent="0.25">
      <c r="K377" t="str">
        <f t="shared" ref="K377:K384" si="159">K195</f>
        <v xml:space="preserve">                                                             ro data section *_init object b2b_req_handler.o,</v>
      </c>
    </row>
    <row r="378" spans="11:11" x14ac:dyDescent="0.25">
      <c r="K378" t="str">
        <f t="shared" si="159"/>
        <v xml:space="preserve">                                                             ro data section *_init object b2bMessage.o,</v>
      </c>
    </row>
    <row r="379" spans="11:11" x14ac:dyDescent="0.25">
      <c r="K379" t="str">
        <f t="shared" si="159"/>
        <v xml:space="preserve">                                                             ro data section *_init object da_srfn_reg.o,</v>
      </c>
    </row>
    <row r="380" spans="11:11" x14ac:dyDescent="0.25">
      <c r="K380" t="str">
        <f t="shared" si="159"/>
        <v xml:space="preserve">                                                             ro data section *_init object hdlc_frame.o,</v>
      </c>
    </row>
    <row r="381" spans="11:11" x14ac:dyDescent="0.25">
      <c r="K381" t="str">
        <f t="shared" si="159"/>
        <v xml:space="preserve">                                                             ro data section *_init object host_reset.o,</v>
      </c>
    </row>
    <row r="382" spans="11:11" x14ac:dyDescent="0.25">
      <c r="K382" t="str">
        <f t="shared" si="159"/>
        <v xml:space="preserve">                                                             ro data section *_init object nw_connected.o,</v>
      </c>
    </row>
    <row r="383" spans="11:11" x14ac:dyDescent="0.25">
      <c r="K383" t="str">
        <f t="shared" si="159"/>
        <v xml:space="preserve">                                                             ro data section *_init object TUNNEL_MSG_Handler.o,</v>
      </c>
    </row>
    <row r="384" spans="11:11" x14ac:dyDescent="0.25">
      <c r="K384" t="str">
        <f t="shared" si="159"/>
        <v xml:space="preserve">                                                             ro data section *_init object tunnel_Util.o };</v>
      </c>
    </row>
    <row r="385" spans="11:11" x14ac:dyDescent="0.25">
      <c r="K385" t="str">
        <f t="shared" ref="K385:K402" si="160">K208</f>
        <v>"MTU_Common_DINIT": place at address mem: MTU_Common_DINIT { ro data section *_init object APP_MSG_Handler.o,</v>
      </c>
    </row>
    <row r="386" spans="11:11" x14ac:dyDescent="0.25">
      <c r="K386" t="str">
        <f t="shared" si="160"/>
        <v xml:space="preserve">                                                             ro data section *_init object demand.o,</v>
      </c>
    </row>
    <row r="387" spans="11:11" x14ac:dyDescent="0.25">
      <c r="K387" t="str">
        <f t="shared" si="160"/>
        <v xml:space="preserve">                                                             ro data section *_init object ed_config.o,</v>
      </c>
    </row>
    <row r="388" spans="11:11" x14ac:dyDescent="0.25">
      <c r="K388" t="str">
        <f t="shared" si="160"/>
        <v xml:space="preserve">                                                             ro data section *_init object endpt_cim_cmd.o,</v>
      </c>
    </row>
    <row r="389" spans="11:11" x14ac:dyDescent="0.25">
      <c r="K389" t="str">
        <f t="shared" si="160"/>
        <v xml:space="preserve">                                                             ro data section *_init object historyd.o,</v>
      </c>
    </row>
    <row r="390" spans="11:11" x14ac:dyDescent="0.25">
      <c r="K390" t="str">
        <f t="shared" si="160"/>
        <v xml:space="preserve">                                                             ro data section *_init object ID_intervalTask.o,</v>
      </c>
    </row>
    <row r="391" spans="11:11" x14ac:dyDescent="0.25">
      <c r="K391" t="str">
        <f t="shared" si="160"/>
        <v xml:space="preserve">                                                             ro data section *_init object IDL_IdleProcess.o,</v>
      </c>
    </row>
    <row r="392" spans="11:11" x14ac:dyDescent="0.25">
      <c r="K392" t="str">
        <f t="shared" si="160"/>
        <v xml:space="preserve">                                                             ro data section *_init object OR_MR_Handler.o,</v>
      </c>
    </row>
    <row r="393" spans="11:11" x14ac:dyDescent="0.25">
      <c r="K393" t="str">
        <f t="shared" si="160"/>
        <v xml:space="preserve">                                                             ro data section *_init object pwr_config.o,</v>
      </c>
    </row>
    <row r="394" spans="11:11" x14ac:dyDescent="0.25">
      <c r="K394" t="str">
        <f t="shared" si="160"/>
        <v xml:space="preserve">                                                             ro data section *_init object pwr_last_gasp.o,</v>
      </c>
    </row>
    <row r="395" spans="11:11" x14ac:dyDescent="0.25">
      <c r="K395" t="str">
        <f t="shared" si="160"/>
        <v xml:space="preserve">                                                             ro data section *_init object pwr_restore.o,</v>
      </c>
    </row>
    <row r="396" spans="11:11" x14ac:dyDescent="0.25">
      <c r="K396" t="str">
        <f t="shared" si="160"/>
        <v xml:space="preserve">                                                             ro data section *_init object pwr_task.o,</v>
      </c>
    </row>
    <row r="397" spans="11:11" x14ac:dyDescent="0.25">
      <c r="K397" t="str">
        <f t="shared" si="160"/>
        <v xml:space="preserve">                                                             ro data section *_init object RG_CF_Handler.o,</v>
      </c>
    </row>
    <row r="398" spans="11:11" x14ac:dyDescent="0.25">
      <c r="K398" t="str">
        <f t="shared" si="160"/>
        <v xml:space="preserve">                                                             ro data section *_init object RG_MD_Handler.o,</v>
      </c>
    </row>
    <row r="399" spans="11:11" x14ac:dyDescent="0.25">
      <c r="K399" t="str">
        <f t="shared" si="160"/>
        <v xml:space="preserve">                                                             ro data section *_init object STRT_Startup.o,</v>
      </c>
    </row>
    <row r="400" spans="11:11" x14ac:dyDescent="0.25">
      <c r="K400" t="str">
        <f t="shared" si="160"/>
        <v xml:space="preserve">                                                             ro data section *_init object Task.o,</v>
      </c>
    </row>
    <row r="401" spans="11:11" x14ac:dyDescent="0.25">
      <c r="K401" t="str">
        <f t="shared" si="160"/>
        <v xml:space="preserve">                                                             ro data section *_init object vbat_reg.o,</v>
      </c>
    </row>
    <row r="402" spans="11:11" x14ac:dyDescent="0.25">
      <c r="K402" t="str">
        <f t="shared" si="160"/>
        <v xml:space="preserve">                                                             ro data section *_init object version.o };</v>
      </c>
    </row>
    <row r="403" spans="11:11" x14ac:dyDescent="0.25">
      <c r="K403" t="str">
        <f>K233</f>
        <v>"APP_RO_TEXT": place at address mem: APP_RO_TEXT { ro code section .textrw_init object IF_intFlash.o };</v>
      </c>
    </row>
  </sheetData>
  <mergeCells count="1">
    <mergeCell ref="J230:K230"/>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408"/>
  <sheetViews>
    <sheetView topLeftCell="A235" workbookViewId="0">
      <selection activeCell="I239" sqref="I239"/>
    </sheetView>
  </sheetViews>
  <sheetFormatPr defaultRowHeight="15" x14ac:dyDescent="0.25"/>
  <cols>
    <col min="1" max="2" width="14.140625" bestFit="1" customWidth="1"/>
    <col min="3" max="3" width="3" bestFit="1" customWidth="1"/>
    <col min="4" max="4" width="32.140625" customWidth="1"/>
    <col min="5" max="5" width="31.28515625" customWidth="1"/>
    <col min="6" max="6" width="6.28515625" bestFit="1" customWidth="1"/>
    <col min="7" max="7" width="8.42578125" bestFit="1" customWidth="1"/>
    <col min="8" max="8" width="10" bestFit="1" customWidth="1"/>
    <col min="9" max="9" width="11.5703125" bestFit="1" customWidth="1"/>
    <col min="10" max="10" width="51.5703125" bestFit="1" customWidth="1"/>
    <col min="11" max="11" width="136.7109375" bestFit="1" customWidth="1"/>
  </cols>
  <sheetData>
    <row r="1" spans="1:11" x14ac:dyDescent="0.25">
      <c r="B1" t="s">
        <v>581</v>
      </c>
      <c r="F1" s="3" t="str">
        <f ca="1">'.map data'!B12</f>
        <v>'.map data'!$AL$31:$AM$122</v>
      </c>
    </row>
    <row r="2" spans="1:11" x14ac:dyDescent="0.25">
      <c r="F2" t="s">
        <v>526</v>
      </c>
      <c r="G2">
        <f ca="1">VLOOKUP(B5,INDIRECT(GlobalPlcmnt!$B$134),GlobalPlcmnt!$B$138,FALSE)</f>
        <v>5</v>
      </c>
      <c r="K2" t="s">
        <v>579</v>
      </c>
    </row>
    <row r="3" spans="1:11" x14ac:dyDescent="0.25">
      <c r="A3" t="s">
        <v>927</v>
      </c>
      <c r="B3" t="str">
        <f ca="1">CELL("address",B5)</f>
        <v>$B$5</v>
      </c>
      <c r="F3" t="s">
        <v>608</v>
      </c>
      <c r="G3">
        <f ca="1">VLOOKUP(B5,INDIRECT(GlobalPlcmnt!$B$134),GlobalPlcmnt!$C$138,FALSE)</f>
        <v>8</v>
      </c>
    </row>
    <row r="4" spans="1:11" x14ac:dyDescent="0.25">
      <c r="C4">
        <f>MAX(C5:C231)+1</f>
        <v>16</v>
      </c>
      <c r="F4" t="s">
        <v>542</v>
      </c>
      <c r="K4">
        <f>$C$4+LEN("place at address mem: { ")+3</f>
        <v>43</v>
      </c>
    </row>
    <row r="5" spans="1:11" x14ac:dyDescent="0.25">
      <c r="A5" t="s">
        <v>527</v>
      </c>
      <c r="B5" t="str">
        <f t="shared" ref="B5:B15" si="0">IF(A5&lt;&gt;A4,A5&amp;$B$1,"")</f>
        <v>utils_INIT</v>
      </c>
      <c r="C5">
        <f>LEN(B5)</f>
        <v>10</v>
      </c>
      <c r="D5" t="s">
        <v>322</v>
      </c>
      <c r="E5" t="str">
        <f>SUBSTITUTE(D5,"-","_")</f>
        <v>ascii.o</v>
      </c>
      <c r="F5">
        <f ca="1">IFERROR(VLOOKUP(D5,INDIRECT($F$1),2,FALSE),0)</f>
        <v>0</v>
      </c>
      <c r="H5">
        <f ca="1">VLOOKUP(B5,INDIRECT(GlobalPlcmnt!$B$134),GlobalPlcmnt!$A$138,FALSE)</f>
        <v>536806664</v>
      </c>
      <c r="I5" t="str">
        <f t="shared" ref="I5:I133" ca="1" si="1">"0x"&amp;DEC2HEX(H5,8)</f>
        <v>0x1FFF0508</v>
      </c>
      <c r="J5" s="4" t="str">
        <f ca="1">IF(B5="","","define symbol "&amp;B5&amp;REPT(" ",$C$4-C5)&amp;"= "&amp;I5&amp;";")</f>
        <v>define symbol utils_INIT      = 0x1FFF0508;</v>
      </c>
      <c r="K5" s="4" t="str">
        <f>IF(B5="",REPT(" ",$C$4+$K$4)&amp;$K$2&amp;D5&amp;IF(B6="",","," };"),""""&amp;B5&amp;""":"&amp;REPT(" ",$C$4-C5)&amp;"place at address mem: "&amp;B5&amp;REPT(" ",$C$4-C5)&amp;"{ "&amp;K$2&amp;D5&amp;IF(B6="",","," };"))</f>
        <v>"utils_INIT":      place at address mem: utils_INIT      { rw data section .data object ascii.o,</v>
      </c>
    </row>
    <row r="6" spans="1:11" x14ac:dyDescent="0.25">
      <c r="A6" t="s">
        <v>527</v>
      </c>
      <c r="B6" t="str">
        <f t="shared" si="0"/>
        <v/>
      </c>
      <c r="C6">
        <f t="shared" ref="C6:C134" si="2">LEN(B6)</f>
        <v>0</v>
      </c>
      <c r="D6" t="s">
        <v>565</v>
      </c>
      <c r="E6" t="str">
        <f t="shared" ref="E6:E134" si="3">SUBSTITUTE(D6,"-","_")</f>
        <v>bcd.o</v>
      </c>
      <c r="F6">
        <f t="shared" ref="F6" ca="1" si="4">IFERROR(VLOOKUP(D6,INDIRECT($F$1),2,FALSE),0)</f>
        <v>0</v>
      </c>
      <c r="H6">
        <f ca="1">H5+F5+G5+IF(MOD(F5+H5+G5,$G$3)=0,0,$G$3-MOD(F5+H5+G5,$G$3))</f>
        <v>536806664</v>
      </c>
      <c r="I6" t="str">
        <f t="shared" ca="1" si="1"/>
        <v>0x1FFF0508</v>
      </c>
      <c r="J6" s="4" t="str">
        <f t="shared" ref="J6:J15" si="5">IF(B6="","","define symbol "&amp;B6&amp;REPT(" ",$C$4-C6)&amp;"= "&amp;I6&amp;";")</f>
        <v/>
      </c>
      <c r="K6" s="4" t="str">
        <f t="shared" ref="K6:K15" si="6">IF(B6="",REPT(" ",$C$4+$K$4)&amp;$K$2&amp;D6&amp;IF(B7="",","," };"),""""&amp;B6&amp;""":"&amp;REPT(" ",$C$4-C6)&amp;"place at address mem: "&amp;B6&amp;REPT(" ",$C$4-C6)&amp;"{ "&amp;K$2&amp;D6&amp;IF(B7="",","," };"))</f>
        <v xml:space="preserve">                                                           rw data section .data object bcd.o,</v>
      </c>
    </row>
    <row r="7" spans="1:11" x14ac:dyDescent="0.25">
      <c r="A7" t="s">
        <v>527</v>
      </c>
      <c r="B7" t="str">
        <f t="shared" si="0"/>
        <v/>
      </c>
      <c r="C7">
        <f t="shared" si="2"/>
        <v>0</v>
      </c>
      <c r="D7" t="s">
        <v>566</v>
      </c>
      <c r="E7" t="str">
        <f t="shared" ref="E7:E15" si="7">SUBSTITUTE(D7,"-","_")</f>
        <v>bit_util.o</v>
      </c>
      <c r="F7">
        <f t="shared" ref="F7:F15" ca="1" si="8">IFERROR(VLOOKUP(D7,INDIRECT($F$1),2,FALSE),0)</f>
        <v>0</v>
      </c>
      <c r="H7">
        <f t="shared" ref="H7:H15" ca="1" si="9">H6+F6+G6+IF(MOD(F6+H6+G6,$G$3)=0,0,$G$3-MOD(F6+H6+G6,$G$3))</f>
        <v>536806664</v>
      </c>
      <c r="I7" t="str">
        <f t="shared" ref="I7:I15" ca="1" si="10">"0x"&amp;DEC2HEX(H7,8)</f>
        <v>0x1FFF0508</v>
      </c>
      <c r="J7" s="4" t="str">
        <f t="shared" si="5"/>
        <v/>
      </c>
      <c r="K7" s="4" t="str">
        <f t="shared" si="6"/>
        <v xml:space="preserve">                                                           rw data section .data object bit_util.o,</v>
      </c>
    </row>
    <row r="8" spans="1:11" x14ac:dyDescent="0.25">
      <c r="A8" t="s">
        <v>527</v>
      </c>
      <c r="B8" t="str">
        <f t="shared" si="0"/>
        <v/>
      </c>
      <c r="C8">
        <f t="shared" si="2"/>
        <v>0</v>
      </c>
      <c r="D8" t="s">
        <v>96</v>
      </c>
      <c r="E8" t="str">
        <f t="shared" si="7"/>
        <v>byteswap.o</v>
      </c>
      <c r="F8">
        <f t="shared" ca="1" si="8"/>
        <v>0</v>
      </c>
      <c r="H8">
        <f t="shared" ca="1" si="9"/>
        <v>536806664</v>
      </c>
      <c r="I8" t="str">
        <f t="shared" ca="1" si="10"/>
        <v>0x1FFF0508</v>
      </c>
      <c r="J8" s="4" t="str">
        <f t="shared" si="5"/>
        <v/>
      </c>
      <c r="K8" s="4" t="str">
        <f t="shared" si="6"/>
        <v xml:space="preserve">                                                           rw data section .data object byteswap.o,</v>
      </c>
    </row>
    <row r="9" spans="1:11" x14ac:dyDescent="0.25">
      <c r="A9" t="s">
        <v>527</v>
      </c>
      <c r="B9" t="str">
        <f t="shared" si="0"/>
        <v/>
      </c>
      <c r="C9">
        <f t="shared" si="2"/>
        <v>0</v>
      </c>
      <c r="D9" t="s">
        <v>399</v>
      </c>
      <c r="E9" t="str">
        <f t="shared" si="7"/>
        <v>crc16_m.o</v>
      </c>
      <c r="F9">
        <f t="shared" ca="1" si="8"/>
        <v>0</v>
      </c>
      <c r="H9">
        <f t="shared" ca="1" si="9"/>
        <v>536806664</v>
      </c>
      <c r="I9" t="str">
        <f t="shared" ca="1" si="10"/>
        <v>0x1FFF0508</v>
      </c>
      <c r="J9" s="4" t="str">
        <f t="shared" si="5"/>
        <v/>
      </c>
      <c r="K9" s="4" t="str">
        <f t="shared" si="6"/>
        <v xml:space="preserve">                                                           rw data section .data object crc16_m.o,</v>
      </c>
    </row>
    <row r="10" spans="1:11" x14ac:dyDescent="0.25">
      <c r="A10" t="s">
        <v>527</v>
      </c>
      <c r="B10" t="str">
        <f t="shared" si="0"/>
        <v/>
      </c>
      <c r="C10">
        <f t="shared" si="2"/>
        <v>0</v>
      </c>
      <c r="D10" t="s">
        <v>178</v>
      </c>
      <c r="E10" t="str">
        <f t="shared" si="7"/>
        <v>crc32.o</v>
      </c>
      <c r="F10">
        <f t="shared" ca="1" si="8"/>
        <v>0</v>
      </c>
      <c r="H10">
        <f t="shared" ca="1" si="9"/>
        <v>536806664</v>
      </c>
      <c r="I10" t="str">
        <f t="shared" ca="1" si="10"/>
        <v>0x1FFF0508</v>
      </c>
      <c r="J10" s="4" t="str">
        <f t="shared" si="5"/>
        <v/>
      </c>
      <c r="K10" s="4" t="str">
        <f t="shared" si="6"/>
        <v xml:space="preserve">                                                           rw data section .data object crc32.o,</v>
      </c>
    </row>
    <row r="11" spans="1:11" x14ac:dyDescent="0.25">
      <c r="A11" t="s">
        <v>527</v>
      </c>
      <c r="B11" t="str">
        <f t="shared" si="0"/>
        <v/>
      </c>
      <c r="C11">
        <f t="shared" si="2"/>
        <v>0</v>
      </c>
      <c r="D11" t="s">
        <v>296</v>
      </c>
      <c r="E11" t="str">
        <f t="shared" si="7"/>
        <v>invert_bits.o</v>
      </c>
      <c r="F11">
        <f t="shared" ca="1" si="8"/>
        <v>0</v>
      </c>
      <c r="H11">
        <f t="shared" ca="1" si="9"/>
        <v>536806664</v>
      </c>
      <c r="I11" t="str">
        <f t="shared" ca="1" si="10"/>
        <v>0x1FFF0508</v>
      </c>
      <c r="J11" s="4" t="str">
        <f t="shared" si="5"/>
        <v/>
      </c>
      <c r="K11" s="4" t="str">
        <f t="shared" si="6"/>
        <v xml:space="preserve">                                                           rw data section .data object invert_bits.o,</v>
      </c>
    </row>
    <row r="12" spans="1:11" x14ac:dyDescent="0.25">
      <c r="A12" t="s">
        <v>527</v>
      </c>
      <c r="B12" t="str">
        <f t="shared" si="0"/>
        <v/>
      </c>
      <c r="C12">
        <f t="shared" si="2"/>
        <v>0</v>
      </c>
      <c r="D12" t="s">
        <v>97</v>
      </c>
      <c r="E12" t="str">
        <f t="shared" si="7"/>
        <v>pack.o</v>
      </c>
      <c r="F12">
        <f t="shared" ca="1" si="8"/>
        <v>0</v>
      </c>
      <c r="H12">
        <f t="shared" ca="1" si="9"/>
        <v>536806664</v>
      </c>
      <c r="I12" t="str">
        <f t="shared" ca="1" si="10"/>
        <v>0x1FFF0508</v>
      </c>
      <c r="J12" s="4" t="str">
        <f t="shared" si="5"/>
        <v/>
      </c>
      <c r="K12" s="4" t="str">
        <f t="shared" si="6"/>
        <v xml:space="preserve">                                                           rw data section .data object pack.o,</v>
      </c>
    </row>
    <row r="13" spans="1:11" x14ac:dyDescent="0.25">
      <c r="A13" t="s">
        <v>527</v>
      </c>
      <c r="B13" t="str">
        <f t="shared" si="0"/>
        <v/>
      </c>
      <c r="C13">
        <f t="shared" si="2"/>
        <v>0</v>
      </c>
      <c r="D13" t="s">
        <v>81</v>
      </c>
      <c r="E13" t="str">
        <f t="shared" si="7"/>
        <v>rand.o</v>
      </c>
      <c r="F13">
        <f t="shared" ca="1" si="8"/>
        <v>64</v>
      </c>
      <c r="H13">
        <f t="shared" ca="1" si="9"/>
        <v>536806664</v>
      </c>
      <c r="I13" t="str">
        <f t="shared" ca="1" si="10"/>
        <v>0x1FFF0508</v>
      </c>
      <c r="J13" s="4" t="str">
        <f t="shared" si="5"/>
        <v/>
      </c>
      <c r="K13" s="4" t="str">
        <f t="shared" si="6"/>
        <v xml:space="preserve">                                                           rw data section .data object rand.o,</v>
      </c>
    </row>
    <row r="14" spans="1:11" x14ac:dyDescent="0.25">
      <c r="A14" t="s">
        <v>527</v>
      </c>
      <c r="B14" t="str">
        <f t="shared" si="0"/>
        <v/>
      </c>
      <c r="C14">
        <f t="shared" si="2"/>
        <v>0</v>
      </c>
      <c r="D14" t="s">
        <v>93</v>
      </c>
      <c r="E14" t="str">
        <f t="shared" si="7"/>
        <v>time_util.o</v>
      </c>
      <c r="F14">
        <f t="shared" ca="1" si="8"/>
        <v>0</v>
      </c>
      <c r="H14">
        <f t="shared" ca="1" si="9"/>
        <v>536806728</v>
      </c>
      <c r="I14" t="str">
        <f t="shared" ca="1" si="10"/>
        <v>0x1FFF0548</v>
      </c>
      <c r="J14" s="4" t="str">
        <f t="shared" si="5"/>
        <v/>
      </c>
      <c r="K14" s="4" t="str">
        <f t="shared" si="6"/>
        <v xml:space="preserve">                                                           rw data section .data object time_util.o,</v>
      </c>
    </row>
    <row r="15" spans="1:11" x14ac:dyDescent="0.25">
      <c r="A15" t="s">
        <v>527</v>
      </c>
      <c r="B15" t="str">
        <f t="shared" si="0"/>
        <v/>
      </c>
      <c r="C15">
        <f t="shared" si="2"/>
        <v>0</v>
      </c>
      <c r="D15" t="s">
        <v>130</v>
      </c>
      <c r="E15" t="str">
        <f t="shared" si="7"/>
        <v>timer_util.o</v>
      </c>
      <c r="F15">
        <f t="shared" ca="1" si="8"/>
        <v>2</v>
      </c>
      <c r="H15">
        <f t="shared" ca="1" si="9"/>
        <v>536806728</v>
      </c>
      <c r="I15" t="str">
        <f t="shared" ca="1" si="10"/>
        <v>0x1FFF0548</v>
      </c>
      <c r="J15" s="4" t="str">
        <f t="shared" si="5"/>
        <v/>
      </c>
      <c r="K15" s="4" t="str">
        <f t="shared" si="6"/>
        <v xml:space="preserve">                                                           rw data section .data object timer_util.o };</v>
      </c>
    </row>
    <row r="16" spans="1:11" x14ac:dyDescent="0.25">
      <c r="B16" t="str">
        <f>B5&amp;"_end"</f>
        <v>utils_INIT_end</v>
      </c>
      <c r="F16">
        <f ca="1">SUM(F5:F15)</f>
        <v>66</v>
      </c>
      <c r="G16">
        <f ca="1">INT(($G$2/100)*F16)</f>
        <v>3</v>
      </c>
      <c r="H16">
        <f ca="1">H15+F15+G16+IF(MOD(F15+H15+G16,$G$3)=0,0,$G$3-MOD(F15+H15+G16,$G$3))</f>
        <v>536806736</v>
      </c>
      <c r="I16" t="str">
        <f t="shared" ca="1" si="1"/>
        <v>0x1FFF0550</v>
      </c>
      <c r="J16" s="4"/>
      <c r="K16" s="4"/>
    </row>
    <row r="17" spans="1:11" x14ac:dyDescent="0.25">
      <c r="J17" s="4"/>
      <c r="K17" s="4"/>
    </row>
    <row r="18" spans="1:11" x14ac:dyDescent="0.25">
      <c r="F18" t="s">
        <v>526</v>
      </c>
      <c r="G18">
        <f ca="1">VLOOKUP(B21,INDIRECT(GlobalPlcmnt!$B$134),GlobalPlcmnt!$B$138,FALSE)</f>
        <v>5</v>
      </c>
      <c r="J18" s="4"/>
      <c r="K18" s="4"/>
    </row>
    <row r="19" spans="1:11" x14ac:dyDescent="0.25">
      <c r="F19" t="s">
        <v>608</v>
      </c>
      <c r="G19">
        <f ca="1">VLOOKUP(B21,INDIRECT(GlobalPlcmnt!$B$134),GlobalPlcmnt!$C$138,FALSE)</f>
        <v>8</v>
      </c>
      <c r="J19" s="4"/>
      <c r="K19" s="4"/>
    </row>
    <row r="20" spans="1:11" x14ac:dyDescent="0.25">
      <c r="F20" t="s">
        <v>542</v>
      </c>
      <c r="J20" s="4"/>
      <c r="K20" s="4"/>
    </row>
    <row r="21" spans="1:11" x14ac:dyDescent="0.25">
      <c r="A21" t="s">
        <v>528</v>
      </c>
      <c r="B21" t="str">
        <f>IF(A21&lt;&gt;A20,A21&amp;$B$1,"")</f>
        <v>dfw_INIT</v>
      </c>
      <c r="C21">
        <f t="shared" si="2"/>
        <v>8</v>
      </c>
      <c r="D21" t="s">
        <v>228</v>
      </c>
      <c r="E21" t="str">
        <f t="shared" si="3"/>
        <v>dfw_app.o</v>
      </c>
      <c r="F21">
        <f ca="1">IFERROR(VLOOKUP(D21,INDIRECT($F$1),2,FALSE),0)</f>
        <v>1</v>
      </c>
      <c r="H21">
        <f ca="1">VLOOKUP(B21,INDIRECT(GlobalPlcmnt!$B$134),GlobalPlcmnt!$A$138,FALSE)</f>
        <v>536806736</v>
      </c>
      <c r="I21" t="str">
        <f t="shared" ca="1" si="1"/>
        <v>0x1FFF0550</v>
      </c>
      <c r="J21" s="4" t="str">
        <f ca="1">IF(B21="","","define symbol "&amp;B21&amp;REPT(" ",$C$4-C21)&amp;"= "&amp;I21&amp;";")</f>
        <v>define symbol dfw_INIT        = 0x1FFF0550;</v>
      </c>
      <c r="K21" s="4" t="str">
        <f>IF(B21="",REPT(" ",$C$4+$K$4)&amp;$K$2&amp;D21&amp;IF(B22="",","," };"),""""&amp;B21&amp;""":"&amp;REPT(" ",$C$4-C21)&amp;"place at address mem: "&amp;B21&amp;REPT(" ",$C$4-C21)&amp;"{ "&amp;K$2&amp;D21&amp;IF(B22="",","," };"))</f>
        <v>"dfw_INIT":        place at address mem: dfw_INIT        { rw data section .data object dfw_app.o,</v>
      </c>
    </row>
    <row r="22" spans="1:11" x14ac:dyDescent="0.25">
      <c r="A22" t="s">
        <v>528</v>
      </c>
      <c r="B22" t="str">
        <f>IF(A22&lt;&gt;A21,A22&amp;$B$1,"")</f>
        <v/>
      </c>
      <c r="C22">
        <f t="shared" si="2"/>
        <v>0</v>
      </c>
      <c r="D22" t="s">
        <v>193</v>
      </c>
      <c r="E22" t="str">
        <f t="shared" si="3"/>
        <v>dfw_interface.o</v>
      </c>
      <c r="F22">
        <f ca="1">IFERROR(VLOOKUP(D22,INDIRECT($F$1),2,FALSE),0)</f>
        <v>0</v>
      </c>
      <c r="H22">
        <f ca="1">H21+F21+G21+IF(MOD(F21+H21+G21,$G$19)=0,0,$G$19-MOD(F21+H21+G21,$G$19))</f>
        <v>536806744</v>
      </c>
      <c r="I22" t="str">
        <f t="shared" ca="1" si="1"/>
        <v>0x1FFF0558</v>
      </c>
      <c r="J22" s="4" t="str">
        <f>IF(B22="","","define symbol "&amp;B22&amp;REPT(" ",$C$4-C22)&amp;"= "&amp;I22&amp;";")</f>
        <v/>
      </c>
      <c r="K22" s="4" t="str">
        <f>IF(B22="",REPT(" ",$C$4+$K$4)&amp;$K$2&amp;D22&amp;IF(B23="",","," };"),""""&amp;B22&amp;""":"&amp;REPT(" ",$C$4-C22)&amp;"place at address mem: "&amp;B22&amp;REPT(" ",$C$4-C22)&amp;"{ "&amp;K$2&amp;D22&amp;IF(B23="",","," };"))</f>
        <v xml:space="preserve">                                                           rw data section .data object dfw_interface.o,</v>
      </c>
    </row>
    <row r="23" spans="1:11" x14ac:dyDescent="0.25">
      <c r="A23" t="s">
        <v>528</v>
      </c>
      <c r="B23" t="str">
        <f>IF(A23&lt;&gt;A22,A23&amp;$B$1,"")</f>
        <v/>
      </c>
      <c r="C23">
        <f t="shared" si="2"/>
        <v>0</v>
      </c>
      <c r="D23" t="s">
        <v>286</v>
      </c>
      <c r="E23" t="str">
        <f t="shared" ref="E23:E24" si="11">SUBSTITUTE(D23,"-","_")</f>
        <v>dfw_pckt.o</v>
      </c>
      <c r="F23">
        <f t="shared" ref="F23:F24" ca="1" si="12">IFERROR(VLOOKUP(D23,INDIRECT($F$1),2,FALSE),0)</f>
        <v>0</v>
      </c>
      <c r="H23">
        <f t="shared" ref="H23:H24" ca="1" si="13">H22+F22+G22+IF(MOD(F22+H22+G22,$G$19)=0,0,$G$19-MOD(F22+H22+G22,$G$19))</f>
        <v>536806744</v>
      </c>
      <c r="I23" t="str">
        <f t="shared" ref="I23:I24" ca="1" si="14">"0x"&amp;DEC2HEX(H23,8)</f>
        <v>0x1FFF0558</v>
      </c>
      <c r="J23" s="4" t="str">
        <f>IF(B23="","","define symbol "&amp;B23&amp;REPT(" ",$C$4-C23)&amp;"= "&amp;I23&amp;";")</f>
        <v/>
      </c>
      <c r="K23" s="4" t="str">
        <f>IF(B23="",REPT(" ",$C$4+$K$4)&amp;$K$2&amp;D23&amp;IF(B24="",","," };"),""""&amp;B23&amp;""":"&amp;REPT(" ",$C$4-C23)&amp;"place at address mem: "&amp;B23&amp;REPT(" ",$C$4-C23)&amp;"{ "&amp;K$2&amp;D23&amp;IF(B24="",","," };"))</f>
        <v xml:space="preserve">                                                           rw data section .data object dfw_pckt.o,</v>
      </c>
    </row>
    <row r="24" spans="1:11" x14ac:dyDescent="0.25">
      <c r="A24" t="s">
        <v>528</v>
      </c>
      <c r="B24" t="str">
        <f>IF(A24&lt;&gt;A23,A24&amp;$B$1,"")</f>
        <v/>
      </c>
      <c r="C24">
        <f t="shared" si="2"/>
        <v>0</v>
      </c>
      <c r="D24" t="s">
        <v>195</v>
      </c>
      <c r="E24" t="str">
        <f t="shared" si="11"/>
        <v>dfwtd_config.o</v>
      </c>
      <c r="F24">
        <f t="shared" ca="1" si="12"/>
        <v>0</v>
      </c>
      <c r="H24">
        <f t="shared" ca="1" si="13"/>
        <v>536806744</v>
      </c>
      <c r="I24" t="str">
        <f t="shared" ca="1" si="14"/>
        <v>0x1FFF0558</v>
      </c>
      <c r="J24" s="4" t="str">
        <f>IF(B24="","","define symbol "&amp;B24&amp;REPT(" ",$C$4-C24)&amp;"= "&amp;I24&amp;";")</f>
        <v/>
      </c>
      <c r="K24" s="4" t="str">
        <f>IF(B24="",REPT(" ",$C$4+$K$4)&amp;$K$2&amp;D24&amp;IF(B25="",","," };"),""""&amp;B24&amp;""":"&amp;REPT(" ",$C$4-C24)&amp;"place at address mem: "&amp;B24&amp;REPT(" ",$C$4-C24)&amp;"{ "&amp;K$2&amp;D24&amp;IF(B25="",","," };"))</f>
        <v xml:space="preserve">                                                           rw data section .data object dfwtd_config.o };</v>
      </c>
    </row>
    <row r="25" spans="1:11" x14ac:dyDescent="0.25">
      <c r="B25" t="str">
        <f>B21&amp;"_end"</f>
        <v>dfw_INIT_end</v>
      </c>
      <c r="F25">
        <f ca="1">SUM(F21:F24)</f>
        <v>1</v>
      </c>
      <c r="G25">
        <f ca="1">INT(($G$18/100)*F25)</f>
        <v>0</v>
      </c>
      <c r="H25">
        <f ca="1">H24+F24+G25+IF(MOD(F24+H24+G25,$G$19)=0,0,$G$19-MOD(F24+H24+G25,$G$19))</f>
        <v>536806744</v>
      </c>
      <c r="I25" t="str">
        <f t="shared" ca="1" si="1"/>
        <v>0x1FFF0558</v>
      </c>
      <c r="J25" s="4"/>
      <c r="K25" s="4"/>
    </row>
    <row r="26" spans="1:11" x14ac:dyDescent="0.25">
      <c r="J26" s="4"/>
      <c r="K26" s="4"/>
    </row>
    <row r="27" spans="1:11" x14ac:dyDescent="0.25">
      <c r="F27" t="s">
        <v>526</v>
      </c>
      <c r="G27">
        <f ca="1">VLOOKUP(B30,INDIRECT(GlobalPlcmnt!$B$134),GlobalPlcmnt!$B$138,FALSE)</f>
        <v>5</v>
      </c>
      <c r="J27" s="4"/>
      <c r="K27" s="4"/>
    </row>
    <row r="28" spans="1:11" x14ac:dyDescent="0.25">
      <c r="F28" t="s">
        <v>608</v>
      </c>
      <c r="G28">
        <f ca="1">VLOOKUP(B30,INDIRECT(GlobalPlcmnt!$B$134),GlobalPlcmnt!$C$138,FALSE)</f>
        <v>8</v>
      </c>
      <c r="J28" s="4"/>
      <c r="K28" s="4"/>
    </row>
    <row r="29" spans="1:11" x14ac:dyDescent="0.25">
      <c r="F29" t="s">
        <v>542</v>
      </c>
      <c r="J29" s="4"/>
      <c r="K29" s="4"/>
    </row>
    <row r="30" spans="1:11" x14ac:dyDescent="0.25">
      <c r="A30" t="s">
        <v>529</v>
      </c>
      <c r="B30" t="str">
        <f t="shared" ref="B30:B36" si="15">IF(A30&lt;&gt;A29,A30&amp;$B$1,"")</f>
        <v>driver_INIT</v>
      </c>
      <c r="C30">
        <f t="shared" si="2"/>
        <v>11</v>
      </c>
      <c r="D30" t="s">
        <v>401</v>
      </c>
      <c r="E30" t="str">
        <f t="shared" si="3"/>
        <v>dvr_banked.o</v>
      </c>
      <c r="F30">
        <f t="shared" ref="F30:F31" ca="1" si="16">IFERROR(VLOOKUP(D30,INDIRECT($F$1),2,FALSE),0)</f>
        <v>0</v>
      </c>
      <c r="H30">
        <f ca="1">VLOOKUP(B30,INDIRECT(GlobalPlcmnt!$B$134),GlobalPlcmnt!$A$138,FALSE)</f>
        <v>536806744</v>
      </c>
      <c r="I30" t="str">
        <f t="shared" ca="1" si="1"/>
        <v>0x1FFF0558</v>
      </c>
      <c r="J30" s="4" t="str">
        <f t="shared" ref="J30:J36" ca="1" si="17">IF(B30="","","define symbol "&amp;B30&amp;REPT(" ",$C$4-C30)&amp;"= "&amp;I30&amp;";")</f>
        <v>define symbol driver_INIT     = 0x1FFF0558;</v>
      </c>
      <c r="K30" s="4" t="str">
        <f t="shared" ref="K30:K36" si="18">IF(B30="",REPT(" ",$C$4+$K$4)&amp;$K$2&amp;D30&amp;IF(B31="",","," };"),""""&amp;B30&amp;""":"&amp;REPT(" ",$C$4-C30)&amp;"place at address mem: "&amp;B30&amp;REPT(" ",$C$4-C30)&amp;"{ "&amp;K$2&amp;D30&amp;IF(B31="",","," };"))</f>
        <v>"driver_INIT":     place at address mem: driver_INIT     { rw data section .data object dvr_banked.o,</v>
      </c>
    </row>
    <row r="31" spans="1:11" x14ac:dyDescent="0.25">
      <c r="A31" t="s">
        <v>529</v>
      </c>
      <c r="B31" t="str">
        <f t="shared" si="15"/>
        <v/>
      </c>
      <c r="C31">
        <f t="shared" si="2"/>
        <v>0</v>
      </c>
      <c r="D31" t="s">
        <v>402</v>
      </c>
      <c r="E31" t="str">
        <f t="shared" si="3"/>
        <v>dvr_cache.o</v>
      </c>
      <c r="F31">
        <f t="shared" ca="1" si="16"/>
        <v>0</v>
      </c>
      <c r="H31">
        <f ca="1">H30+F30+G30+IF(MOD(F30+H30+G30,$G$28)=0,0,$G$28-MOD(F30+H30+G30,$G$28))</f>
        <v>536806744</v>
      </c>
      <c r="I31" t="str">
        <f t="shared" ca="1" si="1"/>
        <v>0x1FFF0558</v>
      </c>
      <c r="J31" s="4" t="str">
        <f t="shared" si="17"/>
        <v/>
      </c>
      <c r="K31" s="4" t="str">
        <f t="shared" si="18"/>
        <v xml:space="preserve">                                                           rw data section .data object dvr_cache.o,</v>
      </c>
    </row>
    <row r="32" spans="1:11" x14ac:dyDescent="0.25">
      <c r="A32" t="s">
        <v>529</v>
      </c>
      <c r="B32" t="str">
        <f t="shared" si="15"/>
        <v/>
      </c>
      <c r="C32">
        <f t="shared" si="2"/>
        <v>0</v>
      </c>
      <c r="D32" t="s">
        <v>199</v>
      </c>
      <c r="E32" t="str">
        <f t="shared" ref="E32:E36" si="19">SUBSTITUTE(D32,"-","_")</f>
        <v>dvr_extflash.o</v>
      </c>
      <c r="F32">
        <f t="shared" ref="F32:F36" ca="1" si="20">IFERROR(VLOOKUP(D32,INDIRECT($F$1),2,FALSE),0)</f>
        <v>7</v>
      </c>
      <c r="H32">
        <f t="shared" ref="H32:H36" ca="1" si="21">H31+F31+G31+IF(MOD(F31+H31+G31,$G$28)=0,0,$G$28-MOD(F31+H31+G31,$G$28))</f>
        <v>536806744</v>
      </c>
      <c r="I32" t="str">
        <f t="shared" ref="I32:I36" ca="1" si="22">"0x"&amp;DEC2HEX(H32,8)</f>
        <v>0x1FFF0558</v>
      </c>
      <c r="J32" s="4" t="str">
        <f t="shared" si="17"/>
        <v/>
      </c>
      <c r="K32" s="4" t="str">
        <f t="shared" si="18"/>
        <v xml:space="preserve">                                                           rw data section .data object dvr_extflash.o,</v>
      </c>
    </row>
    <row r="33" spans="1:11" x14ac:dyDescent="0.25">
      <c r="A33" t="s">
        <v>529</v>
      </c>
      <c r="B33" t="str">
        <f t="shared" si="15"/>
        <v/>
      </c>
      <c r="C33">
        <f t="shared" si="2"/>
        <v>0</v>
      </c>
      <c r="D33" t="s">
        <v>403</v>
      </c>
      <c r="E33" t="str">
        <f t="shared" si="19"/>
        <v>dvr_sectPreErase.o</v>
      </c>
      <c r="F33">
        <f t="shared" ca="1" si="20"/>
        <v>0</v>
      </c>
      <c r="H33">
        <f t="shared" ca="1" si="21"/>
        <v>536806752</v>
      </c>
      <c r="I33" t="str">
        <f t="shared" ca="1" si="22"/>
        <v>0x1FFF0560</v>
      </c>
      <c r="J33" s="4" t="str">
        <f t="shared" si="17"/>
        <v/>
      </c>
      <c r="K33" s="4" t="str">
        <f t="shared" si="18"/>
        <v xml:space="preserve">                                                           rw data section .data object dvr_sectPreErase.o,</v>
      </c>
    </row>
    <row r="34" spans="1:11" x14ac:dyDescent="0.25">
      <c r="A34" t="s">
        <v>529</v>
      </c>
      <c r="B34" t="str">
        <f t="shared" si="15"/>
        <v/>
      </c>
      <c r="C34">
        <f t="shared" si="2"/>
        <v>0</v>
      </c>
      <c r="D34" t="s">
        <v>90</v>
      </c>
      <c r="E34" t="str">
        <f t="shared" si="19"/>
        <v>dvr_sharedMem.o</v>
      </c>
      <c r="F34">
        <f t="shared" ca="1" si="20"/>
        <v>0</v>
      </c>
      <c r="H34">
        <f t="shared" ca="1" si="21"/>
        <v>536806752</v>
      </c>
      <c r="I34" t="str">
        <f t="shared" ca="1" si="22"/>
        <v>0x1FFF0560</v>
      </c>
      <c r="J34" s="4" t="str">
        <f t="shared" si="17"/>
        <v/>
      </c>
      <c r="K34" s="4" t="str">
        <f t="shared" si="18"/>
        <v xml:space="preserve">                                                           rw data section .data object dvr_sharedMem.o,</v>
      </c>
    </row>
    <row r="35" spans="1:11" x14ac:dyDescent="0.25">
      <c r="A35" t="s">
        <v>529</v>
      </c>
      <c r="B35" t="str">
        <f t="shared" si="15"/>
        <v/>
      </c>
      <c r="C35">
        <f t="shared" si="2"/>
        <v>0</v>
      </c>
      <c r="D35" t="s">
        <v>406</v>
      </c>
      <c r="E35" t="str">
        <f t="shared" si="19"/>
        <v>IF_intFlash.o</v>
      </c>
      <c r="F35">
        <f t="shared" ca="1" si="20"/>
        <v>0</v>
      </c>
      <c r="H35">
        <f t="shared" ca="1" si="21"/>
        <v>536806752</v>
      </c>
      <c r="I35" t="str">
        <f t="shared" ca="1" si="22"/>
        <v>0x1FFF0560</v>
      </c>
      <c r="J35" s="4" t="str">
        <f t="shared" si="17"/>
        <v/>
      </c>
      <c r="K35" s="4" t="str">
        <f t="shared" si="18"/>
        <v xml:space="preserve">                                                           rw data section .data object IF_intFlash.o,</v>
      </c>
    </row>
    <row r="36" spans="1:11" x14ac:dyDescent="0.25">
      <c r="A36" t="s">
        <v>529</v>
      </c>
      <c r="B36" t="str">
        <f t="shared" si="15"/>
        <v/>
      </c>
      <c r="C36">
        <f t="shared" si="2"/>
        <v>0</v>
      </c>
      <c r="D36" t="s">
        <v>294</v>
      </c>
      <c r="E36" t="str">
        <f t="shared" si="19"/>
        <v>spi_mstr.o</v>
      </c>
      <c r="F36">
        <f t="shared" ca="1" si="20"/>
        <v>1</v>
      </c>
      <c r="H36">
        <f t="shared" ca="1" si="21"/>
        <v>536806752</v>
      </c>
      <c r="I36" t="str">
        <f t="shared" ca="1" si="22"/>
        <v>0x1FFF0560</v>
      </c>
      <c r="J36" s="4" t="str">
        <f t="shared" si="17"/>
        <v/>
      </c>
      <c r="K36" s="4" t="str">
        <f t="shared" si="18"/>
        <v xml:space="preserve">                                                           rw data section .data object spi_mstr.o };</v>
      </c>
    </row>
    <row r="37" spans="1:11" x14ac:dyDescent="0.25">
      <c r="B37" t="str">
        <f>B30&amp;"_end"</f>
        <v>driver_INIT_end</v>
      </c>
      <c r="F37">
        <f ca="1">SUM(F30:F36)</f>
        <v>8</v>
      </c>
      <c r="G37">
        <f ca="1">INT(($G$27/100)*F37)</f>
        <v>0</v>
      </c>
      <c r="H37">
        <f ca="1">H36+F36+G37+IF(MOD(F36+H36+G37,$G$28)=0,0,$G$28-MOD(F36+H36+G37,$G$28))</f>
        <v>536806760</v>
      </c>
      <c r="I37" t="str">
        <f t="shared" ca="1" si="1"/>
        <v>0x1FFF0568</v>
      </c>
      <c r="J37" s="4"/>
      <c r="K37" s="4"/>
    </row>
    <row r="38" spans="1:11" x14ac:dyDescent="0.25">
      <c r="J38" s="4"/>
      <c r="K38" s="4"/>
    </row>
    <row r="39" spans="1:11" x14ac:dyDescent="0.25">
      <c r="F39" t="s">
        <v>526</v>
      </c>
      <c r="G39">
        <f ca="1">VLOOKUP(B42,INDIRECT(GlobalPlcmnt!$B$134),GlobalPlcmnt!$B$138,FALSE)</f>
        <v>5</v>
      </c>
      <c r="J39" s="4"/>
      <c r="K39" s="4"/>
    </row>
    <row r="40" spans="1:11" x14ac:dyDescent="0.25">
      <c r="F40" t="s">
        <v>608</v>
      </c>
      <c r="G40">
        <f ca="1">VLOOKUP(B42,INDIRECT(GlobalPlcmnt!$B$134),GlobalPlcmnt!$C$138,FALSE)</f>
        <v>8</v>
      </c>
      <c r="J40" s="4"/>
      <c r="K40" s="4"/>
    </row>
    <row r="41" spans="1:11" x14ac:dyDescent="0.25">
      <c r="F41" t="s">
        <v>542</v>
      </c>
      <c r="J41" s="4"/>
      <c r="K41" s="4"/>
    </row>
    <row r="42" spans="1:11" x14ac:dyDescent="0.25">
      <c r="A42" t="s">
        <v>530</v>
      </c>
      <c r="B42" t="str">
        <f t="shared" ref="B42:B43" si="23">IF(A42&lt;&gt;A41,A42&amp;$B$1,"")</f>
        <v>stack_INIT</v>
      </c>
      <c r="C42">
        <f t="shared" si="2"/>
        <v>10</v>
      </c>
      <c r="D42" t="s">
        <v>232</v>
      </c>
      <c r="E42" t="str">
        <f t="shared" si="3"/>
        <v>COMM.o</v>
      </c>
      <c r="F42">
        <f t="shared" ref="F42:F43" ca="1" si="24">IFERROR(VLOOKUP(D42,INDIRECT($F$1),2,FALSE),0)</f>
        <v>0</v>
      </c>
      <c r="H42">
        <f ca="1">VLOOKUP(B42,INDIRECT(GlobalPlcmnt!$B$134),GlobalPlcmnt!$A$138,FALSE)</f>
        <v>536806760</v>
      </c>
      <c r="I42" t="str">
        <f t="shared" ca="1" si="1"/>
        <v>0x1FFF0568</v>
      </c>
      <c r="J42" s="4" t="str">
        <f t="shared" ref="J42" ca="1" si="25">IF(B42="","","define symbol "&amp;B42&amp;REPT(" ",$C$4-C42)&amp;"= "&amp;I42&amp;";")</f>
        <v>define symbol stack_INIT      = 0x1FFF0568;</v>
      </c>
      <c r="K42" s="4" t="str">
        <f t="shared" ref="K42:K75" si="26">IF(B42="",REPT(" ",$C$4+$K$4)&amp;$K$2&amp;D42&amp;IF(B43="",","," };"),""""&amp;B42&amp;""":"&amp;REPT(" ",$C$4-C42)&amp;"place at address mem: "&amp;B42&amp;REPT(" ",$C$4-C42)&amp;"{ "&amp;K$2&amp;D42&amp;IF(B43="",","," };"))</f>
        <v>"stack_INIT":      place at address mem: stack_INIT      { rw data section .data object COMM.o,</v>
      </c>
    </row>
    <row r="43" spans="1:11" x14ac:dyDescent="0.25">
      <c r="A43" t="s">
        <v>530</v>
      </c>
      <c r="B43" t="str">
        <f t="shared" si="23"/>
        <v/>
      </c>
      <c r="C43">
        <f t="shared" si="2"/>
        <v>0</v>
      </c>
      <c r="D43" t="s">
        <v>233</v>
      </c>
      <c r="E43" t="str">
        <f t="shared" si="3"/>
        <v>SM.o</v>
      </c>
      <c r="F43">
        <f t="shared" ca="1" si="24"/>
        <v>32</v>
      </c>
      <c r="H43">
        <f ca="1">H42+F42+G42+IF(MOD(F42+H42+G42,$G$40)=0,0,$G$40-MOD(F42+H42+G42,$G$40))</f>
        <v>536806760</v>
      </c>
      <c r="I43" t="str">
        <f t="shared" ca="1" si="1"/>
        <v>0x1FFF0568</v>
      </c>
      <c r="J43" s="4" t="str">
        <f t="shared" ref="J43:J52" si="27">IF(B43="","","define symbol "&amp;B43&amp;REPT(" ",$C$4-C43)&amp;"= "&amp;I43&amp;";")</f>
        <v/>
      </c>
      <c r="K43" s="4" t="str">
        <f t="shared" si="26"/>
        <v xml:space="preserve">                                                           rw data section .data object SM.o,</v>
      </c>
    </row>
    <row r="44" spans="1:11" x14ac:dyDescent="0.25">
      <c r="A44" t="s">
        <v>530</v>
      </c>
      <c r="B44" t="str">
        <f t="shared" ref="B44:B75" si="28">IF(A44&lt;&gt;A43,A44&amp;$B$1,"")</f>
        <v/>
      </c>
      <c r="C44">
        <f t="shared" ref="C44:C75" si="29">LEN(B44)</f>
        <v>0</v>
      </c>
      <c r="D44" t="s">
        <v>226</v>
      </c>
      <c r="E44" t="str">
        <f t="shared" ref="E44:E76" si="30">SUBSTITUTE(D44,"-","_")</f>
        <v>smtd_config.o</v>
      </c>
      <c r="F44">
        <f t="shared" ref="F44:F75" ca="1" si="31">IFERROR(VLOOKUP(D44,INDIRECT($F$1),2,FALSE),0)</f>
        <v>0</v>
      </c>
      <c r="H44">
        <f t="shared" ref="H44:H75" ca="1" si="32">H43+F43+G43+IF(MOD(F43+H43+G43,$G$40)=0,0,$G$40-MOD(F43+H43+G43,$G$40))</f>
        <v>536806792</v>
      </c>
      <c r="I44" t="str">
        <f t="shared" ref="I44:I75" ca="1" si="33">"0x"&amp;DEC2HEX(H44,8)</f>
        <v>0x1FFF0588</v>
      </c>
      <c r="J44" s="4" t="str">
        <f t="shared" si="27"/>
        <v/>
      </c>
      <c r="K44" s="4" t="str">
        <f t="shared" si="26"/>
        <v xml:space="preserve">                                                           rw data section .data object smtd_config.o,</v>
      </c>
    </row>
    <row r="45" spans="1:11" x14ac:dyDescent="0.25">
      <c r="A45" t="s">
        <v>530</v>
      </c>
      <c r="B45" t="str">
        <f t="shared" si="28"/>
        <v/>
      </c>
      <c r="C45">
        <f t="shared" si="29"/>
        <v>0</v>
      </c>
      <c r="D45" t="s">
        <v>137</v>
      </c>
      <c r="E45" t="str">
        <f t="shared" si="30"/>
        <v>dtls.o</v>
      </c>
      <c r="F45">
        <f t="shared" ca="1" si="31"/>
        <v>80</v>
      </c>
      <c r="H45">
        <f t="shared" ca="1" si="32"/>
        <v>536806792</v>
      </c>
      <c r="I45" t="str">
        <f t="shared" ca="1" si="33"/>
        <v>0x1FFF0588</v>
      </c>
      <c r="J45" s="4" t="str">
        <f t="shared" si="27"/>
        <v/>
      </c>
      <c r="K45" s="4" t="str">
        <f t="shared" si="26"/>
        <v xml:space="preserve">                                                           rw data section .data object dtls.o,</v>
      </c>
    </row>
    <row r="46" spans="1:11" x14ac:dyDescent="0.25">
      <c r="A46" t="s">
        <v>530</v>
      </c>
      <c r="B46" t="str">
        <f t="shared" si="28"/>
        <v/>
      </c>
      <c r="C46">
        <f t="shared" si="29"/>
        <v>0</v>
      </c>
      <c r="D46" t="s">
        <v>1046</v>
      </c>
      <c r="E46" t="str">
        <f t="shared" si="30"/>
        <v>mtls.o</v>
      </c>
      <c r="F46">
        <f t="shared" ca="1" si="31"/>
        <v>72</v>
      </c>
      <c r="H46">
        <f t="shared" ca="1" si="32"/>
        <v>536806872</v>
      </c>
      <c r="I46" t="str">
        <f t="shared" ca="1" si="33"/>
        <v>0x1FFF05D8</v>
      </c>
      <c r="J46" s="4" t="str">
        <f t="shared" si="27"/>
        <v/>
      </c>
      <c r="K46" s="4" t="str">
        <f t="shared" si="26"/>
        <v xml:space="preserve">                                                           rw data section .data object mtls.o,</v>
      </c>
    </row>
    <row r="47" spans="1:11" x14ac:dyDescent="0.25">
      <c r="A47" t="s">
        <v>530</v>
      </c>
      <c r="B47" t="str">
        <f t="shared" si="28"/>
        <v/>
      </c>
      <c r="C47">
        <f t="shared" si="29"/>
        <v>0</v>
      </c>
      <c r="D47" t="s">
        <v>138</v>
      </c>
      <c r="E47" t="str">
        <f t="shared" si="30"/>
        <v>STACK.o</v>
      </c>
      <c r="F47">
        <f t="shared" ca="1" si="31"/>
        <v>92</v>
      </c>
      <c r="H47">
        <f t="shared" ca="1" si="32"/>
        <v>536806944</v>
      </c>
      <c r="I47" t="str">
        <f t="shared" ca="1" si="33"/>
        <v>0x1FFF0620</v>
      </c>
      <c r="J47" s="4" t="str">
        <f t="shared" si="27"/>
        <v/>
      </c>
      <c r="K47" s="4" t="str">
        <f t="shared" si="26"/>
        <v xml:space="preserve">                                                           rw data section .data object STACK.o,</v>
      </c>
    </row>
    <row r="48" spans="1:11" x14ac:dyDescent="0.25">
      <c r="A48" t="s">
        <v>530</v>
      </c>
      <c r="B48" t="str">
        <f t="shared" si="28"/>
        <v/>
      </c>
      <c r="C48">
        <f t="shared" si="29"/>
        <v>0</v>
      </c>
      <c r="D48" t="s">
        <v>91</v>
      </c>
      <c r="E48" t="str">
        <f t="shared" si="30"/>
        <v>MAC.o</v>
      </c>
      <c r="F48">
        <f t="shared" ca="1" si="31"/>
        <v>72</v>
      </c>
      <c r="H48">
        <f t="shared" ca="1" si="32"/>
        <v>536807040</v>
      </c>
      <c r="I48" t="str">
        <f t="shared" ca="1" si="33"/>
        <v>0x1FFF0680</v>
      </c>
      <c r="J48" s="4" t="str">
        <f t="shared" si="27"/>
        <v/>
      </c>
      <c r="K48" s="4" t="str">
        <f t="shared" si="26"/>
        <v xml:space="preserve">                                                           rw data section .data object MAC.o,</v>
      </c>
    </row>
    <row r="49" spans="1:11" x14ac:dyDescent="0.25">
      <c r="A49" t="s">
        <v>530</v>
      </c>
      <c r="B49" t="str">
        <f t="shared" si="28"/>
        <v/>
      </c>
      <c r="C49">
        <f t="shared" si="29"/>
        <v>0</v>
      </c>
      <c r="D49" t="s">
        <v>160</v>
      </c>
      <c r="E49" t="str">
        <f t="shared" si="30"/>
        <v>MAC_FrameEncoder.o</v>
      </c>
      <c r="F49">
        <f t="shared" ca="1" si="31"/>
        <v>0</v>
      </c>
      <c r="H49">
        <f t="shared" ca="1" si="32"/>
        <v>536807112</v>
      </c>
      <c r="I49" t="str">
        <f t="shared" ca="1" si="33"/>
        <v>0x1FFF06C8</v>
      </c>
      <c r="J49" s="4" t="str">
        <f t="shared" si="27"/>
        <v/>
      </c>
      <c r="K49" s="4" t="str">
        <f t="shared" si="26"/>
        <v xml:space="preserve">                                                           rw data section .data object MAC_FrameEncoder.o,</v>
      </c>
    </row>
    <row r="50" spans="1:11" x14ac:dyDescent="0.25">
      <c r="A50" t="s">
        <v>530</v>
      </c>
      <c r="B50" t="str">
        <f t="shared" si="28"/>
        <v/>
      </c>
      <c r="C50">
        <f t="shared" si="29"/>
        <v>0</v>
      </c>
      <c r="D50" t="s">
        <v>157</v>
      </c>
      <c r="E50" t="str">
        <f t="shared" si="30"/>
        <v>MAC_FrameManagement.o</v>
      </c>
      <c r="F50">
        <f t="shared" ca="1" si="31"/>
        <v>0</v>
      </c>
      <c r="H50">
        <f t="shared" ca="1" si="32"/>
        <v>536807112</v>
      </c>
      <c r="I50" t="str">
        <f t="shared" ca="1" si="33"/>
        <v>0x1FFF06C8</v>
      </c>
      <c r="J50" s="4" t="str">
        <f t="shared" si="27"/>
        <v/>
      </c>
      <c r="K50" s="4" t="str">
        <f t="shared" si="26"/>
        <v xml:space="preserve">                                                           rw data section .data object MAC_FrameManagement.o,</v>
      </c>
    </row>
    <row r="51" spans="1:11" x14ac:dyDescent="0.25">
      <c r="A51" t="s">
        <v>530</v>
      </c>
      <c r="B51" t="str">
        <f t="shared" si="28"/>
        <v/>
      </c>
      <c r="C51">
        <f t="shared" si="29"/>
        <v>0</v>
      </c>
      <c r="D51" t="s">
        <v>158</v>
      </c>
      <c r="E51" t="str">
        <f t="shared" si="30"/>
        <v>MAC_PacketManagement.o</v>
      </c>
      <c r="F51">
        <f t="shared" ca="1" si="31"/>
        <v>2</v>
      </c>
      <c r="H51">
        <f t="shared" ca="1" si="32"/>
        <v>536807112</v>
      </c>
      <c r="I51" t="str">
        <f t="shared" ca="1" si="33"/>
        <v>0x1FFF06C8</v>
      </c>
      <c r="J51" s="4" t="str">
        <f t="shared" si="27"/>
        <v/>
      </c>
      <c r="K51" s="4" t="str">
        <f t="shared" si="26"/>
        <v xml:space="preserve">                                                           rw data section .data object MAC_PacketManagement.o,</v>
      </c>
    </row>
    <row r="52" spans="1:11" x14ac:dyDescent="0.25">
      <c r="A52" t="s">
        <v>530</v>
      </c>
      <c r="B52" t="str">
        <f t="shared" si="28"/>
        <v/>
      </c>
      <c r="C52">
        <f t="shared" si="29"/>
        <v>0</v>
      </c>
      <c r="D52" t="s">
        <v>159</v>
      </c>
      <c r="E52" t="str">
        <f t="shared" si="30"/>
        <v>PHY.o</v>
      </c>
      <c r="F52">
        <f t="shared" ca="1" si="31"/>
        <v>176</v>
      </c>
      <c r="H52">
        <f t="shared" ca="1" si="32"/>
        <v>536807120</v>
      </c>
      <c r="I52" t="str">
        <f t="shared" ca="1" si="33"/>
        <v>0x1FFF06D0</v>
      </c>
      <c r="J52" s="4" t="str">
        <f t="shared" si="27"/>
        <v/>
      </c>
      <c r="K52" s="4" t="str">
        <f t="shared" si="26"/>
        <v xml:space="preserve">                                                           rw data section .data object PHY.o,</v>
      </c>
    </row>
    <row r="53" spans="1:11" x14ac:dyDescent="0.25">
      <c r="A53" t="s">
        <v>530</v>
      </c>
      <c r="B53" t="str">
        <f t="shared" si="28"/>
        <v/>
      </c>
      <c r="C53">
        <f t="shared" si="29"/>
        <v>0</v>
      </c>
      <c r="D53" t="s">
        <v>1106</v>
      </c>
      <c r="E53" t="str">
        <f t="shared" si="30"/>
        <v>EstimateCarrierFrequencyOffset.o</v>
      </c>
      <c r="F53">
        <f t="shared" ca="1" si="31"/>
        <v>0</v>
      </c>
      <c r="H53">
        <f t="shared" ca="1" si="32"/>
        <v>536807296</v>
      </c>
      <c r="I53" t="str">
        <f t="shared" ca="1" si="33"/>
        <v>0x1FFF0780</v>
      </c>
      <c r="J53" s="4" t="str">
        <f t="shared" ref="J53:J67" si="34">IF(B53="","","define symbol "&amp;B53&amp;REPT(" ",$C$4-C53)&amp;"= "&amp;I53&amp;";")</f>
        <v/>
      </c>
      <c r="K53" s="4" t="str">
        <f t="shared" si="26"/>
        <v xml:space="preserve">                                                           rw data section .data object EstimateCarrierFrequencyOffset.o,</v>
      </c>
    </row>
    <row r="54" spans="1:11" x14ac:dyDescent="0.25">
      <c r="A54" t="s">
        <v>530</v>
      </c>
      <c r="B54" t="str">
        <f t="shared" si="28"/>
        <v/>
      </c>
      <c r="C54">
        <f t="shared" si="29"/>
        <v>0</v>
      </c>
      <c r="D54" t="s">
        <v>1107</v>
      </c>
      <c r="E54" t="str">
        <f t="shared" si="30"/>
        <v>MaximizeEyeOpening.o</v>
      </c>
      <c r="F54">
        <f t="shared" ca="1" si="31"/>
        <v>0</v>
      </c>
      <c r="H54">
        <f t="shared" ca="1" si="32"/>
        <v>536807296</v>
      </c>
      <c r="I54" t="str">
        <f t="shared" ca="1" si="33"/>
        <v>0x1FFF0780</v>
      </c>
      <c r="J54" s="4" t="str">
        <f t="shared" si="34"/>
        <v/>
      </c>
      <c r="K54" s="4" t="str">
        <f t="shared" si="26"/>
        <v xml:space="preserve">                                                           rw data section .data object MaximizeEyeOpening.o,</v>
      </c>
    </row>
    <row r="55" spans="1:11" x14ac:dyDescent="0.25">
      <c r="A55" t="s">
        <v>530</v>
      </c>
      <c r="B55" t="str">
        <f t="shared" si="28"/>
        <v/>
      </c>
      <c r="C55">
        <f t="shared" si="29"/>
        <v>0</v>
      </c>
      <c r="D55" t="s">
        <v>1108</v>
      </c>
      <c r="E55" t="str">
        <f t="shared" si="30"/>
        <v>PerformCFOCompensation.o</v>
      </c>
      <c r="F55">
        <f t="shared" ca="1" si="31"/>
        <v>0</v>
      </c>
      <c r="H55">
        <f t="shared" ca="1" si="32"/>
        <v>536807296</v>
      </c>
      <c r="I55" t="str">
        <f t="shared" ca="1" si="33"/>
        <v>0x1FFF0780</v>
      </c>
      <c r="J55" s="4" t="str">
        <f t="shared" si="34"/>
        <v/>
      </c>
      <c r="K55" s="4" t="str">
        <f t="shared" si="26"/>
        <v xml:space="preserve">                                                           rw data section .data object PerformCFOCompensation.o,</v>
      </c>
    </row>
    <row r="56" spans="1:11" x14ac:dyDescent="0.25">
      <c r="A56" t="s">
        <v>530</v>
      </c>
      <c r="B56" t="str">
        <f t="shared" si="28"/>
        <v/>
      </c>
      <c r="C56">
        <f t="shared" si="29"/>
        <v>0</v>
      </c>
      <c r="D56" t="s">
        <v>1109</v>
      </c>
      <c r="E56" t="str">
        <f t="shared" si="30"/>
        <v>preamble_detect.o</v>
      </c>
      <c r="F56">
        <f t="shared" ca="1" si="31"/>
        <v>0</v>
      </c>
      <c r="H56">
        <f t="shared" ca="1" si="32"/>
        <v>536807296</v>
      </c>
      <c r="I56" t="str">
        <f t="shared" ca="1" si="33"/>
        <v>0x1FFF0780</v>
      </c>
      <c r="J56" s="4" t="str">
        <f t="shared" si="34"/>
        <v/>
      </c>
      <c r="K56" s="4" t="str">
        <f t="shared" si="26"/>
        <v xml:space="preserve">                                                           rw data section .data object preamble_detect.o,</v>
      </c>
    </row>
    <row r="57" spans="1:11" x14ac:dyDescent="0.25">
      <c r="A57" t="s">
        <v>530</v>
      </c>
      <c r="B57" t="str">
        <f t="shared" si="28"/>
        <v/>
      </c>
      <c r="C57">
        <f t="shared" si="29"/>
        <v>0</v>
      </c>
      <c r="D57" t="s">
        <v>1110</v>
      </c>
      <c r="E57" t="str">
        <f t="shared" si="30"/>
        <v>preambleDetector.o</v>
      </c>
      <c r="F57">
        <f t="shared" ca="1" si="31"/>
        <v>0</v>
      </c>
      <c r="H57">
        <f t="shared" ca="1" si="32"/>
        <v>536807296</v>
      </c>
      <c r="I57" t="str">
        <f t="shared" ca="1" si="33"/>
        <v>0x1FFF0780</v>
      </c>
      <c r="J57" s="4" t="str">
        <f t="shared" si="34"/>
        <v/>
      </c>
      <c r="K57" s="4" t="str">
        <f t="shared" si="26"/>
        <v xml:space="preserve">                                                           rw data section .data object preambleDetector.o,</v>
      </c>
    </row>
    <row r="58" spans="1:11" x14ac:dyDescent="0.25">
      <c r="A58" t="s">
        <v>530</v>
      </c>
      <c r="B58" t="str">
        <f t="shared" si="28"/>
        <v/>
      </c>
      <c r="C58">
        <f t="shared" si="29"/>
        <v>0</v>
      </c>
      <c r="D58" t="s">
        <v>1127</v>
      </c>
      <c r="E58" t="str">
        <f t="shared" si="30"/>
        <v>preambleDetector_Data.o</v>
      </c>
      <c r="F58">
        <f t="shared" ca="1" si="31"/>
        <v>0</v>
      </c>
      <c r="H58">
        <f t="shared" ca="1" si="32"/>
        <v>536807296</v>
      </c>
      <c r="I58" t="str">
        <f t="shared" ca="1" si="33"/>
        <v>0x1FFF0780</v>
      </c>
      <c r="J58" s="4" t="str">
        <f t="shared" si="34"/>
        <v/>
      </c>
      <c r="K58" s="4" t="str">
        <f t="shared" si="26"/>
        <v xml:space="preserve">                                                           rw data section .data object preambleDetector_Data.o,</v>
      </c>
    </row>
    <row r="59" spans="1:11" x14ac:dyDescent="0.25">
      <c r="A59" t="s">
        <v>530</v>
      </c>
      <c r="B59" t="str">
        <f t="shared" si="28"/>
        <v/>
      </c>
      <c r="C59">
        <f t="shared" si="29"/>
        <v>0</v>
      </c>
      <c r="D59" t="s">
        <v>1112</v>
      </c>
      <c r="E59" t="str">
        <f t="shared" si="30"/>
        <v>preambleDetector_initialize.o</v>
      </c>
      <c r="F59">
        <f t="shared" ca="1" si="31"/>
        <v>0</v>
      </c>
      <c r="H59">
        <f t="shared" ca="1" si="32"/>
        <v>536807296</v>
      </c>
      <c r="I59" t="str">
        <f t="shared" ca="1" si="33"/>
        <v>0x1FFF0780</v>
      </c>
      <c r="J59" s="4" t="str">
        <f t="shared" si="34"/>
        <v/>
      </c>
      <c r="K59" s="4" t="str">
        <f t="shared" si="26"/>
        <v xml:space="preserve">                                                           rw data section .data object preambleDetector_initialize.o,</v>
      </c>
    </row>
    <row r="60" spans="1:11" x14ac:dyDescent="0.25">
      <c r="A60" t="s">
        <v>530</v>
      </c>
      <c r="B60" t="str">
        <f t="shared" si="28"/>
        <v/>
      </c>
      <c r="C60">
        <f t="shared" si="29"/>
        <v>0</v>
      </c>
      <c r="D60" t="s">
        <v>1128</v>
      </c>
      <c r="E60" t="str">
        <f t="shared" si="30"/>
        <v>processDerotatedSamples.o</v>
      </c>
      <c r="F60">
        <f t="shared" ca="1" si="31"/>
        <v>0</v>
      </c>
      <c r="H60">
        <f t="shared" ca="1" si="32"/>
        <v>536807296</v>
      </c>
      <c r="I60" t="str">
        <f t="shared" ca="1" si="33"/>
        <v>0x1FFF0780</v>
      </c>
      <c r="J60" s="4" t="str">
        <f t="shared" si="34"/>
        <v/>
      </c>
      <c r="K60" s="4" t="str">
        <f t="shared" si="26"/>
        <v xml:space="preserve">                                                           rw data section .data object processDerotatedSamples.o,</v>
      </c>
    </row>
    <row r="61" spans="1:11" x14ac:dyDescent="0.25">
      <c r="A61" t="s">
        <v>530</v>
      </c>
      <c r="B61" t="str">
        <f t="shared" si="28"/>
        <v/>
      </c>
      <c r="C61">
        <f t="shared" si="29"/>
        <v>0</v>
      </c>
      <c r="D61" t="s">
        <v>1113</v>
      </c>
      <c r="E61" t="str">
        <f t="shared" si="30"/>
        <v>ScaleClipFreq2phase.o</v>
      </c>
      <c r="F61">
        <f t="shared" ca="1" si="31"/>
        <v>0</v>
      </c>
      <c r="H61">
        <f t="shared" ca="1" si="32"/>
        <v>536807296</v>
      </c>
      <c r="I61" t="str">
        <f t="shared" ca="1" si="33"/>
        <v>0x1FFF0780</v>
      </c>
      <c r="J61" s="4" t="str">
        <f t="shared" si="34"/>
        <v/>
      </c>
      <c r="K61" s="4" t="str">
        <f t="shared" si="26"/>
        <v xml:space="preserve">                                                           rw data section .data object ScaleClipFreq2phase.o,</v>
      </c>
    </row>
    <row r="62" spans="1:11" x14ac:dyDescent="0.25">
      <c r="A62" t="s">
        <v>530</v>
      </c>
      <c r="B62" t="str">
        <f t="shared" si="28"/>
        <v/>
      </c>
      <c r="C62">
        <f t="shared" si="29"/>
        <v>0</v>
      </c>
      <c r="D62" t="s">
        <v>1114</v>
      </c>
      <c r="E62" t="str">
        <f t="shared" si="30"/>
        <v>sign.o</v>
      </c>
      <c r="F62">
        <f t="shared" ca="1" si="31"/>
        <v>0</v>
      </c>
      <c r="H62">
        <f t="shared" ca="1" si="32"/>
        <v>536807296</v>
      </c>
      <c r="I62" t="str">
        <f t="shared" ca="1" si="33"/>
        <v>0x1FFF0780</v>
      </c>
      <c r="J62" s="4" t="str">
        <f t="shared" si="34"/>
        <v/>
      </c>
      <c r="K62" s="4" t="str">
        <f t="shared" si="26"/>
        <v xml:space="preserve">                                                           rw data section .data object sign.o,</v>
      </c>
    </row>
    <row r="63" spans="1:11" x14ac:dyDescent="0.25">
      <c r="A63" t="s">
        <v>530</v>
      </c>
      <c r="B63" t="str">
        <f t="shared" si="28"/>
        <v/>
      </c>
      <c r="C63">
        <f t="shared" si="29"/>
        <v>0</v>
      </c>
      <c r="D63" t="s">
        <v>1115</v>
      </c>
      <c r="E63" t="str">
        <f t="shared" si="30"/>
        <v>fir_filt_circ_buff.o</v>
      </c>
      <c r="F63">
        <f t="shared" ca="1" si="31"/>
        <v>0</v>
      </c>
      <c r="H63">
        <f t="shared" ca="1" si="32"/>
        <v>536807296</v>
      </c>
      <c r="I63" t="str">
        <f t="shared" ca="1" si="33"/>
        <v>0x1FFF0780</v>
      </c>
      <c r="J63" s="4" t="str">
        <f t="shared" si="34"/>
        <v/>
      </c>
      <c r="K63" s="4" t="str">
        <f t="shared" si="26"/>
        <v xml:space="preserve">                                                           rw data section .data object fir_filt_circ_buff.o,</v>
      </c>
    </row>
    <row r="64" spans="1:11" x14ac:dyDescent="0.25">
      <c r="A64" t="s">
        <v>530</v>
      </c>
      <c r="B64" t="str">
        <f t="shared" si="28"/>
        <v/>
      </c>
      <c r="C64">
        <f t="shared" si="29"/>
        <v>0</v>
      </c>
      <c r="D64" t="s">
        <v>1116</v>
      </c>
      <c r="E64" t="str">
        <f t="shared" si="30"/>
        <v>gresample.o</v>
      </c>
      <c r="F64">
        <f t="shared" ca="1" si="31"/>
        <v>0</v>
      </c>
      <c r="H64">
        <f t="shared" ca="1" si="32"/>
        <v>536807296</v>
      </c>
      <c r="I64" t="str">
        <f t="shared" ca="1" si="33"/>
        <v>0x1FFF0780</v>
      </c>
      <c r="J64" s="4" t="str">
        <f t="shared" si="34"/>
        <v/>
      </c>
      <c r="K64" s="4" t="str">
        <f t="shared" si="26"/>
        <v xml:space="preserve">                                                           rw data section .data object gresample.o,</v>
      </c>
    </row>
    <row r="65" spans="1:11" x14ac:dyDescent="0.25">
      <c r="A65" t="s">
        <v>530</v>
      </c>
      <c r="B65" t="str">
        <f t="shared" si="28"/>
        <v/>
      </c>
      <c r="C65">
        <f t="shared" si="29"/>
        <v>0</v>
      </c>
      <c r="D65" t="s">
        <v>1117</v>
      </c>
      <c r="E65" t="str">
        <f t="shared" si="30"/>
        <v>phase2freq_wi_unwrap.o</v>
      </c>
      <c r="F65">
        <f t="shared" ca="1" si="31"/>
        <v>0</v>
      </c>
      <c r="H65">
        <f t="shared" ca="1" si="32"/>
        <v>536807296</v>
      </c>
      <c r="I65" t="str">
        <f t="shared" ca="1" si="33"/>
        <v>0x1FFF0780</v>
      </c>
      <c r="J65" s="4" t="str">
        <f t="shared" si="34"/>
        <v/>
      </c>
      <c r="K65" s="4" t="str">
        <f t="shared" si="26"/>
        <v xml:space="preserve">                                                           rw data section .data object phase2freq_wi_unwrap.o,</v>
      </c>
    </row>
    <row r="66" spans="1:11" x14ac:dyDescent="0.25">
      <c r="A66" t="s">
        <v>530</v>
      </c>
      <c r="B66" t="str">
        <f t="shared" si="28"/>
        <v/>
      </c>
      <c r="C66">
        <f t="shared" si="29"/>
        <v>0</v>
      </c>
      <c r="D66" t="s">
        <v>1118</v>
      </c>
      <c r="E66" t="str">
        <f t="shared" si="30"/>
        <v>findSYNC.o</v>
      </c>
      <c r="F66">
        <f t="shared" ca="1" si="31"/>
        <v>0</v>
      </c>
      <c r="H66">
        <f t="shared" ca="1" si="32"/>
        <v>536807296</v>
      </c>
      <c r="I66" t="str">
        <f t="shared" ca="1" si="33"/>
        <v>0x1FFF0780</v>
      </c>
      <c r="J66" s="4" t="str">
        <f t="shared" si="34"/>
        <v/>
      </c>
      <c r="K66" s="4" t="str">
        <f t="shared" si="26"/>
        <v xml:space="preserve">                                                           rw data section .data object findSYNC.o,</v>
      </c>
    </row>
    <row r="67" spans="1:11" x14ac:dyDescent="0.25">
      <c r="A67" t="s">
        <v>530</v>
      </c>
      <c r="B67" t="str">
        <f t="shared" si="28"/>
        <v/>
      </c>
      <c r="C67">
        <f t="shared" si="29"/>
        <v>0</v>
      </c>
      <c r="D67" t="s">
        <v>1120</v>
      </c>
      <c r="E67" t="str">
        <f t="shared" si="30"/>
        <v>FreqDomMlseP4GfskStruct2.o</v>
      </c>
      <c r="F67">
        <f t="shared" ca="1" si="31"/>
        <v>0</v>
      </c>
      <c r="H67">
        <f t="shared" ca="1" si="32"/>
        <v>536807296</v>
      </c>
      <c r="I67" t="str">
        <f t="shared" ca="1" si="33"/>
        <v>0x1FFF0780</v>
      </c>
      <c r="J67" s="4" t="str">
        <f t="shared" si="34"/>
        <v/>
      </c>
      <c r="K67" s="4" t="str">
        <f t="shared" si="26"/>
        <v xml:space="preserve">                                                           rw data section .data object FreqDomMlseP4GfskStruct2.o,</v>
      </c>
    </row>
    <row r="68" spans="1:11" x14ac:dyDescent="0.25">
      <c r="A68" t="s">
        <v>530</v>
      </c>
      <c r="B68" t="str">
        <f t="shared" ref="B68:B72" si="35">IF(A68&lt;&gt;A67,A68&amp;$B$1,"")</f>
        <v/>
      </c>
      <c r="C68">
        <f t="shared" ref="C68:C72" si="36">LEN(B68)</f>
        <v>0</v>
      </c>
      <c r="D68" t="s">
        <v>1121</v>
      </c>
      <c r="E68" t="str">
        <f t="shared" si="30"/>
        <v>processDerotatedSPDSamples.o</v>
      </c>
      <c r="F68">
        <f t="shared" ref="F68:F73" ca="1" si="37">IFERROR(VLOOKUP(D68,INDIRECT($F$1),2,FALSE),0)</f>
        <v>0</v>
      </c>
      <c r="H68">
        <f t="shared" ref="H68:H73" ca="1" si="38">H67+F67+G67+IF(MOD(F67+H67+G67,$G$40)=0,0,$G$40-MOD(F67+H67+G67,$G$40))</f>
        <v>536807296</v>
      </c>
      <c r="I68" t="str">
        <f t="shared" ref="I68:I73" ca="1" si="39">"0x"&amp;DEC2HEX(H68,8)</f>
        <v>0x1FFF0780</v>
      </c>
      <c r="J68" s="4" t="str">
        <f t="shared" ref="J68:J73" si="40">IF(B68="","","define symbol "&amp;B68&amp;REPT(" ",$C$4-C68)&amp;"= "&amp;I68&amp;";")</f>
        <v/>
      </c>
      <c r="K68" s="4" t="str">
        <f t="shared" ref="K68:K73" si="41">IF(B68="",REPT(" ",$C$4+$K$4)&amp;$K$2&amp;D68&amp;IF(B69="",","," };"),""""&amp;B68&amp;""":"&amp;REPT(" ",$C$4-C68)&amp;"place at address mem: "&amp;B68&amp;REPT(" ",$C$4-C68)&amp;"{ "&amp;K$2&amp;D68&amp;IF(B69="",","," };"))</f>
        <v xml:space="preserve">                                                           rw data section .data object processDerotatedSPDSamples.o,</v>
      </c>
    </row>
    <row r="69" spans="1:11" x14ac:dyDescent="0.25">
      <c r="A69" t="s">
        <v>530</v>
      </c>
      <c r="B69" t="str">
        <f t="shared" si="35"/>
        <v/>
      </c>
      <c r="C69">
        <f t="shared" si="36"/>
        <v>0</v>
      </c>
      <c r="D69" t="s">
        <v>1119</v>
      </c>
      <c r="E69" t="str">
        <f t="shared" ref="E69:E72" si="42">SUBSTITUTE(D69,"-","_")</f>
        <v>SyncAndPayloadDemodulator.o</v>
      </c>
      <c r="F69">
        <f t="shared" ca="1" si="37"/>
        <v>0</v>
      </c>
      <c r="H69">
        <f t="shared" ca="1" si="38"/>
        <v>536807296</v>
      </c>
      <c r="I69" t="str">
        <f t="shared" ca="1" si="39"/>
        <v>0x1FFF0780</v>
      </c>
      <c r="J69" s="4" t="str">
        <f t="shared" si="40"/>
        <v/>
      </c>
      <c r="K69" s="4" t="str">
        <f t="shared" si="41"/>
        <v xml:space="preserve">                                                           rw data section .data object SyncAndPayloadDemodulator.o,</v>
      </c>
    </row>
    <row r="70" spans="1:11" x14ac:dyDescent="0.25">
      <c r="A70" t="s">
        <v>530</v>
      </c>
      <c r="B70" t="str">
        <f t="shared" si="35"/>
        <v/>
      </c>
      <c r="C70">
        <f t="shared" si="36"/>
        <v>0</v>
      </c>
      <c r="D70" t="s">
        <v>1122</v>
      </c>
      <c r="E70" t="str">
        <f t="shared" si="42"/>
        <v>SoftDemodulator.o</v>
      </c>
      <c r="F70">
        <f t="shared" ca="1" si="37"/>
        <v>0</v>
      </c>
      <c r="H70">
        <f t="shared" ca="1" si="38"/>
        <v>536807296</v>
      </c>
      <c r="I70" t="str">
        <f t="shared" ca="1" si="39"/>
        <v>0x1FFF0780</v>
      </c>
      <c r="J70" s="4" t="str">
        <f t="shared" si="40"/>
        <v/>
      </c>
      <c r="K70" s="4" t="str">
        <f t="shared" si="41"/>
        <v xml:space="preserve">                                                           rw data section .data object SoftDemodulator.o,</v>
      </c>
    </row>
    <row r="71" spans="1:11" x14ac:dyDescent="0.25">
      <c r="A71" t="s">
        <v>530</v>
      </c>
      <c r="B71" t="str">
        <f t="shared" si="35"/>
        <v/>
      </c>
      <c r="C71">
        <f t="shared" si="36"/>
        <v>0</v>
      </c>
      <c r="D71" t="s">
        <v>259</v>
      </c>
      <c r="E71" t="str">
        <f t="shared" si="42"/>
        <v>rs.o</v>
      </c>
      <c r="F71">
        <f t="shared" ca="1" si="37"/>
        <v>0</v>
      </c>
      <c r="H71">
        <f t="shared" ca="1" si="38"/>
        <v>536807296</v>
      </c>
      <c r="I71" t="str">
        <f t="shared" ca="1" si="39"/>
        <v>0x1FFF0780</v>
      </c>
      <c r="J71" s="4" t="str">
        <f t="shared" si="40"/>
        <v/>
      </c>
      <c r="K71" s="4" t="str">
        <f t="shared" si="41"/>
        <v xml:space="preserve">                                                           rw data section .data object rs.o,</v>
      </c>
    </row>
    <row r="72" spans="1:11" x14ac:dyDescent="0.25">
      <c r="A72" t="s">
        <v>530</v>
      </c>
      <c r="B72" t="str">
        <f t="shared" si="35"/>
        <v/>
      </c>
      <c r="C72">
        <f t="shared" si="36"/>
        <v>0</v>
      </c>
      <c r="D72" t="s">
        <v>1071</v>
      </c>
      <c r="E72" t="str">
        <f t="shared" si="42"/>
        <v>galois.o</v>
      </c>
      <c r="F72">
        <f t="shared" ca="1" si="37"/>
        <v>0</v>
      </c>
      <c r="H72">
        <f t="shared" ca="1" si="38"/>
        <v>536807296</v>
      </c>
      <c r="I72" t="str">
        <f t="shared" ca="1" si="39"/>
        <v>0x1FFF0780</v>
      </c>
      <c r="J72" s="4" t="str">
        <f t="shared" si="40"/>
        <v/>
      </c>
      <c r="K72" s="4" t="str">
        <f t="shared" si="41"/>
        <v xml:space="preserve">                                                           rw data section .data object galois.o,</v>
      </c>
    </row>
    <row r="73" spans="1:11" x14ac:dyDescent="0.25">
      <c r="A73" t="s">
        <v>530</v>
      </c>
      <c r="B73" t="str">
        <f t="shared" ref="B73" si="43">IF(A73&lt;&gt;A72,A73&amp;$B$1,"")</f>
        <v/>
      </c>
      <c r="C73">
        <f t="shared" ref="C73" si="44">LEN(B73)</f>
        <v>0</v>
      </c>
      <c r="D73" t="s">
        <v>1072</v>
      </c>
      <c r="E73" t="str">
        <f t="shared" si="30"/>
        <v>rsdec.o</v>
      </c>
      <c r="F73">
        <f t="shared" ca="1" si="37"/>
        <v>0</v>
      </c>
      <c r="H73">
        <f t="shared" ca="1" si="38"/>
        <v>536807296</v>
      </c>
      <c r="I73" t="str">
        <f t="shared" ca="1" si="39"/>
        <v>0x1FFF0780</v>
      </c>
      <c r="J73" s="4" t="str">
        <f t="shared" si="40"/>
        <v/>
      </c>
      <c r="K73" s="4" t="str">
        <f t="shared" si="41"/>
        <v xml:space="preserve">                                                           rw data section .data object rsdec.o,</v>
      </c>
    </row>
    <row r="74" spans="1:11" x14ac:dyDescent="0.25">
      <c r="A74" t="s">
        <v>530</v>
      </c>
      <c r="B74" t="str">
        <f t="shared" si="28"/>
        <v/>
      </c>
      <c r="C74">
        <f t="shared" si="29"/>
        <v>0</v>
      </c>
      <c r="D74" t="s">
        <v>1075</v>
      </c>
      <c r="E74" t="str">
        <f t="shared" si="30"/>
        <v>rsenc.o</v>
      </c>
      <c r="F74">
        <f t="shared" ca="1" si="31"/>
        <v>0</v>
      </c>
      <c r="H74">
        <f t="shared" ca="1" si="32"/>
        <v>536807296</v>
      </c>
      <c r="I74" t="str">
        <f t="shared" ca="1" si="33"/>
        <v>0x1FFF0780</v>
      </c>
      <c r="J74" s="4" t="str">
        <f t="shared" ref="J74" si="45">IF(B74="","","define symbol "&amp;B74&amp;REPT(" ",$C$4-C74)&amp;"= "&amp;I74&amp;";")</f>
        <v/>
      </c>
      <c r="K74" s="4" t="str">
        <f t="shared" si="26"/>
        <v xml:space="preserve">                                                           rw data section .data object rsenc.o,</v>
      </c>
    </row>
    <row r="75" spans="1:11" x14ac:dyDescent="0.25">
      <c r="A75" t="s">
        <v>530</v>
      </c>
      <c r="B75" t="str">
        <f t="shared" si="28"/>
        <v/>
      </c>
      <c r="C75">
        <f t="shared" si="29"/>
        <v>0</v>
      </c>
      <c r="D75" t="s">
        <v>1086</v>
      </c>
      <c r="E75" t="str">
        <f t="shared" si="30"/>
        <v>indication.o</v>
      </c>
      <c r="F75">
        <f t="shared" ca="1" si="31"/>
        <v>0</v>
      </c>
      <c r="H75">
        <f t="shared" ca="1" si="32"/>
        <v>536807296</v>
      </c>
      <c r="I75" t="str">
        <f t="shared" ca="1" si="33"/>
        <v>0x1FFF0780</v>
      </c>
      <c r="J75" s="4" t="str">
        <f t="shared" ref="J75" si="46">IF(B75="","","define symbol "&amp;B75&amp;REPT(" ",$C$4-C75)&amp;"= "&amp;I75&amp;";")</f>
        <v/>
      </c>
      <c r="K75" s="4" t="str">
        <f t="shared" si="26"/>
        <v xml:space="preserve">                                                           rw data section .data object indication.o };</v>
      </c>
    </row>
    <row r="76" spans="1:11" x14ac:dyDescent="0.25">
      <c r="B76" t="str">
        <f>B42&amp;"_end"</f>
        <v>stack_INIT_end</v>
      </c>
      <c r="E76" t="str">
        <f t="shared" si="30"/>
        <v/>
      </c>
      <c r="F76">
        <f ca="1">SUM(F42:F75)</f>
        <v>526</v>
      </c>
      <c r="G76">
        <f ca="1">INT(($G$39/100)*F76)</f>
        <v>26</v>
      </c>
      <c r="H76">
        <f t="shared" ref="H76" ca="1" si="47">H75+F75+G75+IF(MOD(F75+H75+G75,$G$40)=0,0,$G$40-MOD(F75+H75+G75,$G$40))</f>
        <v>536807296</v>
      </c>
      <c r="I76" t="str">
        <f t="shared" ref="I76" ca="1" si="48">"0x"&amp;DEC2HEX(H76,8)</f>
        <v>0x1FFF0780</v>
      </c>
      <c r="J76" s="4"/>
      <c r="K76" s="4"/>
    </row>
    <row r="77" spans="1:11" x14ac:dyDescent="0.25">
      <c r="J77" s="4"/>
      <c r="K77" s="4"/>
    </row>
    <row r="78" spans="1:11" x14ac:dyDescent="0.25">
      <c r="F78" t="s">
        <v>526</v>
      </c>
      <c r="G78">
        <f ca="1">VLOOKUP(B81,INDIRECT(GlobalPlcmnt!$B$134),GlobalPlcmnt!$B$138,FALSE)</f>
        <v>5</v>
      </c>
      <c r="J78" s="4"/>
      <c r="K78" s="4"/>
    </row>
    <row r="79" spans="1:11" x14ac:dyDescent="0.25">
      <c r="F79" t="s">
        <v>608</v>
      </c>
      <c r="G79">
        <f ca="1">VLOOKUP(B81,INDIRECT(GlobalPlcmnt!$B$134),GlobalPlcmnt!$C$138,FALSE)</f>
        <v>8</v>
      </c>
      <c r="J79" s="4"/>
      <c r="K79" s="4"/>
    </row>
    <row r="80" spans="1:11" x14ac:dyDescent="0.25">
      <c r="F80" t="s">
        <v>542</v>
      </c>
      <c r="J80" s="4"/>
      <c r="K80" s="4"/>
    </row>
    <row r="81" spans="1:11" x14ac:dyDescent="0.25">
      <c r="A81" t="s">
        <v>531</v>
      </c>
      <c r="B81" t="str">
        <f t="shared" ref="B81:B86" si="49">IF(A81&lt;&gt;A80,A81&amp;$B$1,"")</f>
        <v>OS_API_INIT</v>
      </c>
      <c r="C81">
        <f t="shared" si="2"/>
        <v>11</v>
      </c>
      <c r="D81" t="s">
        <v>239</v>
      </c>
      <c r="E81" t="str">
        <f t="shared" si="3"/>
        <v>Event.o</v>
      </c>
      <c r="F81">
        <f t="shared" ref="F81:F82" ca="1" si="50">IFERROR(VLOOKUP(D81,INDIRECT($F$1),2,FALSE),0)</f>
        <v>0</v>
      </c>
      <c r="H81">
        <f ca="1">VLOOKUP(B81,INDIRECT(GlobalPlcmnt!$B$134),GlobalPlcmnt!$A$138,FALSE)</f>
        <v>536807312</v>
      </c>
      <c r="I81" t="str">
        <f t="shared" ca="1" si="1"/>
        <v>0x1FFF0790</v>
      </c>
      <c r="J81" s="4" t="str">
        <f t="shared" ref="J81:J86" ca="1" si="51">IF(B81="","","define symbol "&amp;B81&amp;REPT(" ",$C$4-C81)&amp;"= "&amp;I81&amp;";")</f>
        <v>define symbol OS_API_INIT     = 0x1FFF0790;</v>
      </c>
      <c r="K81" s="4" t="str">
        <f t="shared" ref="K81:K86" si="52">IF(B81="",REPT(" ",$C$4+$K$4)&amp;$K$2&amp;D81&amp;IF(B82="",","," };"),""""&amp;B81&amp;""":"&amp;REPT(" ",$C$4-C81)&amp;"place at address mem: "&amp;B81&amp;REPT(" ",$C$4-C81)&amp;"{ "&amp;K$2&amp;D81&amp;IF(B82="",","," };"))</f>
        <v>"OS_API_INIT":     place at address mem: OS_API_INIT     { rw data section .data object Event.o,</v>
      </c>
    </row>
    <row r="82" spans="1:11" x14ac:dyDescent="0.25">
      <c r="A82" t="s">
        <v>531</v>
      </c>
      <c r="B82" t="str">
        <f t="shared" si="49"/>
        <v/>
      </c>
      <c r="C82">
        <f t="shared" si="2"/>
        <v>0</v>
      </c>
      <c r="D82" t="s">
        <v>115</v>
      </c>
      <c r="E82" t="str">
        <f t="shared" si="3"/>
        <v>MessageQ.o</v>
      </c>
      <c r="F82">
        <f t="shared" ca="1" si="50"/>
        <v>0</v>
      </c>
      <c r="H82">
        <f ca="1">H81+F81+G81+IF(MOD(F81+H81+G81,$G$79)=0,0,$G$79-MOD(F81+H81+G81,$G$79))</f>
        <v>536807312</v>
      </c>
      <c r="I82" t="str">
        <f t="shared" ca="1" si="1"/>
        <v>0x1FFF0790</v>
      </c>
      <c r="J82" s="4" t="str">
        <f t="shared" si="51"/>
        <v/>
      </c>
      <c r="K82" s="4" t="str">
        <f t="shared" si="52"/>
        <v xml:space="preserve">                                                           rw data section .data object MessageQ.o,</v>
      </c>
    </row>
    <row r="83" spans="1:11" x14ac:dyDescent="0.25">
      <c r="A83" t="s">
        <v>531</v>
      </c>
      <c r="B83" t="str">
        <f t="shared" si="49"/>
        <v/>
      </c>
      <c r="C83">
        <f t="shared" si="2"/>
        <v>0</v>
      </c>
      <c r="D83" t="s">
        <v>117</v>
      </c>
      <c r="E83" t="str">
        <f t="shared" ref="E83:E86" si="53">SUBSTITUTE(D83,"-","_")</f>
        <v>Mutex.o</v>
      </c>
      <c r="F83">
        <f t="shared" ref="F83:F86" ca="1" si="54">IFERROR(VLOOKUP(D83,INDIRECT($F$1),2,FALSE),0)</f>
        <v>0</v>
      </c>
      <c r="H83">
        <f t="shared" ref="H83:H86" ca="1" si="55">H82+F82+G82+IF(MOD(F82+H82+G82,$G$79)=0,0,$G$79-MOD(F82+H82+G82,$G$79))</f>
        <v>536807312</v>
      </c>
      <c r="I83" t="str">
        <f t="shared" ref="I83:I86" ca="1" si="56">"0x"&amp;DEC2HEX(H83,8)</f>
        <v>0x1FFF0790</v>
      </c>
      <c r="J83" s="4" t="str">
        <f t="shared" si="51"/>
        <v/>
      </c>
      <c r="K83" s="4" t="str">
        <f t="shared" si="52"/>
        <v xml:space="preserve">                                                           rw data section .data object Mutex.o,</v>
      </c>
    </row>
    <row r="84" spans="1:11" x14ac:dyDescent="0.25">
      <c r="A84" t="s">
        <v>531</v>
      </c>
      <c r="B84" t="str">
        <f t="shared" si="49"/>
        <v/>
      </c>
      <c r="C84">
        <f t="shared" si="2"/>
        <v>0</v>
      </c>
      <c r="D84" t="s">
        <v>175</v>
      </c>
      <c r="E84" t="str">
        <f t="shared" si="53"/>
        <v>Queue.o</v>
      </c>
      <c r="F84">
        <f t="shared" ca="1" si="54"/>
        <v>0</v>
      </c>
      <c r="H84">
        <f t="shared" ca="1" si="55"/>
        <v>536807312</v>
      </c>
      <c r="I84" t="str">
        <f t="shared" ca="1" si="56"/>
        <v>0x1FFF0790</v>
      </c>
      <c r="J84" s="4" t="str">
        <f t="shared" si="51"/>
        <v/>
      </c>
      <c r="K84" s="4" t="str">
        <f t="shared" si="52"/>
        <v xml:space="preserve">                                                           rw data section .data object Queue.o,</v>
      </c>
    </row>
    <row r="85" spans="1:11" x14ac:dyDescent="0.25">
      <c r="A85" t="s">
        <v>531</v>
      </c>
      <c r="B85" t="str">
        <f t="shared" si="49"/>
        <v/>
      </c>
      <c r="C85">
        <f t="shared" si="2"/>
        <v>0</v>
      </c>
      <c r="D85" t="s">
        <v>80</v>
      </c>
      <c r="E85" t="str">
        <f t="shared" si="53"/>
        <v>Semaphore.o</v>
      </c>
      <c r="F85">
        <f t="shared" ca="1" si="54"/>
        <v>0</v>
      </c>
      <c r="H85">
        <f t="shared" ca="1" si="55"/>
        <v>536807312</v>
      </c>
      <c r="I85" t="str">
        <f t="shared" ca="1" si="56"/>
        <v>0x1FFF0790</v>
      </c>
      <c r="J85" s="4" t="str">
        <f t="shared" si="51"/>
        <v/>
      </c>
      <c r="K85" s="4" t="str">
        <f t="shared" si="52"/>
        <v xml:space="preserve">                                                           rw data section .data object Semaphore.o,</v>
      </c>
    </row>
    <row r="86" spans="1:11" x14ac:dyDescent="0.25">
      <c r="A86" t="s">
        <v>531</v>
      </c>
      <c r="B86" t="str">
        <f t="shared" si="49"/>
        <v/>
      </c>
      <c r="C86">
        <f t="shared" si="2"/>
        <v>0</v>
      </c>
      <c r="D86" t="s">
        <v>85</v>
      </c>
      <c r="E86" t="str">
        <f t="shared" si="53"/>
        <v>TickTime.o</v>
      </c>
      <c r="F86">
        <f t="shared" ca="1" si="54"/>
        <v>0</v>
      </c>
      <c r="H86">
        <f t="shared" ca="1" si="55"/>
        <v>536807312</v>
      </c>
      <c r="I86" t="str">
        <f t="shared" ca="1" si="56"/>
        <v>0x1FFF0790</v>
      </c>
      <c r="J86" s="4" t="str">
        <f t="shared" si="51"/>
        <v/>
      </c>
      <c r="K86" s="4" t="str">
        <f t="shared" si="52"/>
        <v xml:space="preserve">                                                           rw data section .data object TickTime.o };</v>
      </c>
    </row>
    <row r="87" spans="1:11" x14ac:dyDescent="0.25">
      <c r="B87" t="str">
        <f>B81&amp;"_end"</f>
        <v>OS_API_INIT_end</v>
      </c>
      <c r="F87">
        <f ca="1">SUM(F81:F86)</f>
        <v>0</v>
      </c>
      <c r="G87">
        <f ca="1">INT(($G$78/100)*F87)</f>
        <v>0</v>
      </c>
      <c r="H87">
        <f ca="1">H86+F86+G87+IF(MOD(F86+H86+G87,$G$79)=0,0,$G$79-MOD(F86+H86+G87,$G$79))</f>
        <v>536807312</v>
      </c>
      <c r="I87" t="str">
        <f t="shared" ca="1" si="1"/>
        <v>0x1FFF0790</v>
      </c>
      <c r="J87" s="4"/>
      <c r="K87" s="4"/>
    </row>
    <row r="88" spans="1:11" x14ac:dyDescent="0.25">
      <c r="J88" s="4"/>
      <c r="K88" s="4"/>
    </row>
    <row r="89" spans="1:11" x14ac:dyDescent="0.25">
      <c r="F89" t="s">
        <v>526</v>
      </c>
      <c r="G89">
        <f ca="1">VLOOKUP(B92,INDIRECT(GlobalPlcmnt!$B$134),GlobalPlcmnt!$B$138,FALSE)</f>
        <v>5</v>
      </c>
      <c r="J89" s="4"/>
      <c r="K89" s="4"/>
    </row>
    <row r="90" spans="1:11" x14ac:dyDescent="0.25">
      <c r="F90" t="s">
        <v>608</v>
      </c>
      <c r="G90">
        <f ca="1">VLOOKUP(B92,INDIRECT(GlobalPlcmnt!$B$134),GlobalPlcmnt!$C$138,FALSE)</f>
        <v>8</v>
      </c>
      <c r="J90" s="4"/>
      <c r="K90" s="4"/>
    </row>
    <row r="91" spans="1:11" x14ac:dyDescent="0.25">
      <c r="F91" t="s">
        <v>542</v>
      </c>
      <c r="J91" s="4"/>
      <c r="K91" s="4"/>
    </row>
    <row r="92" spans="1:11" x14ac:dyDescent="0.25">
      <c r="A92" t="s">
        <v>532</v>
      </c>
      <c r="B92" t="str">
        <f t="shared" ref="B92:B97" si="57">IF(A92&lt;&gt;A91,A92&amp;$B$1,"")</f>
        <v>radio_INIT</v>
      </c>
      <c r="C92">
        <f t="shared" si="2"/>
        <v>10</v>
      </c>
      <c r="D92" t="s">
        <v>235</v>
      </c>
      <c r="E92" t="str">
        <f t="shared" si="3"/>
        <v>radio.o</v>
      </c>
      <c r="F92">
        <f t="shared" ref="F92:F93" ca="1" si="58">IFERROR(VLOOKUP(D92,INDIRECT($F$1),2,FALSE),0)</f>
        <v>56</v>
      </c>
      <c r="H92">
        <f ca="1">VLOOKUP(B92,INDIRECT(GlobalPlcmnt!$B$134),GlobalPlcmnt!$A$138,FALSE)</f>
        <v>536807312</v>
      </c>
      <c r="I92" t="str">
        <f t="shared" ca="1" si="1"/>
        <v>0x1FFF0790</v>
      </c>
      <c r="J92" s="4" t="str">
        <f t="shared" ref="J92:J99" ca="1" si="59">IF(B92="","","define symbol "&amp;B92&amp;REPT(" ",$C$4-C92)&amp;"= "&amp;I92&amp;";")</f>
        <v>define symbol radio_INIT      = 0x1FFF0790;</v>
      </c>
      <c r="K92" s="4" t="str">
        <f t="shared" ref="K92:K100" si="60">IF(B92="",REPT(" ",$C$4+$K$4)&amp;$K$2&amp;D92&amp;IF(B93="",","," };"),""""&amp;B92&amp;""":"&amp;REPT(" ",$C$4-C92)&amp;"place at address mem: "&amp;B92&amp;REPT(" ",$C$4-C92)&amp;"{ "&amp;K$2&amp;D92&amp;IF(B93="",","," };"))</f>
        <v>"radio_INIT":      place at address mem: radio_INIT      { rw data section .data object radio.o,</v>
      </c>
    </row>
    <row r="93" spans="1:11" x14ac:dyDescent="0.25">
      <c r="A93" t="s">
        <v>532</v>
      </c>
      <c r="B93" t="str">
        <f t="shared" si="57"/>
        <v/>
      </c>
      <c r="C93">
        <f t="shared" si="2"/>
        <v>0</v>
      </c>
      <c r="D93" t="s">
        <v>316</v>
      </c>
      <c r="E93" t="str">
        <f t="shared" si="3"/>
        <v>radio_comm.o</v>
      </c>
      <c r="F93">
        <f t="shared" ca="1" si="58"/>
        <v>0</v>
      </c>
      <c r="H93">
        <f ca="1">H92+F92+G92+IF(MOD(F92+H92+G92,$G$90)=0,0,$G$90-MOD(F92+H92+G92,$G$90))</f>
        <v>536807368</v>
      </c>
      <c r="I93" t="str">
        <f t="shared" ca="1" si="1"/>
        <v>0x1FFF07C8</v>
      </c>
      <c r="J93" s="4" t="str">
        <f t="shared" si="59"/>
        <v/>
      </c>
      <c r="K93" s="4" t="str">
        <f t="shared" si="60"/>
        <v xml:space="preserve">                                                           rw data section .data object radio_comm.o,</v>
      </c>
    </row>
    <row r="94" spans="1:11" x14ac:dyDescent="0.25">
      <c r="A94" t="s">
        <v>532</v>
      </c>
      <c r="B94" t="str">
        <f t="shared" si="57"/>
        <v/>
      </c>
      <c r="C94">
        <f t="shared" si="2"/>
        <v>0</v>
      </c>
      <c r="D94" t="s">
        <v>224</v>
      </c>
      <c r="E94" t="str">
        <f t="shared" ref="E94:E99" si="61">SUBSTITUTE(D94,"-","_")</f>
        <v>si446x_api_lib.o</v>
      </c>
      <c r="F94">
        <f t="shared" ref="F94:F99" ca="1" si="62">IFERROR(VLOOKUP(D94,INDIRECT($F$1),2,FALSE),0)</f>
        <v>0</v>
      </c>
      <c r="H94">
        <f t="shared" ref="H94:H101" ca="1" si="63">H93+F93+G93+IF(MOD(F93+H93+G93,$G$90)=0,0,$G$90-MOD(F93+H93+G93,$G$90))</f>
        <v>536807368</v>
      </c>
      <c r="I94" t="str">
        <f t="shared" ref="I94:I99" ca="1" si="64">"0x"&amp;DEC2HEX(H94,8)</f>
        <v>0x1FFF07C8</v>
      </c>
      <c r="J94" s="4" t="str">
        <f t="shared" si="59"/>
        <v/>
      </c>
      <c r="K94" s="4" t="str">
        <f t="shared" si="60"/>
        <v xml:space="preserve">                                                           rw data section .data object si446x_api_lib.o,</v>
      </c>
    </row>
    <row r="95" spans="1:11" x14ac:dyDescent="0.25">
      <c r="A95" t="s">
        <v>532</v>
      </c>
      <c r="B95" t="str">
        <f t="shared" si="57"/>
        <v/>
      </c>
      <c r="C95">
        <f t="shared" si="2"/>
        <v>0</v>
      </c>
      <c r="D95" t="s">
        <v>423</v>
      </c>
      <c r="E95" t="str">
        <f t="shared" si="61"/>
        <v>radio_config_normal.o</v>
      </c>
      <c r="F95">
        <f t="shared" ca="1" si="62"/>
        <v>0</v>
      </c>
      <c r="H95">
        <f t="shared" ca="1" si="63"/>
        <v>536807368</v>
      </c>
      <c r="I95" t="str">
        <f t="shared" ca="1" si="64"/>
        <v>0x1FFF07C8</v>
      </c>
      <c r="J95" s="4" t="str">
        <f t="shared" si="59"/>
        <v/>
      </c>
      <c r="K95" s="4" t="str">
        <f t="shared" si="60"/>
        <v xml:space="preserve">                                                           rw data section .data object radio_config_normal.o,</v>
      </c>
    </row>
    <row r="96" spans="1:11" x14ac:dyDescent="0.25">
      <c r="A96" t="s">
        <v>532</v>
      </c>
      <c r="B96" t="str">
        <f t="shared" si="57"/>
        <v/>
      </c>
      <c r="C96">
        <f t="shared" si="2"/>
        <v>0</v>
      </c>
      <c r="D96" t="s">
        <v>426</v>
      </c>
      <c r="E96" t="str">
        <f t="shared" si="61"/>
        <v>radio_config_cw.o</v>
      </c>
      <c r="F96">
        <f t="shared" ca="1" si="62"/>
        <v>0</v>
      </c>
      <c r="H96">
        <f t="shared" ca="1" si="63"/>
        <v>536807368</v>
      </c>
      <c r="I96" t="str">
        <f t="shared" ca="1" si="64"/>
        <v>0x1FFF07C8</v>
      </c>
      <c r="J96" s="4" t="str">
        <f t="shared" si="59"/>
        <v/>
      </c>
      <c r="K96" s="4" t="str">
        <f t="shared" si="60"/>
        <v xml:space="preserve">                                                           rw data section .data object radio_config_cw.o,</v>
      </c>
    </row>
    <row r="97" spans="1:11" x14ac:dyDescent="0.25">
      <c r="A97" t="s">
        <v>532</v>
      </c>
      <c r="B97" t="str">
        <f t="shared" si="57"/>
        <v/>
      </c>
      <c r="C97">
        <f t="shared" si="2"/>
        <v>0</v>
      </c>
      <c r="D97" t="s">
        <v>425</v>
      </c>
      <c r="E97" t="str">
        <f t="shared" si="61"/>
        <v>radio_config_PN9.o</v>
      </c>
      <c r="F97">
        <f t="shared" ca="1" si="62"/>
        <v>0</v>
      </c>
      <c r="H97">
        <f t="shared" ca="1" si="63"/>
        <v>536807368</v>
      </c>
      <c r="I97" t="str">
        <f t="shared" ca="1" si="64"/>
        <v>0x1FFF07C8</v>
      </c>
      <c r="J97" s="4" t="str">
        <f t="shared" si="59"/>
        <v/>
      </c>
      <c r="K97" s="4" t="str">
        <f t="shared" si="60"/>
        <v xml:space="preserve">                                                           rw data section .data object radio_config_PN9.o,</v>
      </c>
    </row>
    <row r="98" spans="1:11" x14ac:dyDescent="0.25">
      <c r="A98" t="s">
        <v>532</v>
      </c>
      <c r="C98">
        <f t="shared" si="2"/>
        <v>0</v>
      </c>
      <c r="D98" t="s">
        <v>424</v>
      </c>
      <c r="E98" t="str">
        <f t="shared" si="61"/>
        <v>radio_config_2GFSK_BER.o</v>
      </c>
      <c r="F98">
        <f t="shared" ca="1" si="62"/>
        <v>0</v>
      </c>
      <c r="H98">
        <f t="shared" ca="1" si="63"/>
        <v>536807368</v>
      </c>
      <c r="I98" t="str">
        <f t="shared" ca="1" si="64"/>
        <v>0x1FFF07C8</v>
      </c>
      <c r="J98" s="4" t="str">
        <f t="shared" si="59"/>
        <v/>
      </c>
      <c r="K98" s="4" t="str">
        <f t="shared" si="60"/>
        <v xml:space="preserve">                                                           rw data section .data object radio_config_2GFSK_BER.o,</v>
      </c>
    </row>
    <row r="99" spans="1:11" x14ac:dyDescent="0.25">
      <c r="A99" t="s">
        <v>532</v>
      </c>
      <c r="C99">
        <f t="shared" si="2"/>
        <v>0</v>
      </c>
      <c r="D99" t="s">
        <v>427</v>
      </c>
      <c r="E99" t="str">
        <f t="shared" si="61"/>
        <v>radio_config_4GFSK_BER.o</v>
      </c>
      <c r="F99">
        <f t="shared" ca="1" si="62"/>
        <v>0</v>
      </c>
      <c r="H99">
        <f t="shared" ca="1" si="63"/>
        <v>536807368</v>
      </c>
      <c r="I99" t="str">
        <f t="shared" ca="1" si="64"/>
        <v>0x1FFF07C8</v>
      </c>
      <c r="J99" s="4" t="str">
        <f t="shared" si="59"/>
        <v/>
      </c>
      <c r="K99" s="4" t="str">
        <f t="shared" si="60"/>
        <v xml:space="preserve">                                                           rw data section .data object radio_config_4GFSK_BER.o,</v>
      </c>
    </row>
    <row r="100" spans="1:11" x14ac:dyDescent="0.25">
      <c r="A100" t="s">
        <v>532</v>
      </c>
      <c r="C100">
        <f t="shared" ref="C100" si="65">LEN(B100)</f>
        <v>0</v>
      </c>
      <c r="D100" t="s">
        <v>1667</v>
      </c>
      <c r="E100" t="str">
        <f t="shared" ref="E100" si="66">SUBSTITUTE(D100,"-","_")</f>
        <v>radio_TCXO.o</v>
      </c>
      <c r="F100">
        <f t="shared" ref="F100" ca="1" si="67">IFERROR(VLOOKUP(D100,INDIRECT($F$1),2,FALSE),0)</f>
        <v>0</v>
      </c>
      <c r="H100">
        <f t="shared" ca="1" si="63"/>
        <v>536807368</v>
      </c>
      <c r="I100" t="str">
        <f t="shared" ref="I100" ca="1" si="68">"0x"&amp;DEC2HEX(H100,8)</f>
        <v>0x1FFF07C8</v>
      </c>
      <c r="J100" s="4" t="str">
        <f t="shared" ref="J100" si="69">IF(B100="","","define symbol "&amp;B100&amp;REPT(" ",$C$4-C100)&amp;"= "&amp;I100&amp;";")</f>
        <v/>
      </c>
      <c r="K100" s="4" t="str">
        <f t="shared" si="60"/>
        <v xml:space="preserve">                                                           rw data section .data object radio_TCXO.o };</v>
      </c>
    </row>
    <row r="101" spans="1:11" x14ac:dyDescent="0.25">
      <c r="B101" t="str">
        <f>B92&amp;"_end"</f>
        <v>radio_INIT_end</v>
      </c>
      <c r="F101">
        <f ca="1">SUM(F92:F100)</f>
        <v>56</v>
      </c>
      <c r="G101">
        <f ca="1">INT(($G$89/100)*F101)</f>
        <v>2</v>
      </c>
      <c r="H101">
        <f t="shared" ca="1" si="63"/>
        <v>536807368</v>
      </c>
      <c r="I101" t="str">
        <f t="shared" ca="1" si="1"/>
        <v>0x1FFF07C8</v>
      </c>
      <c r="J101" s="4"/>
      <c r="K101" s="4"/>
    </row>
    <row r="102" spans="1:11" x14ac:dyDescent="0.25">
      <c r="J102" s="4"/>
      <c r="K102" s="4"/>
    </row>
    <row r="103" spans="1:11" x14ac:dyDescent="0.25">
      <c r="F103" t="s">
        <v>526</v>
      </c>
      <c r="G103">
        <f ca="1">VLOOKUP(B106,INDIRECT(GlobalPlcmnt!$B$134),GlobalPlcmnt!$B$138,FALSE)</f>
        <v>5</v>
      </c>
      <c r="J103" s="4"/>
      <c r="K103" s="4"/>
    </row>
    <row r="104" spans="1:11" x14ac:dyDescent="0.25">
      <c r="F104" t="s">
        <v>608</v>
      </c>
      <c r="G104">
        <f ca="1">VLOOKUP(B106,INDIRECT(GlobalPlcmnt!$B$134),GlobalPlcmnt!$C$138,FALSE)</f>
        <v>8</v>
      </c>
      <c r="J104" s="4"/>
      <c r="K104" s="4"/>
    </row>
    <row r="105" spans="1:11" x14ac:dyDescent="0.25">
      <c r="F105" t="s">
        <v>542</v>
      </c>
      <c r="J105" s="4"/>
      <c r="K105" s="4"/>
    </row>
    <row r="106" spans="1:11" x14ac:dyDescent="0.25">
      <c r="A106" t="s">
        <v>533</v>
      </c>
      <c r="B106" t="str">
        <f t="shared" ref="B106:B111" si="70">IF(A106&lt;&gt;A105,A106&amp;$B$1,"")</f>
        <v>security_INIT</v>
      </c>
      <c r="C106">
        <f t="shared" si="2"/>
        <v>13</v>
      </c>
      <c r="D106" t="s">
        <v>302</v>
      </c>
      <c r="E106" t="str">
        <f t="shared" si="3"/>
        <v>cert_builder.o</v>
      </c>
      <c r="F106">
        <f t="shared" ref="F106:F107" ca="1" si="71">IFERROR(VLOOKUP(D106,INDIRECT($F$1),2,FALSE),0)</f>
        <v>0</v>
      </c>
      <c r="H106">
        <f ca="1">VLOOKUP(B106,INDIRECT(GlobalPlcmnt!$B$134),GlobalPlcmnt!$A$138,FALSE)</f>
        <v>536807376</v>
      </c>
      <c r="I106" t="str">
        <f t="shared" ca="1" si="1"/>
        <v>0x1FFF07D0</v>
      </c>
      <c r="J106" s="4" t="str">
        <f t="shared" ref="J106:J111" ca="1" si="72">IF(B106="","","define symbol "&amp;B106&amp;REPT(" ",$C$4-C106)&amp;"= "&amp;I106&amp;";")</f>
        <v>define symbol security_INIT   = 0x1FFF07D0;</v>
      </c>
      <c r="K106" s="4" t="str">
        <f t="shared" ref="K106:K111" si="73">IF(B106="",REPT(" ",$C$4+$K$4)&amp;$K$2&amp;D106&amp;IF(B107="",","," };"),""""&amp;B106&amp;""":"&amp;REPT(" ",$C$4-C106)&amp;"place at address mem: "&amp;B106&amp;REPT(" ",$C$4-C106)&amp;"{ "&amp;K$2&amp;D106&amp;IF(B107="",","," };"))</f>
        <v>"security_INIT":   place at address mem: security_INIT   { rw data section .data object cert-builder.o,</v>
      </c>
    </row>
    <row r="107" spans="1:11" x14ac:dyDescent="0.25">
      <c r="A107" t="s">
        <v>533</v>
      </c>
      <c r="B107" t="str">
        <f t="shared" si="70"/>
        <v/>
      </c>
      <c r="C107">
        <f t="shared" si="2"/>
        <v>0</v>
      </c>
      <c r="D107" t="s">
        <v>204</v>
      </c>
      <c r="E107" t="str">
        <f t="shared" si="3"/>
        <v>ecc108_apps.o</v>
      </c>
      <c r="F107">
        <f t="shared" ca="1" si="71"/>
        <v>0</v>
      </c>
      <c r="H107">
        <f ca="1">H106+F106+G106+IF(MOD(F106+H106+G106,$G$104)=0,0,$G$104-MOD(F106+H106+G106,$G$104))</f>
        <v>536807376</v>
      </c>
      <c r="I107" t="str">
        <f t="shared" ca="1" si="1"/>
        <v>0x1FFF07D0</v>
      </c>
      <c r="J107" s="4" t="str">
        <f t="shared" si="72"/>
        <v/>
      </c>
      <c r="K107" s="4" t="str">
        <f t="shared" si="73"/>
        <v xml:space="preserve">                                                           rw data section .data object ecc108_apps.o,</v>
      </c>
    </row>
    <row r="108" spans="1:11" x14ac:dyDescent="0.25">
      <c r="A108" t="s">
        <v>533</v>
      </c>
      <c r="B108" t="str">
        <f t="shared" si="70"/>
        <v/>
      </c>
      <c r="C108">
        <f t="shared" si="2"/>
        <v>0</v>
      </c>
      <c r="D108" t="s">
        <v>299</v>
      </c>
      <c r="E108" t="str">
        <f t="shared" ref="E108:E111" si="74">SUBSTITUTE(D108,"-","_")</f>
        <v>ecc108_comm.o</v>
      </c>
      <c r="F108">
        <f t="shared" ref="F108:F111" ca="1" si="75">IFERROR(VLOOKUP(D108,INDIRECT($F$1),2,FALSE),0)</f>
        <v>0</v>
      </c>
      <c r="H108">
        <f t="shared" ref="H108:H111" ca="1" si="76">H107+F107+G107+IF(MOD(F107+H107+G107,$G$104)=0,0,$G$104-MOD(F107+H107+G107,$G$104))</f>
        <v>536807376</v>
      </c>
      <c r="I108" t="str">
        <f t="shared" ref="I108:I111" ca="1" si="77">"0x"&amp;DEC2HEX(H108,8)</f>
        <v>0x1FFF07D0</v>
      </c>
      <c r="J108" s="4" t="str">
        <f t="shared" si="72"/>
        <v/>
      </c>
      <c r="K108" s="4" t="str">
        <f t="shared" si="73"/>
        <v xml:space="preserve">                                                           rw data section .data object ecc108_comm.o,</v>
      </c>
    </row>
    <row r="109" spans="1:11" x14ac:dyDescent="0.25">
      <c r="A109" t="s">
        <v>533</v>
      </c>
      <c r="B109" t="str">
        <f t="shared" si="70"/>
        <v/>
      </c>
      <c r="C109">
        <f t="shared" si="2"/>
        <v>0</v>
      </c>
      <c r="D109" t="s">
        <v>300</v>
      </c>
      <c r="E109" t="str">
        <f t="shared" si="74"/>
        <v>ecc108_comm_marshaling.o</v>
      </c>
      <c r="F109">
        <f t="shared" ca="1" si="75"/>
        <v>0</v>
      </c>
      <c r="H109">
        <f t="shared" ca="1" si="76"/>
        <v>536807376</v>
      </c>
      <c r="I109" t="str">
        <f t="shared" ca="1" si="77"/>
        <v>0x1FFF07D0</v>
      </c>
      <c r="J109" s="4" t="str">
        <f t="shared" si="72"/>
        <v/>
      </c>
      <c r="K109" s="4" t="str">
        <f t="shared" si="73"/>
        <v xml:space="preserve">                                                           rw data section .data object ecc108_comm_marshaling.o,</v>
      </c>
    </row>
    <row r="110" spans="1:11" x14ac:dyDescent="0.25">
      <c r="A110" t="s">
        <v>533</v>
      </c>
      <c r="B110" t="str">
        <f t="shared" si="70"/>
        <v/>
      </c>
      <c r="C110">
        <f t="shared" si="2"/>
        <v>0</v>
      </c>
      <c r="D110" t="s">
        <v>298</v>
      </c>
      <c r="E110" t="str">
        <f t="shared" si="74"/>
        <v>ecc108_i2c.o</v>
      </c>
      <c r="F110">
        <f t="shared" ca="1" si="75"/>
        <v>0</v>
      </c>
      <c r="H110">
        <f t="shared" ca="1" si="76"/>
        <v>536807376</v>
      </c>
      <c r="I110" t="str">
        <f t="shared" ca="1" si="77"/>
        <v>0x1FFF07D0</v>
      </c>
      <c r="J110" s="4" t="str">
        <f t="shared" si="72"/>
        <v/>
      </c>
      <c r="K110" s="4" t="str">
        <f t="shared" si="73"/>
        <v xml:space="preserve">                                                           rw data section .data object ecc108_i2c.o,</v>
      </c>
    </row>
    <row r="111" spans="1:11" x14ac:dyDescent="0.25">
      <c r="A111" t="s">
        <v>533</v>
      </c>
      <c r="B111" t="str">
        <f t="shared" si="70"/>
        <v/>
      </c>
      <c r="C111">
        <f t="shared" si="2"/>
        <v>0</v>
      </c>
      <c r="D111" t="s">
        <v>205</v>
      </c>
      <c r="E111" t="str">
        <f t="shared" si="74"/>
        <v>ecc108_mqx.o</v>
      </c>
      <c r="F111">
        <f t="shared" ca="1" si="75"/>
        <v>0</v>
      </c>
      <c r="H111">
        <f t="shared" ca="1" si="76"/>
        <v>536807376</v>
      </c>
      <c r="I111" t="str">
        <f t="shared" ca="1" si="77"/>
        <v>0x1FFF07D0</v>
      </c>
      <c r="J111" s="4" t="str">
        <f t="shared" si="72"/>
        <v/>
      </c>
      <c r="K111" s="4" t="str">
        <f t="shared" si="73"/>
        <v xml:space="preserve">                                                           rw data section .data object ecc108_mqx.o };</v>
      </c>
    </row>
    <row r="112" spans="1:11" x14ac:dyDescent="0.25">
      <c r="B112" t="str">
        <f>B106&amp;"_end"</f>
        <v>security_INIT_end</v>
      </c>
      <c r="F112">
        <f ca="1">SUM(F106:F111)</f>
        <v>0</v>
      </c>
      <c r="G112">
        <f ca="1">INT(($G$103/100)*F112)</f>
        <v>0</v>
      </c>
      <c r="H112">
        <f ca="1">H111+F111+G112+IF(MOD(F111+H111+G112,$G$104)=0,0,$G$104-MOD(F111+H111+G112,$G$104))</f>
        <v>536807376</v>
      </c>
      <c r="I112" t="str">
        <f t="shared" ca="1" si="1"/>
        <v>0x1FFF07D0</v>
      </c>
      <c r="J112" s="4"/>
      <c r="K112" s="4"/>
    </row>
    <row r="113" spans="1:11" x14ac:dyDescent="0.25">
      <c r="J113" s="4"/>
      <c r="K113" s="4"/>
    </row>
    <row r="114" spans="1:11" x14ac:dyDescent="0.25">
      <c r="F114" t="s">
        <v>526</v>
      </c>
      <c r="G114">
        <f ca="1">VLOOKUP(B117,INDIRECT(GlobalPlcmnt!$B$134),GlobalPlcmnt!$B$138,FALSE)</f>
        <v>5</v>
      </c>
      <c r="J114" s="4"/>
      <c r="K114" s="4"/>
    </row>
    <row r="115" spans="1:11" x14ac:dyDescent="0.25">
      <c r="F115" t="s">
        <v>608</v>
      </c>
      <c r="G115">
        <f ca="1">VLOOKUP(B117,INDIRECT(GlobalPlcmnt!$B$134),GlobalPlcmnt!$C$138,FALSE)</f>
        <v>8</v>
      </c>
      <c r="J115" s="4"/>
      <c r="K115" s="4"/>
    </row>
    <row r="116" spans="1:11" x14ac:dyDescent="0.25">
      <c r="F116" t="s">
        <v>542</v>
      </c>
      <c r="J116" s="4"/>
      <c r="K116" s="4"/>
    </row>
    <row r="117" spans="1:11" x14ac:dyDescent="0.25">
      <c r="A117" t="s">
        <v>534</v>
      </c>
      <c r="B117" t="str">
        <f t="shared" ref="B117:B127" si="78">IF(A117&lt;&gt;A116,A117&amp;$B$1,"")</f>
        <v>AclaraBSP_INIT</v>
      </c>
      <c r="C117">
        <f t="shared" si="2"/>
        <v>14</v>
      </c>
      <c r="D117" t="s">
        <v>99</v>
      </c>
      <c r="E117" t="str">
        <f t="shared" si="3"/>
        <v>ADC.o</v>
      </c>
      <c r="F117">
        <f t="shared" ref="F117:F118" ca="1" si="79">IFERROR(VLOOKUP(D117,INDIRECT($F$1),2,FALSE),0)</f>
        <v>0</v>
      </c>
      <c r="H117">
        <f ca="1">VLOOKUP(B117,INDIRECT(GlobalPlcmnt!$B$134),GlobalPlcmnt!$A$138,FALSE)</f>
        <v>536807376</v>
      </c>
      <c r="I117" t="str">
        <f t="shared" ca="1" si="1"/>
        <v>0x1FFF07D0</v>
      </c>
      <c r="J117" s="4" t="str">
        <f t="shared" ref="J117:J127" ca="1" si="80">IF(B117="","","define symbol "&amp;B117&amp;REPT(" ",$C$4-C117)&amp;"= "&amp;I117&amp;";")</f>
        <v>define symbol AclaraBSP_INIT  = 0x1FFF07D0;</v>
      </c>
      <c r="K117" s="4" t="str">
        <f>IF(B117="",REPT(" ",$C$4+$K$4)&amp;$K$2&amp;D117&amp;IF(B118="",","," };"),""""&amp;B117&amp;""":"&amp;REPT(" ",$C$4-C117)&amp;"place at address mem: "&amp;B117&amp;REPT(" ",$C$4-C117)&amp;"{ "&amp;K$2&amp;D117&amp;IF(B118="",","," };"))</f>
        <v>"AclaraBSP_INIT":  place at address mem: AclaraBSP_INIT  { rw data section .data object ADC.o,</v>
      </c>
    </row>
    <row r="118" spans="1:11" x14ac:dyDescent="0.25">
      <c r="A118" t="s">
        <v>534</v>
      </c>
      <c r="B118" t="str">
        <f t="shared" si="78"/>
        <v/>
      </c>
      <c r="C118">
        <f t="shared" si="2"/>
        <v>0</v>
      </c>
      <c r="D118" t="s">
        <v>231</v>
      </c>
      <c r="E118" t="str">
        <f t="shared" si="3"/>
        <v>BSP_aclara.o</v>
      </c>
      <c r="F118">
        <f t="shared" ca="1" si="79"/>
        <v>0</v>
      </c>
      <c r="H118">
        <f ca="1">H117+F117+G117+IF(MOD(F117+H117+G117,$G$115)=0,0,$G$115-MOD(F117+H117+G117,$G$115))</f>
        <v>536807376</v>
      </c>
      <c r="I118" t="str">
        <f t="shared" ca="1" si="1"/>
        <v>0x1FFF07D0</v>
      </c>
      <c r="J118" s="4" t="str">
        <f t="shared" si="80"/>
        <v/>
      </c>
      <c r="K118" s="4" t="str">
        <f>IF(B118="",REPT(" ",$C$4+$K$4)&amp;$K$2&amp;D118&amp;IF(B119="",","," };"),""""&amp;B118&amp;""":"&amp;REPT(" ",$C$4-C118)&amp;"place at address mem: "&amp;B118&amp;REPT(" ",$C$4-C118)&amp;"{ "&amp;K$2&amp;D118&amp;IF(B119="",","," };"))</f>
        <v xml:space="preserve">                                                           rw data section .data object BSP_aclara.o,</v>
      </c>
    </row>
    <row r="119" spans="1:11" x14ac:dyDescent="0.25">
      <c r="A119" t="s">
        <v>534</v>
      </c>
      <c r="B119" t="str">
        <f t="shared" si="78"/>
        <v/>
      </c>
      <c r="C119">
        <f t="shared" si="2"/>
        <v>0</v>
      </c>
      <c r="D119" t="s">
        <v>161</v>
      </c>
      <c r="E119" t="str">
        <f t="shared" ref="E119:E127" si="81">SUBSTITUTE(D119,"-","_")</f>
        <v>CRC.o</v>
      </c>
      <c r="F119">
        <f t="shared" ref="F119:F127" ca="1" si="82">IFERROR(VLOOKUP(D119,INDIRECT($F$1),2,FALSE),0)</f>
        <v>0</v>
      </c>
      <c r="H119">
        <f t="shared" ref="H119:H127" ca="1" si="83">H118+F118+G118+IF(MOD(F118+H118+G118,$G$115)=0,0,$G$115-MOD(F118+H118+G118,$G$115))</f>
        <v>536807376</v>
      </c>
      <c r="I119" t="str">
        <f t="shared" ref="I119:I127" ca="1" si="84">"0x"&amp;DEC2HEX(H119,8)</f>
        <v>0x1FFF07D0</v>
      </c>
      <c r="J119" s="4" t="str">
        <f t="shared" si="80"/>
        <v/>
      </c>
      <c r="K119" s="4" t="str">
        <f>IF(B119="",REPT(" ",$C$4+$K$4)&amp;$K$2&amp;D119&amp;IF(B121="",","," };"),""""&amp;B119&amp;""":"&amp;REPT(" ",$C$4-C119)&amp;"place at address mem: "&amp;B119&amp;REPT(" ",$C$4-C119)&amp;"{ "&amp;K$2&amp;D119&amp;IF(B121="",","," };"))</f>
        <v xml:space="preserve">                                                           rw data section .data object CRC.o,</v>
      </c>
    </row>
    <row r="120" spans="1:11" x14ac:dyDescent="0.25">
      <c r="A120" t="s">
        <v>534</v>
      </c>
      <c r="B120" t="str">
        <f t="shared" si="78"/>
        <v/>
      </c>
      <c r="C120">
        <f t="shared" si="2"/>
        <v>0</v>
      </c>
      <c r="D120" t="s">
        <v>1039</v>
      </c>
      <c r="E120" t="str">
        <f t="shared" si="81"/>
        <v>gpio.o</v>
      </c>
      <c r="F120">
        <f t="shared" ca="1" si="82"/>
        <v>0</v>
      </c>
      <c r="H120">
        <f t="shared" ca="1" si="83"/>
        <v>536807376</v>
      </c>
      <c r="I120" t="str">
        <f t="shared" ca="1" si="84"/>
        <v>0x1FFF07D0</v>
      </c>
      <c r="J120" s="4" t="str">
        <f t="shared" si="80"/>
        <v/>
      </c>
      <c r="K120" s="4" t="str">
        <f>IF(B120="",REPT(" ",$C$4+$K$4)&amp;$K$2&amp;D120&amp;IF(B122="",","," };"),""""&amp;B120&amp;""":"&amp;REPT(" ",$C$4-C120)&amp;"place at address mem: "&amp;B120&amp;REPT(" ",$C$4-C120)&amp;"{ "&amp;K$2&amp;D120&amp;IF(B122="",","," };"))</f>
        <v xml:space="preserve">                                                           rw data section .data object gpio.o,</v>
      </c>
    </row>
    <row r="121" spans="1:11" x14ac:dyDescent="0.25">
      <c r="A121" t="s">
        <v>534</v>
      </c>
      <c r="B121" t="str">
        <f t="shared" si="78"/>
        <v/>
      </c>
      <c r="C121">
        <f t="shared" si="2"/>
        <v>0</v>
      </c>
      <c r="D121" t="s">
        <v>134</v>
      </c>
      <c r="E121" t="str">
        <f t="shared" si="81"/>
        <v>LED.o</v>
      </c>
      <c r="F121">
        <f t="shared" ca="1" si="82"/>
        <v>1</v>
      </c>
      <c r="H121">
        <f t="shared" ca="1" si="83"/>
        <v>536807376</v>
      </c>
      <c r="I121" t="str">
        <f t="shared" ca="1" si="84"/>
        <v>0x1FFF07D0</v>
      </c>
      <c r="J121" s="4" t="str">
        <f t="shared" si="80"/>
        <v/>
      </c>
      <c r="K121" s="4" t="str">
        <f>IF(B121="",REPT(" ",$C$4+$K$4)&amp;$K$2&amp;D121&amp;IF(B123="",","," };"),""""&amp;B121&amp;""":"&amp;REPT(" ",$C$4-C121)&amp;"place at address mem: "&amp;B121&amp;REPT(" ",$C$4-C121)&amp;"{ "&amp;K$2&amp;D121&amp;IF(B123="",","," };"))</f>
        <v xml:space="preserve">                                                           rw data section .data object LED.o,</v>
      </c>
    </row>
    <row r="122" spans="1:11" x14ac:dyDescent="0.25">
      <c r="A122" t="s">
        <v>534</v>
      </c>
      <c r="B122" t="str">
        <f t="shared" si="78"/>
        <v/>
      </c>
      <c r="C122">
        <f t="shared" si="2"/>
        <v>0</v>
      </c>
      <c r="D122" t="s">
        <v>315</v>
      </c>
      <c r="E122" t="str">
        <f t="shared" si="81"/>
        <v>radio_hal.o</v>
      </c>
      <c r="F122">
        <f t="shared" ca="1" si="82"/>
        <v>4</v>
      </c>
      <c r="H122">
        <f t="shared" ca="1" si="83"/>
        <v>536807384</v>
      </c>
      <c r="I122" t="str">
        <f t="shared" ca="1" si="84"/>
        <v>0x1FFF07D8</v>
      </c>
      <c r="J122" s="4" t="str">
        <f t="shared" si="80"/>
        <v/>
      </c>
      <c r="K122" s="4" t="str">
        <f t="shared" ref="K122:K127" si="85">IF(B122="",REPT(" ",$C$4+$K$4)&amp;$K$2&amp;D122&amp;IF(B123="",","," };"),""""&amp;B122&amp;""":"&amp;REPT(" ",$C$4-C122)&amp;"place at address mem: "&amp;B122&amp;REPT(" ",$C$4-C122)&amp;"{ "&amp;K$2&amp;D122&amp;IF(B123="",","," };"))</f>
        <v xml:space="preserve">                                                           rw data section .data object radio_hal.o,</v>
      </c>
    </row>
    <row r="123" spans="1:11" x14ac:dyDescent="0.25">
      <c r="A123" t="s">
        <v>534</v>
      </c>
      <c r="B123" t="str">
        <f t="shared" si="78"/>
        <v/>
      </c>
      <c r="C123">
        <f t="shared" si="2"/>
        <v>0</v>
      </c>
      <c r="D123" t="s">
        <v>567</v>
      </c>
      <c r="E123" t="str">
        <f t="shared" si="81"/>
        <v>rng.o</v>
      </c>
      <c r="F123">
        <f t="shared" ca="1" si="82"/>
        <v>0</v>
      </c>
      <c r="H123">
        <f t="shared" ca="1" si="83"/>
        <v>536807392</v>
      </c>
      <c r="I123" t="str">
        <f t="shared" ca="1" si="84"/>
        <v>0x1FFF07E0</v>
      </c>
      <c r="J123" s="4" t="str">
        <f t="shared" si="80"/>
        <v/>
      </c>
      <c r="K123" s="4" t="str">
        <f t="shared" si="85"/>
        <v xml:space="preserve">                                                           rw data section .data object rng.o,</v>
      </c>
    </row>
    <row r="124" spans="1:11" x14ac:dyDescent="0.25">
      <c r="A124" t="s">
        <v>534</v>
      </c>
      <c r="B124" t="str">
        <f t="shared" si="78"/>
        <v/>
      </c>
      <c r="C124">
        <f t="shared" si="2"/>
        <v>0</v>
      </c>
      <c r="D124" t="s">
        <v>163</v>
      </c>
      <c r="E124" t="str">
        <f t="shared" si="81"/>
        <v>RTC.o</v>
      </c>
      <c r="F124">
        <f t="shared" ca="1" si="82"/>
        <v>0</v>
      </c>
      <c r="H124">
        <f t="shared" ca="1" si="83"/>
        <v>536807392</v>
      </c>
      <c r="I124" t="str">
        <f t="shared" ca="1" si="84"/>
        <v>0x1FFF07E0</v>
      </c>
      <c r="J124" s="4" t="str">
        <f t="shared" si="80"/>
        <v/>
      </c>
      <c r="K124" s="4" t="str">
        <f t="shared" si="85"/>
        <v xml:space="preserve">                                                           rw data section .data object RTC.o,</v>
      </c>
    </row>
    <row r="125" spans="1:11" x14ac:dyDescent="0.25">
      <c r="A125" t="s">
        <v>534</v>
      </c>
      <c r="B125" t="str">
        <f t="shared" si="78"/>
        <v/>
      </c>
      <c r="C125">
        <f t="shared" si="2"/>
        <v>0</v>
      </c>
      <c r="D125" t="s">
        <v>295</v>
      </c>
      <c r="E125" t="str">
        <f t="shared" si="81"/>
        <v>sys_clock.o</v>
      </c>
      <c r="F125">
        <f t="shared" ca="1" si="82"/>
        <v>0</v>
      </c>
      <c r="H125">
        <f t="shared" ca="1" si="83"/>
        <v>536807392</v>
      </c>
      <c r="I125" t="str">
        <f t="shared" ca="1" si="84"/>
        <v>0x1FFF07E0</v>
      </c>
      <c r="J125" s="4" t="str">
        <f t="shared" si="80"/>
        <v/>
      </c>
      <c r="K125" s="4" t="str">
        <f t="shared" si="85"/>
        <v xml:space="preserve">                                                           rw data section .data object sys_clock.o,</v>
      </c>
    </row>
    <row r="126" spans="1:11" x14ac:dyDescent="0.25">
      <c r="A126" t="s">
        <v>534</v>
      </c>
      <c r="B126" t="str">
        <f t="shared" si="78"/>
        <v/>
      </c>
      <c r="C126">
        <f t="shared" si="2"/>
        <v>0</v>
      </c>
      <c r="D126" t="s">
        <v>336</v>
      </c>
      <c r="E126" t="str">
        <f t="shared" si="81"/>
        <v>UART.o</v>
      </c>
      <c r="F126">
        <f t="shared" ca="1" si="82"/>
        <v>0</v>
      </c>
      <c r="H126">
        <f t="shared" ca="1" si="83"/>
        <v>536807392</v>
      </c>
      <c r="I126" t="str">
        <f t="shared" ca="1" si="84"/>
        <v>0x1FFF07E0</v>
      </c>
      <c r="J126" s="4" t="str">
        <f t="shared" si="80"/>
        <v/>
      </c>
      <c r="K126" s="4" t="str">
        <f t="shared" si="85"/>
        <v xml:space="preserve">                                                           rw data section .data object UART.o,</v>
      </c>
    </row>
    <row r="127" spans="1:11" x14ac:dyDescent="0.25">
      <c r="A127" t="s">
        <v>534</v>
      </c>
      <c r="B127" t="str">
        <f t="shared" si="78"/>
        <v/>
      </c>
      <c r="C127">
        <f t="shared" si="2"/>
        <v>0</v>
      </c>
      <c r="D127" t="s">
        <v>277</v>
      </c>
      <c r="E127" t="str">
        <f t="shared" si="81"/>
        <v>WDOG.o</v>
      </c>
      <c r="F127">
        <f t="shared" ca="1" si="82"/>
        <v>0</v>
      </c>
      <c r="H127">
        <f t="shared" ca="1" si="83"/>
        <v>536807392</v>
      </c>
      <c r="I127" t="str">
        <f t="shared" ca="1" si="84"/>
        <v>0x1FFF07E0</v>
      </c>
      <c r="J127" s="4" t="str">
        <f t="shared" si="80"/>
        <v/>
      </c>
      <c r="K127" s="4" t="str">
        <f t="shared" si="85"/>
        <v xml:space="preserve">                                                           rw data section .data object WDOG.o };</v>
      </c>
    </row>
    <row r="128" spans="1:11" x14ac:dyDescent="0.25">
      <c r="B128" t="str">
        <f>B117&amp;"_end"</f>
        <v>AclaraBSP_INIT_end</v>
      </c>
      <c r="F128">
        <f ca="1">SUM(F117:F127)</f>
        <v>5</v>
      </c>
      <c r="G128">
        <f ca="1">INT(($G$114/100)*F128)</f>
        <v>0</v>
      </c>
      <c r="H128">
        <f ca="1">H127+F127+G128+IF(MOD(F127+H127+G128,$G$115)=0,0,$G$115-MOD(F127+H127+G128,$G$115))</f>
        <v>536807392</v>
      </c>
      <c r="I128" t="str">
        <f t="shared" ca="1" si="1"/>
        <v>0x1FFF07E0</v>
      </c>
      <c r="J128" s="4"/>
      <c r="K128" s="4"/>
    </row>
    <row r="129" spans="1:11" x14ac:dyDescent="0.25">
      <c r="J129" s="4"/>
      <c r="K129" s="4"/>
    </row>
    <row r="130" spans="1:11" x14ac:dyDescent="0.25">
      <c r="F130" t="s">
        <v>526</v>
      </c>
      <c r="G130">
        <f ca="1">VLOOKUP(B133,INDIRECT(GlobalPlcmnt!$B$134),GlobalPlcmnt!$B$138,FALSE)</f>
        <v>5</v>
      </c>
      <c r="J130" s="4"/>
      <c r="K130" s="4"/>
    </row>
    <row r="131" spans="1:11" x14ac:dyDescent="0.25">
      <c r="F131" t="s">
        <v>608</v>
      </c>
      <c r="G131">
        <f ca="1">VLOOKUP(B133,INDIRECT(GlobalPlcmnt!$B$134),GlobalPlcmnt!$C$138,FALSE)</f>
        <v>8</v>
      </c>
      <c r="J131" s="4"/>
      <c r="K131" s="4"/>
    </row>
    <row r="132" spans="1:11" x14ac:dyDescent="0.25">
      <c r="F132" t="s">
        <v>542</v>
      </c>
      <c r="J132" s="4"/>
      <c r="K132" s="4"/>
    </row>
    <row r="133" spans="1:11" x14ac:dyDescent="0.25">
      <c r="A133" t="s">
        <v>536</v>
      </c>
      <c r="B133" t="str">
        <f t="shared" ref="B133:B153" si="86">IF(A133&lt;&gt;A132,A133&amp;$B$1,"")</f>
        <v>Common_INIT</v>
      </c>
      <c r="C133">
        <f t="shared" si="2"/>
        <v>11</v>
      </c>
      <c r="D133" t="s">
        <v>568</v>
      </c>
      <c r="E133" t="str">
        <f t="shared" si="3"/>
        <v>alarm_task.o</v>
      </c>
      <c r="F133">
        <f t="shared" ref="F133:F134" ca="1" si="87">IFERROR(VLOOKUP(D133,INDIRECT($F$1),2,FALSE),0)</f>
        <v>0</v>
      </c>
      <c r="H133">
        <f ca="1">VLOOKUP(B133,INDIRECT(GlobalPlcmnt!$B$134),GlobalPlcmnt!$A$138,FALSE)</f>
        <v>536807392</v>
      </c>
      <c r="I133" t="str">
        <f t="shared" ca="1" si="1"/>
        <v>0x1FFF07E0</v>
      </c>
      <c r="J133" s="4" t="str">
        <f t="shared" ref="J133:J153" ca="1" si="88">IF(B133="","","define symbol "&amp;B133&amp;REPT(" ",$C$4-C133)&amp;"= "&amp;I133&amp;";")</f>
        <v>define symbol Common_INIT     = 0x1FFF07E0;</v>
      </c>
      <c r="K133" s="4" t="str">
        <f t="shared" ref="K133:K153" si="89">IF(B133="",REPT(" ",$C$4+$K$4)&amp;$K$2&amp;D133&amp;IF(B134="",","," };"),""""&amp;B133&amp;""":"&amp;REPT(" ",$C$4-C133)&amp;"place at address mem: "&amp;B133&amp;REPT(" ",$C$4-C133)&amp;"{ "&amp;K$2&amp;D133&amp;IF(B134="",","," };"))</f>
        <v>"Common_INIT":     place at address mem: Common_INIT     { rw data section .data object alarm_task.o,</v>
      </c>
    </row>
    <row r="134" spans="1:11" x14ac:dyDescent="0.25">
      <c r="A134" t="s">
        <v>536</v>
      </c>
      <c r="B134" t="str">
        <f t="shared" si="86"/>
        <v/>
      </c>
      <c r="C134">
        <f t="shared" si="2"/>
        <v>0</v>
      </c>
      <c r="D134" t="s">
        <v>135</v>
      </c>
      <c r="E134" t="str">
        <f t="shared" si="3"/>
        <v>ALRM_Handler.o</v>
      </c>
      <c r="F134">
        <f t="shared" ca="1" si="87"/>
        <v>0</v>
      </c>
      <c r="H134">
        <f ca="1">H133+F133+G133+IF(MOD(F133+H133+G133,$G$131)=0,0,$G$131-MOD(F133+H133+G133,$G$131))</f>
        <v>536807392</v>
      </c>
      <c r="I134" t="str">
        <f t="shared" ref="I134:I226" ca="1" si="90">"0x"&amp;DEC2HEX(H134,8)</f>
        <v>0x1FFF07E0</v>
      </c>
      <c r="J134" s="4" t="str">
        <f t="shared" si="88"/>
        <v/>
      </c>
      <c r="K134" s="4" t="str">
        <f t="shared" si="89"/>
        <v xml:space="preserve">                                                           rw data section .data object ALRM_Handler.o,</v>
      </c>
    </row>
    <row r="135" spans="1:11" x14ac:dyDescent="0.25">
      <c r="A135" t="s">
        <v>536</v>
      </c>
      <c r="B135" t="str">
        <f t="shared" si="86"/>
        <v/>
      </c>
      <c r="C135">
        <f t="shared" ref="C135:C225" si="91">LEN(B135)</f>
        <v>0</v>
      </c>
      <c r="D135" t="s">
        <v>256</v>
      </c>
      <c r="E135" t="str">
        <f t="shared" ref="E135:E159" si="92">SUBSTITUTE(D135,"-","_")</f>
        <v>BUF_MemoryBuffers.o</v>
      </c>
      <c r="F135">
        <f t="shared" ref="F135:F159" ca="1" si="93">IFERROR(VLOOKUP(D135,INDIRECT($F$1),2,FALSE),0)</f>
        <v>0</v>
      </c>
      <c r="H135">
        <f t="shared" ref="H135:H164" ca="1" si="94">H134+F134+G134+IF(MOD(F134+H134+G134,$G$131)=0,0,$G$131-MOD(F134+H134+G134,$G$131))</f>
        <v>536807392</v>
      </c>
      <c r="I135" t="str">
        <f t="shared" ref="I135:I159" ca="1" si="95">"0x"&amp;DEC2HEX(H135,8)</f>
        <v>0x1FFF07E0</v>
      </c>
      <c r="J135" s="4" t="str">
        <f t="shared" si="88"/>
        <v/>
      </c>
      <c r="K135" s="4" t="str">
        <f t="shared" si="89"/>
        <v xml:space="preserve">                                                           rw data section .data object BUF_MemoryBuffers.o,</v>
      </c>
    </row>
    <row r="136" spans="1:11" x14ac:dyDescent="0.25">
      <c r="A136" t="s">
        <v>536</v>
      </c>
      <c r="B136" t="str">
        <f t="shared" si="86"/>
        <v/>
      </c>
      <c r="C136">
        <f t="shared" si="91"/>
        <v>0</v>
      </c>
      <c r="D136" t="s">
        <v>92</v>
      </c>
      <c r="E136" t="str">
        <f t="shared" si="92"/>
        <v>buffer.o</v>
      </c>
      <c r="F136">
        <f t="shared" ca="1" si="93"/>
        <v>0</v>
      </c>
      <c r="H136">
        <f t="shared" ca="1" si="94"/>
        <v>536807392</v>
      </c>
      <c r="I136" t="str">
        <f t="shared" ca="1" si="95"/>
        <v>0x1FFF07E0</v>
      </c>
      <c r="J136" s="4" t="str">
        <f t="shared" si="88"/>
        <v/>
      </c>
      <c r="K136" s="4" t="str">
        <f t="shared" si="89"/>
        <v xml:space="preserve">                                                           rw data section .data object buffer.o,</v>
      </c>
    </row>
    <row r="137" spans="1:11" x14ac:dyDescent="0.25">
      <c r="A137" t="s">
        <v>536</v>
      </c>
      <c r="B137" t="str">
        <f t="shared" si="86"/>
        <v/>
      </c>
      <c r="C137">
        <f t="shared" si="91"/>
        <v>0</v>
      </c>
      <c r="D137" t="s">
        <v>131</v>
      </c>
      <c r="E137" t="str">
        <f t="shared" si="92"/>
        <v>DBG_CommandLine.o</v>
      </c>
      <c r="F137">
        <f t="shared" ca="1" si="93"/>
        <v>0</v>
      </c>
      <c r="H137">
        <f t="shared" ca="1" si="94"/>
        <v>536807392</v>
      </c>
      <c r="I137" t="str">
        <f t="shared" ca="1" si="95"/>
        <v>0x1FFF07E0</v>
      </c>
      <c r="J137" s="4" t="str">
        <f t="shared" si="88"/>
        <v/>
      </c>
      <c r="K137" s="4" t="str">
        <f t="shared" si="89"/>
        <v xml:space="preserve">                                                           rw data section .data object DBG_CommandLine.o,</v>
      </c>
    </row>
    <row r="138" spans="1:11" x14ac:dyDescent="0.25">
      <c r="A138" t="s">
        <v>536</v>
      </c>
      <c r="B138" t="str">
        <f t="shared" si="86"/>
        <v/>
      </c>
      <c r="C138">
        <f t="shared" si="91"/>
        <v>0</v>
      </c>
      <c r="D138" t="s">
        <v>82</v>
      </c>
      <c r="E138" t="str">
        <f t="shared" si="92"/>
        <v>DBG_SerialDebug.o</v>
      </c>
      <c r="F138">
        <f t="shared" ca="1" si="93"/>
        <v>1</v>
      </c>
      <c r="H138">
        <f t="shared" ca="1" si="94"/>
        <v>536807392</v>
      </c>
      <c r="I138" t="str">
        <f t="shared" ca="1" si="95"/>
        <v>0x1FFF07E0</v>
      </c>
      <c r="J138" s="4" t="str">
        <f t="shared" si="88"/>
        <v/>
      </c>
      <c r="K138" s="4" t="str">
        <f t="shared" si="89"/>
        <v xml:space="preserve">                                                           rw data section .data object DBG_SerialDebug.o,</v>
      </c>
    </row>
    <row r="139" spans="1:11" x14ac:dyDescent="0.25">
      <c r="A139" t="s">
        <v>536</v>
      </c>
      <c r="B139" t="str">
        <f t="shared" si="86"/>
        <v/>
      </c>
      <c r="C139">
        <f t="shared" si="91"/>
        <v>0</v>
      </c>
      <c r="D139" t="s">
        <v>249</v>
      </c>
      <c r="E139" t="str">
        <f t="shared" si="92"/>
        <v>eng_res.o</v>
      </c>
      <c r="F139">
        <f t="shared" ca="1" si="93"/>
        <v>0</v>
      </c>
      <c r="H139">
        <f t="shared" ca="1" si="94"/>
        <v>536807400</v>
      </c>
      <c r="I139" t="str">
        <f t="shared" ca="1" si="95"/>
        <v>0x1FFF07E8</v>
      </c>
      <c r="J139" s="4" t="str">
        <f t="shared" si="88"/>
        <v/>
      </c>
      <c r="K139" s="4" t="str">
        <f t="shared" si="89"/>
        <v xml:space="preserve">                                                           rw data section .data object eng_res.o,</v>
      </c>
    </row>
    <row r="140" spans="1:11" x14ac:dyDescent="0.25">
      <c r="A140" t="s">
        <v>536</v>
      </c>
      <c r="B140" t="str">
        <f t="shared" si="86"/>
        <v/>
      </c>
      <c r="C140">
        <f t="shared" si="91"/>
        <v>0</v>
      </c>
      <c r="D140" t="s">
        <v>136</v>
      </c>
      <c r="E140" t="str">
        <f t="shared" si="92"/>
        <v>EVL_event_log.o</v>
      </c>
      <c r="F140">
        <f t="shared" ca="1" si="93"/>
        <v>0</v>
      </c>
      <c r="H140">
        <f t="shared" ca="1" si="94"/>
        <v>536807400</v>
      </c>
      <c r="I140" t="str">
        <f t="shared" ca="1" si="95"/>
        <v>0x1FFF07E8</v>
      </c>
      <c r="J140" s="4" t="str">
        <f t="shared" si="88"/>
        <v/>
      </c>
      <c r="K140" s="4" t="str">
        <f t="shared" si="89"/>
        <v xml:space="preserve">                                                           rw data section .data object EVL_event_log.o,</v>
      </c>
    </row>
    <row r="141" spans="1:11" x14ac:dyDescent="0.25">
      <c r="A141" t="s">
        <v>536</v>
      </c>
      <c r="B141" t="str">
        <f t="shared" si="86"/>
        <v/>
      </c>
      <c r="C141">
        <f t="shared" si="91"/>
        <v>0</v>
      </c>
      <c r="D141" t="s">
        <v>569</v>
      </c>
      <c r="E141" t="str">
        <f t="shared" si="92"/>
        <v>exe_list.o</v>
      </c>
      <c r="F141">
        <f t="shared" ca="1" si="93"/>
        <v>0</v>
      </c>
      <c r="H141">
        <f t="shared" ca="1" si="94"/>
        <v>536807400</v>
      </c>
      <c r="I141" t="str">
        <f t="shared" ca="1" si="95"/>
        <v>0x1FFF07E8</v>
      </c>
      <c r="J141" s="4" t="str">
        <f t="shared" si="88"/>
        <v/>
      </c>
      <c r="K141" s="4" t="str">
        <f t="shared" si="89"/>
        <v xml:space="preserve">                                                           rw data section .data object exe_list.o,</v>
      </c>
    </row>
    <row r="142" spans="1:11" x14ac:dyDescent="0.25">
      <c r="A142" t="s">
        <v>536</v>
      </c>
      <c r="B142" t="str">
        <f t="shared" si="86"/>
        <v/>
      </c>
      <c r="C142">
        <f t="shared" si="91"/>
        <v>0</v>
      </c>
      <c r="D142" t="s">
        <v>118</v>
      </c>
      <c r="E142" t="str">
        <f t="shared" si="92"/>
        <v>file_io.o</v>
      </c>
      <c r="F142">
        <f t="shared" ca="1" si="93"/>
        <v>0</v>
      </c>
      <c r="H142">
        <f t="shared" ca="1" si="94"/>
        <v>536807400</v>
      </c>
      <c r="I142" t="str">
        <f t="shared" ca="1" si="95"/>
        <v>0x1FFF07E8</v>
      </c>
      <c r="J142" s="4" t="str">
        <f t="shared" si="88"/>
        <v/>
      </c>
      <c r="K142" s="4" t="str">
        <f t="shared" si="89"/>
        <v xml:space="preserve">                                                           rw data section .data object file_io.o,</v>
      </c>
    </row>
    <row r="143" spans="1:11" x14ac:dyDescent="0.25">
      <c r="A143" t="s">
        <v>536</v>
      </c>
      <c r="B143" t="str">
        <f t="shared" si="86"/>
        <v/>
      </c>
      <c r="C143">
        <f t="shared" si="91"/>
        <v>0</v>
      </c>
      <c r="D143" t="s">
        <v>87</v>
      </c>
      <c r="E143" t="str">
        <f t="shared" si="92"/>
        <v>HEEP_util.o</v>
      </c>
      <c r="F143">
        <f t="shared" ca="1" si="93"/>
        <v>0</v>
      </c>
      <c r="H143">
        <f t="shared" ca="1" si="94"/>
        <v>536807400</v>
      </c>
      <c r="I143" t="str">
        <f t="shared" ca="1" si="95"/>
        <v>0x1FFF07E8</v>
      </c>
      <c r="J143" s="4" t="str">
        <f t="shared" si="88"/>
        <v/>
      </c>
      <c r="K143" s="4" t="str">
        <f t="shared" si="89"/>
        <v xml:space="preserve">                                                           rw data section .data object HEEP_util.o,</v>
      </c>
    </row>
    <row r="144" spans="1:11" x14ac:dyDescent="0.25">
      <c r="A144" t="s">
        <v>536</v>
      </c>
      <c r="B144" t="str">
        <f t="shared" si="86"/>
        <v/>
      </c>
      <c r="C144">
        <f t="shared" si="91"/>
        <v>0</v>
      </c>
      <c r="D144" t="s">
        <v>570</v>
      </c>
      <c r="E144" t="str">
        <f t="shared" si="92"/>
        <v>mem_chk.o</v>
      </c>
      <c r="F144">
        <f t="shared" ca="1" si="93"/>
        <v>0</v>
      </c>
      <c r="H144">
        <f t="shared" ca="1" si="94"/>
        <v>536807400</v>
      </c>
      <c r="I144" t="str">
        <f t="shared" ca="1" si="95"/>
        <v>0x1FFF07E8</v>
      </c>
      <c r="J144" s="4" t="str">
        <f t="shared" si="88"/>
        <v/>
      </c>
      <c r="K144" s="4" t="str">
        <f t="shared" si="89"/>
        <v xml:space="preserve">                                                           rw data section .data object mem_chk.o,</v>
      </c>
    </row>
    <row r="145" spans="1:11" x14ac:dyDescent="0.25">
      <c r="A145" t="s">
        <v>536</v>
      </c>
      <c r="B145" t="str">
        <f t="shared" si="86"/>
        <v/>
      </c>
      <c r="C145">
        <f t="shared" si="91"/>
        <v>0</v>
      </c>
      <c r="D145" t="s">
        <v>248</v>
      </c>
      <c r="E145" t="str">
        <f t="shared" si="92"/>
        <v>MFG_Dtls.o</v>
      </c>
      <c r="F145">
        <f t="shared" ca="1" si="93"/>
        <v>0</v>
      </c>
      <c r="H145">
        <f t="shared" ca="1" si="94"/>
        <v>536807400</v>
      </c>
      <c r="I145" t="str">
        <f t="shared" ca="1" si="95"/>
        <v>0x1FFF07E8</v>
      </c>
      <c r="J145" s="4" t="str">
        <f t="shared" si="88"/>
        <v/>
      </c>
      <c r="K145" s="4" t="str">
        <f t="shared" si="89"/>
        <v xml:space="preserve">                                                           rw data section .data object MFG_Dtls.o,</v>
      </c>
    </row>
    <row r="146" spans="1:11" x14ac:dyDescent="0.25">
      <c r="A146" t="s">
        <v>536</v>
      </c>
      <c r="B146" t="str">
        <f t="shared" si="86"/>
        <v/>
      </c>
      <c r="C146">
        <f t="shared" si="91"/>
        <v>0</v>
      </c>
      <c r="D146" t="s">
        <v>244</v>
      </c>
      <c r="E146" t="str">
        <f t="shared" si="92"/>
        <v>MFG_Port.o</v>
      </c>
      <c r="F146">
        <f t="shared" ca="1" si="93"/>
        <v>0</v>
      </c>
      <c r="H146">
        <f t="shared" ca="1" si="94"/>
        <v>536807400</v>
      </c>
      <c r="I146" t="str">
        <f t="shared" ca="1" si="95"/>
        <v>0x1FFF07E8</v>
      </c>
      <c r="J146" s="4" t="str">
        <f t="shared" si="88"/>
        <v/>
      </c>
      <c r="K146" s="4" t="str">
        <f t="shared" si="89"/>
        <v xml:space="preserve">                                                           rw data section .data object MFG_Port.o,</v>
      </c>
    </row>
    <row r="147" spans="1:11" x14ac:dyDescent="0.25">
      <c r="A147" t="s">
        <v>536</v>
      </c>
      <c r="B147" t="str">
        <f t="shared" si="86"/>
        <v/>
      </c>
      <c r="C147">
        <f t="shared" si="91"/>
        <v>0</v>
      </c>
      <c r="D147" t="s">
        <v>919</v>
      </c>
      <c r="E147" t="str">
        <f t="shared" si="92"/>
        <v>MIMT_info.o</v>
      </c>
      <c r="F147">
        <f t="shared" ca="1" si="93"/>
        <v>0</v>
      </c>
      <c r="H147">
        <f t="shared" ca="1" si="94"/>
        <v>536807400</v>
      </c>
      <c r="I147" t="str">
        <f t="shared" ca="1" si="95"/>
        <v>0x1FFF07E8</v>
      </c>
      <c r="J147" s="4" t="str">
        <f t="shared" si="88"/>
        <v/>
      </c>
      <c r="K147" s="4" t="str">
        <f t="shared" si="89"/>
        <v xml:space="preserve">                                                           rw data section .data object MIMT_info.o,</v>
      </c>
    </row>
    <row r="148" spans="1:11" x14ac:dyDescent="0.25">
      <c r="A148" t="s">
        <v>536</v>
      </c>
      <c r="B148" t="str">
        <f t="shared" si="86"/>
        <v/>
      </c>
      <c r="C148">
        <f t="shared" si="91"/>
        <v>0</v>
      </c>
      <c r="D148" t="s">
        <v>86</v>
      </c>
      <c r="E148" t="str">
        <f t="shared" si="92"/>
        <v>mode_config.o</v>
      </c>
      <c r="F148">
        <f t="shared" ca="1" si="93"/>
        <v>0</v>
      </c>
      <c r="H148">
        <f t="shared" ca="1" si="94"/>
        <v>536807400</v>
      </c>
      <c r="I148" t="str">
        <f t="shared" ca="1" si="95"/>
        <v>0x1FFF07E8</v>
      </c>
      <c r="J148" s="4" t="str">
        <f t="shared" si="88"/>
        <v/>
      </c>
      <c r="K148" s="4" t="str">
        <f t="shared" si="89"/>
        <v xml:space="preserve">                                                           rw data section .data object mode_config.o,</v>
      </c>
    </row>
    <row r="149" spans="1:11" x14ac:dyDescent="0.25">
      <c r="A149" t="s">
        <v>536</v>
      </c>
      <c r="B149" t="str">
        <f t="shared" si="86"/>
        <v/>
      </c>
      <c r="C149">
        <f t="shared" si="91"/>
        <v>0</v>
      </c>
      <c r="D149" t="s">
        <v>308</v>
      </c>
      <c r="E149" t="str">
        <f t="shared" si="92"/>
        <v>object_list.o</v>
      </c>
      <c r="F149">
        <f t="shared" ca="1" si="93"/>
        <v>0</v>
      </c>
      <c r="H149">
        <f t="shared" ca="1" si="94"/>
        <v>536807400</v>
      </c>
      <c r="I149" t="str">
        <f t="shared" ca="1" si="95"/>
        <v>0x1FFF07E8</v>
      </c>
      <c r="J149" s="4" t="str">
        <f t="shared" si="88"/>
        <v/>
      </c>
      <c r="K149" s="4" t="str">
        <f t="shared" si="89"/>
        <v xml:space="preserve">                                                           rw data section .data object object_list.o,</v>
      </c>
    </row>
    <row r="150" spans="1:11" x14ac:dyDescent="0.25">
      <c r="A150" t="s">
        <v>536</v>
      </c>
      <c r="B150" t="str">
        <f t="shared" si="86"/>
        <v/>
      </c>
      <c r="C150">
        <f t="shared" si="91"/>
        <v>0</v>
      </c>
      <c r="D150" t="s">
        <v>177</v>
      </c>
      <c r="E150" t="str">
        <f t="shared" si="92"/>
        <v>partitions.o</v>
      </c>
      <c r="F150">
        <f t="shared" ca="1" si="93"/>
        <v>56</v>
      </c>
      <c r="H150">
        <f t="shared" ca="1" si="94"/>
        <v>536807400</v>
      </c>
      <c r="I150" t="str">
        <f t="shared" ca="1" si="95"/>
        <v>0x1FFF07E8</v>
      </c>
      <c r="J150" s="4" t="str">
        <f t="shared" si="88"/>
        <v/>
      </c>
      <c r="K150" s="4" t="str">
        <f t="shared" si="89"/>
        <v xml:space="preserve">                                                           rw data section .data object partitions.o,</v>
      </c>
    </row>
    <row r="151" spans="1:11" x14ac:dyDescent="0.25">
      <c r="A151" t="s">
        <v>536</v>
      </c>
      <c r="B151" t="str">
        <f t="shared" si="86"/>
        <v/>
      </c>
      <c r="C151">
        <f t="shared" si="91"/>
        <v>0</v>
      </c>
      <c r="D151" t="s">
        <v>571</v>
      </c>
      <c r="E151" t="str">
        <f t="shared" si="92"/>
        <v>runTimeInit.o</v>
      </c>
      <c r="F151">
        <f t="shared" ca="1" si="93"/>
        <v>0</v>
      </c>
      <c r="H151">
        <f t="shared" ca="1" si="94"/>
        <v>536807456</v>
      </c>
      <c r="I151" t="str">
        <f t="shared" ca="1" si="95"/>
        <v>0x1FFF0820</v>
      </c>
      <c r="J151" s="4" t="str">
        <f t="shared" si="88"/>
        <v/>
      </c>
      <c r="K151" s="4" t="str">
        <f t="shared" si="89"/>
        <v xml:space="preserve">                                                           rw data section .data object runTimeInit.o,</v>
      </c>
    </row>
    <row r="152" spans="1:11" x14ac:dyDescent="0.25">
      <c r="A152" t="s">
        <v>536</v>
      </c>
      <c r="B152" t="str">
        <f t="shared" si="86"/>
        <v/>
      </c>
      <c r="C152">
        <f t="shared" si="91"/>
        <v>0</v>
      </c>
      <c r="D152" t="s">
        <v>223</v>
      </c>
      <c r="E152" t="str">
        <f t="shared" si="92"/>
        <v>SELF_test.o</v>
      </c>
      <c r="F152">
        <f t="shared" ca="1" si="93"/>
        <v>36</v>
      </c>
      <c r="H152">
        <f t="shared" ca="1" si="94"/>
        <v>536807456</v>
      </c>
      <c r="I152" t="str">
        <f t="shared" ca="1" si="95"/>
        <v>0x1FFF0820</v>
      </c>
      <c r="J152" s="4" t="str">
        <f t="shared" si="88"/>
        <v/>
      </c>
      <c r="K152" s="4" t="str">
        <f t="shared" si="89"/>
        <v xml:space="preserve">                                                           rw data section .data object SELF_test.o,</v>
      </c>
    </row>
    <row r="153" spans="1:11" x14ac:dyDescent="0.25">
      <c r="A153" t="s">
        <v>536</v>
      </c>
      <c r="B153" t="str">
        <f t="shared" si="86"/>
        <v/>
      </c>
      <c r="C153">
        <f t="shared" si="91"/>
        <v>0</v>
      </c>
      <c r="D153" t="s">
        <v>133</v>
      </c>
      <c r="E153" t="str">
        <f t="shared" si="92"/>
        <v>stack_check.o</v>
      </c>
      <c r="F153">
        <f t="shared" ca="1" si="93"/>
        <v>0</v>
      </c>
      <c r="H153">
        <f t="shared" ca="1" si="94"/>
        <v>536807496</v>
      </c>
      <c r="I153" t="str">
        <f t="shared" ca="1" si="95"/>
        <v>0x1FFF0848</v>
      </c>
      <c r="J153" s="4" t="str">
        <f t="shared" si="88"/>
        <v/>
      </c>
      <c r="K153" s="4" t="str">
        <f t="shared" si="89"/>
        <v xml:space="preserve">                                                           rw data section .data object stack_check.o,</v>
      </c>
    </row>
    <row r="154" spans="1:11" x14ac:dyDescent="0.25">
      <c r="A154" t="s">
        <v>536</v>
      </c>
      <c r="B154" t="str">
        <f t="shared" ref="B154:B159" si="96">IF(A154&lt;&gt;A153,A154&amp;$B$1,"")</f>
        <v/>
      </c>
      <c r="C154">
        <f t="shared" ref="C154:C159" si="97">LEN(B154)</f>
        <v>0</v>
      </c>
      <c r="D154" t="s">
        <v>309</v>
      </c>
      <c r="E154" t="str">
        <f t="shared" si="92"/>
        <v>sys_busy.o</v>
      </c>
      <c r="F154">
        <f t="shared" ca="1" si="93"/>
        <v>0</v>
      </c>
      <c r="H154">
        <f t="shared" ca="1" si="94"/>
        <v>536807496</v>
      </c>
      <c r="I154" t="str">
        <f t="shared" ca="1" si="95"/>
        <v>0x1FFF0848</v>
      </c>
      <c r="J154" s="4" t="str">
        <f t="shared" ref="J154:J159" si="98">IF(B154="","","define symbol "&amp;B154&amp;REPT(" ",$C$4-C154)&amp;"= "&amp;I154&amp;";")</f>
        <v/>
      </c>
      <c r="K154" s="4" t="str">
        <f t="shared" ref="K154:K163" si="99">IF(B154="",REPT(" ",$C$4+$K$4)&amp;$K$2&amp;D154&amp;IF(B155="",","," };"),""""&amp;B154&amp;""":"&amp;REPT(" ",$C$4-C154)&amp;"place at address mem: "&amp;B154&amp;REPT(" ",$C$4-C154)&amp;"{ "&amp;K$2&amp;D154&amp;IF(B155="",","," };"))</f>
        <v xml:space="preserve">                                                           rw data section .data object sys_busy.o,</v>
      </c>
    </row>
    <row r="155" spans="1:11" x14ac:dyDescent="0.25">
      <c r="A155" t="s">
        <v>536</v>
      </c>
      <c r="B155" t="str">
        <f t="shared" si="96"/>
        <v/>
      </c>
      <c r="C155">
        <f t="shared" si="97"/>
        <v>0</v>
      </c>
      <c r="D155" t="s">
        <v>1094</v>
      </c>
      <c r="E155" t="str">
        <f t="shared" si="92"/>
        <v>temperature.o</v>
      </c>
      <c r="F155">
        <f t="shared" ca="1" si="93"/>
        <v>0</v>
      </c>
      <c r="H155">
        <f t="shared" ca="1" si="94"/>
        <v>536807496</v>
      </c>
      <c r="I155" t="str">
        <f t="shared" ca="1" si="95"/>
        <v>0x1FFF0848</v>
      </c>
      <c r="J155" s="4" t="str">
        <f t="shared" si="98"/>
        <v/>
      </c>
      <c r="K155" s="4" t="str">
        <f t="shared" si="99"/>
        <v xml:space="preserve">                                                           rw data section .data object temperature.o,</v>
      </c>
    </row>
    <row r="156" spans="1:11" x14ac:dyDescent="0.25">
      <c r="A156" t="s">
        <v>536</v>
      </c>
      <c r="B156" t="str">
        <f t="shared" si="96"/>
        <v/>
      </c>
      <c r="C156">
        <f t="shared" si="97"/>
        <v>0</v>
      </c>
      <c r="D156" t="s">
        <v>206</v>
      </c>
      <c r="E156" t="str">
        <f t="shared" si="92"/>
        <v>time_DST.o</v>
      </c>
      <c r="F156">
        <f t="shared" ca="1" si="93"/>
        <v>0</v>
      </c>
      <c r="H156">
        <f t="shared" ca="1" si="94"/>
        <v>536807496</v>
      </c>
      <c r="I156" t="str">
        <f t="shared" ca="1" si="95"/>
        <v>0x1FFF0848</v>
      </c>
      <c r="J156" s="4" t="str">
        <f t="shared" si="98"/>
        <v/>
      </c>
      <c r="K156" s="4" t="str">
        <f t="shared" si="99"/>
        <v xml:space="preserve">                                                           rw data section .data object time_DST.o,</v>
      </c>
    </row>
    <row r="157" spans="1:11" x14ac:dyDescent="0.25">
      <c r="A157" t="s">
        <v>536</v>
      </c>
      <c r="B157" t="str">
        <f t="shared" si="96"/>
        <v/>
      </c>
      <c r="C157">
        <f t="shared" si="97"/>
        <v>0</v>
      </c>
      <c r="D157" t="s">
        <v>1038</v>
      </c>
      <c r="E157" t="str">
        <f t="shared" si="92"/>
        <v>time_sync.o</v>
      </c>
      <c r="F157">
        <f t="shared" ca="1" si="93"/>
        <v>1</v>
      </c>
      <c r="H157">
        <f t="shared" ca="1" si="94"/>
        <v>536807496</v>
      </c>
      <c r="I157" t="str">
        <f t="shared" ca="1" si="95"/>
        <v>0x1FFF0848</v>
      </c>
      <c r="J157" s="4" t="str">
        <f t="shared" si="98"/>
        <v/>
      </c>
      <c r="K157" s="4" t="str">
        <f t="shared" si="99"/>
        <v xml:space="preserve">                                                           rw data section .data object time_sync.o,</v>
      </c>
    </row>
    <row r="158" spans="1:11" x14ac:dyDescent="0.25">
      <c r="A158" t="s">
        <v>536</v>
      </c>
      <c r="B158" t="str">
        <f t="shared" si="96"/>
        <v/>
      </c>
      <c r="C158">
        <f t="shared" si="97"/>
        <v>0</v>
      </c>
      <c r="D158" t="s">
        <v>162</v>
      </c>
      <c r="E158" t="str">
        <f t="shared" si="92"/>
        <v>time_sys.o</v>
      </c>
      <c r="F158">
        <f t="shared" ca="1" si="93"/>
        <v>0</v>
      </c>
      <c r="H158">
        <f t="shared" ca="1" si="94"/>
        <v>536807504</v>
      </c>
      <c r="I158" t="str">
        <f t="shared" ca="1" si="95"/>
        <v>0x1FFF0850</v>
      </c>
      <c r="J158" s="4" t="str">
        <f t="shared" si="98"/>
        <v/>
      </c>
      <c r="K158" s="4" t="str">
        <f t="shared" si="99"/>
        <v xml:space="preserve">                                                           rw data section .data object time_sys.o,</v>
      </c>
    </row>
    <row r="159" spans="1:11" x14ac:dyDescent="0.25">
      <c r="A159" t="s">
        <v>536</v>
      </c>
      <c r="B159" t="str">
        <f t="shared" si="96"/>
        <v/>
      </c>
      <c r="C159">
        <f t="shared" si="97"/>
        <v>0</v>
      </c>
      <c r="D159" t="s">
        <v>291</v>
      </c>
      <c r="E159" t="str">
        <f t="shared" si="92"/>
        <v>virgin_device.o</v>
      </c>
      <c r="F159">
        <f t="shared" ca="1" si="93"/>
        <v>0</v>
      </c>
      <c r="H159">
        <f t="shared" ca="1" si="94"/>
        <v>536807504</v>
      </c>
      <c r="I159" t="str">
        <f t="shared" ca="1" si="95"/>
        <v>0x1FFF0850</v>
      </c>
      <c r="J159" s="4" t="str">
        <f t="shared" si="98"/>
        <v/>
      </c>
      <c r="K159" s="4" t="str">
        <f t="shared" si="99"/>
        <v xml:space="preserve">                                                           rw data section .data object virgin_device.o,</v>
      </c>
    </row>
    <row r="160" spans="1:11" x14ac:dyDescent="0.25">
      <c r="A160" t="s">
        <v>536</v>
      </c>
      <c r="B160" t="str">
        <f t="shared" ref="B160" si="100">IF(A160&lt;&gt;A159,A160&amp;$B$1,"")</f>
        <v/>
      </c>
      <c r="C160">
        <f t="shared" ref="C160" si="101">LEN(B160)</f>
        <v>0</v>
      </c>
      <c r="D160" t="s">
        <v>1668</v>
      </c>
      <c r="E160" t="str">
        <f t="shared" ref="E160" si="102">SUBSTITUTE(D160,"-","_")</f>
        <v>FTM0.o</v>
      </c>
      <c r="F160">
        <f t="shared" ref="F160" ca="1" si="103">IFERROR(VLOOKUP(D160,INDIRECT($F$1),2,FALSE),0)</f>
        <v>0</v>
      </c>
      <c r="H160">
        <f t="shared" ca="1" si="94"/>
        <v>536807504</v>
      </c>
      <c r="I160" t="str">
        <f t="shared" ref="I160" ca="1" si="104">"0x"&amp;DEC2HEX(H160,8)</f>
        <v>0x1FFF0850</v>
      </c>
      <c r="J160" s="4" t="str">
        <f t="shared" ref="J160" si="105">IF(B160="","","define symbol "&amp;B160&amp;REPT(" ",$C$4-C160)&amp;"= "&amp;I160&amp;";")</f>
        <v/>
      </c>
      <c r="K160" s="4" t="str">
        <f t="shared" si="99"/>
        <v xml:space="preserve">                                                           rw data section .data object FTM0.o,</v>
      </c>
    </row>
    <row r="161" spans="1:11" x14ac:dyDescent="0.25">
      <c r="A161" t="s">
        <v>536</v>
      </c>
      <c r="B161" t="str">
        <f t="shared" ref="B161" si="106">IF(A161&lt;&gt;A160,A161&amp;$B$1,"")</f>
        <v/>
      </c>
      <c r="C161">
        <f t="shared" ref="C161" si="107">LEN(B161)</f>
        <v>0</v>
      </c>
      <c r="D161" t="s">
        <v>1669</v>
      </c>
      <c r="E161" t="str">
        <f t="shared" ref="E161" si="108">SUBSTITUTE(D161,"-","_")</f>
        <v>FTM1.o</v>
      </c>
      <c r="F161">
        <f t="shared" ref="F161" ca="1" si="109">IFERROR(VLOOKUP(D161,INDIRECT($F$1),2,FALSE),0)</f>
        <v>0</v>
      </c>
      <c r="H161">
        <f t="shared" ca="1" si="94"/>
        <v>536807504</v>
      </c>
      <c r="I161" t="str">
        <f t="shared" ref="I161" ca="1" si="110">"0x"&amp;DEC2HEX(H161,8)</f>
        <v>0x1FFF0850</v>
      </c>
      <c r="J161" s="4" t="str">
        <f t="shared" ref="J161" si="111">IF(B161="","","define symbol "&amp;B161&amp;REPT(" ",$C$4-C161)&amp;"= "&amp;I161&amp;";")</f>
        <v/>
      </c>
      <c r="K161" s="4" t="str">
        <f t="shared" si="99"/>
        <v xml:space="preserve">                                                           rw data section .data object FTM1.o,</v>
      </c>
    </row>
    <row r="162" spans="1:11" x14ac:dyDescent="0.25">
      <c r="A162" t="s">
        <v>536</v>
      </c>
      <c r="B162" t="str">
        <f t="shared" ref="B162" si="112">IF(A162&lt;&gt;A161,A162&amp;$B$1,"")</f>
        <v/>
      </c>
      <c r="C162">
        <f t="shared" ref="C162" si="113">LEN(B162)</f>
        <v>0</v>
      </c>
      <c r="D162" t="s">
        <v>1670</v>
      </c>
      <c r="E162" t="str">
        <f t="shared" ref="E162" si="114">SUBSTITUTE(D162,"-","_")</f>
        <v>FTM2.o</v>
      </c>
      <c r="F162">
        <f t="shared" ref="F162" ca="1" si="115">IFERROR(VLOOKUP(D162,INDIRECT($F$1),2,FALSE),0)</f>
        <v>0</v>
      </c>
      <c r="H162">
        <f t="shared" ca="1" si="94"/>
        <v>536807504</v>
      </c>
      <c r="I162" t="str">
        <f t="shared" ref="I162" ca="1" si="116">"0x"&amp;DEC2HEX(H162,8)</f>
        <v>0x1FFF0850</v>
      </c>
      <c r="J162" s="4" t="str">
        <f t="shared" ref="J162" si="117">IF(B162="","","define symbol "&amp;B162&amp;REPT(" ",$C$4-C162)&amp;"= "&amp;I162&amp;";")</f>
        <v/>
      </c>
      <c r="K162" s="4" t="str">
        <f t="shared" si="99"/>
        <v xml:space="preserve">                                                           rw data section .data object FTM2.o,</v>
      </c>
    </row>
    <row r="163" spans="1:11" x14ac:dyDescent="0.25">
      <c r="A163" t="s">
        <v>536</v>
      </c>
      <c r="B163" t="str">
        <f t="shared" ref="B163" si="118">IF(A163&lt;&gt;A162,A163&amp;$B$1,"")</f>
        <v/>
      </c>
      <c r="C163">
        <f t="shared" ref="C163" si="119">LEN(B163)</f>
        <v>0</v>
      </c>
      <c r="D163" t="s">
        <v>1671</v>
      </c>
      <c r="E163" t="str">
        <f t="shared" ref="E163" si="120">SUBSTITUTE(D163,"-","_")</f>
        <v>FTM3.o</v>
      </c>
      <c r="F163">
        <f t="shared" ref="F163" ca="1" si="121">IFERROR(VLOOKUP(D163,INDIRECT($F$1),2,FALSE),0)</f>
        <v>0</v>
      </c>
      <c r="H163">
        <f t="shared" ca="1" si="94"/>
        <v>536807504</v>
      </c>
      <c r="I163" t="str">
        <f t="shared" ref="I163" ca="1" si="122">"0x"&amp;DEC2HEX(H163,8)</f>
        <v>0x1FFF0850</v>
      </c>
      <c r="J163" s="4" t="str">
        <f t="shared" ref="J163" si="123">IF(B163="","","define symbol "&amp;B163&amp;REPT(" ",$C$4-C163)&amp;"= "&amp;I163&amp;";")</f>
        <v/>
      </c>
      <c r="K163" s="4" t="str">
        <f t="shared" si="99"/>
        <v xml:space="preserve">                                                           rw data section .data object FTM3.o };</v>
      </c>
    </row>
    <row r="164" spans="1:11" x14ac:dyDescent="0.25">
      <c r="B164" t="str">
        <f>B133&amp;"_end"</f>
        <v>Common_INIT_end</v>
      </c>
      <c r="F164">
        <f ca="1">SUM(F133:F163)</f>
        <v>94</v>
      </c>
      <c r="G164">
        <f ca="1">INT(($G$130/100)*F164)</f>
        <v>4</v>
      </c>
      <c r="H164">
        <f t="shared" ca="1" si="94"/>
        <v>536807504</v>
      </c>
      <c r="I164" t="str">
        <f t="shared" ca="1" si="90"/>
        <v>0x1FFF0850</v>
      </c>
      <c r="J164" s="4"/>
      <c r="K164" s="4"/>
    </row>
    <row r="165" spans="1:11" x14ac:dyDescent="0.25">
      <c r="J165" s="4"/>
      <c r="K165" s="4"/>
    </row>
    <row r="166" spans="1:11" x14ac:dyDescent="0.25">
      <c r="F166" t="s">
        <v>526</v>
      </c>
      <c r="G166">
        <f ca="1">VLOOKUP(B169,INDIRECT(GlobalPlcmnt!$B$134),GlobalPlcmnt!$B$138,FALSE)</f>
        <v>5</v>
      </c>
      <c r="J166" s="4"/>
      <c r="K166" s="4"/>
    </row>
    <row r="167" spans="1:11" x14ac:dyDescent="0.25">
      <c r="F167" t="s">
        <v>608</v>
      </c>
      <c r="G167">
        <f ca="1">VLOOKUP(B169,INDIRECT(GlobalPlcmnt!$B$134),GlobalPlcmnt!$C$138,FALSE)</f>
        <v>8</v>
      </c>
      <c r="J167" s="4"/>
      <c r="K167" s="4"/>
    </row>
    <row r="168" spans="1:11" x14ac:dyDescent="0.25">
      <c r="F168" t="s">
        <v>542</v>
      </c>
      <c r="J168" s="4"/>
      <c r="K168" s="4"/>
    </row>
    <row r="169" spans="1:11" x14ac:dyDescent="0.25">
      <c r="A169" t="s">
        <v>535</v>
      </c>
      <c r="B169" t="str">
        <f t="shared" ref="B169:B186" si="124">IF(A169&lt;&gt;A168,A169&amp;$B$1,"")</f>
        <v>HMC_INIT</v>
      </c>
      <c r="C169">
        <f t="shared" si="91"/>
        <v>8</v>
      </c>
      <c r="D169" t="s">
        <v>341</v>
      </c>
      <c r="E169" t="str">
        <f t="shared" ref="E169:E208" si="125">SUBSTITUTE(D169,"-","_")</f>
        <v>hmc_app.o</v>
      </c>
      <c r="F169">
        <f t="shared" ref="F169:F170" ca="1" si="126">IFERROR(VLOOKUP(D169,INDIRECT($F$1),2,FALSE),0)</f>
        <v>0</v>
      </c>
      <c r="H169">
        <f ca="1">VLOOKUP(B169,INDIRECT(GlobalPlcmnt!$B$134),GlobalPlcmnt!$A$138,FALSE)</f>
        <v>536807504</v>
      </c>
      <c r="I169" t="str">
        <f t="shared" ca="1" si="90"/>
        <v>0x1FFF0850</v>
      </c>
      <c r="J169" s="4" t="str">
        <f t="shared" ref="J169:J186" ca="1" si="127">IF(B169="","","define symbol "&amp;B169&amp;REPT(" ",$C$4-C169)&amp;"= "&amp;I169&amp;";")</f>
        <v>define symbol HMC_INIT        = 0x1FFF0850;</v>
      </c>
      <c r="K169" s="4" t="str">
        <f t="shared" ref="K169:K188" si="128">IF(B169="",REPT(" ",$C$4+$K$4)&amp;$K$2&amp;D169&amp;IF(B170="",","," };"),""""&amp;B169&amp;""":"&amp;REPT(" ",$C$4-C169)&amp;"place at address mem: "&amp;B169&amp;REPT(" ",$C$4-C169)&amp;"{ "&amp;K$2&amp;D169&amp;IF(B170="",","," };"))</f>
        <v>"HMC_INIT":        place at address mem: HMC_INIT        { rw data section .data object hmc_app.o,</v>
      </c>
    </row>
    <row r="170" spans="1:11" x14ac:dyDescent="0.25">
      <c r="A170" t="s">
        <v>535</v>
      </c>
      <c r="B170" t="str">
        <f t="shared" si="124"/>
        <v/>
      </c>
      <c r="C170">
        <f t="shared" si="91"/>
        <v>0</v>
      </c>
      <c r="D170" t="s">
        <v>572</v>
      </c>
      <c r="E170" t="str">
        <f t="shared" si="125"/>
        <v>hmc_demand.o</v>
      </c>
      <c r="F170">
        <f t="shared" ca="1" si="126"/>
        <v>0</v>
      </c>
      <c r="H170">
        <f ca="1">H169+F169+G169+IF(MOD(F169+H169+G169,$G$167)=0,0,$G$167-MOD(F169+H169+G169,$G$167))</f>
        <v>536807504</v>
      </c>
      <c r="I170" t="str">
        <f t="shared" ca="1" si="90"/>
        <v>0x1FFF0850</v>
      </c>
      <c r="J170" s="4" t="str">
        <f t="shared" si="127"/>
        <v/>
      </c>
      <c r="K170" s="4" t="str">
        <f t="shared" si="128"/>
        <v xml:space="preserve">                                                           rw data section .data object hmc_demand.o,</v>
      </c>
    </row>
    <row r="171" spans="1:11" x14ac:dyDescent="0.25">
      <c r="A171" t="s">
        <v>535</v>
      </c>
      <c r="B171" t="str">
        <f t="shared" si="124"/>
        <v/>
      </c>
      <c r="C171">
        <f t="shared" si="91"/>
        <v>0</v>
      </c>
      <c r="D171" t="s">
        <v>573</v>
      </c>
      <c r="E171" t="str">
        <f t="shared" ref="E171:E187" si="129">SUBSTITUTE(D171,"-","_")</f>
        <v>hmc_diags.o</v>
      </c>
      <c r="F171">
        <f t="shared" ref="F171:F187" ca="1" si="130">IFERROR(VLOOKUP(D171,INDIRECT($F$1),2,FALSE),0)</f>
        <v>0</v>
      </c>
      <c r="H171">
        <f t="shared" ref="H171:H189" ca="1" si="131">H170+F170+G170+IF(MOD(F170+H170+G170,$G$167)=0,0,$G$167-MOD(F170+H170+G170,$G$167))</f>
        <v>536807504</v>
      </c>
      <c r="I171" t="str">
        <f t="shared" ref="I171:I187" ca="1" si="132">"0x"&amp;DEC2HEX(H171,8)</f>
        <v>0x1FFF0850</v>
      </c>
      <c r="J171" s="4" t="str">
        <f t="shared" si="127"/>
        <v/>
      </c>
      <c r="K171" s="4" t="str">
        <f t="shared" si="128"/>
        <v xml:space="preserve">                                                           rw data section .data object hmc_diags.o,</v>
      </c>
    </row>
    <row r="172" spans="1:11" x14ac:dyDescent="0.25">
      <c r="A172" t="s">
        <v>535</v>
      </c>
      <c r="B172" t="str">
        <f t="shared" si="124"/>
        <v/>
      </c>
      <c r="C172">
        <f t="shared" si="91"/>
        <v>0</v>
      </c>
      <c r="D172" t="s">
        <v>217</v>
      </c>
      <c r="E172" t="str">
        <f t="shared" si="129"/>
        <v>hmc_ds.o</v>
      </c>
      <c r="F172">
        <f t="shared" ca="1" si="130"/>
        <v>0</v>
      </c>
      <c r="H172">
        <f t="shared" ca="1" si="131"/>
        <v>536807504</v>
      </c>
      <c r="I172" t="str">
        <f t="shared" ca="1" si="132"/>
        <v>0x1FFF0850</v>
      </c>
      <c r="J172" s="4" t="str">
        <f t="shared" si="127"/>
        <v/>
      </c>
      <c r="K172" s="4" t="str">
        <f t="shared" si="128"/>
        <v xml:space="preserve">                                                           rw data section .data object hmc_ds.o,</v>
      </c>
    </row>
    <row r="173" spans="1:11" x14ac:dyDescent="0.25">
      <c r="A173" t="s">
        <v>535</v>
      </c>
      <c r="B173" t="str">
        <f t="shared" si="124"/>
        <v/>
      </c>
      <c r="C173">
        <f t="shared" si="91"/>
        <v>0</v>
      </c>
      <c r="D173" t="s">
        <v>219</v>
      </c>
      <c r="E173" t="str">
        <f t="shared" si="129"/>
        <v>hmc_eng.o</v>
      </c>
      <c r="F173">
        <f t="shared" ca="1" si="130"/>
        <v>0</v>
      </c>
      <c r="H173">
        <f t="shared" ca="1" si="131"/>
        <v>536807504</v>
      </c>
      <c r="I173" t="str">
        <f t="shared" ca="1" si="132"/>
        <v>0x1FFF0850</v>
      </c>
      <c r="J173" s="4" t="str">
        <f t="shared" si="127"/>
        <v/>
      </c>
      <c r="K173" s="4" t="str">
        <f t="shared" si="128"/>
        <v xml:space="preserve">                                                           rw data section .data object hmc_eng.o,</v>
      </c>
    </row>
    <row r="174" spans="1:11" x14ac:dyDescent="0.25">
      <c r="A174" t="s">
        <v>535</v>
      </c>
      <c r="B174" t="str">
        <f t="shared" si="124"/>
        <v/>
      </c>
      <c r="C174">
        <f t="shared" si="91"/>
        <v>0</v>
      </c>
      <c r="D174" t="s">
        <v>366</v>
      </c>
      <c r="E174" t="str">
        <f t="shared" si="129"/>
        <v>hmc_finish.o</v>
      </c>
      <c r="F174">
        <f t="shared" ca="1" si="130"/>
        <v>0</v>
      </c>
      <c r="H174">
        <f t="shared" ca="1" si="131"/>
        <v>536807504</v>
      </c>
      <c r="I174" t="str">
        <f t="shared" ca="1" si="132"/>
        <v>0x1FFF0850</v>
      </c>
      <c r="J174" s="4" t="str">
        <f t="shared" si="127"/>
        <v/>
      </c>
      <c r="K174" s="4" t="str">
        <f t="shared" si="128"/>
        <v xml:space="preserve">                                                           rw data section .data object hmc_finish.o,</v>
      </c>
    </row>
    <row r="175" spans="1:11" x14ac:dyDescent="0.25">
      <c r="A175" t="s">
        <v>535</v>
      </c>
      <c r="B175" t="str">
        <f t="shared" si="124"/>
        <v/>
      </c>
      <c r="C175">
        <f t="shared" si="91"/>
        <v>0</v>
      </c>
      <c r="D175" t="s">
        <v>390</v>
      </c>
      <c r="E175" t="str">
        <f t="shared" si="129"/>
        <v>hmc_msg.o</v>
      </c>
      <c r="F175">
        <f t="shared" ca="1" si="130"/>
        <v>0</v>
      </c>
      <c r="H175">
        <f t="shared" ca="1" si="131"/>
        <v>536807504</v>
      </c>
      <c r="I175" t="str">
        <f t="shared" ca="1" si="132"/>
        <v>0x1FFF0850</v>
      </c>
      <c r="J175" s="4" t="str">
        <f t="shared" si="127"/>
        <v/>
      </c>
      <c r="K175" s="4" t="str">
        <f t="shared" si="128"/>
        <v xml:space="preserve">                                                           rw data section .data object hmc_msg.o,</v>
      </c>
    </row>
    <row r="176" spans="1:11" x14ac:dyDescent="0.25">
      <c r="A176" t="s">
        <v>535</v>
      </c>
      <c r="B176" t="str">
        <f t="shared" si="124"/>
        <v/>
      </c>
      <c r="C176">
        <f t="shared" si="91"/>
        <v>0</v>
      </c>
      <c r="D176" t="s">
        <v>216</v>
      </c>
      <c r="E176" t="str">
        <f t="shared" si="129"/>
        <v>hmc_mtr_info.o</v>
      </c>
      <c r="F176">
        <f t="shared" ca="1" si="130"/>
        <v>0</v>
      </c>
      <c r="H176">
        <f t="shared" ca="1" si="131"/>
        <v>536807504</v>
      </c>
      <c r="I176" t="str">
        <f t="shared" ca="1" si="132"/>
        <v>0x1FFF0850</v>
      </c>
      <c r="J176" s="4" t="str">
        <f t="shared" si="127"/>
        <v/>
      </c>
      <c r="K176" s="4" t="str">
        <f t="shared" si="128"/>
        <v xml:space="preserve">                                                           rw data section .data object hmc_mtr_info.o,</v>
      </c>
    </row>
    <row r="177" spans="1:11" x14ac:dyDescent="0.25">
      <c r="A177" t="s">
        <v>535</v>
      </c>
      <c r="B177" t="str">
        <f t="shared" si="124"/>
        <v/>
      </c>
      <c r="C177">
        <f t="shared" si="91"/>
        <v>0</v>
      </c>
      <c r="D177" t="s">
        <v>574</v>
      </c>
      <c r="E177" t="str">
        <f t="shared" si="129"/>
        <v>hmc_mtr_lp.o</v>
      </c>
      <c r="F177">
        <f t="shared" ca="1" si="130"/>
        <v>0</v>
      </c>
      <c r="H177">
        <f t="shared" ca="1" si="131"/>
        <v>536807504</v>
      </c>
      <c r="I177" t="str">
        <f t="shared" ca="1" si="132"/>
        <v>0x1FFF0850</v>
      </c>
      <c r="J177" s="4" t="str">
        <f t="shared" si="127"/>
        <v/>
      </c>
      <c r="K177" s="4" t="str">
        <f t="shared" si="128"/>
        <v xml:space="preserve">                                                           rw data section .data object hmc_mtr_lp.o,</v>
      </c>
    </row>
    <row r="178" spans="1:11" x14ac:dyDescent="0.25">
      <c r="A178" t="s">
        <v>535</v>
      </c>
      <c r="B178" t="str">
        <f t="shared" si="124"/>
        <v/>
      </c>
      <c r="C178">
        <f t="shared" si="91"/>
        <v>0</v>
      </c>
      <c r="D178" t="s">
        <v>378</v>
      </c>
      <c r="E178" t="str">
        <f t="shared" si="129"/>
        <v>hmc_prot.o</v>
      </c>
      <c r="F178">
        <f t="shared" ca="1" si="130"/>
        <v>0</v>
      </c>
      <c r="H178">
        <f t="shared" ca="1" si="131"/>
        <v>536807504</v>
      </c>
      <c r="I178" t="str">
        <f t="shared" ca="1" si="132"/>
        <v>0x1FFF0850</v>
      </c>
      <c r="J178" s="4" t="str">
        <f t="shared" si="127"/>
        <v/>
      </c>
      <c r="K178" s="4" t="str">
        <f t="shared" si="128"/>
        <v xml:space="preserve">                                                           rw data section .data object hmc_prot.o,</v>
      </c>
    </row>
    <row r="179" spans="1:11" x14ac:dyDescent="0.25">
      <c r="A179" t="s">
        <v>535</v>
      </c>
      <c r="B179" t="str">
        <f t="shared" si="124"/>
        <v/>
      </c>
      <c r="C179">
        <f t="shared" si="91"/>
        <v>0</v>
      </c>
      <c r="D179" t="s">
        <v>404</v>
      </c>
      <c r="E179" t="str">
        <f t="shared" si="129"/>
        <v>hmc_request.o</v>
      </c>
      <c r="F179">
        <f t="shared" ca="1" si="130"/>
        <v>0</v>
      </c>
      <c r="H179">
        <f t="shared" ca="1" si="131"/>
        <v>536807504</v>
      </c>
      <c r="I179" t="str">
        <f t="shared" ca="1" si="132"/>
        <v>0x1FFF0850</v>
      </c>
      <c r="J179" s="4" t="str">
        <f t="shared" si="127"/>
        <v/>
      </c>
      <c r="K179" s="4" t="str">
        <f t="shared" si="128"/>
        <v xml:space="preserve">                                                           rw data section .data object hmc_request.o,</v>
      </c>
    </row>
    <row r="180" spans="1:11" x14ac:dyDescent="0.25">
      <c r="A180" t="s">
        <v>535</v>
      </c>
      <c r="B180" t="str">
        <f t="shared" si="124"/>
        <v/>
      </c>
      <c r="C180">
        <f t="shared" si="91"/>
        <v>0</v>
      </c>
      <c r="D180" t="s">
        <v>575</v>
      </c>
      <c r="E180" t="str">
        <f t="shared" si="129"/>
        <v>hmc_seq_id.o</v>
      </c>
      <c r="F180">
        <f t="shared" ca="1" si="130"/>
        <v>0</v>
      </c>
      <c r="H180">
        <f t="shared" ca="1" si="131"/>
        <v>536807504</v>
      </c>
      <c r="I180" t="str">
        <f t="shared" ca="1" si="132"/>
        <v>0x1FFF0850</v>
      </c>
      <c r="J180" s="4" t="str">
        <f t="shared" si="127"/>
        <v/>
      </c>
      <c r="K180" s="4" t="str">
        <f t="shared" si="128"/>
        <v xml:space="preserve">                                                           rw data section .data object hmc_seq_id.o,</v>
      </c>
    </row>
    <row r="181" spans="1:11" x14ac:dyDescent="0.25">
      <c r="A181" t="s">
        <v>535</v>
      </c>
      <c r="B181" t="str">
        <f t="shared" si="124"/>
        <v/>
      </c>
      <c r="C181">
        <f t="shared" si="91"/>
        <v>0</v>
      </c>
      <c r="D181" t="s">
        <v>405</v>
      </c>
      <c r="E181" t="str">
        <f t="shared" si="129"/>
        <v>hmc_snapshot.o</v>
      </c>
      <c r="F181">
        <f t="shared" ca="1" si="130"/>
        <v>0</v>
      </c>
      <c r="H181">
        <f t="shared" ca="1" si="131"/>
        <v>536807504</v>
      </c>
      <c r="I181" t="str">
        <f t="shared" ca="1" si="132"/>
        <v>0x1FFF0850</v>
      </c>
      <c r="J181" s="4" t="str">
        <f t="shared" si="127"/>
        <v/>
      </c>
      <c r="K181" s="4" t="str">
        <f t="shared" si="128"/>
        <v xml:space="preserve">                                                           rw data section .data object hmc_snapshot.o,</v>
      </c>
    </row>
    <row r="182" spans="1:11" x14ac:dyDescent="0.25">
      <c r="A182" t="s">
        <v>535</v>
      </c>
      <c r="B182" t="str">
        <f t="shared" si="124"/>
        <v/>
      </c>
      <c r="C182">
        <f t="shared" si="91"/>
        <v>0</v>
      </c>
      <c r="D182" t="s">
        <v>311</v>
      </c>
      <c r="E182" t="str">
        <f t="shared" si="129"/>
        <v>hmc_start.o</v>
      </c>
      <c r="F182">
        <f t="shared" ca="1" si="130"/>
        <v>0</v>
      </c>
      <c r="H182">
        <f t="shared" ca="1" si="131"/>
        <v>536807504</v>
      </c>
      <c r="I182" t="str">
        <f t="shared" ca="1" si="132"/>
        <v>0x1FFF0850</v>
      </c>
      <c r="J182" s="4" t="str">
        <f t="shared" si="127"/>
        <v/>
      </c>
      <c r="K182" s="4" t="str">
        <f t="shared" si="128"/>
        <v xml:space="preserve">                                                           rw data section .data object hmc_start.o,</v>
      </c>
    </row>
    <row r="183" spans="1:11" x14ac:dyDescent="0.25">
      <c r="A183" t="s">
        <v>535</v>
      </c>
      <c r="B183" t="str">
        <f t="shared" si="124"/>
        <v/>
      </c>
      <c r="C183">
        <f t="shared" si="91"/>
        <v>0</v>
      </c>
      <c r="D183" t="s">
        <v>576</v>
      </c>
      <c r="E183" t="str">
        <f t="shared" si="129"/>
        <v>hmc_sync.o</v>
      </c>
      <c r="F183">
        <f t="shared" ca="1" si="130"/>
        <v>0</v>
      </c>
      <c r="H183">
        <f t="shared" ca="1" si="131"/>
        <v>536807504</v>
      </c>
      <c r="I183" t="str">
        <f t="shared" ca="1" si="132"/>
        <v>0x1FFF0850</v>
      </c>
      <c r="J183" s="4" t="str">
        <f t="shared" si="127"/>
        <v/>
      </c>
      <c r="K183" s="4" t="str">
        <f t="shared" si="128"/>
        <v xml:space="preserve">                                                           rw data section .data object hmc_sync.o,</v>
      </c>
    </row>
    <row r="184" spans="1:11" x14ac:dyDescent="0.25">
      <c r="A184" t="s">
        <v>535</v>
      </c>
      <c r="B184" t="str">
        <f t="shared" si="124"/>
        <v/>
      </c>
      <c r="C184">
        <f t="shared" si="91"/>
        <v>0</v>
      </c>
      <c r="D184" t="s">
        <v>577</v>
      </c>
      <c r="E184" t="str">
        <f t="shared" si="129"/>
        <v>hmc_time.o</v>
      </c>
      <c r="F184">
        <f t="shared" ca="1" si="130"/>
        <v>0</v>
      </c>
      <c r="H184">
        <f t="shared" ca="1" si="131"/>
        <v>536807504</v>
      </c>
      <c r="I184" t="str">
        <f t="shared" ca="1" si="132"/>
        <v>0x1FFF0850</v>
      </c>
      <c r="J184" s="4" t="str">
        <f t="shared" si="127"/>
        <v/>
      </c>
      <c r="K184" s="4" t="str">
        <f t="shared" si="128"/>
        <v xml:space="preserve">                                                           rw data section .data object hmc_time.o,</v>
      </c>
    </row>
    <row r="185" spans="1:11" x14ac:dyDescent="0.25">
      <c r="A185" t="s">
        <v>535</v>
      </c>
      <c r="B185" t="str">
        <f t="shared" si="124"/>
        <v/>
      </c>
      <c r="C185">
        <f t="shared" si="91"/>
        <v>0</v>
      </c>
      <c r="D185" t="s">
        <v>438</v>
      </c>
      <c r="E185" t="str">
        <f t="shared" si="129"/>
        <v>hmc_tsk_lst.o</v>
      </c>
      <c r="F185">
        <f t="shared" ca="1" si="130"/>
        <v>0</v>
      </c>
      <c r="H185">
        <f t="shared" ca="1" si="131"/>
        <v>536807504</v>
      </c>
      <c r="I185" t="str">
        <f t="shared" ca="1" si="132"/>
        <v>0x1FFF0850</v>
      </c>
      <c r="J185" s="4" t="str">
        <f t="shared" si="127"/>
        <v/>
      </c>
      <c r="K185" s="4" t="str">
        <f t="shared" si="128"/>
        <v xml:space="preserve">                                                           rw data section .data object hmc_tsk_lst.o,</v>
      </c>
    </row>
    <row r="186" spans="1:11" x14ac:dyDescent="0.25">
      <c r="A186" t="s">
        <v>535</v>
      </c>
      <c r="B186" t="str">
        <f t="shared" si="124"/>
        <v/>
      </c>
      <c r="C186">
        <f t="shared" si="91"/>
        <v>0</v>
      </c>
      <c r="D186" t="s">
        <v>214</v>
      </c>
      <c r="E186" t="str">
        <f t="shared" si="129"/>
        <v>intf_cim_cmd.o</v>
      </c>
      <c r="F186">
        <f t="shared" ca="1" si="130"/>
        <v>0</v>
      </c>
      <c r="H186">
        <f t="shared" ca="1" si="131"/>
        <v>536807504</v>
      </c>
      <c r="I186" t="str">
        <f t="shared" ca="1" si="132"/>
        <v>0x1FFF0850</v>
      </c>
      <c r="J186" s="4" t="str">
        <f t="shared" si="127"/>
        <v/>
      </c>
      <c r="K186" s="4" t="str">
        <f t="shared" si="128"/>
        <v xml:space="preserve">                                                           rw data section .data object intf_cim_cmd.o,</v>
      </c>
    </row>
    <row r="187" spans="1:11" x14ac:dyDescent="0.25">
      <c r="A187" t="s">
        <v>535</v>
      </c>
      <c r="B187" t="str">
        <f t="shared" ref="B187" si="133">IF(A187&lt;&gt;A186,A187&amp;$B$1,"")</f>
        <v/>
      </c>
      <c r="C187">
        <f t="shared" ref="C187" si="134">LEN(B187)</f>
        <v>0</v>
      </c>
      <c r="D187" t="s">
        <v>1085</v>
      </c>
      <c r="E187" t="str">
        <f t="shared" si="129"/>
        <v>hmc_prg_mtr.o</v>
      </c>
      <c r="F187">
        <f t="shared" ca="1" si="130"/>
        <v>0</v>
      </c>
      <c r="H187">
        <f t="shared" ca="1" si="131"/>
        <v>536807504</v>
      </c>
      <c r="I187" t="str">
        <f t="shared" ca="1" si="132"/>
        <v>0x1FFF0850</v>
      </c>
      <c r="J187" s="4" t="str">
        <f t="shared" ref="J187" si="135">IF(B187="","","define symbol "&amp;B187&amp;REPT(" ",$C$4-C187)&amp;"= "&amp;I187&amp;";")</f>
        <v/>
      </c>
      <c r="K187" s="4" t="str">
        <f t="shared" si="128"/>
        <v xml:space="preserve">                                                           rw data section .data object hmc_prg_mtr.o,</v>
      </c>
    </row>
    <row r="188" spans="1:11" x14ac:dyDescent="0.25">
      <c r="A188" t="s">
        <v>535</v>
      </c>
      <c r="B188" t="str">
        <f t="shared" ref="B188" si="136">IF(A188&lt;&gt;A187,A188&amp;$B$1,"")</f>
        <v/>
      </c>
      <c r="C188">
        <f t="shared" ref="C188" si="137">LEN(B188)</f>
        <v>0</v>
      </c>
      <c r="D188" t="s">
        <v>1727</v>
      </c>
      <c r="E188" t="str">
        <f t="shared" ref="E188" si="138">SUBSTITUTE(D188,"-","_")</f>
        <v>hmc_display.o</v>
      </c>
      <c r="F188">
        <f t="shared" ref="F188" ca="1" si="139">IFERROR(VLOOKUP(D188,INDIRECT($F$1),2,FALSE),0)</f>
        <v>0</v>
      </c>
      <c r="H188">
        <f t="shared" ca="1" si="131"/>
        <v>536807504</v>
      </c>
      <c r="I188" t="str">
        <f t="shared" ref="I188" ca="1" si="140">"0x"&amp;DEC2HEX(H188,8)</f>
        <v>0x1FFF0850</v>
      </c>
      <c r="J188" s="4" t="str">
        <f t="shared" ref="J188" si="141">IF(B188="","","define symbol "&amp;B188&amp;REPT(" ",$C$4-C188)&amp;"= "&amp;I188&amp;";")</f>
        <v/>
      </c>
      <c r="K188" s="4" t="str">
        <f t="shared" si="128"/>
        <v xml:space="preserve">                                                           rw data section .data object hmc_display.o };</v>
      </c>
    </row>
    <row r="189" spans="1:11" x14ac:dyDescent="0.25">
      <c r="B189" t="str">
        <f>B169&amp;"_end"</f>
        <v>HMC_INIT_end</v>
      </c>
      <c r="F189">
        <f ca="1">SUM(F169:F188)</f>
        <v>0</v>
      </c>
      <c r="G189">
        <f ca="1">INT(($G$166/100)*F189)</f>
        <v>0</v>
      </c>
      <c r="H189">
        <f t="shared" ca="1" si="131"/>
        <v>536807504</v>
      </c>
      <c r="I189" t="str">
        <f t="shared" ca="1" si="90"/>
        <v>0x1FFF0850</v>
      </c>
      <c r="J189" s="4"/>
      <c r="K189" s="4"/>
    </row>
    <row r="190" spans="1:11" x14ac:dyDescent="0.25">
      <c r="J190" s="4"/>
      <c r="K190" s="4"/>
    </row>
    <row r="191" spans="1:11" x14ac:dyDescent="0.25">
      <c r="F191" t="s">
        <v>526</v>
      </c>
      <c r="G191">
        <f ca="1">VLOOKUP(B194,INDIRECT(GlobalPlcmnt!$B$134),GlobalPlcmnt!$B$138,FALSE)</f>
        <v>5</v>
      </c>
      <c r="J191" s="4"/>
      <c r="K191" s="4"/>
    </row>
    <row r="192" spans="1:11" x14ac:dyDescent="0.25">
      <c r="F192" t="s">
        <v>608</v>
      </c>
      <c r="G192">
        <f ca="1">VLOOKUP(B194,INDIRECT(GlobalPlcmnt!$B$134),GlobalPlcmnt!$C$138,FALSE)</f>
        <v>8</v>
      </c>
      <c r="J192" s="4"/>
      <c r="K192" s="4"/>
    </row>
    <row r="193" spans="1:11" x14ac:dyDescent="0.25">
      <c r="F193" t="s">
        <v>542</v>
      </c>
      <c r="J193" s="4"/>
      <c r="K193" s="4"/>
    </row>
    <row r="194" spans="1:11" x14ac:dyDescent="0.25">
      <c r="A194" t="s">
        <v>1129</v>
      </c>
      <c r="B194" t="str">
        <f t="shared" ref="B194:B195" si="142">IF(A194&lt;&gt;A193,A194&amp;$B$1,"")</f>
        <v>AclaraDA_INIT</v>
      </c>
      <c r="C194">
        <f t="shared" ref="C194:C202" si="143">LEN(B194)</f>
        <v>13</v>
      </c>
      <c r="D194" t="s">
        <v>1130</v>
      </c>
      <c r="E194" t="str">
        <f t="shared" ref="E194:E202" si="144">SUBSTITUTE(D194,"-","_")</f>
        <v>b2b.o</v>
      </c>
      <c r="F194">
        <f t="shared" ref="F194:F202" ca="1" si="145">IFERROR(VLOOKUP(D194,INDIRECT($F$1),2,FALSE),0)</f>
        <v>0</v>
      </c>
      <c r="H194">
        <f ca="1">VLOOKUP(B194,INDIRECT(GlobalPlcmnt!$B$134),GlobalPlcmnt!$A$138,FALSE)</f>
        <v>536807504</v>
      </c>
      <c r="I194" t="str">
        <f t="shared" ref="I194:I203" ca="1" si="146">"0x"&amp;DEC2HEX(H194,8)</f>
        <v>0x1FFF0850</v>
      </c>
      <c r="J194" s="4" t="str">
        <f ca="1">IF(B194="","","define symbol "&amp;B194&amp;REPT(" ",$C$4-C194)&amp;" = "&amp;I194&amp;";")</f>
        <v>define symbol AclaraDA_INIT    = 0x1FFF0850;</v>
      </c>
      <c r="K194" s="4" t="str">
        <f>IF(B194="",REPT(" ",$C$4+$K$4)&amp;$K$2&amp;D194&amp;IF(B195="",","," };"),""""&amp;B194&amp;""":"&amp;REPT(" ",$C$4-C194)&amp;"place at address mem: "&amp;B194&amp;REPT(" ",$C$4-C194)&amp;"{ "&amp;$K$2&amp;D194&amp;IF(B195="",","," };"))</f>
        <v>"AclaraDA_INIT":   place at address mem: AclaraDA_INIT   { rw data section .data object b2b.o,</v>
      </c>
    </row>
    <row r="195" spans="1:11" x14ac:dyDescent="0.25">
      <c r="A195" t="s">
        <v>1129</v>
      </c>
      <c r="B195" t="str">
        <f t="shared" si="142"/>
        <v/>
      </c>
      <c r="C195">
        <f t="shared" si="143"/>
        <v>0</v>
      </c>
      <c r="D195" t="s">
        <v>1131</v>
      </c>
      <c r="E195" t="str">
        <f t="shared" si="144"/>
        <v>b2b_req_handler.o</v>
      </c>
      <c r="F195">
        <f t="shared" ca="1" si="145"/>
        <v>0</v>
      </c>
      <c r="H195">
        <f ca="1">H194+F194+G194+IF(MOD(F194+H194+G194,$G$192)=0,0,$G$192-MOD(F194+H194+G194,$G$192))</f>
        <v>536807504</v>
      </c>
      <c r="I195" t="str">
        <f t="shared" ca="1" si="146"/>
        <v>0x1FFF0850</v>
      </c>
      <c r="J195" s="4" t="str">
        <f t="shared" ref="J195:J197" si="147">IF(B195="","","define symbol "&amp;B195&amp;REPT(" ",$C$3-C195)&amp;" = "&amp;I195&amp;";")</f>
        <v/>
      </c>
      <c r="K195" s="4" t="str">
        <f t="shared" ref="K195:K202" si="148">IF(B195="",REPT(" ",$C$4+$K$4)&amp;$K$2&amp;D195&amp;IF(B196="",","," };"),""""&amp;B195&amp;""":"&amp;REPT(" ",$C$4-C195)&amp;"place at address mem: "&amp;B195&amp;REPT(" ",$C$4-C195)&amp;"{ "&amp;$K$2&amp;D195&amp;IF(B196="",","," };"))</f>
        <v xml:space="preserve">                                                           rw data section .data object b2b_req_handler.o,</v>
      </c>
    </row>
    <row r="196" spans="1:11" x14ac:dyDescent="0.25">
      <c r="A196" t="s">
        <v>1129</v>
      </c>
      <c r="C196">
        <f t="shared" si="143"/>
        <v>0</v>
      </c>
      <c r="D196" t="s">
        <v>1132</v>
      </c>
      <c r="E196" t="str">
        <f t="shared" si="144"/>
        <v>b2bMessage.o</v>
      </c>
      <c r="F196">
        <f t="shared" ca="1" si="145"/>
        <v>0</v>
      </c>
      <c r="H196">
        <f t="shared" ref="H196:H202" ca="1" si="149">H195+F195+G195+IF(MOD(F195+H195+G195,$G$192)=0,0,$G$192-MOD(F195+H195+G195,$G$192))</f>
        <v>536807504</v>
      </c>
      <c r="I196" t="str">
        <f t="shared" ca="1" si="146"/>
        <v>0x1FFF0850</v>
      </c>
      <c r="J196" s="4" t="str">
        <f t="shared" si="147"/>
        <v/>
      </c>
      <c r="K196" s="4" t="str">
        <f t="shared" si="148"/>
        <v xml:space="preserve">                                                           rw data section .data object b2bMessage.o,</v>
      </c>
    </row>
    <row r="197" spans="1:11" x14ac:dyDescent="0.25">
      <c r="A197" t="s">
        <v>1129</v>
      </c>
      <c r="C197">
        <f t="shared" si="143"/>
        <v>0</v>
      </c>
      <c r="D197" t="s">
        <v>1133</v>
      </c>
      <c r="E197" t="str">
        <f t="shared" si="144"/>
        <v>da_srfn_reg.o</v>
      </c>
      <c r="F197">
        <f t="shared" ca="1" si="145"/>
        <v>0</v>
      </c>
      <c r="H197">
        <f t="shared" ca="1" si="149"/>
        <v>536807504</v>
      </c>
      <c r="I197" t="str">
        <f t="shared" ca="1" si="146"/>
        <v>0x1FFF0850</v>
      </c>
      <c r="J197" s="4" t="str">
        <f t="shared" si="147"/>
        <v/>
      </c>
      <c r="K197" s="4" t="str">
        <f>IF(B197="",REPT(" ",$C$4+$K$4)&amp;$K$2&amp;D197&amp;IF(B199="",","," };"),""""&amp;B197&amp;""":"&amp;REPT(" ",$C$4-C197)&amp;"place at address mem: "&amp;B197&amp;REPT(" ",$C$4-C197)&amp;"{ "&amp;$K$2&amp;D197&amp;IF(B199="",","," };"))</f>
        <v xml:space="preserve">                                                           rw data section .data object da_srfn_reg.o,</v>
      </c>
    </row>
    <row r="198" spans="1:11" x14ac:dyDescent="0.25">
      <c r="A198" t="s">
        <v>1129</v>
      </c>
      <c r="C198">
        <f t="shared" si="143"/>
        <v>0</v>
      </c>
      <c r="D198" t="s">
        <v>1134</v>
      </c>
      <c r="E198" t="str">
        <f t="shared" si="144"/>
        <v>hdlc_frame.o</v>
      </c>
      <c r="F198">
        <f t="shared" ca="1" si="145"/>
        <v>0</v>
      </c>
      <c r="H198">
        <f t="shared" ca="1" si="149"/>
        <v>536807504</v>
      </c>
      <c r="I198" t="str">
        <f t="shared" ca="1" si="146"/>
        <v>0x1FFF0850</v>
      </c>
      <c r="J198" s="4"/>
      <c r="K198" s="4" t="str">
        <f>IF(B198="",REPT(" ",$C$4+$K$4)&amp;$K$2&amp;D198&amp;IF(B200="",","," };"),""""&amp;B198&amp;""":"&amp;REPT(" ",$C$4-C198)&amp;"place at address mem: "&amp;B198&amp;REPT(" ",$C$4-C198)&amp;"{ "&amp;$K$2&amp;D198&amp;IF(B200="",","," };"))</f>
        <v xml:space="preserve">                                                           rw data section .data object hdlc_frame.o,</v>
      </c>
    </row>
    <row r="199" spans="1:11" x14ac:dyDescent="0.25">
      <c r="A199" t="s">
        <v>1129</v>
      </c>
      <c r="C199">
        <f t="shared" si="143"/>
        <v>0</v>
      </c>
      <c r="D199" t="s">
        <v>1135</v>
      </c>
      <c r="E199" t="str">
        <f t="shared" si="144"/>
        <v>host_reset.o</v>
      </c>
      <c r="F199">
        <f t="shared" ca="1" si="145"/>
        <v>0</v>
      </c>
      <c r="H199">
        <f t="shared" ca="1" si="149"/>
        <v>536807504</v>
      </c>
      <c r="I199" t="str">
        <f t="shared" ca="1" si="146"/>
        <v>0x1FFF0850</v>
      </c>
      <c r="J199" s="4" t="str">
        <f t="shared" ref="J199:J202" si="150">IF(B199="","","define symbol "&amp;B199&amp;REPT(" ",$C$3-C199)&amp;" = "&amp;I199&amp;";")</f>
        <v/>
      </c>
      <c r="K199" s="4" t="str">
        <f t="shared" si="148"/>
        <v xml:space="preserve">                                                           rw data section .data object host_reset.o,</v>
      </c>
    </row>
    <row r="200" spans="1:11" x14ac:dyDescent="0.25">
      <c r="A200" t="s">
        <v>1129</v>
      </c>
      <c r="C200">
        <f t="shared" si="143"/>
        <v>0</v>
      </c>
      <c r="D200" t="s">
        <v>1136</v>
      </c>
      <c r="E200" t="str">
        <f t="shared" si="144"/>
        <v>nw_connected.o</v>
      </c>
      <c r="F200">
        <f t="shared" ca="1" si="145"/>
        <v>0</v>
      </c>
      <c r="H200">
        <f t="shared" ca="1" si="149"/>
        <v>536807504</v>
      </c>
      <c r="I200" t="str">
        <f t="shared" ca="1" si="146"/>
        <v>0x1FFF0850</v>
      </c>
      <c r="J200" s="4" t="str">
        <f t="shared" si="150"/>
        <v/>
      </c>
      <c r="K200" s="4" t="str">
        <f t="shared" si="148"/>
        <v xml:space="preserve">                                                           rw data section .data object nw_connected.o,</v>
      </c>
    </row>
    <row r="201" spans="1:11" x14ac:dyDescent="0.25">
      <c r="A201" t="s">
        <v>1129</v>
      </c>
      <c r="C201">
        <f t="shared" si="143"/>
        <v>0</v>
      </c>
      <c r="D201" t="s">
        <v>1137</v>
      </c>
      <c r="E201" t="str">
        <f t="shared" si="144"/>
        <v>TUNNEL_MSG_Handler.o</v>
      </c>
      <c r="F201">
        <f t="shared" ca="1" si="145"/>
        <v>0</v>
      </c>
      <c r="H201">
        <f t="shared" ca="1" si="149"/>
        <v>536807504</v>
      </c>
      <c r="I201" t="str">
        <f t="shared" ca="1" si="146"/>
        <v>0x1FFF0850</v>
      </c>
      <c r="J201" s="4" t="str">
        <f t="shared" si="150"/>
        <v/>
      </c>
      <c r="K201" s="4" t="str">
        <f t="shared" si="148"/>
        <v xml:space="preserve">                                                           rw data section .data object TUNNEL_MSG_Handler.o,</v>
      </c>
    </row>
    <row r="202" spans="1:11" x14ac:dyDescent="0.25">
      <c r="A202" t="s">
        <v>1129</v>
      </c>
      <c r="C202">
        <f t="shared" si="143"/>
        <v>0</v>
      </c>
      <c r="D202" t="s">
        <v>1138</v>
      </c>
      <c r="E202" t="str">
        <f t="shared" si="144"/>
        <v>tunnel_Util.o</v>
      </c>
      <c r="F202">
        <f t="shared" ca="1" si="145"/>
        <v>0</v>
      </c>
      <c r="H202">
        <f t="shared" ca="1" si="149"/>
        <v>536807504</v>
      </c>
      <c r="I202" t="str">
        <f t="shared" ca="1" si="146"/>
        <v>0x1FFF0850</v>
      </c>
      <c r="J202" s="4" t="str">
        <f t="shared" si="150"/>
        <v/>
      </c>
      <c r="K202" s="4" t="str">
        <f t="shared" si="148"/>
        <v xml:space="preserve">                                                           rw data section .data object tunnel_Util.o };</v>
      </c>
    </row>
    <row r="203" spans="1:11" x14ac:dyDescent="0.25">
      <c r="B203" t="str">
        <f>B194&amp;"_end"</f>
        <v>AclaraDA_INIT_end</v>
      </c>
      <c r="F203">
        <f ca="1">SUM(F194:F202)</f>
        <v>0</v>
      </c>
      <c r="G203">
        <f ca="1">INT(($G$191/100)*F203)</f>
        <v>0</v>
      </c>
      <c r="H203">
        <f ca="1">H202+F202+G203+IF(MOD(F202+H202+G203,$G$192)=0,0,$G$192-MOD(F202+H202+G203,$G$192))</f>
        <v>536807504</v>
      </c>
      <c r="I203" t="str">
        <f t="shared" ca="1" si="146"/>
        <v>0x1FFF0850</v>
      </c>
      <c r="J203" s="4"/>
      <c r="K203" s="4"/>
    </row>
    <row r="204" spans="1:11" x14ac:dyDescent="0.25">
      <c r="J204" s="4"/>
      <c r="K204" s="4"/>
    </row>
    <row r="205" spans="1:11" x14ac:dyDescent="0.25">
      <c r="F205" t="s">
        <v>526</v>
      </c>
      <c r="G205">
        <f ca="1">VLOOKUP(B208,INDIRECT(GlobalPlcmnt!$B$134),GlobalPlcmnt!$B$138,FALSE)</f>
        <v>5</v>
      </c>
      <c r="J205" s="4"/>
      <c r="K205" s="4"/>
    </row>
    <row r="206" spans="1:11" x14ac:dyDescent="0.25">
      <c r="F206" t="s">
        <v>608</v>
      </c>
      <c r="G206">
        <f ca="1">VLOOKUP(B208,INDIRECT(GlobalPlcmnt!$B$134),GlobalPlcmnt!$C$138,FALSE)</f>
        <v>8</v>
      </c>
      <c r="J206" s="4"/>
      <c r="K206" s="4"/>
    </row>
    <row r="207" spans="1:11" x14ac:dyDescent="0.25">
      <c r="F207" t="s">
        <v>542</v>
      </c>
      <c r="J207" s="4"/>
      <c r="K207" s="4"/>
    </row>
    <row r="208" spans="1:11" x14ac:dyDescent="0.25">
      <c r="A208" t="s">
        <v>537</v>
      </c>
      <c r="B208" t="str">
        <f t="shared" ref="B208:B225" si="151">IF(A208&lt;&gt;A207,A208&amp;$B$1,"")</f>
        <v>MTU_Common_INIT</v>
      </c>
      <c r="C208">
        <f t="shared" si="91"/>
        <v>15</v>
      </c>
      <c r="D208" t="s">
        <v>221</v>
      </c>
      <c r="E208" t="str">
        <f t="shared" si="125"/>
        <v>APP_MSG_Handler.o</v>
      </c>
      <c r="F208">
        <f t="shared" ref="F208:F209" ca="1" si="152">IFERROR(VLOOKUP(D208,INDIRECT($F$1),2,FALSE),0)</f>
        <v>0</v>
      </c>
      <c r="H208">
        <f ca="1">VLOOKUP(B208,INDIRECT(GlobalPlcmnt!$B$134),GlobalPlcmnt!$A$138,FALSE)</f>
        <v>536807504</v>
      </c>
      <c r="I208" t="str">
        <f t="shared" ca="1" si="90"/>
        <v>0x1FFF0850</v>
      </c>
      <c r="J208" s="4" t="str">
        <f t="shared" ref="J208:J225" ca="1" si="153">IF(B208="","","define symbol "&amp;B208&amp;REPT(" ",$C$4-C208)&amp;"= "&amp;I208&amp;";")</f>
        <v>define symbol MTU_Common_INIT = 0x1FFF0850;</v>
      </c>
      <c r="K208" s="4" t="str">
        <f t="shared" ref="K208:K225" si="154">IF(B208="",REPT(" ",$C$4+$K$4)&amp;$K$2&amp;D208&amp;IF(B209="",","," };"),""""&amp;B208&amp;""":"&amp;REPT(" ",$C$4-C208)&amp;"place at address mem: "&amp;B208&amp;REPT(" ",$C$4-C208)&amp;"{ "&amp;K$2&amp;D208&amp;IF(B209="",","," };"))</f>
        <v>"MTU_Common_INIT": place at address mem: MTU_Common_INIT { rw data section .data object APP_MSG_Handler.o,</v>
      </c>
    </row>
    <row r="209" spans="1:11" x14ac:dyDescent="0.25">
      <c r="A209" t="s">
        <v>537</v>
      </c>
      <c r="B209" t="str">
        <f t="shared" si="151"/>
        <v/>
      </c>
      <c r="C209">
        <f t="shared" si="91"/>
        <v>0</v>
      </c>
      <c r="D209" t="s">
        <v>222</v>
      </c>
      <c r="E209" t="str">
        <f>SUBSTITUTE(D209,"-","_")</f>
        <v>demand.o</v>
      </c>
      <c r="F209">
        <f t="shared" ca="1" si="152"/>
        <v>0</v>
      </c>
      <c r="H209">
        <f ca="1">H208+F208+G208+IF(MOD(F208+H208+G208,$G$206)=0,0,$G$206-MOD(F208+H208+G208,$G$206))</f>
        <v>536807504</v>
      </c>
      <c r="I209" t="str">
        <f t="shared" ca="1" si="90"/>
        <v>0x1FFF0850</v>
      </c>
      <c r="J209" s="4" t="str">
        <f t="shared" si="153"/>
        <v/>
      </c>
      <c r="K209" s="4" t="str">
        <f t="shared" si="154"/>
        <v xml:space="preserve">                                                           rw data section .data object demand.o,</v>
      </c>
    </row>
    <row r="210" spans="1:11" x14ac:dyDescent="0.25">
      <c r="A210" t="s">
        <v>537</v>
      </c>
      <c r="B210" t="str">
        <f t="shared" si="151"/>
        <v/>
      </c>
      <c r="C210">
        <f t="shared" si="91"/>
        <v>0</v>
      </c>
      <c r="D210" t="s">
        <v>227</v>
      </c>
      <c r="E210" t="str">
        <f t="shared" ref="E210:E225" si="155">SUBSTITUTE(D210,"-","_")</f>
        <v>ed_config.o</v>
      </c>
      <c r="F210">
        <f t="shared" ref="F210:F225" ca="1" si="156">IFERROR(VLOOKUP(D210,INDIRECT($F$1),2,FALSE),0)</f>
        <v>0</v>
      </c>
      <c r="H210">
        <f t="shared" ref="H210:H225" ca="1" si="157">H209+F209+G209+IF(MOD(F209+H209+G209,$G$206)=0,0,$G$206-MOD(F209+H209+G209,$G$206))</f>
        <v>536807504</v>
      </c>
      <c r="I210" t="str">
        <f t="shared" ref="I210:I225" ca="1" si="158">"0x"&amp;DEC2HEX(H210,8)</f>
        <v>0x1FFF0850</v>
      </c>
      <c r="J210" s="4" t="str">
        <f t="shared" si="153"/>
        <v/>
      </c>
      <c r="K210" s="4" t="str">
        <f t="shared" si="154"/>
        <v xml:space="preserve">                                                           rw data section .data object ed_config.o,</v>
      </c>
    </row>
    <row r="211" spans="1:11" x14ac:dyDescent="0.25">
      <c r="A211" t="s">
        <v>537</v>
      </c>
      <c r="B211" t="str">
        <f t="shared" si="151"/>
        <v/>
      </c>
      <c r="C211">
        <f t="shared" si="91"/>
        <v>0</v>
      </c>
      <c r="D211" t="s">
        <v>367</v>
      </c>
      <c r="E211" t="str">
        <f t="shared" si="155"/>
        <v>endpt_cim_cmd.o</v>
      </c>
      <c r="F211">
        <f t="shared" ca="1" si="156"/>
        <v>0</v>
      </c>
      <c r="H211">
        <f t="shared" ca="1" si="157"/>
        <v>536807504</v>
      </c>
      <c r="I211" t="str">
        <f t="shared" ca="1" si="158"/>
        <v>0x1FFF0850</v>
      </c>
      <c r="J211" s="4" t="str">
        <f t="shared" si="153"/>
        <v/>
      </c>
      <c r="K211" s="4" t="str">
        <f t="shared" si="154"/>
        <v xml:space="preserve">                                                           rw data section .data object endpt_cim_cmd.o,</v>
      </c>
    </row>
    <row r="212" spans="1:11" x14ac:dyDescent="0.25">
      <c r="A212" t="s">
        <v>537</v>
      </c>
      <c r="B212" t="str">
        <f t="shared" si="151"/>
        <v/>
      </c>
      <c r="C212">
        <f t="shared" si="91"/>
        <v>0</v>
      </c>
      <c r="D212" t="s">
        <v>218</v>
      </c>
      <c r="E212" t="str">
        <f t="shared" si="155"/>
        <v>historyd.o</v>
      </c>
      <c r="F212">
        <f t="shared" ca="1" si="156"/>
        <v>0</v>
      </c>
      <c r="H212">
        <f t="shared" ca="1" si="157"/>
        <v>536807504</v>
      </c>
      <c r="I212" t="str">
        <f t="shared" ca="1" si="158"/>
        <v>0x1FFF0850</v>
      </c>
      <c r="J212" s="4" t="str">
        <f t="shared" si="153"/>
        <v/>
      </c>
      <c r="K212" s="4" t="str">
        <f t="shared" si="154"/>
        <v xml:space="preserve">                                                           rw data section .data object historyd.o,</v>
      </c>
    </row>
    <row r="213" spans="1:11" x14ac:dyDescent="0.25">
      <c r="A213" t="s">
        <v>537</v>
      </c>
      <c r="B213" t="str">
        <f t="shared" si="151"/>
        <v/>
      </c>
      <c r="C213">
        <f t="shared" si="91"/>
        <v>0</v>
      </c>
      <c r="D213" t="s">
        <v>215</v>
      </c>
      <c r="E213" t="str">
        <f t="shared" si="155"/>
        <v>ID_intervalTask.o</v>
      </c>
      <c r="F213">
        <f t="shared" ca="1" si="156"/>
        <v>0</v>
      </c>
      <c r="H213">
        <f t="shared" ca="1" si="157"/>
        <v>536807504</v>
      </c>
      <c r="I213" t="str">
        <f t="shared" ca="1" si="158"/>
        <v>0x1FFF0850</v>
      </c>
      <c r="J213" s="4" t="str">
        <f t="shared" si="153"/>
        <v/>
      </c>
      <c r="K213" s="4" t="str">
        <f t="shared" si="154"/>
        <v xml:space="preserve">                                                           rw data section .data object ID_intervalTask.o,</v>
      </c>
    </row>
    <row r="214" spans="1:11" x14ac:dyDescent="0.25">
      <c r="A214" t="s">
        <v>537</v>
      </c>
      <c r="B214" t="str">
        <f t="shared" si="151"/>
        <v/>
      </c>
      <c r="C214">
        <f t="shared" si="91"/>
        <v>0</v>
      </c>
      <c r="D214" t="s">
        <v>292</v>
      </c>
      <c r="E214" t="str">
        <f t="shared" si="155"/>
        <v>IDL_IdleProcess.o</v>
      </c>
      <c r="F214">
        <f t="shared" ca="1" si="156"/>
        <v>0</v>
      </c>
      <c r="H214">
        <f t="shared" ca="1" si="157"/>
        <v>536807504</v>
      </c>
      <c r="I214" t="str">
        <f t="shared" ca="1" si="158"/>
        <v>0x1FFF0850</v>
      </c>
      <c r="J214" s="4" t="str">
        <f t="shared" si="153"/>
        <v/>
      </c>
      <c r="K214" s="4" t="str">
        <f t="shared" si="154"/>
        <v xml:space="preserve">                                                           rw data section .data object IDL_IdleProcess.o,</v>
      </c>
    </row>
    <row r="215" spans="1:11" x14ac:dyDescent="0.25">
      <c r="A215" t="s">
        <v>537</v>
      </c>
      <c r="B215" t="str">
        <f t="shared" si="151"/>
        <v/>
      </c>
      <c r="C215">
        <f t="shared" si="91"/>
        <v>0</v>
      </c>
      <c r="D215" t="s">
        <v>210</v>
      </c>
      <c r="E215" t="str">
        <f t="shared" si="155"/>
        <v>OR_MR_Handler.o</v>
      </c>
      <c r="F215">
        <f t="shared" ca="1" si="156"/>
        <v>0</v>
      </c>
      <c r="H215">
        <f t="shared" ca="1" si="157"/>
        <v>536807504</v>
      </c>
      <c r="I215" t="str">
        <f t="shared" ca="1" si="158"/>
        <v>0x1FFF0850</v>
      </c>
      <c r="J215" s="4" t="str">
        <f t="shared" si="153"/>
        <v/>
      </c>
      <c r="K215" s="4" t="str">
        <f t="shared" si="154"/>
        <v xml:space="preserve">                                                           rw data section .data object OR_MR_Handler.o,</v>
      </c>
    </row>
    <row r="216" spans="1:11" x14ac:dyDescent="0.25">
      <c r="A216" t="s">
        <v>537</v>
      </c>
      <c r="B216" t="str">
        <f t="shared" si="151"/>
        <v/>
      </c>
      <c r="C216">
        <f t="shared" si="91"/>
        <v>0</v>
      </c>
      <c r="D216" t="s">
        <v>98</v>
      </c>
      <c r="E216" t="str">
        <f t="shared" si="155"/>
        <v>pwr_config.o</v>
      </c>
      <c r="F216">
        <f t="shared" ca="1" si="156"/>
        <v>0</v>
      </c>
      <c r="H216">
        <f t="shared" ca="1" si="157"/>
        <v>536807504</v>
      </c>
      <c r="I216" t="str">
        <f t="shared" ca="1" si="158"/>
        <v>0x1FFF0850</v>
      </c>
      <c r="J216" s="4" t="str">
        <f t="shared" si="153"/>
        <v/>
      </c>
      <c r="K216" s="4" t="str">
        <f t="shared" si="154"/>
        <v xml:space="preserve">                                                           rw data section .data object pwr_config.o,</v>
      </c>
    </row>
    <row r="217" spans="1:11" x14ac:dyDescent="0.25">
      <c r="A217" t="s">
        <v>537</v>
      </c>
      <c r="B217" t="str">
        <f t="shared" si="151"/>
        <v/>
      </c>
      <c r="C217">
        <f t="shared" si="91"/>
        <v>0</v>
      </c>
      <c r="D217" t="s">
        <v>36</v>
      </c>
      <c r="E217" t="str">
        <f t="shared" si="155"/>
        <v>pwr_last_gasp.o</v>
      </c>
      <c r="F217">
        <f t="shared" ca="1" si="156"/>
        <v>0</v>
      </c>
      <c r="H217">
        <f t="shared" ca="1" si="157"/>
        <v>536807504</v>
      </c>
      <c r="I217" t="str">
        <f t="shared" ca="1" si="158"/>
        <v>0x1FFF0850</v>
      </c>
      <c r="J217" s="4" t="str">
        <f t="shared" si="153"/>
        <v/>
      </c>
      <c r="K217" s="4" t="str">
        <f t="shared" si="154"/>
        <v xml:space="preserve">                                                           rw data section .data object pwr_last_gasp.o,</v>
      </c>
    </row>
    <row r="218" spans="1:11" x14ac:dyDescent="0.25">
      <c r="A218" t="s">
        <v>537</v>
      </c>
      <c r="B218" t="str">
        <f t="shared" si="151"/>
        <v/>
      </c>
      <c r="C218">
        <f t="shared" si="91"/>
        <v>0</v>
      </c>
      <c r="D218" t="s">
        <v>312</v>
      </c>
      <c r="E218" t="str">
        <f t="shared" si="155"/>
        <v>pwr_restore.o</v>
      </c>
      <c r="F218">
        <f t="shared" ca="1" si="156"/>
        <v>0</v>
      </c>
      <c r="H218">
        <f t="shared" ca="1" si="157"/>
        <v>536807504</v>
      </c>
      <c r="I218" t="str">
        <f t="shared" ca="1" si="158"/>
        <v>0x1FFF0850</v>
      </c>
      <c r="J218" s="4" t="str">
        <f t="shared" si="153"/>
        <v/>
      </c>
      <c r="K218" s="4" t="str">
        <f t="shared" si="154"/>
        <v xml:space="preserve">                                                           rw data section .data object pwr_restore.o,</v>
      </c>
    </row>
    <row r="219" spans="1:11" x14ac:dyDescent="0.25">
      <c r="A219" t="s">
        <v>537</v>
      </c>
      <c r="B219" t="str">
        <f t="shared" si="151"/>
        <v/>
      </c>
      <c r="C219">
        <f t="shared" si="91"/>
        <v>0</v>
      </c>
      <c r="D219" t="s">
        <v>220</v>
      </c>
      <c r="E219" t="str">
        <f t="shared" si="155"/>
        <v>pwr_task.o</v>
      </c>
      <c r="F219">
        <f t="shared" ca="1" si="156"/>
        <v>4</v>
      </c>
      <c r="H219">
        <f t="shared" ca="1" si="157"/>
        <v>536807504</v>
      </c>
      <c r="I219" t="str">
        <f t="shared" ca="1" si="158"/>
        <v>0x1FFF0850</v>
      </c>
      <c r="J219" s="4" t="str">
        <f t="shared" si="153"/>
        <v/>
      </c>
      <c r="K219" s="4" t="str">
        <f t="shared" si="154"/>
        <v xml:space="preserve">                                                           rw data section .data object pwr_task.o,</v>
      </c>
    </row>
    <row r="220" spans="1:11" x14ac:dyDescent="0.25">
      <c r="A220" t="s">
        <v>537</v>
      </c>
      <c r="B220" t="str">
        <f t="shared" si="151"/>
        <v/>
      </c>
      <c r="C220">
        <f t="shared" si="91"/>
        <v>0</v>
      </c>
      <c r="D220" t="s">
        <v>408</v>
      </c>
      <c r="E220" t="str">
        <f t="shared" si="155"/>
        <v>RG_CF_Handler.o</v>
      </c>
      <c r="F220">
        <f t="shared" ca="1" si="156"/>
        <v>0</v>
      </c>
      <c r="H220">
        <f t="shared" ca="1" si="157"/>
        <v>536807512</v>
      </c>
      <c r="I220" t="str">
        <f t="shared" ca="1" si="158"/>
        <v>0x1FFF0858</v>
      </c>
      <c r="J220" s="4" t="str">
        <f t="shared" si="153"/>
        <v/>
      </c>
      <c r="K220" s="4" t="str">
        <f t="shared" si="154"/>
        <v xml:space="preserve">                                                           rw data section .data object RG_CF_Handler.o,</v>
      </c>
    </row>
    <row r="221" spans="1:11" x14ac:dyDescent="0.25">
      <c r="A221" t="s">
        <v>537</v>
      </c>
      <c r="B221" t="str">
        <f t="shared" si="151"/>
        <v/>
      </c>
      <c r="C221">
        <f t="shared" si="91"/>
        <v>0</v>
      </c>
      <c r="D221" t="s">
        <v>313</v>
      </c>
      <c r="E221" t="str">
        <f t="shared" si="155"/>
        <v>RG_MD_Handler.o</v>
      </c>
      <c r="F221">
        <f t="shared" ca="1" si="156"/>
        <v>0</v>
      </c>
      <c r="H221">
        <f t="shared" ca="1" si="157"/>
        <v>536807512</v>
      </c>
      <c r="I221" t="str">
        <f t="shared" ca="1" si="158"/>
        <v>0x1FFF0858</v>
      </c>
      <c r="J221" s="4" t="str">
        <f t="shared" si="153"/>
        <v/>
      </c>
      <c r="K221" s="4" t="str">
        <f t="shared" si="154"/>
        <v xml:space="preserve">                                                           rw data section .data object RG_MD_Handler.o,</v>
      </c>
    </row>
    <row r="222" spans="1:11" x14ac:dyDescent="0.25">
      <c r="A222" t="s">
        <v>537</v>
      </c>
      <c r="B222" t="str">
        <f t="shared" si="151"/>
        <v/>
      </c>
      <c r="C222">
        <f t="shared" si="91"/>
        <v>0</v>
      </c>
      <c r="D222" t="s">
        <v>198</v>
      </c>
      <c r="E222" t="str">
        <f t="shared" si="155"/>
        <v>STRT_Startup.o</v>
      </c>
      <c r="F222">
        <f t="shared" ca="1" si="156"/>
        <v>2</v>
      </c>
      <c r="H222">
        <f t="shared" ca="1" si="157"/>
        <v>536807512</v>
      </c>
      <c r="I222" t="str">
        <f t="shared" ca="1" si="158"/>
        <v>0x1FFF0858</v>
      </c>
      <c r="J222" s="4" t="str">
        <f t="shared" si="153"/>
        <v/>
      </c>
      <c r="K222" s="4" t="str">
        <f t="shared" si="154"/>
        <v xml:space="preserve">                                                           rw data section .data object STRT_Startup.o,</v>
      </c>
    </row>
    <row r="223" spans="1:11" x14ac:dyDescent="0.25">
      <c r="A223" t="s">
        <v>537</v>
      </c>
      <c r="B223" t="str">
        <f t="shared" si="151"/>
        <v/>
      </c>
      <c r="C223">
        <f t="shared" si="91"/>
        <v>0</v>
      </c>
      <c r="D223" t="s">
        <v>83</v>
      </c>
      <c r="E223" t="str">
        <f t="shared" si="155"/>
        <v>Task.o</v>
      </c>
      <c r="F223">
        <f t="shared" ca="1" si="156"/>
        <v>1</v>
      </c>
      <c r="H223">
        <f t="shared" ca="1" si="157"/>
        <v>536807520</v>
      </c>
      <c r="I223" t="str">
        <f t="shared" ca="1" si="158"/>
        <v>0x1FFF0860</v>
      </c>
      <c r="J223" s="4" t="str">
        <f t="shared" si="153"/>
        <v/>
      </c>
      <c r="K223" s="4" t="str">
        <f t="shared" si="154"/>
        <v xml:space="preserve">                                                           rw data section .data object Task.o,</v>
      </c>
    </row>
    <row r="224" spans="1:11" x14ac:dyDescent="0.25">
      <c r="A224" t="s">
        <v>537</v>
      </c>
      <c r="B224" t="str">
        <f t="shared" si="151"/>
        <v/>
      </c>
      <c r="C224">
        <f t="shared" si="91"/>
        <v>0</v>
      </c>
      <c r="D224" t="s">
        <v>409</v>
      </c>
      <c r="E224" t="str">
        <f t="shared" si="155"/>
        <v>vbat_reg.o</v>
      </c>
      <c r="F224">
        <f t="shared" ca="1" si="156"/>
        <v>0</v>
      </c>
      <c r="H224">
        <f t="shared" ca="1" si="157"/>
        <v>536807528</v>
      </c>
      <c r="I224" t="str">
        <f t="shared" ca="1" si="158"/>
        <v>0x1FFF0868</v>
      </c>
      <c r="J224" s="4" t="str">
        <f t="shared" si="153"/>
        <v/>
      </c>
      <c r="K224" s="4" t="str">
        <f t="shared" si="154"/>
        <v xml:space="preserve">                                                           rw data section .data object vbat_reg.o,</v>
      </c>
    </row>
    <row r="225" spans="1:11" x14ac:dyDescent="0.25">
      <c r="A225" t="s">
        <v>537</v>
      </c>
      <c r="B225" t="str">
        <f t="shared" si="151"/>
        <v/>
      </c>
      <c r="C225">
        <f t="shared" si="91"/>
        <v>0</v>
      </c>
      <c r="D225" t="s">
        <v>229</v>
      </c>
      <c r="E225" t="str">
        <f t="shared" si="155"/>
        <v>version.o</v>
      </c>
      <c r="F225">
        <f t="shared" ca="1" si="156"/>
        <v>0</v>
      </c>
      <c r="H225">
        <f t="shared" ca="1" si="157"/>
        <v>536807528</v>
      </c>
      <c r="I225" t="str">
        <f t="shared" ca="1" si="158"/>
        <v>0x1FFF0868</v>
      </c>
      <c r="J225" s="4" t="str">
        <f t="shared" si="153"/>
        <v/>
      </c>
      <c r="K225" s="4" t="str">
        <f t="shared" si="154"/>
        <v xml:space="preserve">                                                           rw data section .data object version.o };</v>
      </c>
    </row>
    <row r="226" spans="1:11" x14ac:dyDescent="0.25">
      <c r="B226" t="str">
        <f>B208&amp;"_end"</f>
        <v>MTU_Common_INIT_end</v>
      </c>
      <c r="F226">
        <f ca="1">SUM(F208:F225)</f>
        <v>7</v>
      </c>
      <c r="G226">
        <f ca="1">INT(($G$205/100)*F226)</f>
        <v>0</v>
      </c>
      <c r="H226">
        <f ca="1">H225+F225+G226+IF(MOD(F225+H225+G226,$G$206)=0,0,$G$206-MOD(F225+H225+G226,$G$206))</f>
        <v>536807528</v>
      </c>
      <c r="I226" t="str">
        <f t="shared" ca="1" si="90"/>
        <v>0x1FFF0868</v>
      </c>
    </row>
    <row r="228" spans="1:11" x14ac:dyDescent="0.25">
      <c r="F228" s="3" t="str">
        <f ca="1">'.map data'!B13</f>
        <v>'.map data'!$AL$127:$AM$128</v>
      </c>
    </row>
    <row r="229" spans="1:11" x14ac:dyDescent="0.25">
      <c r="F229" t="s">
        <v>658</v>
      </c>
      <c r="G229">
        <f ca="1">VLOOKUP(B231,INDIRECT(GlobalPlcmnt!$B$134),GlobalPlcmnt!$B$138,FALSE)</f>
        <v>5</v>
      </c>
    </row>
    <row r="230" spans="1:11" x14ac:dyDescent="0.25">
      <c r="F230" t="s">
        <v>608</v>
      </c>
      <c r="G230">
        <f ca="1">VLOOKUP(B231,INDIRECT(GlobalPlcmnt!$B$134),GlobalPlcmnt!$C$138,FALSE)</f>
        <v>8</v>
      </c>
      <c r="J230" s="47" t="s">
        <v>597</v>
      </c>
      <c r="K230" s="47"/>
    </row>
    <row r="231" spans="1:11" x14ac:dyDescent="0.25">
      <c r="A231" t="s">
        <v>593</v>
      </c>
      <c r="B231" t="str">
        <f>IF(A231&lt;&gt;A230,A231&amp;"_TEXT","")</f>
        <v>APP_RW_TEXT</v>
      </c>
      <c r="C231">
        <f>LEN(B231)</f>
        <v>11</v>
      </c>
      <c r="D231" t="s">
        <v>406</v>
      </c>
      <c r="E231" t="str">
        <f>SUBSTITUTE(D231,"-","_")</f>
        <v>IF_intFlash.o</v>
      </c>
      <c r="F231">
        <f ca="1">IFERROR(VLOOKUP(D231,INDIRECT($F$228),2,FALSE),0)</f>
        <v>68</v>
      </c>
      <c r="H231">
        <f ca="1">VLOOKUP(B231,INDIRECT(GlobalPlcmnt!$B$134),GlobalPlcmnt!$A$138,FALSE)</f>
        <v>536807528</v>
      </c>
      <c r="I231" t="str">
        <f ca="1">"0x"&amp;DEC2HEX(H231,8)</f>
        <v>0x1FFF0868</v>
      </c>
      <c r="J231" s="4" t="str">
        <f ca="1">"define symbol "&amp;B231&amp;REPT(" ",$C$4-C231)&amp;"= "&amp;I231&amp;";"</f>
        <v>define symbol APP_RW_TEXT     = 0x1FFF0868;</v>
      </c>
      <c r="K231" s="4" t="str">
        <f>""""&amp;B231&amp;""":"&amp;REPT(" ",$C$4-C231)&amp;"place at address mem: "&amp;B231&amp;REPT(" ",$C$4-C231)&amp;"{ rw code section .textrw object "&amp;D231&amp;" };"</f>
        <v>"APP_RW_TEXT":     place at address mem: APP_RW_TEXT     { rw code section .textrw object IF_intFlash.o };</v>
      </c>
    </row>
    <row r="232" spans="1:11" x14ac:dyDescent="0.25">
      <c r="B232" t="str">
        <f>B231&amp;"_end"</f>
        <v>APP_RW_TEXT_end</v>
      </c>
      <c r="F232">
        <f ca="1">SUM(F231)</f>
        <v>68</v>
      </c>
      <c r="G232">
        <f ca="1">INT(($G$229/100)*F232)</f>
        <v>3</v>
      </c>
      <c r="H232">
        <f ca="1">H231+F231+G232+IF(MOD(F231+H231+G232,$G$230)=0,0,$G$230-MOD(F231+H231+G232,$G$230))</f>
        <v>536807600</v>
      </c>
      <c r="I232" t="str">
        <f ca="1">"0x"&amp;DEC2HEX(H232,8)</f>
        <v>0x1FFF08B0</v>
      </c>
    </row>
    <row r="235" spans="1:11" x14ac:dyDescent="0.25">
      <c r="F235" s="3" t="str">
        <f ca="1">'.map data'!B17</f>
        <v>'.map data'!$AW$657:$AX$658</v>
      </c>
    </row>
    <row r="236" spans="1:11" x14ac:dyDescent="0.25">
      <c r="F236" t="s">
        <v>658</v>
      </c>
      <c r="G236">
        <f ca="1">VLOOKUP(B238,INDIRECT(GlobalPlcmnt!$B$134),GlobalPlcmnt!$B$138,FALSE)</f>
        <v>0</v>
      </c>
    </row>
    <row r="237" spans="1:11" x14ac:dyDescent="0.25">
      <c r="F237" t="s">
        <v>608</v>
      </c>
      <c r="G237">
        <f ca="1">VLOOKUP(B238,INDIRECT(GlobalPlcmnt!$B$134),GlobalPlcmnt!$C$138,FALSE)</f>
        <v>16</v>
      </c>
      <c r="J237" s="47" t="s">
        <v>595</v>
      </c>
      <c r="K237" s="47"/>
    </row>
    <row r="238" spans="1:11" x14ac:dyDescent="0.25">
      <c r="A238" t="s">
        <v>594</v>
      </c>
      <c r="B238" t="str">
        <f>IF(A238&lt;&gt;A237,A238,"")</f>
        <v>APP_NOINIT</v>
      </c>
      <c r="C238">
        <f>LEN(B238)</f>
        <v>10</v>
      </c>
      <c r="D238" t="s">
        <v>177</v>
      </c>
      <c r="E238" t="str">
        <f>SUBSTITUTE(D238,"-","_")</f>
        <v>partitions.o</v>
      </c>
      <c r="F238">
        <f ca="1">IFERROR(VLOOKUP(D238,INDIRECT($F$235),2,FALSE),0)</f>
        <v>2048</v>
      </c>
      <c r="H238">
        <f ca="1">VLOOKUP(B238,INDIRECT(GlobalPlcmnt!$B$134),GlobalPlcmnt!$A$138,FALSE)</f>
        <v>536807600</v>
      </c>
      <c r="I238" t="str">
        <f ca="1">IF(H238&lt;MemoryMap!C51,"0x"&amp;DEC2HEX(H238,8),"ERROR: Must be below Start RAM - BL")</f>
        <v>0x1FFF08B0</v>
      </c>
      <c r="J238" s="4" t="str">
        <f ca="1">"define symbol "&amp;B238&amp;REPT(" ",$C$4-C238)&amp;"= "&amp;I238&amp;";"</f>
        <v>define symbol APP_NOINIT      = 0x1FFF08B0;</v>
      </c>
      <c r="K238" s="4" t="str">
        <f>""""&amp;B238&amp;""": place at address mem: "&amp;B238&amp;" { rw data section .noinit object "&amp;D238&amp;" };"</f>
        <v>"APP_NOINIT": place at address mem: APP_NOINIT { rw data section .noinit object partitions.o };</v>
      </c>
    </row>
    <row r="239" spans="1:11" x14ac:dyDescent="0.25">
      <c r="B239" t="str">
        <f>B238&amp;"_end"</f>
        <v>APP_NOINIT_end</v>
      </c>
      <c r="F239">
        <f ca="1">SUM(F238)</f>
        <v>2048</v>
      </c>
      <c r="G239">
        <f ca="1">INT(($G$236/100)*F239)</f>
        <v>0</v>
      </c>
      <c r="H239">
        <f ca="1">H238+F238+G239+IF(MOD(F238+H238+G239,$G$237)=0,0,$G$237-MOD(F238+H238+G239,$G$237))</f>
        <v>536809648</v>
      </c>
      <c r="I239" t="str">
        <f ca="1">"0x"&amp;DEC2HEX(H239,8)</f>
        <v>0x1FFF10B0</v>
      </c>
    </row>
    <row r="241" spans="1:11" x14ac:dyDescent="0.25">
      <c r="A241" t="s">
        <v>928</v>
      </c>
      <c r="B241" t="str">
        <f ca="1">CELL("address",J239)</f>
        <v>$J$239</v>
      </c>
      <c r="J241" s="4" t="str">
        <f ca="1">J5</f>
        <v>define symbol utils_INIT      = 0x1FFF0508;</v>
      </c>
      <c r="K241" t="str">
        <f>K5</f>
        <v>"utils_INIT":      place at address mem: utils_INIT      { rw data section .data object ascii.o,</v>
      </c>
    </row>
    <row r="242" spans="1:11" x14ac:dyDescent="0.25">
      <c r="J242" s="4" t="str">
        <f ca="1">J21</f>
        <v>define symbol dfw_INIT        = 0x1FFF0550;</v>
      </c>
      <c r="K242" t="str">
        <f t="shared" ref="K242:K251" si="159">K6</f>
        <v xml:space="preserve">                                                           rw data section .data object bcd.o,</v>
      </c>
    </row>
    <row r="243" spans="1:11" x14ac:dyDescent="0.25">
      <c r="J243" s="4" t="str">
        <f ca="1">J30</f>
        <v>define symbol driver_INIT     = 0x1FFF0558;</v>
      </c>
      <c r="K243" t="str">
        <f t="shared" si="159"/>
        <v xml:space="preserve">                                                           rw data section .data object bit_util.o,</v>
      </c>
    </row>
    <row r="244" spans="1:11" x14ac:dyDescent="0.25">
      <c r="J244" s="4" t="str">
        <f ca="1">J42</f>
        <v>define symbol stack_INIT      = 0x1FFF0568;</v>
      </c>
      <c r="K244" t="str">
        <f t="shared" si="159"/>
        <v xml:space="preserve">                                                           rw data section .data object byteswap.o,</v>
      </c>
    </row>
    <row r="245" spans="1:11" x14ac:dyDescent="0.25">
      <c r="J245" s="4" t="str">
        <f ca="1">J81</f>
        <v>define symbol OS_API_INIT     = 0x1FFF0790;</v>
      </c>
      <c r="K245" t="str">
        <f t="shared" si="159"/>
        <v xml:space="preserve">                                                           rw data section .data object crc16_m.o,</v>
      </c>
    </row>
    <row r="246" spans="1:11" x14ac:dyDescent="0.25">
      <c r="J246" s="4" t="str">
        <f ca="1">J92</f>
        <v>define symbol radio_INIT      = 0x1FFF0790;</v>
      </c>
      <c r="K246" t="str">
        <f t="shared" si="159"/>
        <v xml:space="preserve">                                                           rw data section .data object crc32.o,</v>
      </c>
    </row>
    <row r="247" spans="1:11" x14ac:dyDescent="0.25">
      <c r="J247" s="4" t="str">
        <f ca="1">J106</f>
        <v>define symbol security_INIT   = 0x1FFF07D0;</v>
      </c>
      <c r="K247" t="str">
        <f t="shared" si="159"/>
        <v xml:space="preserve">                                                           rw data section .data object invert_bits.o,</v>
      </c>
    </row>
    <row r="248" spans="1:11" x14ac:dyDescent="0.25">
      <c r="J248" s="4" t="str">
        <f ca="1">J117</f>
        <v>define symbol AclaraBSP_INIT  = 0x1FFF07D0;</v>
      </c>
      <c r="K248" t="str">
        <f t="shared" si="159"/>
        <v xml:space="preserve">                                                           rw data section .data object pack.o,</v>
      </c>
    </row>
    <row r="249" spans="1:11" x14ac:dyDescent="0.25">
      <c r="J249" s="4" t="str">
        <f ca="1">J133</f>
        <v>define symbol Common_INIT     = 0x1FFF07E0;</v>
      </c>
      <c r="K249" t="str">
        <f t="shared" si="159"/>
        <v xml:space="preserve">                                                           rw data section .data object rand.o,</v>
      </c>
    </row>
    <row r="250" spans="1:11" x14ac:dyDescent="0.25">
      <c r="J250" s="4" t="str">
        <f ca="1">J169</f>
        <v>define symbol HMC_INIT        = 0x1FFF0850;</v>
      </c>
      <c r="K250" t="str">
        <f t="shared" si="159"/>
        <v xml:space="preserve">                                                           rw data section .data object time_util.o,</v>
      </c>
    </row>
    <row r="251" spans="1:11" x14ac:dyDescent="0.25">
      <c r="J251" s="4" t="str">
        <f ca="1">J208</f>
        <v>define symbol MTU_Common_INIT = 0x1FFF0850;</v>
      </c>
      <c r="K251" t="str">
        <f t="shared" si="159"/>
        <v xml:space="preserve">                                                           rw data section .data object timer_util.o };</v>
      </c>
    </row>
    <row r="252" spans="1:11" x14ac:dyDescent="0.25">
      <c r="K252" t="str">
        <f>K21</f>
        <v>"dfw_INIT":        place at address mem: dfw_INIT        { rw data section .data object dfw_app.o,</v>
      </c>
    </row>
    <row r="253" spans="1:11" x14ac:dyDescent="0.25">
      <c r="J253" s="4" t="str">
        <f ca="1">J231</f>
        <v>define symbol APP_RW_TEXT     = 0x1FFF0868;</v>
      </c>
      <c r="K253" t="str">
        <f>K22</f>
        <v xml:space="preserve">                                                           rw data section .data object dfw_interface.o,</v>
      </c>
    </row>
    <row r="254" spans="1:11" x14ac:dyDescent="0.25">
      <c r="K254" t="str">
        <f>K23</f>
        <v xml:space="preserve">                                                           rw data section .data object dfw_pckt.o,</v>
      </c>
    </row>
    <row r="255" spans="1:11" x14ac:dyDescent="0.25">
      <c r="J255" s="4" t="str">
        <f ca="1">J238</f>
        <v>define symbol APP_NOINIT      = 0x1FFF08B0;</v>
      </c>
      <c r="K255" t="str">
        <f>K24</f>
        <v xml:space="preserve">                                                           rw data section .data object dfwtd_config.o };</v>
      </c>
    </row>
    <row r="256" spans="1:11" x14ac:dyDescent="0.25">
      <c r="K256" t="str">
        <f t="shared" ref="K256:K262" si="160">K30</f>
        <v>"driver_INIT":     place at address mem: driver_INIT     { rw data section .data object dvr_banked.o,</v>
      </c>
    </row>
    <row r="257" spans="11:11" x14ac:dyDescent="0.25">
      <c r="K257" t="str">
        <f t="shared" si="160"/>
        <v xml:space="preserve">                                                           rw data section .data object dvr_cache.o,</v>
      </c>
    </row>
    <row r="258" spans="11:11" x14ac:dyDescent="0.25">
      <c r="K258" t="str">
        <f t="shared" si="160"/>
        <v xml:space="preserve">                                                           rw data section .data object dvr_extflash.o,</v>
      </c>
    </row>
    <row r="259" spans="11:11" x14ac:dyDescent="0.25">
      <c r="K259" t="str">
        <f t="shared" si="160"/>
        <v xml:space="preserve">                                                           rw data section .data object dvr_sectPreErase.o,</v>
      </c>
    </row>
    <row r="260" spans="11:11" x14ac:dyDescent="0.25">
      <c r="K260" t="str">
        <f t="shared" si="160"/>
        <v xml:space="preserve">                                                           rw data section .data object dvr_sharedMem.o,</v>
      </c>
    </row>
    <row r="261" spans="11:11" x14ac:dyDescent="0.25">
      <c r="K261" t="str">
        <f t="shared" si="160"/>
        <v xml:space="preserve">                                                           rw data section .data object IF_intFlash.o,</v>
      </c>
    </row>
    <row r="262" spans="11:11" x14ac:dyDescent="0.25">
      <c r="K262" t="str">
        <f t="shared" si="160"/>
        <v xml:space="preserve">                                                           rw data section .data object spi_mstr.o };</v>
      </c>
    </row>
    <row r="263" spans="11:11" x14ac:dyDescent="0.25">
      <c r="K263" t="str">
        <f t="shared" ref="K263:K296" si="161">K42</f>
        <v>"stack_INIT":      place at address mem: stack_INIT      { rw data section .data object COMM.o,</v>
      </c>
    </row>
    <row r="264" spans="11:11" x14ac:dyDescent="0.25">
      <c r="K264" t="str">
        <f t="shared" si="161"/>
        <v xml:space="preserve">                                                           rw data section .data object SM.o,</v>
      </c>
    </row>
    <row r="265" spans="11:11" x14ac:dyDescent="0.25">
      <c r="K265" t="str">
        <f t="shared" si="161"/>
        <v xml:space="preserve">                                                           rw data section .data object smtd_config.o,</v>
      </c>
    </row>
    <row r="266" spans="11:11" x14ac:dyDescent="0.25">
      <c r="K266" t="str">
        <f t="shared" si="161"/>
        <v xml:space="preserve">                                                           rw data section .data object dtls.o,</v>
      </c>
    </row>
    <row r="267" spans="11:11" x14ac:dyDescent="0.25">
      <c r="K267" t="str">
        <f t="shared" si="161"/>
        <v xml:space="preserve">                                                           rw data section .data object mtls.o,</v>
      </c>
    </row>
    <row r="268" spans="11:11" x14ac:dyDescent="0.25">
      <c r="K268" t="str">
        <f t="shared" si="161"/>
        <v xml:space="preserve">                                                           rw data section .data object STACK.o,</v>
      </c>
    </row>
    <row r="269" spans="11:11" x14ac:dyDescent="0.25">
      <c r="K269" t="str">
        <f t="shared" si="161"/>
        <v xml:space="preserve">                                                           rw data section .data object MAC.o,</v>
      </c>
    </row>
    <row r="270" spans="11:11" x14ac:dyDescent="0.25">
      <c r="K270" t="str">
        <f t="shared" si="161"/>
        <v xml:space="preserve">                                                           rw data section .data object MAC_FrameEncoder.o,</v>
      </c>
    </row>
    <row r="271" spans="11:11" x14ac:dyDescent="0.25">
      <c r="K271" t="str">
        <f t="shared" si="161"/>
        <v xml:space="preserve">                                                           rw data section .data object MAC_FrameManagement.o,</v>
      </c>
    </row>
    <row r="272" spans="11:11" x14ac:dyDescent="0.25">
      <c r="K272" t="str">
        <f t="shared" si="161"/>
        <v xml:space="preserve">                                                           rw data section .data object MAC_PacketManagement.o,</v>
      </c>
    </row>
    <row r="273" spans="11:11" x14ac:dyDescent="0.25">
      <c r="K273" t="str">
        <f t="shared" si="161"/>
        <v xml:space="preserve">                                                           rw data section .data object PHY.o,</v>
      </c>
    </row>
    <row r="274" spans="11:11" x14ac:dyDescent="0.25">
      <c r="K274" t="str">
        <f t="shared" si="161"/>
        <v xml:space="preserve">                                                           rw data section .data object EstimateCarrierFrequencyOffset.o,</v>
      </c>
    </row>
    <row r="275" spans="11:11" x14ac:dyDescent="0.25">
      <c r="K275" t="str">
        <f t="shared" si="161"/>
        <v xml:space="preserve">                                                           rw data section .data object MaximizeEyeOpening.o,</v>
      </c>
    </row>
    <row r="276" spans="11:11" x14ac:dyDescent="0.25">
      <c r="K276" t="str">
        <f t="shared" si="161"/>
        <v xml:space="preserve">                                                           rw data section .data object PerformCFOCompensation.o,</v>
      </c>
    </row>
    <row r="277" spans="11:11" x14ac:dyDescent="0.25">
      <c r="K277" t="str">
        <f t="shared" si="161"/>
        <v xml:space="preserve">                                                           rw data section .data object preamble_detect.o,</v>
      </c>
    </row>
    <row r="278" spans="11:11" x14ac:dyDescent="0.25">
      <c r="K278" t="str">
        <f t="shared" si="161"/>
        <v xml:space="preserve">                                                           rw data section .data object preambleDetector.o,</v>
      </c>
    </row>
    <row r="279" spans="11:11" x14ac:dyDescent="0.25">
      <c r="K279" t="str">
        <f t="shared" si="161"/>
        <v xml:space="preserve">                                                           rw data section .data object preambleDetector_Data.o,</v>
      </c>
    </row>
    <row r="280" spans="11:11" x14ac:dyDescent="0.25">
      <c r="K280" t="str">
        <f t="shared" si="161"/>
        <v xml:space="preserve">                                                           rw data section .data object preambleDetector_initialize.o,</v>
      </c>
    </row>
    <row r="281" spans="11:11" x14ac:dyDescent="0.25">
      <c r="K281" t="str">
        <f t="shared" si="161"/>
        <v xml:space="preserve">                                                           rw data section .data object processDerotatedSamples.o,</v>
      </c>
    </row>
    <row r="282" spans="11:11" x14ac:dyDescent="0.25">
      <c r="K282" t="str">
        <f t="shared" si="161"/>
        <v xml:space="preserve">                                                           rw data section .data object ScaleClipFreq2phase.o,</v>
      </c>
    </row>
    <row r="283" spans="11:11" x14ac:dyDescent="0.25">
      <c r="K283" t="str">
        <f t="shared" si="161"/>
        <v xml:space="preserve">                                                           rw data section .data object sign.o,</v>
      </c>
    </row>
    <row r="284" spans="11:11" x14ac:dyDescent="0.25">
      <c r="K284" t="str">
        <f t="shared" si="161"/>
        <v xml:space="preserve">                                                           rw data section .data object fir_filt_circ_buff.o,</v>
      </c>
    </row>
    <row r="285" spans="11:11" x14ac:dyDescent="0.25">
      <c r="K285" t="str">
        <f t="shared" si="161"/>
        <v xml:space="preserve">                                                           rw data section .data object gresample.o,</v>
      </c>
    </row>
    <row r="286" spans="11:11" x14ac:dyDescent="0.25">
      <c r="K286" t="str">
        <f t="shared" si="161"/>
        <v xml:space="preserve">                                                           rw data section .data object phase2freq_wi_unwrap.o,</v>
      </c>
    </row>
    <row r="287" spans="11:11" x14ac:dyDescent="0.25">
      <c r="K287" t="str">
        <f t="shared" si="161"/>
        <v xml:space="preserve">                                                           rw data section .data object findSYNC.o,</v>
      </c>
    </row>
    <row r="288" spans="11:11" x14ac:dyDescent="0.25">
      <c r="K288" t="str">
        <f t="shared" si="161"/>
        <v xml:space="preserve">                                                           rw data section .data object FreqDomMlseP4GfskStruct2.o,</v>
      </c>
    </row>
    <row r="289" spans="11:11" x14ac:dyDescent="0.25">
      <c r="K289" t="str">
        <f t="shared" si="161"/>
        <v xml:space="preserve">                                                           rw data section .data object processDerotatedSPDSamples.o,</v>
      </c>
    </row>
    <row r="290" spans="11:11" x14ac:dyDescent="0.25">
      <c r="K290" t="str">
        <f t="shared" si="161"/>
        <v xml:space="preserve">                                                           rw data section .data object SyncAndPayloadDemodulator.o,</v>
      </c>
    </row>
    <row r="291" spans="11:11" x14ac:dyDescent="0.25">
      <c r="K291" t="str">
        <f t="shared" si="161"/>
        <v xml:space="preserve">                                                           rw data section .data object SoftDemodulator.o,</v>
      </c>
    </row>
    <row r="292" spans="11:11" x14ac:dyDescent="0.25">
      <c r="K292" t="str">
        <f t="shared" si="161"/>
        <v xml:space="preserve">                                                           rw data section .data object rs.o,</v>
      </c>
    </row>
    <row r="293" spans="11:11" x14ac:dyDescent="0.25">
      <c r="K293" t="str">
        <f t="shared" si="161"/>
        <v xml:space="preserve">                                                           rw data section .data object galois.o,</v>
      </c>
    </row>
    <row r="294" spans="11:11" x14ac:dyDescent="0.25">
      <c r="K294" t="str">
        <f t="shared" si="161"/>
        <v xml:space="preserve">                                                           rw data section .data object rsdec.o,</v>
      </c>
    </row>
    <row r="295" spans="11:11" x14ac:dyDescent="0.25">
      <c r="K295" t="str">
        <f t="shared" si="161"/>
        <v xml:space="preserve">                                                           rw data section .data object rsenc.o,</v>
      </c>
    </row>
    <row r="296" spans="11:11" x14ac:dyDescent="0.25">
      <c r="K296" t="str">
        <f t="shared" si="161"/>
        <v xml:space="preserve">                                                           rw data section .data object indication.o };</v>
      </c>
    </row>
    <row r="297" spans="11:11" x14ac:dyDescent="0.25">
      <c r="K297" t="str">
        <f t="shared" ref="K297:K302" si="162">K81</f>
        <v>"OS_API_INIT":     place at address mem: OS_API_INIT     { rw data section .data object Event.o,</v>
      </c>
    </row>
    <row r="298" spans="11:11" x14ac:dyDescent="0.25">
      <c r="K298" t="str">
        <f t="shared" si="162"/>
        <v xml:space="preserve">                                                           rw data section .data object MessageQ.o,</v>
      </c>
    </row>
    <row r="299" spans="11:11" x14ac:dyDescent="0.25">
      <c r="K299" t="str">
        <f t="shared" si="162"/>
        <v xml:space="preserve">                                                           rw data section .data object Mutex.o,</v>
      </c>
    </row>
    <row r="300" spans="11:11" x14ac:dyDescent="0.25">
      <c r="K300" t="str">
        <f t="shared" si="162"/>
        <v xml:space="preserve">                                                           rw data section .data object Queue.o,</v>
      </c>
    </row>
    <row r="301" spans="11:11" x14ac:dyDescent="0.25">
      <c r="K301" t="str">
        <f t="shared" si="162"/>
        <v xml:space="preserve">                                                           rw data section .data object Semaphore.o,</v>
      </c>
    </row>
    <row r="302" spans="11:11" x14ac:dyDescent="0.25">
      <c r="K302" t="str">
        <f t="shared" si="162"/>
        <v xml:space="preserve">                                                           rw data section .data object TickTime.o };</v>
      </c>
    </row>
    <row r="303" spans="11:11" x14ac:dyDescent="0.25">
      <c r="K303" t="str">
        <f t="shared" ref="K303:K311" si="163">K92</f>
        <v>"radio_INIT":      place at address mem: radio_INIT      { rw data section .data object radio.o,</v>
      </c>
    </row>
    <row r="304" spans="11:11" x14ac:dyDescent="0.25">
      <c r="K304" t="str">
        <f t="shared" si="163"/>
        <v xml:space="preserve">                                                           rw data section .data object radio_comm.o,</v>
      </c>
    </row>
    <row r="305" spans="11:11" x14ac:dyDescent="0.25">
      <c r="K305" t="str">
        <f t="shared" si="163"/>
        <v xml:space="preserve">                                                           rw data section .data object si446x_api_lib.o,</v>
      </c>
    </row>
    <row r="306" spans="11:11" x14ac:dyDescent="0.25">
      <c r="K306" t="str">
        <f t="shared" si="163"/>
        <v xml:space="preserve">                                                           rw data section .data object radio_config_normal.o,</v>
      </c>
    </row>
    <row r="307" spans="11:11" x14ac:dyDescent="0.25">
      <c r="K307" t="str">
        <f t="shared" si="163"/>
        <v xml:space="preserve">                                                           rw data section .data object radio_config_cw.o,</v>
      </c>
    </row>
    <row r="308" spans="11:11" x14ac:dyDescent="0.25">
      <c r="K308" t="str">
        <f t="shared" si="163"/>
        <v xml:space="preserve">                                                           rw data section .data object radio_config_PN9.o,</v>
      </c>
    </row>
    <row r="309" spans="11:11" x14ac:dyDescent="0.25">
      <c r="K309" t="str">
        <f t="shared" si="163"/>
        <v xml:space="preserve">                                                           rw data section .data object radio_config_2GFSK_BER.o,</v>
      </c>
    </row>
    <row r="310" spans="11:11" x14ac:dyDescent="0.25">
      <c r="K310" t="str">
        <f t="shared" si="163"/>
        <v xml:space="preserve">                                                           rw data section .data object radio_config_4GFSK_BER.o,</v>
      </c>
    </row>
    <row r="311" spans="11:11" x14ac:dyDescent="0.25">
      <c r="K311" t="str">
        <f t="shared" si="163"/>
        <v xml:space="preserve">                                                           rw data section .data object radio_TCXO.o };</v>
      </c>
    </row>
    <row r="312" spans="11:11" x14ac:dyDescent="0.25">
      <c r="K312" t="str">
        <f t="shared" ref="K312:K317" si="164">K106</f>
        <v>"security_INIT":   place at address mem: security_INIT   { rw data section .data object cert-builder.o,</v>
      </c>
    </row>
    <row r="313" spans="11:11" x14ac:dyDescent="0.25">
      <c r="K313" t="str">
        <f t="shared" si="164"/>
        <v xml:space="preserve">                                                           rw data section .data object ecc108_apps.o,</v>
      </c>
    </row>
    <row r="314" spans="11:11" x14ac:dyDescent="0.25">
      <c r="K314" t="str">
        <f t="shared" si="164"/>
        <v xml:space="preserve">                                                           rw data section .data object ecc108_comm.o,</v>
      </c>
    </row>
    <row r="315" spans="11:11" x14ac:dyDescent="0.25">
      <c r="K315" t="str">
        <f t="shared" si="164"/>
        <v xml:space="preserve">                                                           rw data section .data object ecc108_comm_marshaling.o,</v>
      </c>
    </row>
    <row r="316" spans="11:11" x14ac:dyDescent="0.25">
      <c r="K316" t="str">
        <f t="shared" si="164"/>
        <v xml:space="preserve">                                                           rw data section .data object ecc108_i2c.o,</v>
      </c>
    </row>
    <row r="317" spans="11:11" x14ac:dyDescent="0.25">
      <c r="K317" t="str">
        <f t="shared" si="164"/>
        <v xml:space="preserve">                                                           rw data section .data object ecc108_mqx.o };</v>
      </c>
    </row>
    <row r="318" spans="11:11" x14ac:dyDescent="0.25">
      <c r="K318" t="str">
        <f t="shared" ref="K318:K328" si="165">K117</f>
        <v>"AclaraBSP_INIT":  place at address mem: AclaraBSP_INIT  { rw data section .data object ADC.o,</v>
      </c>
    </row>
    <row r="319" spans="11:11" x14ac:dyDescent="0.25">
      <c r="K319" t="str">
        <f t="shared" si="165"/>
        <v xml:space="preserve">                                                           rw data section .data object BSP_aclara.o,</v>
      </c>
    </row>
    <row r="320" spans="11:11" x14ac:dyDescent="0.25">
      <c r="K320" t="str">
        <f t="shared" si="165"/>
        <v xml:space="preserve">                                                           rw data section .data object CRC.o,</v>
      </c>
    </row>
    <row r="321" spans="11:11" x14ac:dyDescent="0.25">
      <c r="K321" t="str">
        <f t="shared" si="165"/>
        <v xml:space="preserve">                                                           rw data section .data object gpio.o,</v>
      </c>
    </row>
    <row r="322" spans="11:11" x14ac:dyDescent="0.25">
      <c r="K322" t="str">
        <f t="shared" si="165"/>
        <v xml:space="preserve">                                                           rw data section .data object LED.o,</v>
      </c>
    </row>
    <row r="323" spans="11:11" x14ac:dyDescent="0.25">
      <c r="K323" t="str">
        <f t="shared" si="165"/>
        <v xml:space="preserve">                                                           rw data section .data object radio_hal.o,</v>
      </c>
    </row>
    <row r="324" spans="11:11" x14ac:dyDescent="0.25">
      <c r="K324" t="str">
        <f t="shared" si="165"/>
        <v xml:space="preserve">                                                           rw data section .data object rng.o,</v>
      </c>
    </row>
    <row r="325" spans="11:11" x14ac:dyDescent="0.25">
      <c r="K325" t="str">
        <f t="shared" si="165"/>
        <v xml:space="preserve">                                                           rw data section .data object RTC.o,</v>
      </c>
    </row>
    <row r="326" spans="11:11" x14ac:dyDescent="0.25">
      <c r="K326" t="str">
        <f t="shared" si="165"/>
        <v xml:space="preserve">                                                           rw data section .data object sys_clock.o,</v>
      </c>
    </row>
    <row r="327" spans="11:11" x14ac:dyDescent="0.25">
      <c r="K327" t="str">
        <f t="shared" si="165"/>
        <v xml:space="preserve">                                                           rw data section .data object UART.o,</v>
      </c>
    </row>
    <row r="328" spans="11:11" x14ac:dyDescent="0.25">
      <c r="K328" t="str">
        <f t="shared" si="165"/>
        <v xml:space="preserve">                                                           rw data section .data object WDOG.o };</v>
      </c>
    </row>
    <row r="329" spans="11:11" x14ac:dyDescent="0.25">
      <c r="K329" t="str">
        <f t="shared" ref="K329:K359" si="166">K133</f>
        <v>"Common_INIT":     place at address mem: Common_INIT     { rw data section .data object alarm_task.o,</v>
      </c>
    </row>
    <row r="330" spans="11:11" x14ac:dyDescent="0.25">
      <c r="K330" t="str">
        <f t="shared" si="166"/>
        <v xml:space="preserve">                                                           rw data section .data object ALRM_Handler.o,</v>
      </c>
    </row>
    <row r="331" spans="11:11" x14ac:dyDescent="0.25">
      <c r="K331" t="str">
        <f t="shared" si="166"/>
        <v xml:space="preserve">                                                           rw data section .data object BUF_MemoryBuffers.o,</v>
      </c>
    </row>
    <row r="332" spans="11:11" x14ac:dyDescent="0.25">
      <c r="K332" t="str">
        <f t="shared" si="166"/>
        <v xml:space="preserve">                                                           rw data section .data object buffer.o,</v>
      </c>
    </row>
    <row r="333" spans="11:11" x14ac:dyDescent="0.25">
      <c r="K333" t="str">
        <f t="shared" si="166"/>
        <v xml:space="preserve">                                                           rw data section .data object DBG_CommandLine.o,</v>
      </c>
    </row>
    <row r="334" spans="11:11" x14ac:dyDescent="0.25">
      <c r="K334" t="str">
        <f t="shared" si="166"/>
        <v xml:space="preserve">                                                           rw data section .data object DBG_SerialDebug.o,</v>
      </c>
    </row>
    <row r="335" spans="11:11" x14ac:dyDescent="0.25">
      <c r="K335" t="str">
        <f t="shared" si="166"/>
        <v xml:space="preserve">                                                           rw data section .data object eng_res.o,</v>
      </c>
    </row>
    <row r="336" spans="11:11" x14ac:dyDescent="0.25">
      <c r="K336" t="str">
        <f t="shared" si="166"/>
        <v xml:space="preserve">                                                           rw data section .data object EVL_event_log.o,</v>
      </c>
    </row>
    <row r="337" spans="11:11" x14ac:dyDescent="0.25">
      <c r="K337" t="str">
        <f t="shared" si="166"/>
        <v xml:space="preserve">                                                           rw data section .data object exe_list.o,</v>
      </c>
    </row>
    <row r="338" spans="11:11" x14ac:dyDescent="0.25">
      <c r="K338" t="str">
        <f t="shared" si="166"/>
        <v xml:space="preserve">                                                           rw data section .data object file_io.o,</v>
      </c>
    </row>
    <row r="339" spans="11:11" x14ac:dyDescent="0.25">
      <c r="K339" t="str">
        <f t="shared" si="166"/>
        <v xml:space="preserve">                                                           rw data section .data object HEEP_util.o,</v>
      </c>
    </row>
    <row r="340" spans="11:11" x14ac:dyDescent="0.25">
      <c r="K340" t="str">
        <f t="shared" si="166"/>
        <v xml:space="preserve">                                                           rw data section .data object mem_chk.o,</v>
      </c>
    </row>
    <row r="341" spans="11:11" x14ac:dyDescent="0.25">
      <c r="K341" t="str">
        <f t="shared" si="166"/>
        <v xml:space="preserve">                                                           rw data section .data object MFG_Dtls.o,</v>
      </c>
    </row>
    <row r="342" spans="11:11" x14ac:dyDescent="0.25">
      <c r="K342" t="str">
        <f t="shared" si="166"/>
        <v xml:space="preserve">                                                           rw data section .data object MFG_Port.o,</v>
      </c>
    </row>
    <row r="343" spans="11:11" x14ac:dyDescent="0.25">
      <c r="K343" t="str">
        <f t="shared" si="166"/>
        <v xml:space="preserve">                                                           rw data section .data object MIMT_info.o,</v>
      </c>
    </row>
    <row r="344" spans="11:11" x14ac:dyDescent="0.25">
      <c r="K344" t="str">
        <f t="shared" si="166"/>
        <v xml:space="preserve">                                                           rw data section .data object mode_config.o,</v>
      </c>
    </row>
    <row r="345" spans="11:11" x14ac:dyDescent="0.25">
      <c r="K345" t="str">
        <f t="shared" si="166"/>
        <v xml:space="preserve">                                                           rw data section .data object object_list.o,</v>
      </c>
    </row>
    <row r="346" spans="11:11" x14ac:dyDescent="0.25">
      <c r="K346" t="str">
        <f t="shared" si="166"/>
        <v xml:space="preserve">                                                           rw data section .data object partitions.o,</v>
      </c>
    </row>
    <row r="347" spans="11:11" x14ac:dyDescent="0.25">
      <c r="K347" t="str">
        <f t="shared" si="166"/>
        <v xml:space="preserve">                                                           rw data section .data object runTimeInit.o,</v>
      </c>
    </row>
    <row r="348" spans="11:11" x14ac:dyDescent="0.25">
      <c r="K348" t="str">
        <f t="shared" si="166"/>
        <v xml:space="preserve">                                                           rw data section .data object SELF_test.o,</v>
      </c>
    </row>
    <row r="349" spans="11:11" x14ac:dyDescent="0.25">
      <c r="K349" t="str">
        <f t="shared" si="166"/>
        <v xml:space="preserve">                                                           rw data section .data object stack_check.o,</v>
      </c>
    </row>
    <row r="350" spans="11:11" x14ac:dyDescent="0.25">
      <c r="K350" t="str">
        <f t="shared" si="166"/>
        <v xml:space="preserve">                                                           rw data section .data object sys_busy.o,</v>
      </c>
    </row>
    <row r="351" spans="11:11" x14ac:dyDescent="0.25">
      <c r="K351" t="str">
        <f t="shared" si="166"/>
        <v xml:space="preserve">                                                           rw data section .data object temperature.o,</v>
      </c>
    </row>
    <row r="352" spans="11:11" x14ac:dyDescent="0.25">
      <c r="K352" t="str">
        <f t="shared" si="166"/>
        <v xml:space="preserve">                                                           rw data section .data object time_DST.o,</v>
      </c>
    </row>
    <row r="353" spans="11:11" x14ac:dyDescent="0.25">
      <c r="K353" t="str">
        <f t="shared" si="166"/>
        <v xml:space="preserve">                                                           rw data section .data object time_sync.o,</v>
      </c>
    </row>
    <row r="354" spans="11:11" x14ac:dyDescent="0.25">
      <c r="K354" t="str">
        <f t="shared" si="166"/>
        <v xml:space="preserve">                                                           rw data section .data object time_sys.o,</v>
      </c>
    </row>
    <row r="355" spans="11:11" x14ac:dyDescent="0.25">
      <c r="K355" t="str">
        <f t="shared" si="166"/>
        <v xml:space="preserve">                                                           rw data section .data object virgin_device.o,</v>
      </c>
    </row>
    <row r="356" spans="11:11" x14ac:dyDescent="0.25">
      <c r="K356" t="str">
        <f t="shared" si="166"/>
        <v xml:space="preserve">                                                           rw data section .data object FTM0.o,</v>
      </c>
    </row>
    <row r="357" spans="11:11" x14ac:dyDescent="0.25">
      <c r="K357" t="str">
        <f t="shared" si="166"/>
        <v xml:space="preserve">                                                           rw data section .data object FTM1.o,</v>
      </c>
    </row>
    <row r="358" spans="11:11" x14ac:dyDescent="0.25">
      <c r="K358" t="str">
        <f t="shared" si="166"/>
        <v xml:space="preserve">                                                           rw data section .data object FTM2.o,</v>
      </c>
    </row>
    <row r="359" spans="11:11" x14ac:dyDescent="0.25">
      <c r="K359" t="str">
        <f t="shared" si="166"/>
        <v xml:space="preserve">                                                           rw data section .data object FTM3.o };</v>
      </c>
    </row>
    <row r="360" spans="11:11" x14ac:dyDescent="0.25">
      <c r="K360" t="str">
        <f t="shared" ref="K360:K379" si="167">K169</f>
        <v>"HMC_INIT":        place at address mem: HMC_INIT        { rw data section .data object hmc_app.o,</v>
      </c>
    </row>
    <row r="361" spans="11:11" x14ac:dyDescent="0.25">
      <c r="K361" t="str">
        <f t="shared" si="167"/>
        <v xml:space="preserve">                                                           rw data section .data object hmc_demand.o,</v>
      </c>
    </row>
    <row r="362" spans="11:11" x14ac:dyDescent="0.25">
      <c r="K362" t="str">
        <f t="shared" si="167"/>
        <v xml:space="preserve">                                                           rw data section .data object hmc_diags.o,</v>
      </c>
    </row>
    <row r="363" spans="11:11" x14ac:dyDescent="0.25">
      <c r="K363" t="str">
        <f t="shared" si="167"/>
        <v xml:space="preserve">                                                           rw data section .data object hmc_ds.o,</v>
      </c>
    </row>
    <row r="364" spans="11:11" x14ac:dyDescent="0.25">
      <c r="K364" t="str">
        <f t="shared" si="167"/>
        <v xml:space="preserve">                                                           rw data section .data object hmc_eng.o,</v>
      </c>
    </row>
    <row r="365" spans="11:11" x14ac:dyDescent="0.25">
      <c r="K365" t="str">
        <f t="shared" si="167"/>
        <v xml:space="preserve">                                                           rw data section .data object hmc_finish.o,</v>
      </c>
    </row>
    <row r="366" spans="11:11" x14ac:dyDescent="0.25">
      <c r="K366" t="str">
        <f t="shared" si="167"/>
        <v xml:space="preserve">                                                           rw data section .data object hmc_msg.o,</v>
      </c>
    </row>
    <row r="367" spans="11:11" x14ac:dyDescent="0.25">
      <c r="K367" t="str">
        <f t="shared" si="167"/>
        <v xml:space="preserve">                                                           rw data section .data object hmc_mtr_info.o,</v>
      </c>
    </row>
    <row r="368" spans="11:11" x14ac:dyDescent="0.25">
      <c r="K368" t="str">
        <f t="shared" si="167"/>
        <v xml:space="preserve">                                                           rw data section .data object hmc_mtr_lp.o,</v>
      </c>
    </row>
    <row r="369" spans="11:11" x14ac:dyDescent="0.25">
      <c r="K369" t="str">
        <f t="shared" si="167"/>
        <v xml:space="preserve">                                                           rw data section .data object hmc_prot.o,</v>
      </c>
    </row>
    <row r="370" spans="11:11" x14ac:dyDescent="0.25">
      <c r="K370" t="str">
        <f t="shared" si="167"/>
        <v xml:space="preserve">                                                           rw data section .data object hmc_request.o,</v>
      </c>
    </row>
    <row r="371" spans="11:11" x14ac:dyDescent="0.25">
      <c r="K371" t="str">
        <f t="shared" si="167"/>
        <v xml:space="preserve">                                                           rw data section .data object hmc_seq_id.o,</v>
      </c>
    </row>
    <row r="372" spans="11:11" x14ac:dyDescent="0.25">
      <c r="K372" t="str">
        <f t="shared" si="167"/>
        <v xml:space="preserve">                                                           rw data section .data object hmc_snapshot.o,</v>
      </c>
    </row>
    <row r="373" spans="11:11" x14ac:dyDescent="0.25">
      <c r="K373" t="str">
        <f t="shared" si="167"/>
        <v xml:space="preserve">                                                           rw data section .data object hmc_start.o,</v>
      </c>
    </row>
    <row r="374" spans="11:11" x14ac:dyDescent="0.25">
      <c r="K374" t="str">
        <f t="shared" si="167"/>
        <v xml:space="preserve">                                                           rw data section .data object hmc_sync.o,</v>
      </c>
    </row>
    <row r="375" spans="11:11" x14ac:dyDescent="0.25">
      <c r="K375" t="str">
        <f t="shared" si="167"/>
        <v xml:space="preserve">                                                           rw data section .data object hmc_time.o,</v>
      </c>
    </row>
    <row r="376" spans="11:11" x14ac:dyDescent="0.25">
      <c r="K376" t="str">
        <f t="shared" si="167"/>
        <v xml:space="preserve">                                                           rw data section .data object hmc_tsk_lst.o,</v>
      </c>
    </row>
    <row r="377" spans="11:11" x14ac:dyDescent="0.25">
      <c r="K377" t="str">
        <f t="shared" si="167"/>
        <v xml:space="preserve">                                                           rw data section .data object intf_cim_cmd.o,</v>
      </c>
    </row>
    <row r="378" spans="11:11" x14ac:dyDescent="0.25">
      <c r="K378" t="str">
        <f t="shared" si="167"/>
        <v xml:space="preserve">                                                           rw data section .data object hmc_prg_mtr.o,</v>
      </c>
    </row>
    <row r="379" spans="11:11" x14ac:dyDescent="0.25">
      <c r="K379" t="str">
        <f t="shared" si="167"/>
        <v xml:space="preserve">                                                           rw data section .data object hmc_display.o };</v>
      </c>
    </row>
    <row r="380" spans="11:11" x14ac:dyDescent="0.25">
      <c r="K380" t="str">
        <f>K194</f>
        <v>"AclaraDA_INIT":   place at address mem: AclaraDA_INIT   { rw data section .data object b2b.o,</v>
      </c>
    </row>
    <row r="381" spans="11:11" x14ac:dyDescent="0.25">
      <c r="K381" t="str">
        <f t="shared" ref="K381:K388" si="168">K195</f>
        <v xml:space="preserve">                                                           rw data section .data object b2b_req_handler.o,</v>
      </c>
    </row>
    <row r="382" spans="11:11" x14ac:dyDescent="0.25">
      <c r="K382" t="str">
        <f t="shared" si="168"/>
        <v xml:space="preserve">                                                           rw data section .data object b2bMessage.o,</v>
      </c>
    </row>
    <row r="383" spans="11:11" x14ac:dyDescent="0.25">
      <c r="K383" t="str">
        <f t="shared" si="168"/>
        <v xml:space="preserve">                                                           rw data section .data object da_srfn_reg.o,</v>
      </c>
    </row>
    <row r="384" spans="11:11" x14ac:dyDescent="0.25">
      <c r="K384" t="str">
        <f t="shared" si="168"/>
        <v xml:space="preserve">                                                           rw data section .data object hdlc_frame.o,</v>
      </c>
    </row>
    <row r="385" spans="11:11" x14ac:dyDescent="0.25">
      <c r="K385" t="str">
        <f t="shared" si="168"/>
        <v xml:space="preserve">                                                           rw data section .data object host_reset.o,</v>
      </c>
    </row>
    <row r="386" spans="11:11" x14ac:dyDescent="0.25">
      <c r="K386" t="str">
        <f t="shared" si="168"/>
        <v xml:space="preserve">                                                           rw data section .data object nw_connected.o,</v>
      </c>
    </row>
    <row r="387" spans="11:11" x14ac:dyDescent="0.25">
      <c r="K387" t="str">
        <f t="shared" si="168"/>
        <v xml:space="preserve">                                                           rw data section .data object TUNNEL_MSG_Handler.o,</v>
      </c>
    </row>
    <row r="388" spans="11:11" x14ac:dyDescent="0.25">
      <c r="K388" t="str">
        <f t="shared" si="168"/>
        <v xml:space="preserve">                                                           rw data section .data object tunnel_Util.o };</v>
      </c>
    </row>
    <row r="389" spans="11:11" x14ac:dyDescent="0.25">
      <c r="K389" t="str">
        <f t="shared" ref="K389:K406" si="169">K208</f>
        <v>"MTU_Common_INIT": place at address mem: MTU_Common_INIT { rw data section .data object APP_MSG_Handler.o,</v>
      </c>
    </row>
    <row r="390" spans="11:11" x14ac:dyDescent="0.25">
      <c r="K390" t="str">
        <f t="shared" si="169"/>
        <v xml:space="preserve">                                                           rw data section .data object demand.o,</v>
      </c>
    </row>
    <row r="391" spans="11:11" x14ac:dyDescent="0.25">
      <c r="K391" t="str">
        <f t="shared" si="169"/>
        <v xml:space="preserve">                                                           rw data section .data object ed_config.o,</v>
      </c>
    </row>
    <row r="392" spans="11:11" x14ac:dyDescent="0.25">
      <c r="K392" t="str">
        <f t="shared" si="169"/>
        <v xml:space="preserve">                                                           rw data section .data object endpt_cim_cmd.o,</v>
      </c>
    </row>
    <row r="393" spans="11:11" x14ac:dyDescent="0.25">
      <c r="K393" t="str">
        <f t="shared" si="169"/>
        <v xml:space="preserve">                                                           rw data section .data object historyd.o,</v>
      </c>
    </row>
    <row r="394" spans="11:11" x14ac:dyDescent="0.25">
      <c r="K394" t="str">
        <f t="shared" si="169"/>
        <v xml:space="preserve">                                                           rw data section .data object ID_intervalTask.o,</v>
      </c>
    </row>
    <row r="395" spans="11:11" x14ac:dyDescent="0.25">
      <c r="K395" t="str">
        <f t="shared" si="169"/>
        <v xml:space="preserve">                                                           rw data section .data object IDL_IdleProcess.o,</v>
      </c>
    </row>
    <row r="396" spans="11:11" x14ac:dyDescent="0.25">
      <c r="K396" t="str">
        <f t="shared" si="169"/>
        <v xml:space="preserve">                                                           rw data section .data object OR_MR_Handler.o,</v>
      </c>
    </row>
    <row r="397" spans="11:11" x14ac:dyDescent="0.25">
      <c r="K397" t="str">
        <f t="shared" si="169"/>
        <v xml:space="preserve">                                                           rw data section .data object pwr_config.o,</v>
      </c>
    </row>
    <row r="398" spans="11:11" x14ac:dyDescent="0.25">
      <c r="K398" t="str">
        <f t="shared" si="169"/>
        <v xml:space="preserve">                                                           rw data section .data object pwr_last_gasp.o,</v>
      </c>
    </row>
    <row r="399" spans="11:11" x14ac:dyDescent="0.25">
      <c r="K399" t="str">
        <f t="shared" si="169"/>
        <v xml:space="preserve">                                                           rw data section .data object pwr_restore.o,</v>
      </c>
    </row>
    <row r="400" spans="11:11" x14ac:dyDescent="0.25">
      <c r="K400" t="str">
        <f t="shared" si="169"/>
        <v xml:space="preserve">                                                           rw data section .data object pwr_task.o,</v>
      </c>
    </row>
    <row r="401" spans="11:11" x14ac:dyDescent="0.25">
      <c r="K401" t="str">
        <f t="shared" si="169"/>
        <v xml:space="preserve">                                                           rw data section .data object RG_CF_Handler.o,</v>
      </c>
    </row>
    <row r="402" spans="11:11" x14ac:dyDescent="0.25">
      <c r="K402" t="str">
        <f t="shared" si="169"/>
        <v xml:space="preserve">                                                           rw data section .data object RG_MD_Handler.o,</v>
      </c>
    </row>
    <row r="403" spans="11:11" x14ac:dyDescent="0.25">
      <c r="K403" t="str">
        <f t="shared" si="169"/>
        <v xml:space="preserve">                                                           rw data section .data object STRT_Startup.o,</v>
      </c>
    </row>
    <row r="404" spans="11:11" x14ac:dyDescent="0.25">
      <c r="K404" t="str">
        <f t="shared" si="169"/>
        <v xml:space="preserve">                                                           rw data section .data object Task.o,</v>
      </c>
    </row>
    <row r="405" spans="11:11" x14ac:dyDescent="0.25">
      <c r="K405" t="str">
        <f t="shared" si="169"/>
        <v xml:space="preserve">                                                           rw data section .data object vbat_reg.o,</v>
      </c>
    </row>
    <row r="406" spans="11:11" x14ac:dyDescent="0.25">
      <c r="K406" t="str">
        <f t="shared" si="169"/>
        <v xml:space="preserve">                                                           rw data section .data object version.o };</v>
      </c>
    </row>
    <row r="407" spans="11:11" x14ac:dyDescent="0.25">
      <c r="K407" t="str">
        <f>K231</f>
        <v>"APP_RW_TEXT":     place at address mem: APP_RW_TEXT     { rw code section .textrw object IF_intFlash.o };</v>
      </c>
    </row>
    <row r="408" spans="11:11" x14ac:dyDescent="0.25">
      <c r="K408" t="str">
        <f>K238</f>
        <v>"APP_NOINIT": place at address mem: APP_NOINIT { rw data section .noinit object partitions.o };</v>
      </c>
    </row>
  </sheetData>
  <mergeCells count="2">
    <mergeCell ref="J230:K230"/>
    <mergeCell ref="J237:K23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K52"/>
  <sheetViews>
    <sheetView workbookViewId="0"/>
  </sheetViews>
  <sheetFormatPr defaultRowHeight="15" x14ac:dyDescent="0.25"/>
  <cols>
    <col min="1" max="1" width="16.28515625" bestFit="1" customWidth="1"/>
    <col min="2" max="2" width="26.28515625" bestFit="1" customWidth="1"/>
    <col min="3" max="3" width="3" bestFit="1" customWidth="1"/>
    <col min="4" max="4" width="3" customWidth="1"/>
    <col min="5" max="5" width="8.42578125" bestFit="1" customWidth="1"/>
    <col min="6" max="6" width="8.85546875" customWidth="1"/>
    <col min="7" max="7" width="9.140625" bestFit="1" customWidth="1"/>
    <col min="8" max="8" width="10" bestFit="1" customWidth="1"/>
    <col min="9" max="9" width="11.5703125" bestFit="1" customWidth="1"/>
    <col min="10" max="10" width="57.42578125" bestFit="1" customWidth="1"/>
    <col min="11" max="11" width="143.85546875" bestFit="1" customWidth="1"/>
  </cols>
  <sheetData>
    <row r="1" spans="1:11" x14ac:dyDescent="0.25">
      <c r="B1" t="s">
        <v>587</v>
      </c>
      <c r="F1" s="3" t="str">
        <f ca="1">'.map data'!B18</f>
        <v>'.map data'!$AW$663:$AX$709</v>
      </c>
      <c r="K1" t="s">
        <v>588</v>
      </c>
    </row>
    <row r="2" spans="1:11" x14ac:dyDescent="0.25">
      <c r="F2" t="s">
        <v>526</v>
      </c>
      <c r="G2">
        <f ca="1">VLOOKUP(B5,INDIRECT(GlobalPlcmnt!$B$134),GlobalPlcmnt!$B$138,FALSE)</f>
        <v>5</v>
      </c>
    </row>
    <row r="3" spans="1:11" x14ac:dyDescent="0.25">
      <c r="A3" t="s">
        <v>927</v>
      </c>
      <c r="B3" t="str">
        <f ca="1">CELL("address",B5)</f>
        <v>$B$5</v>
      </c>
      <c r="F3" t="s">
        <v>608</v>
      </c>
      <c r="G3">
        <f ca="1">VLOOKUP(B5,INDIRECT(GlobalPlcmnt!$B$134),GlobalPlcmnt!$C$138,FALSE)</f>
        <v>8</v>
      </c>
      <c r="K3">
        <f>2*$C$4+LEN("place at address mem: { ")+5</f>
        <v>67</v>
      </c>
    </row>
    <row r="4" spans="1:11" x14ac:dyDescent="0.25">
      <c r="C4">
        <f>MAX(C5:C40)</f>
        <v>19</v>
      </c>
      <c r="F4" t="s">
        <v>542</v>
      </c>
    </row>
    <row r="5" spans="1:11" x14ac:dyDescent="0.25">
      <c r="A5" t="s">
        <v>558</v>
      </c>
      <c r="B5" t="str">
        <f>IF(A5&lt;&gt;A3,A5&amp;$B$1,"")</f>
        <v>dl7M_tln_BSS</v>
      </c>
      <c r="C5">
        <f>LEN(B5)</f>
        <v>12</v>
      </c>
      <c r="E5" t="s">
        <v>562</v>
      </c>
      <c r="F5">
        <f ca="1">IF(E5="*",F6,VLOOKUP(E5,INDIRECT($F$1),2,FALSE))</f>
        <v>0</v>
      </c>
      <c r="H5">
        <f ca="1">VLOOKUP(B5,INDIRECT(GlobalPlcmnt!$B$134),GlobalPlcmnt!$A$138,FALSE)</f>
        <v>536805384</v>
      </c>
      <c r="I5" t="str">
        <f ca="1">"0x"&amp;DEC2HEX(H5,8)</f>
        <v>0x1FFF0008</v>
      </c>
      <c r="J5" s="4" t="str">
        <f ca="1">IF(E5&lt;&gt;"*","","define symbol "&amp;B5&amp;REPT(" ",$C$4-C5)&amp;" = "&amp;I5&amp;";")</f>
        <v>define symbol dl7M_tln_BSS        = 0x1FFF0008;</v>
      </c>
      <c r="K5" s="4" t="str">
        <f>IF(E5="*",""""&amp;B5&amp;""":"&amp;REPT(" ",$C$4-C5)&amp;" place at address mem: "&amp;B5&amp;REPT(" ",$C$4-C5)&amp;" { "&amp;$K$1&amp;E5&amp;"("&amp;A5&amp;".a)"&amp;IF(E6=""," };",","),IF(E5="","",REPT(" ",$K$3)&amp;$K$1&amp;E5&amp;IF(E6=""," };",",")))</f>
        <v>"dl7M_tln_BSS":        place at address mem: dl7M_tln_BSS        { rw data section .bss object *(dl7M_tln.a) };</v>
      </c>
    </row>
    <row r="6" spans="1:11" x14ac:dyDescent="0.25">
      <c r="B6" t="str">
        <f>B5&amp;"_end"</f>
        <v>dl7M_tln_BSS_end</v>
      </c>
      <c r="F6">
        <f ca="1">VLOOKUP(B6,INDIRECT($F$1),2,FALSE)</f>
        <v>0</v>
      </c>
      <c r="G6">
        <f ca="1">INT(($G$2/100)*F6)</f>
        <v>0</v>
      </c>
      <c r="H6">
        <f ca="1">H5+F5+G6+IF(MOD(F5+H5+G6,$G$3)=0,0,$G$3-MOD(F5+H5+G6,$G$3))</f>
        <v>536805384</v>
      </c>
      <c r="I6" t="str">
        <f ca="1">"0x"&amp;DEC2HEX(H6,8)</f>
        <v>0x1FFF0008</v>
      </c>
      <c r="J6" s="4"/>
      <c r="K6" s="4"/>
    </row>
    <row r="7" spans="1:11" x14ac:dyDescent="0.25">
      <c r="J7" s="4"/>
      <c r="K7" s="4"/>
    </row>
    <row r="8" spans="1:11" x14ac:dyDescent="0.25">
      <c r="F8" t="s">
        <v>526</v>
      </c>
      <c r="G8">
        <f ca="1">VLOOKUP(B10,INDIRECT(GlobalPlcmnt!$B$134),GlobalPlcmnt!$B$138,FALSE)</f>
        <v>5</v>
      </c>
      <c r="J8" s="4"/>
      <c r="K8" s="4"/>
    </row>
    <row r="9" spans="1:11" x14ac:dyDescent="0.25">
      <c r="F9" t="s">
        <v>608</v>
      </c>
      <c r="G9">
        <f ca="1">VLOOKUP(B10,INDIRECT(GlobalPlcmnt!$B$134),GlobalPlcmnt!$C$138,FALSE)</f>
        <v>8</v>
      </c>
      <c r="J9" s="4"/>
      <c r="K9" s="4"/>
    </row>
    <row r="10" spans="1:11" x14ac:dyDescent="0.25">
      <c r="A10" t="s">
        <v>559</v>
      </c>
      <c r="B10" t="str">
        <f>IF(A10&lt;&gt;A7,A10&amp;$B$1,"")</f>
        <v>m7M_tls_BSS</v>
      </c>
      <c r="C10">
        <f>LEN(B10)</f>
        <v>11</v>
      </c>
      <c r="E10" t="s">
        <v>562</v>
      </c>
      <c r="F10">
        <f ca="1">IF(E10="*",F11,VLOOKUP(E10,INDIRECT($F$1),2,FALSE))</f>
        <v>0</v>
      </c>
      <c r="H10">
        <f ca="1">VLOOKUP(B10,INDIRECT(GlobalPlcmnt!$B$134),GlobalPlcmnt!$A$138,FALSE)</f>
        <v>536805384</v>
      </c>
      <c r="I10" t="str">
        <f ca="1">"0x"&amp;DEC2HEX(H10,8)</f>
        <v>0x1FFF0008</v>
      </c>
      <c r="J10" s="4" t="str">
        <f ca="1">IF(E10&lt;&gt;"*","","define symbol "&amp;B10&amp;REPT(" ",$C$4-C10)&amp;" = "&amp;I10&amp;";")</f>
        <v>define symbol m7M_tls_BSS         = 0x1FFF0008;</v>
      </c>
      <c r="K10" s="4" t="str">
        <f>IF(E10="*",""""&amp;B10&amp;""":"&amp;REPT(" ",$C$4-C10)&amp;" place at address mem: "&amp;B10&amp;REPT(" ",$C$4-C10)&amp;" { "&amp;$K$1&amp;E10&amp;"("&amp;A10&amp;".a)"&amp;IF(E11=""," };",","),IF(E10="","",REPT(" ",$K$3)&amp;$K$1&amp;E10&amp;IF(E11=""," };",",")))</f>
        <v>"m7M_tls_BSS":         place at address mem: m7M_tls_BSS         { rw data section .bss object *(m7M_tls.a) };</v>
      </c>
    </row>
    <row r="11" spans="1:11" x14ac:dyDescent="0.25">
      <c r="B11" t="str">
        <f>B10&amp;"_end"</f>
        <v>m7M_tls_BSS_end</v>
      </c>
      <c r="F11">
        <f ca="1">VLOOKUP(B11,INDIRECT($F$1),2,FALSE)</f>
        <v>0</v>
      </c>
      <c r="G11">
        <f ca="1">INT(($G$8/100)*F11)</f>
        <v>0</v>
      </c>
      <c r="H11">
        <f ca="1">H10+F10+G11+IF(MOD(F10+H10+G11,$G$9)=0,0,$G$9-MOD(F10+H10+G11,$G$9))</f>
        <v>536805384</v>
      </c>
      <c r="I11" t="str">
        <f ca="1">"0x"&amp;DEC2HEX(H11,8)</f>
        <v>0x1FFF0008</v>
      </c>
      <c r="J11" s="4"/>
      <c r="K11" s="4" t="str">
        <f>IF(E11="*",""""&amp;A11&amp;$B$1&amp;""":"&amp;REPT(" ",$C$4-C11)&amp;" place at address mem: "&amp;A11&amp;$B$1&amp;REPT(" ",$C$4-C11)&amp;" { "&amp;$K$1&amp;E11&amp;"("&amp;B11&amp;".a)"&amp;IF(E15=""," };",","),IF(E11="","",REPT(" ",$K$3)&amp;$K$1&amp;E11&amp;IF(E15=""," };",",")))</f>
        <v/>
      </c>
    </row>
    <row r="12" spans="1:11" x14ac:dyDescent="0.25">
      <c r="J12" s="4"/>
      <c r="K12" s="4"/>
    </row>
    <row r="13" spans="1:11" x14ac:dyDescent="0.25">
      <c r="F13" t="s">
        <v>526</v>
      </c>
      <c r="G13">
        <f ca="1">VLOOKUP(B15,INDIRECT(GlobalPlcmnt!$B$134),GlobalPlcmnt!$B$138,FALSE)</f>
        <v>5</v>
      </c>
      <c r="J13" s="4"/>
      <c r="K13" s="4"/>
    </row>
    <row r="14" spans="1:11" x14ac:dyDescent="0.25">
      <c r="F14" t="s">
        <v>608</v>
      </c>
      <c r="G14">
        <f ca="1">VLOOKUP(B15,INDIRECT(GlobalPlcmnt!$B$134),GlobalPlcmnt!$C$138,FALSE)</f>
        <v>8</v>
      </c>
      <c r="J14" s="4"/>
      <c r="K14" s="4"/>
    </row>
    <row r="15" spans="1:11" x14ac:dyDescent="0.25">
      <c r="A15" t="s">
        <v>560</v>
      </c>
      <c r="B15" t="str">
        <f>IF(A15&lt;&gt;A12,A15&amp;$B$1,"")</f>
        <v>rt7M_tl_BSS</v>
      </c>
      <c r="C15">
        <f>LEN(B15)</f>
        <v>11</v>
      </c>
      <c r="E15" t="s">
        <v>562</v>
      </c>
      <c r="F15">
        <f ca="1">IF(E15="*",F16,VLOOKUP(E15,INDIRECT($F$1),2,FALSE))</f>
        <v>16</v>
      </c>
      <c r="H15">
        <f ca="1">VLOOKUP(B15,INDIRECT(GlobalPlcmnt!$B$134),GlobalPlcmnt!$A$138,FALSE)</f>
        <v>536805384</v>
      </c>
      <c r="I15" t="str">
        <f ca="1">"0x"&amp;DEC2HEX(H15,8)</f>
        <v>0x1FFF0008</v>
      </c>
      <c r="J15" s="4" t="str">
        <f ca="1">IF(E15&lt;&gt;"*","","define symbol "&amp;B15&amp;REPT(" ",$C$4-C15)&amp;" = "&amp;I15&amp;";")</f>
        <v>define symbol rt7M_tl_BSS         = 0x1FFF0008;</v>
      </c>
      <c r="K15" s="4" t="str">
        <f>IF(E15="*",""""&amp;B15&amp;""":"&amp;REPT(" ",$C$4-C15)&amp;" place at address mem: "&amp;B15&amp;REPT(" ",$C$4-C15)&amp;" { "&amp;$K$1&amp;E15&amp;"("&amp;A15&amp;".a)"&amp;IF(E16=""," };",","),IF(E15="","",REPT(" ",$K$3)&amp;$K$1&amp;E15&amp;IF(E16=""," };",",")))</f>
        <v>"rt7M_tl_BSS":         place at address mem: rt7M_tl_BSS         { rw data section .bss object *(rt7M_tl.a) };</v>
      </c>
    </row>
    <row r="16" spans="1:11" x14ac:dyDescent="0.25">
      <c r="B16" t="str">
        <f>B15&amp;"_end"</f>
        <v>rt7M_tl_BSS_end</v>
      </c>
      <c r="F16">
        <f ca="1">VLOOKUP(B16,INDIRECT($F$1),2,FALSE)</f>
        <v>16</v>
      </c>
      <c r="G16">
        <f ca="1">INT(($G$13/100)*F16)</f>
        <v>0</v>
      </c>
      <c r="H16">
        <f ca="1">H15+F15+G16+IF(MOD(F15+H15+G16,$G$14)=0,0,$G$14-MOD(F15+H15+G16,$G$14))</f>
        <v>536805400</v>
      </c>
      <c r="I16" t="str">
        <f ca="1">"0x"&amp;DEC2HEX(H16,8)</f>
        <v>0x1FFF0018</v>
      </c>
      <c r="J16" s="4"/>
      <c r="K16" s="4" t="str">
        <f>IF(E16="*",""""&amp;A16&amp;$B$1&amp;""":"&amp;REPT(" ",$C$4-C16)&amp;" place at address mem: "&amp;A16&amp;$B$1&amp;REPT(" ",$C$4-C16)&amp;" { "&amp;$K$1&amp;E16&amp;"("&amp;B16&amp;".a)"&amp;IF(E20=""," };",","),IF(E16="","",REPT(" ",$K$3)&amp;$K$1&amp;E16&amp;IF(E20=""," };",",")))</f>
        <v/>
      </c>
    </row>
    <row r="17" spans="1:11" x14ac:dyDescent="0.25">
      <c r="J17" s="4"/>
      <c r="K17" s="4"/>
    </row>
    <row r="18" spans="1:11" x14ac:dyDescent="0.25">
      <c r="F18" t="s">
        <v>526</v>
      </c>
      <c r="G18">
        <f ca="1">VLOOKUP(B20,INDIRECT(GlobalPlcmnt!$B$134),GlobalPlcmnt!$B$138,FALSE)</f>
        <v>5</v>
      </c>
      <c r="J18" s="4"/>
      <c r="K18" s="4"/>
    </row>
    <row r="19" spans="1:11" x14ac:dyDescent="0.25">
      <c r="F19" t="s">
        <v>608</v>
      </c>
      <c r="G19">
        <f ca="1">VLOOKUP(B20,INDIRECT(GlobalPlcmnt!$B$134),GlobalPlcmnt!$C$138,FALSE)</f>
        <v>8</v>
      </c>
      <c r="J19" s="4"/>
      <c r="K19" s="4"/>
    </row>
    <row r="20" spans="1:11" x14ac:dyDescent="0.25">
      <c r="A20" t="s">
        <v>561</v>
      </c>
      <c r="B20" t="str">
        <f>IF(A20&lt;&gt;A17,A20&amp;$B$1,"")</f>
        <v>shb_l_BSS</v>
      </c>
      <c r="C20">
        <f>LEN(B20)</f>
        <v>9</v>
      </c>
      <c r="E20" t="s">
        <v>562</v>
      </c>
      <c r="F20">
        <f ca="1">IF(E20="*",F21,VLOOKUP(E20,INDIRECT($F$1),2,FALSE))</f>
        <v>0</v>
      </c>
      <c r="H20">
        <f ca="1">VLOOKUP(B20,INDIRECT(GlobalPlcmnt!$B$134),GlobalPlcmnt!$A$138,FALSE)</f>
        <v>536805400</v>
      </c>
      <c r="I20" t="str">
        <f ca="1">"0x"&amp;DEC2HEX(H20,8)</f>
        <v>0x1FFF0018</v>
      </c>
      <c r="J20" s="4" t="str">
        <f ca="1">IF(E20&lt;&gt;"*","","define symbol "&amp;B20&amp;REPT(" ",$C$4-C20)&amp;" = "&amp;I20&amp;";")</f>
        <v>define symbol shb_l_BSS           = 0x1FFF0018;</v>
      </c>
      <c r="K20" s="4" t="str">
        <f>IF(E20="*",""""&amp;B20&amp;""":"&amp;REPT(" ",$C$4-C20)&amp;" place at address mem: "&amp;B20&amp;REPT(" ",$C$4-C20)&amp;" { "&amp;$K$1&amp;E20&amp;"("&amp;A20&amp;".a)"&amp;IF(E21=""," };",","),IF(E20="","",REPT(" ",$K$3)&amp;$K$1&amp;E20&amp;IF(E21=""," };",",")))</f>
        <v>"shb_l_BSS":           place at address mem: shb_l_BSS           { rw data section .bss object *(shb_l.a) };</v>
      </c>
    </row>
    <row r="21" spans="1:11" x14ac:dyDescent="0.25">
      <c r="B21" t="str">
        <f>B20&amp;"_end"</f>
        <v>shb_l_BSS_end</v>
      </c>
      <c r="F21">
        <f ca="1">VLOOKUP(B21,INDIRECT($F$1),2,FALSE)</f>
        <v>0</v>
      </c>
      <c r="G21">
        <f ca="1">INT(($G$18/100)*F21)</f>
        <v>0</v>
      </c>
      <c r="H21">
        <f ca="1">H20+F20+G21+IF(MOD(F20+H20+G21,$G$19)=0,0,$G$19-MOD(F20+H20+G21,$G$19))</f>
        <v>536805400</v>
      </c>
      <c r="I21" t="str">
        <f ca="1">"0x"&amp;DEC2HEX(H21,8)</f>
        <v>0x1FFF0018</v>
      </c>
      <c r="J21" s="4"/>
      <c r="K21" s="4" t="str">
        <f>IF(E21="*",""""&amp;A21&amp;$B$1&amp;""":"&amp;REPT(" ",$C$4-C21)&amp;" place at address mem: "&amp;A21&amp;$B$1&amp;REPT(" ",$C$4-C21)&amp;" { "&amp;$K$1&amp;E21&amp;"("&amp;B21&amp;".a)"&amp;IF(E25=""," };",","),IF(E21="","",REPT(" ",$K$3)&amp;$K$1&amp;E21&amp;IF(E25=""," };",",")))</f>
        <v/>
      </c>
    </row>
    <row r="22" spans="1:11" x14ac:dyDescent="0.25">
      <c r="J22" s="4"/>
      <c r="K22" s="4"/>
    </row>
    <row r="23" spans="1:11" x14ac:dyDescent="0.25">
      <c r="F23" t="s">
        <v>526</v>
      </c>
      <c r="G23">
        <f ca="1">VLOOKUP(B25,INDIRECT(GlobalPlcmnt!$B$134),GlobalPlcmnt!$B$138,FALSE)</f>
        <v>5</v>
      </c>
      <c r="J23" s="4"/>
      <c r="K23" s="4"/>
    </row>
    <row r="24" spans="1:11" x14ac:dyDescent="0.25">
      <c r="F24" t="s">
        <v>608</v>
      </c>
      <c r="G24">
        <f ca="1">VLOOKUP(B25,INDIRECT(GlobalPlcmnt!$B$134),GlobalPlcmnt!$C$138,FALSE)</f>
        <v>8</v>
      </c>
      <c r="J24" s="4"/>
      <c r="K24" s="4"/>
    </row>
    <row r="25" spans="1:11" x14ac:dyDescent="0.25">
      <c r="A25" t="s">
        <v>539</v>
      </c>
      <c r="B25" t="str">
        <f>IF(A25&lt;&gt;A22,A25&amp;$B$1,"")</f>
        <v>BSP_BSS</v>
      </c>
      <c r="C25">
        <f>LEN(B25)</f>
        <v>7</v>
      </c>
      <c r="E25" t="s">
        <v>562</v>
      </c>
      <c r="F25">
        <f ca="1">IF(E25="*",F26,VLOOKUP(E25,INDIRECT($F$1),2,FALSE))</f>
        <v>165</v>
      </c>
      <c r="H25">
        <f ca="1">VLOOKUP(B25,INDIRECT(GlobalPlcmnt!$B$134),GlobalPlcmnt!$A$138,FALSE)</f>
        <v>536805600</v>
      </c>
      <c r="I25" t="str">
        <f ca="1">"0x"&amp;DEC2HEX(H25,8)</f>
        <v>0x1FFF00E0</v>
      </c>
      <c r="J25" s="4" t="str">
        <f ca="1">IF(E25&lt;&gt;"*","","define symbol "&amp;B25&amp;REPT(" ",$C$4-C25)&amp;" = "&amp;I25&amp;";")</f>
        <v>define symbol BSP_BSS             = 0x1FFF00E0;</v>
      </c>
      <c r="K25" s="4" t="str">
        <f>IF(E25="*",""""&amp;B25&amp;""":"&amp;REPT(" ",$C$4-C25)&amp;" place at address mem: "&amp;B25&amp;REPT(" ",$C$4-C25)&amp;" { "&amp;$K$1&amp;E25&amp;"("&amp;A25&amp;".a)"&amp;IF(E26=""," };",","),IF(E25="","",REPT(" ",$K$3)&amp;$K$1&amp;E25&amp;IF(E26=""," };",",")))</f>
        <v>"BSP_BSS":             place at address mem: BSP_BSS             { rw data section .bss object *(BSP.a) };</v>
      </c>
    </row>
    <row r="26" spans="1:11" x14ac:dyDescent="0.25">
      <c r="B26" t="str">
        <f>B25&amp;"_end"</f>
        <v>BSP_BSS_end</v>
      </c>
      <c r="F26">
        <f ca="1">VLOOKUP(B26,INDIRECT($F$1),2,FALSE)</f>
        <v>165</v>
      </c>
      <c r="G26">
        <f ca="1">INT(($G$23/100)*F26)</f>
        <v>8</v>
      </c>
      <c r="H26">
        <f ca="1">F25+H25+G26+IF(MOD(F25+H25+G26,$G$24)=0,0,$G$24-MOD(F25+H25+G26,$G$24))</f>
        <v>536805776</v>
      </c>
      <c r="I26" t="str">
        <f ca="1">"0x"&amp;DEC2HEX(H26,8)</f>
        <v>0x1FFF0190</v>
      </c>
      <c r="J26" s="4"/>
      <c r="K26" s="4" t="str">
        <f>IF(E26="*",""""&amp;A26&amp;$B$1&amp;""":"&amp;REPT(" ",$C$4-C26)&amp;" place at address mem: "&amp;A26&amp;$B$1&amp;REPT(" ",$C$4-C26)&amp;" { "&amp;$K$1&amp;E26&amp;"("&amp;B26&amp;".a)"&amp;IF(E30=""," };",","),IF(E26="","",REPT(" ",$K$3)&amp;$K$1&amp;E26&amp;IF(E30=""," };",",")))</f>
        <v/>
      </c>
    </row>
    <row r="27" spans="1:11" x14ac:dyDescent="0.25">
      <c r="J27" s="4"/>
      <c r="K27" s="4"/>
    </row>
    <row r="28" spans="1:11" x14ac:dyDescent="0.25">
      <c r="F28" t="s">
        <v>526</v>
      </c>
      <c r="G28">
        <f ca="1">VLOOKUP(B30,INDIRECT(GlobalPlcmnt!$B$134),GlobalPlcmnt!$B$138,FALSE)</f>
        <v>5</v>
      </c>
      <c r="J28" s="4"/>
      <c r="K28" s="4"/>
    </row>
    <row r="29" spans="1:11" x14ac:dyDescent="0.25">
      <c r="F29" t="s">
        <v>608</v>
      </c>
      <c r="G29">
        <f ca="1">VLOOKUP(B30,INDIRECT(GlobalPlcmnt!$B$134),GlobalPlcmnt!$C$138,FALSE)</f>
        <v>8</v>
      </c>
      <c r="J29" s="4"/>
      <c r="K29" s="4"/>
    </row>
    <row r="30" spans="1:11" x14ac:dyDescent="0.25">
      <c r="A30" t="s">
        <v>540</v>
      </c>
      <c r="B30" t="str">
        <f>IF(A30&lt;&gt;A27,A30&amp;$B$1,"")</f>
        <v>PSP_BSS</v>
      </c>
      <c r="C30">
        <f>LEN(B30)</f>
        <v>7</v>
      </c>
      <c r="E30" t="s">
        <v>562</v>
      </c>
      <c r="F30">
        <f ca="1">IF(E30="*",F31,VLOOKUP(E30,INDIRECT($F$1),2,FALSE))</f>
        <v>8</v>
      </c>
      <c r="H30">
        <f ca="1">VLOOKUP(B30,INDIRECT(GlobalPlcmnt!$B$134),GlobalPlcmnt!$A$138,FALSE)</f>
        <v>536805408</v>
      </c>
      <c r="I30" t="str">
        <f ca="1">"0x"&amp;DEC2HEX(H30,8)</f>
        <v>0x1FFF0020</v>
      </c>
      <c r="J30" s="4" t="str">
        <f ca="1">IF(E30&lt;&gt;"*","","define symbol "&amp;B30&amp;REPT(" ",$C$4-C30)&amp;" = "&amp;I30&amp;";")</f>
        <v>define symbol PSP_BSS             = 0x1FFF0020;</v>
      </c>
      <c r="K30" s="4" t="str">
        <f>IF(E30="*",""""&amp;B30&amp;""":"&amp;REPT(" ",$C$4-C30)&amp;" place at address mem: "&amp;B30&amp;REPT(" ",$C$4-C30)&amp;" { "&amp;$K$1&amp;E30&amp;"("&amp;A30&amp;".a)"&amp;IF(E31=""," };",","),IF(E30="","",REPT(" ",$K$3)&amp;$K$1&amp;E30&amp;IF(E31=""," };",",")))</f>
        <v>"PSP_BSS":             place at address mem: PSP_BSS             { rw data section .bss object *(PSP.a) };</v>
      </c>
    </row>
    <row r="31" spans="1:11" x14ac:dyDescent="0.25">
      <c r="B31" t="str">
        <f>B30&amp;"_end"</f>
        <v>PSP_BSS_end</v>
      </c>
      <c r="F31">
        <f ca="1">VLOOKUP(B31,INDIRECT($F$1),2,FALSE)</f>
        <v>8</v>
      </c>
      <c r="G31">
        <f ca="1">INT(($G$28/100)*F31)</f>
        <v>0</v>
      </c>
      <c r="H31">
        <f ca="1">H30+F30+G31+IF(MOD(F30+H30+G31,$G$29)=0,0,$G$29-MOD(F30+H30+G31,$G$29))</f>
        <v>536805416</v>
      </c>
      <c r="I31" t="str">
        <f ca="1">"0x"&amp;DEC2HEX(H31,8)</f>
        <v>0x1FFF0028</v>
      </c>
    </row>
    <row r="33" spans="1:11" x14ac:dyDescent="0.25">
      <c r="F33" t="s">
        <v>526</v>
      </c>
      <c r="G33">
        <f ca="1">VLOOKUP(B35,INDIRECT(GlobalPlcmnt!$B$134),GlobalPlcmnt!$B$138,FALSE)</f>
        <v>5</v>
      </c>
      <c r="J33" s="4"/>
      <c r="K33" s="4"/>
    </row>
    <row r="34" spans="1:11" x14ac:dyDescent="0.25">
      <c r="F34" t="s">
        <v>608</v>
      </c>
      <c r="G34">
        <f ca="1">VLOOKUP(B35,INDIRECT(GlobalPlcmnt!$B$134),GlobalPlcmnt!$C$138,FALSE)</f>
        <v>8</v>
      </c>
      <c r="J34" s="4"/>
      <c r="K34" s="4"/>
    </row>
    <row r="35" spans="1:11" x14ac:dyDescent="0.25">
      <c r="A35" t="s">
        <v>541</v>
      </c>
      <c r="B35" t="str">
        <f>SUBSTITUTE(IF(A35&lt;&gt;A32,A35&amp;$B$1,""),"-","_")</f>
        <v>wolfSSL_Lib_MTU_BSS</v>
      </c>
      <c r="C35">
        <f>LEN(B35)</f>
        <v>19</v>
      </c>
      <c r="E35" t="s">
        <v>562</v>
      </c>
      <c r="F35">
        <f ca="1">IF(E35="*",F36,VLOOKUP(E35,INDIRECT($F$1),2,FALSE))</f>
        <v>837</v>
      </c>
      <c r="H35">
        <f ca="1">VLOOKUP(B35,INDIRECT(GlobalPlcmnt!$B$134),GlobalPlcmnt!$A$138,FALSE)</f>
        <v>536805784</v>
      </c>
      <c r="I35" t="str">
        <f ca="1">"0x"&amp;DEC2HEX(H35,8)</f>
        <v>0x1FFF0198</v>
      </c>
      <c r="J35" s="4" t="str">
        <f ca="1">IF(E35&lt;&gt;"*","","define symbol "&amp;B35&amp;REPT(" ",$C$4-C35)&amp;" = "&amp;I35&amp;";")</f>
        <v>define symbol wolfSSL_Lib_MTU_BSS = 0x1FFF0198;</v>
      </c>
      <c r="K35" s="4" t="str">
        <f>IF(E35="*",""""&amp;B35&amp;""":"&amp;REPT(" ",$C$4-C35)&amp;" place at address mem: "&amp;B35&amp;REPT(" ",$C$4-C35)&amp;" { "&amp;$K$1&amp;E35&amp;"("&amp;A35&amp;".a)"&amp;IF(E36=""," };",","),IF(E35="","",REPT(" ",$K$3)&amp;$K$1&amp;E35&amp;IF(E36=""," };",",")))</f>
        <v>"wolfSSL_Lib_MTU_BSS": place at address mem: wolfSSL_Lib_MTU_BSS { rw data section .bss object *(wolfSSL-Lib_MTU.a) };</v>
      </c>
    </row>
    <row r="36" spans="1:11" x14ac:dyDescent="0.25">
      <c r="B36" t="str">
        <f>B35&amp;"_end"</f>
        <v>wolfSSL_Lib_MTU_BSS_end</v>
      </c>
      <c r="F36">
        <f ca="1">VLOOKUP(B36,INDIRECT($F$1),2,FALSE)</f>
        <v>837</v>
      </c>
      <c r="G36">
        <f ca="1">INT(($G$33/100)*F36)</f>
        <v>41</v>
      </c>
      <c r="H36">
        <f ca="1">H35+F35+G36+IF(MOD(F35+H35+G36,$G$34)=0,0,$G$34-MOD(F35+H35+G36,$G$34))</f>
        <v>536806664</v>
      </c>
      <c r="I36" t="str">
        <f ca="1">"0x"&amp;DEC2HEX(H36,8)</f>
        <v>0x1FFF0508</v>
      </c>
    </row>
    <row r="38" spans="1:11" x14ac:dyDescent="0.25">
      <c r="A38" t="s">
        <v>928</v>
      </c>
      <c r="B38" t="str">
        <f ca="1">CELL("address",J36)</f>
        <v>$J$36</v>
      </c>
      <c r="J38" s="2"/>
      <c r="K38" s="2"/>
    </row>
    <row r="40" spans="1:11" x14ac:dyDescent="0.25">
      <c r="J40" s="4"/>
      <c r="K40" s="4"/>
    </row>
    <row r="41" spans="1:11" x14ac:dyDescent="0.25">
      <c r="J41" s="2"/>
      <c r="K41" s="2"/>
    </row>
    <row r="43" spans="1:11" x14ac:dyDescent="0.25">
      <c r="J43" s="4" t="str">
        <f ca="1">J5</f>
        <v>define symbol dl7M_tln_BSS        = 0x1FFF0008;</v>
      </c>
      <c r="K43" s="4" t="str">
        <f ca="1">IF(MID(J43,1,1)="/","//","")&amp;K5</f>
        <v>"dl7M_tln_BSS":        place at address mem: dl7M_tln_BSS        { rw data section .bss object *(dl7M_tln.a) };</v>
      </c>
    </row>
    <row r="44" spans="1:11" x14ac:dyDescent="0.25">
      <c r="J44" s="4" t="str">
        <f ca="1">J10</f>
        <v>define symbol m7M_tls_BSS         = 0x1FFF0008;</v>
      </c>
      <c r="K44" s="4" t="str">
        <f ca="1">IF(MID(J44,1,1)="/","//","")&amp;K10</f>
        <v>"m7M_tls_BSS":         place at address mem: m7M_tls_BSS         { rw data section .bss object *(m7M_tls.a) };</v>
      </c>
    </row>
    <row r="45" spans="1:11" x14ac:dyDescent="0.25">
      <c r="J45" s="4" t="str">
        <f ca="1">J15</f>
        <v>define symbol rt7M_tl_BSS         = 0x1FFF0008;</v>
      </c>
      <c r="K45" s="4" t="str">
        <f ca="1">IF(MID(J45,1,1)="/","//","")&amp;K15</f>
        <v>"rt7M_tl_BSS":         place at address mem: rt7M_tl_BSS         { rw data section .bss object *(rt7M_tl.a) };</v>
      </c>
    </row>
    <row r="46" spans="1:11" x14ac:dyDescent="0.25">
      <c r="J46" s="4" t="str">
        <f ca="1">J20</f>
        <v>define symbol shb_l_BSS           = 0x1FFF0018;</v>
      </c>
      <c r="K46" s="4" t="str">
        <f ca="1">IF(MID(J46,1,1)="/","//","")&amp;K20</f>
        <v>"shb_l_BSS":           place at address mem: shb_l_BSS           { rw data section .bss object *(shb_l.a) };</v>
      </c>
    </row>
    <row r="47" spans="1:11" x14ac:dyDescent="0.25">
      <c r="J47" s="4" t="str">
        <f ca="1">J25</f>
        <v>define symbol BSP_BSS             = 0x1FFF00E0;</v>
      </c>
      <c r="K47" s="4" t="str">
        <f ca="1">IF(MID(J47,1,1)="/","//","")&amp;K25</f>
        <v>"BSP_BSS":             place at address mem: BSP_BSS             { rw data section .bss object *(BSP.a) };</v>
      </c>
    </row>
    <row r="48" spans="1:11" x14ac:dyDescent="0.25">
      <c r="J48" s="4" t="str">
        <f ca="1">J30</f>
        <v>define symbol PSP_BSS             = 0x1FFF0020;</v>
      </c>
      <c r="K48" s="4" t="str">
        <f ca="1">IF(MID(J48,1,1)="/","//","")&amp;K30</f>
        <v>"PSP_BSS":             place at address mem: PSP_BSS             { rw data section .bss object *(PSP.a) };</v>
      </c>
    </row>
    <row r="49" spans="10:11" x14ac:dyDescent="0.25">
      <c r="J49" s="4" t="str">
        <f ca="1">J35</f>
        <v>define symbol wolfSSL_Lib_MTU_BSS = 0x1FFF0198;</v>
      </c>
      <c r="K49" s="4" t="str">
        <f ca="1">IF(MID(J49,1,1)="/","//","")&amp;K35</f>
        <v>"wolfSSL_Lib_MTU_BSS": place at address mem: wolfSSL_Lib_MTU_BSS { rw data section .bss object *(wolfSSL-Lib_MTU.a) };</v>
      </c>
    </row>
    <row r="50" spans="10:11" x14ac:dyDescent="0.25">
      <c r="J50" s="4"/>
      <c r="K50" s="4"/>
    </row>
    <row r="52" spans="10:11" x14ac:dyDescent="0.25">
      <c r="K52" s="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K407"/>
  <sheetViews>
    <sheetView topLeftCell="E308" workbookViewId="0">
      <selection activeCell="K347" sqref="K347"/>
    </sheetView>
  </sheetViews>
  <sheetFormatPr defaultRowHeight="15" x14ac:dyDescent="0.25"/>
  <cols>
    <col min="1" max="1" width="14.140625" bestFit="1" customWidth="1"/>
    <col min="2" max="2" width="23" bestFit="1" customWidth="1"/>
    <col min="3" max="3" width="3" bestFit="1" customWidth="1"/>
    <col min="4" max="5" width="30.42578125" customWidth="1"/>
    <col min="6" max="6" width="6.28515625" bestFit="1" customWidth="1"/>
    <col min="7" max="7" width="9.140625" bestFit="1" customWidth="1"/>
    <col min="8" max="8" width="10" bestFit="1" customWidth="1"/>
    <col min="9" max="9" width="11.5703125" bestFit="1" customWidth="1"/>
    <col min="10" max="10" width="51.5703125" bestFit="1" customWidth="1"/>
    <col min="11" max="11" width="136.7109375" bestFit="1" customWidth="1"/>
    <col min="12" max="12" width="84.140625" bestFit="1" customWidth="1"/>
  </cols>
  <sheetData>
    <row r="1" spans="1:11" x14ac:dyDescent="0.25">
      <c r="B1" t="s">
        <v>587</v>
      </c>
      <c r="F1" s="3" t="str">
        <f ca="1">'.map data'!B16</f>
        <v>'.map data'!$AW$31:$AX$652</v>
      </c>
    </row>
    <row r="2" spans="1:11" x14ac:dyDescent="0.25">
      <c r="F2" t="s">
        <v>526</v>
      </c>
      <c r="G2">
        <f ca="1">VLOOKUP(B5,INDIRECT(GlobalPlcmnt!$B$134),GlobalPlcmnt!$B$138,FALSE)</f>
        <v>5</v>
      </c>
      <c r="K2" t="s">
        <v>776</v>
      </c>
    </row>
    <row r="3" spans="1:11" x14ac:dyDescent="0.25">
      <c r="A3" t="s">
        <v>927</v>
      </c>
      <c r="B3" t="str">
        <f ca="1">CELL("address",B5)</f>
        <v>$B$5</v>
      </c>
      <c r="F3" t="s">
        <v>608</v>
      </c>
      <c r="G3">
        <f ca="1">VLOOKUP(B5,INDIRECT(GlobalPlcmnt!$B$134),GlobalPlcmnt!$C$138,FALSE)</f>
        <v>8</v>
      </c>
    </row>
    <row r="4" spans="1:11" x14ac:dyDescent="0.25">
      <c r="C4">
        <f>MAX(C5:C208)+1</f>
        <v>15</v>
      </c>
      <c r="F4" t="s">
        <v>542</v>
      </c>
      <c r="K4">
        <f>$C$4+LEN("with alignment = 4  ")+3</f>
        <v>38</v>
      </c>
    </row>
    <row r="5" spans="1:11" x14ac:dyDescent="0.25">
      <c r="A5" t="s">
        <v>527</v>
      </c>
      <c r="B5" t="str">
        <f t="shared" ref="B5:B15" si="0">IF(A5&lt;&gt;A4,A5&amp;$B$1,"")</f>
        <v>utils_BSS</v>
      </c>
      <c r="C5">
        <f>LEN(B5)</f>
        <v>9</v>
      </c>
      <c r="D5" t="s">
        <v>322</v>
      </c>
      <c r="E5" t="str">
        <f>SUBSTITUTE(D5,"-","_")</f>
        <v>ascii.o</v>
      </c>
      <c r="F5">
        <f ca="1">IFERROR(VLOOKUP(D5,INDIRECT($F$1),2,FALSE),0)</f>
        <v>0</v>
      </c>
      <c r="H5">
        <f ca="1">VLOOKUP(B5,INDIRECT(GlobalPlcmnt!$B$134),GlobalPlcmnt!$A$138,FALSE)</f>
        <v>536809648</v>
      </c>
      <c r="I5" t="str">
        <f t="shared" ref="I5:I16" ca="1" si="1">"0x"&amp;DEC2HEX(H5,8)</f>
        <v>0x1FFF10B0</v>
      </c>
      <c r="J5" s="4" t="str">
        <f ca="1">IF(B5="","","define symbol "&amp;B5&amp;REPT(" ",$C$4-C5)&amp;"= "&amp;I5&amp;";")</f>
        <v>define symbol utils_BSS      = 0x1FFF10B0;</v>
      </c>
      <c r="K5" s="4" t="str">
        <f>IF(B5="",REPT(" ",$C$4+$K$4)&amp;$K$2&amp;D5&amp;IF(B6="",","," };"),"define block "&amp;B5&amp;"_BLK with alignment = 4"&amp;REPT(" ",$C$4-C5)&amp;"{ "&amp;K$2&amp;D5&amp;IF(B6="",","," };"))</f>
        <v>define block utils_BSS_BLK with alignment = 4      { section .bss object ascii.o,</v>
      </c>
    </row>
    <row r="6" spans="1:11" x14ac:dyDescent="0.25">
      <c r="A6" t="s">
        <v>527</v>
      </c>
      <c r="B6" t="str">
        <f t="shared" si="0"/>
        <v/>
      </c>
      <c r="C6">
        <f t="shared" ref="C6:C134" si="2">LEN(B6)</f>
        <v>0</v>
      </c>
      <c r="D6" t="s">
        <v>565</v>
      </c>
      <c r="E6" t="str">
        <f t="shared" ref="E6:E134" si="3">SUBSTITUTE(D6,"-","_")</f>
        <v>bcd.o</v>
      </c>
      <c r="F6">
        <f t="shared" ref="F6" ca="1" si="4">IFERROR(VLOOKUP(D6,INDIRECT($F$1),2,FALSE),0)</f>
        <v>0</v>
      </c>
      <c r="H6">
        <f ca="1">H5+F5+G5+IF(MOD(F5+H5+G5,$G$3)=0,0,$G$3-MOD(F5+H5+G5,$G$3))</f>
        <v>536809648</v>
      </c>
      <c r="I6" t="str">
        <f t="shared" ca="1" si="1"/>
        <v>0x1FFF10B0</v>
      </c>
      <c r="J6" s="4" t="str">
        <f t="shared" ref="J6:J15" si="5">IF(B6="","","define symbol "&amp;B6&amp;REPT(" ",$C$4-C6)&amp;"= "&amp;I6&amp;";")</f>
        <v/>
      </c>
      <c r="K6" s="4" t="str">
        <f t="shared" ref="K6:K15" si="6">IF(B6="",REPT(" ",$C$4+$K$4)&amp;$K$2&amp;D6&amp;IF(B7="",","," };"),"define block "&amp;B6&amp;"_BLK with alignment = 4"&amp;REPT(" ",$C$4-C6)&amp;"{ "&amp;K$2&amp;D6&amp;IF(B7="",","," };"))</f>
        <v xml:space="preserve">                                                     section .bss object bcd.o,</v>
      </c>
    </row>
    <row r="7" spans="1:11" x14ac:dyDescent="0.25">
      <c r="A7" t="s">
        <v>527</v>
      </c>
      <c r="B7" t="str">
        <f t="shared" si="0"/>
        <v/>
      </c>
      <c r="C7">
        <f t="shared" si="2"/>
        <v>0</v>
      </c>
      <c r="D7" t="s">
        <v>566</v>
      </c>
      <c r="E7" t="str">
        <f t="shared" ref="E7:E15" si="7">SUBSTITUTE(D7,"-","_")</f>
        <v>bit_util.o</v>
      </c>
      <c r="F7">
        <f t="shared" ref="F7:F15" ca="1" si="8">IFERROR(VLOOKUP(D7,INDIRECT($F$1),2,FALSE),0)</f>
        <v>0</v>
      </c>
      <c r="H7">
        <f t="shared" ref="H7:H15" ca="1" si="9">H6+F6+G6+IF(MOD(F6+H6+G6,$G$3)=0,0,$G$3-MOD(F6+H6+G6,$G$3))</f>
        <v>536809648</v>
      </c>
      <c r="I7" t="str">
        <f t="shared" ref="I7:I15" ca="1" si="10">"0x"&amp;DEC2HEX(H7,8)</f>
        <v>0x1FFF10B0</v>
      </c>
      <c r="J7" s="4" t="str">
        <f t="shared" si="5"/>
        <v/>
      </c>
      <c r="K7" s="4" t="str">
        <f t="shared" si="6"/>
        <v xml:space="preserve">                                                     section .bss object bit_util.o,</v>
      </c>
    </row>
    <row r="8" spans="1:11" x14ac:dyDescent="0.25">
      <c r="A8" t="s">
        <v>527</v>
      </c>
      <c r="B8" t="str">
        <f t="shared" si="0"/>
        <v/>
      </c>
      <c r="C8">
        <f t="shared" si="2"/>
        <v>0</v>
      </c>
      <c r="D8" t="s">
        <v>96</v>
      </c>
      <c r="E8" t="str">
        <f t="shared" si="7"/>
        <v>byteswap.o</v>
      </c>
      <c r="F8">
        <f t="shared" ca="1" si="8"/>
        <v>0</v>
      </c>
      <c r="H8">
        <f t="shared" ca="1" si="9"/>
        <v>536809648</v>
      </c>
      <c r="I8" t="str">
        <f t="shared" ca="1" si="10"/>
        <v>0x1FFF10B0</v>
      </c>
      <c r="J8" s="4" t="str">
        <f t="shared" si="5"/>
        <v/>
      </c>
      <c r="K8" s="4" t="str">
        <f t="shared" si="6"/>
        <v xml:space="preserve">                                                     section .bss object byteswap.o,</v>
      </c>
    </row>
    <row r="9" spans="1:11" x14ac:dyDescent="0.25">
      <c r="A9" t="s">
        <v>527</v>
      </c>
      <c r="B9" t="str">
        <f t="shared" si="0"/>
        <v/>
      </c>
      <c r="C9">
        <f t="shared" si="2"/>
        <v>0</v>
      </c>
      <c r="D9" t="s">
        <v>399</v>
      </c>
      <c r="E9" t="str">
        <f t="shared" si="7"/>
        <v>crc16_m.o</v>
      </c>
      <c r="F9">
        <f t="shared" ca="1" si="8"/>
        <v>4</v>
      </c>
      <c r="H9">
        <f t="shared" ca="1" si="9"/>
        <v>536809648</v>
      </c>
      <c r="I9" t="str">
        <f t="shared" ca="1" si="10"/>
        <v>0x1FFF10B0</v>
      </c>
      <c r="J9" s="4" t="str">
        <f t="shared" si="5"/>
        <v/>
      </c>
      <c r="K9" s="4" t="str">
        <f t="shared" si="6"/>
        <v xml:space="preserve">                                                     section .bss object crc16_m.o,</v>
      </c>
    </row>
    <row r="10" spans="1:11" x14ac:dyDescent="0.25">
      <c r="A10" t="s">
        <v>527</v>
      </c>
      <c r="B10" t="str">
        <f t="shared" si="0"/>
        <v/>
      </c>
      <c r="C10">
        <f t="shared" si="2"/>
        <v>0</v>
      </c>
      <c r="D10" t="s">
        <v>178</v>
      </c>
      <c r="E10" t="str">
        <f t="shared" si="7"/>
        <v>crc32.o</v>
      </c>
      <c r="F10">
        <f t="shared" ca="1" si="8"/>
        <v>0</v>
      </c>
      <c r="H10">
        <f t="shared" ca="1" si="9"/>
        <v>536809656</v>
      </c>
      <c r="I10" t="str">
        <f t="shared" ca="1" si="10"/>
        <v>0x1FFF10B8</v>
      </c>
      <c r="J10" s="4" t="str">
        <f t="shared" si="5"/>
        <v/>
      </c>
      <c r="K10" s="4" t="str">
        <f t="shared" si="6"/>
        <v xml:space="preserve">                                                     section .bss object crc32.o,</v>
      </c>
    </row>
    <row r="11" spans="1:11" x14ac:dyDescent="0.25">
      <c r="A11" t="s">
        <v>527</v>
      </c>
      <c r="B11" t="str">
        <f t="shared" si="0"/>
        <v/>
      </c>
      <c r="C11">
        <f t="shared" si="2"/>
        <v>0</v>
      </c>
      <c r="D11" t="s">
        <v>296</v>
      </c>
      <c r="E11" t="str">
        <f t="shared" si="7"/>
        <v>invert_bits.o</v>
      </c>
      <c r="F11">
        <f t="shared" ca="1" si="8"/>
        <v>0</v>
      </c>
      <c r="H11">
        <f t="shared" ca="1" si="9"/>
        <v>536809656</v>
      </c>
      <c r="I11" t="str">
        <f t="shared" ca="1" si="10"/>
        <v>0x1FFF10B8</v>
      </c>
      <c r="J11" s="4" t="str">
        <f t="shared" si="5"/>
        <v/>
      </c>
      <c r="K11" s="4" t="str">
        <f t="shared" si="6"/>
        <v xml:space="preserve">                                                     section .bss object invert_bits.o,</v>
      </c>
    </row>
    <row r="12" spans="1:11" x14ac:dyDescent="0.25">
      <c r="A12" t="s">
        <v>527</v>
      </c>
      <c r="B12" t="str">
        <f t="shared" si="0"/>
        <v/>
      </c>
      <c r="C12">
        <f t="shared" si="2"/>
        <v>0</v>
      </c>
      <c r="D12" t="s">
        <v>97</v>
      </c>
      <c r="E12" t="str">
        <f t="shared" si="7"/>
        <v>pack.o</v>
      </c>
      <c r="F12">
        <f t="shared" ca="1" si="8"/>
        <v>0</v>
      </c>
      <c r="H12">
        <f t="shared" ca="1" si="9"/>
        <v>536809656</v>
      </c>
      <c r="I12" t="str">
        <f t="shared" ca="1" si="10"/>
        <v>0x1FFF10B8</v>
      </c>
      <c r="J12" s="4" t="str">
        <f t="shared" si="5"/>
        <v/>
      </c>
      <c r="K12" s="4" t="str">
        <f t="shared" si="6"/>
        <v xml:space="preserve">                                                     section .bss object pack.o,</v>
      </c>
    </row>
    <row r="13" spans="1:11" x14ac:dyDescent="0.25">
      <c r="A13" t="s">
        <v>527</v>
      </c>
      <c r="B13" t="str">
        <f t="shared" si="0"/>
        <v/>
      </c>
      <c r="C13">
        <f t="shared" si="2"/>
        <v>0</v>
      </c>
      <c r="D13" t="s">
        <v>81</v>
      </c>
      <c r="E13" t="str">
        <f t="shared" si="7"/>
        <v>rand.o</v>
      </c>
      <c r="F13">
        <f t="shared" ca="1" si="8"/>
        <v>5</v>
      </c>
      <c r="H13">
        <f t="shared" ca="1" si="9"/>
        <v>536809656</v>
      </c>
      <c r="I13" t="str">
        <f t="shared" ca="1" si="10"/>
        <v>0x1FFF10B8</v>
      </c>
      <c r="J13" s="4" t="str">
        <f t="shared" si="5"/>
        <v/>
      </c>
      <c r="K13" s="4" t="str">
        <f t="shared" si="6"/>
        <v xml:space="preserve">                                                     section .bss object rand.o,</v>
      </c>
    </row>
    <row r="14" spans="1:11" x14ac:dyDescent="0.25">
      <c r="A14" t="s">
        <v>527</v>
      </c>
      <c r="B14" t="str">
        <f t="shared" si="0"/>
        <v/>
      </c>
      <c r="C14">
        <f t="shared" si="2"/>
        <v>0</v>
      </c>
      <c r="D14" t="s">
        <v>93</v>
      </c>
      <c r="E14" t="str">
        <f t="shared" si="7"/>
        <v>time_util.o</v>
      </c>
      <c r="F14">
        <f t="shared" ca="1" si="8"/>
        <v>0</v>
      </c>
      <c r="H14">
        <f t="shared" ca="1" si="9"/>
        <v>536809664</v>
      </c>
      <c r="I14" t="str">
        <f t="shared" ca="1" si="10"/>
        <v>0x1FFF10C0</v>
      </c>
      <c r="J14" s="4" t="str">
        <f t="shared" si="5"/>
        <v/>
      </c>
      <c r="K14" s="4" t="str">
        <f t="shared" si="6"/>
        <v xml:space="preserve">                                                     section .bss object time_util.o,</v>
      </c>
    </row>
    <row r="15" spans="1:11" x14ac:dyDescent="0.25">
      <c r="A15" t="s">
        <v>527</v>
      </c>
      <c r="B15" t="str">
        <f t="shared" si="0"/>
        <v/>
      </c>
      <c r="C15">
        <f t="shared" si="2"/>
        <v>0</v>
      </c>
      <c r="D15" t="s">
        <v>130</v>
      </c>
      <c r="E15" t="str">
        <f t="shared" si="7"/>
        <v>timer_util.o</v>
      </c>
      <c r="F15">
        <f t="shared" ca="1" si="8"/>
        <v>1849</v>
      </c>
      <c r="H15">
        <f t="shared" ca="1" si="9"/>
        <v>536809664</v>
      </c>
      <c r="I15" t="str">
        <f t="shared" ca="1" si="10"/>
        <v>0x1FFF10C0</v>
      </c>
      <c r="J15" s="4" t="str">
        <f t="shared" si="5"/>
        <v/>
      </c>
      <c r="K15" s="4" t="str">
        <f t="shared" si="6"/>
        <v xml:space="preserve">                                                     section .bss object timer_util.o };</v>
      </c>
    </row>
    <row r="16" spans="1:11" x14ac:dyDescent="0.25">
      <c r="B16" t="str">
        <f>B5&amp;"_end"</f>
        <v>utils_BSS_end</v>
      </c>
      <c r="C16">
        <f>LEN(B16)-4</f>
        <v>9</v>
      </c>
      <c r="F16">
        <f ca="1">SUM(F5:F15)</f>
        <v>1858</v>
      </c>
      <c r="G16">
        <f ca="1">INT(($G$2/100)*F16)</f>
        <v>92</v>
      </c>
      <c r="H16">
        <f ca="1">H15+F15+G16+IF(MOD(F15+H15+G16,$G$3)=0,0,$G$3-MOD(F15+H15+G16,$G$3))</f>
        <v>536811608</v>
      </c>
      <c r="I16" t="str">
        <f t="shared" ca="1" si="1"/>
        <v>0x1FFF1858</v>
      </c>
      <c r="J16" s="4"/>
      <c r="K16" s="4" t="str">
        <f>""""&amp;MID(B16,1,LEN(B16)-4)&amp;""":"&amp;REPT(" ",$C$4-C16)&amp;"place at address mem: "&amp;MID(B16,1,LEN(B16)-4)&amp;REPT(" ",$C$4-C16)&amp;"{ block "&amp;MID(B16,1,LEN(B16)-4)&amp;"_BLK, rw data };"</f>
        <v>"utils_BSS":      place at address mem: utils_BSS      { block utils_BSS_BLK, rw data };</v>
      </c>
    </row>
    <row r="17" spans="1:11" x14ac:dyDescent="0.25">
      <c r="J17" s="4"/>
      <c r="K17" s="4"/>
    </row>
    <row r="18" spans="1:11" x14ac:dyDescent="0.25">
      <c r="F18" t="s">
        <v>526</v>
      </c>
      <c r="G18">
        <f ca="1">VLOOKUP(B21,INDIRECT(GlobalPlcmnt!$B$134),GlobalPlcmnt!$B$138,FALSE)</f>
        <v>5</v>
      </c>
      <c r="J18" s="4"/>
      <c r="K18" s="4"/>
    </row>
    <row r="19" spans="1:11" x14ac:dyDescent="0.25">
      <c r="F19" t="s">
        <v>608</v>
      </c>
      <c r="G19">
        <f ca="1">VLOOKUP(B21,INDIRECT(GlobalPlcmnt!$B$134),GlobalPlcmnt!$C$138,FALSE)</f>
        <v>8</v>
      </c>
      <c r="J19" s="4"/>
      <c r="K19" s="4"/>
    </row>
    <row r="20" spans="1:11" x14ac:dyDescent="0.25">
      <c r="F20" t="s">
        <v>542</v>
      </c>
      <c r="J20" s="4"/>
      <c r="K20" s="4"/>
    </row>
    <row r="21" spans="1:11" x14ac:dyDescent="0.25">
      <c r="A21" t="s">
        <v>528</v>
      </c>
      <c r="B21" t="str">
        <f>IF(A21&lt;&gt;A20,A21&amp;$B$1,"")</f>
        <v>dfw_BSS</v>
      </c>
      <c r="C21">
        <f t="shared" si="2"/>
        <v>7</v>
      </c>
      <c r="D21" t="s">
        <v>228</v>
      </c>
      <c r="E21" t="str">
        <f t="shared" si="3"/>
        <v>dfw_app.o</v>
      </c>
      <c r="F21">
        <f ca="1">IFERROR(VLOOKUP(D21,INDIRECT($F$1),2,FALSE),0)</f>
        <v>230</v>
      </c>
      <c r="H21">
        <f ca="1">VLOOKUP(B21,INDIRECT(GlobalPlcmnt!$B$134),GlobalPlcmnt!$A$138,FALSE)</f>
        <v>536811608</v>
      </c>
      <c r="I21" t="str">
        <f ca="1">"0x"&amp;DEC2HEX(H21,8)</f>
        <v>0x1FFF1858</v>
      </c>
      <c r="J21" s="4" t="str">
        <f ca="1">IF(B21="","","define symbol "&amp;B21&amp;REPT(" ",$C$4-C21)&amp;"= "&amp;I21&amp;";")</f>
        <v>define symbol dfw_BSS        = 0x1FFF1858;</v>
      </c>
      <c r="K21" s="4" t="str">
        <f>IF(B21="",REPT(" ",$C$4+$K$4)&amp;$K$2&amp;D21&amp;IF(B22="",","," };"),"define block "&amp;B21&amp;"_BLK with alignment = 4"&amp;REPT(" ",$C$4-C21)&amp;"{ "&amp;K$2&amp;D21&amp;IF(B22="",","," };"))</f>
        <v>define block dfw_BSS_BLK with alignment = 4        { section .bss object dfw_app.o,</v>
      </c>
    </row>
    <row r="22" spans="1:11" x14ac:dyDescent="0.25">
      <c r="A22" t="s">
        <v>528</v>
      </c>
      <c r="B22" t="str">
        <f>IF(A22&lt;&gt;A21,A22&amp;$B$1,"")</f>
        <v/>
      </c>
      <c r="C22">
        <f t="shared" si="2"/>
        <v>0</v>
      </c>
      <c r="D22" t="s">
        <v>193</v>
      </c>
      <c r="E22" t="str">
        <f t="shared" si="3"/>
        <v>dfw_interface.o</v>
      </c>
      <c r="F22">
        <f ca="1">IFERROR(VLOOKUP(D22,INDIRECT($F$1),2,FALSE),0)</f>
        <v>0</v>
      </c>
      <c r="H22">
        <f ca="1">H21+F21+G21+IF(MOD(F21+H21+G21,$G$19)=0,0,$G$19-MOD(F21+H21+G21,$G$19))</f>
        <v>536811840</v>
      </c>
      <c r="I22" t="str">
        <f ca="1">"0x"&amp;DEC2HEX(H22,8)</f>
        <v>0x1FFF1940</v>
      </c>
      <c r="J22" s="4" t="str">
        <f>IF(B22="","","define symbol "&amp;B22&amp;REPT(" ",$C$4-C22)&amp;"= "&amp;I22&amp;";")</f>
        <v/>
      </c>
      <c r="K22" s="4" t="str">
        <f>IF(B22="",REPT(" ",$C$4+$K$4)&amp;$K$2&amp;D22&amp;IF(B23="",","," };"),"define block "&amp;B22&amp;"_BLK with alignment = 4"&amp;REPT(" ",$C$4-C22)&amp;"{ "&amp;K$2&amp;D22&amp;IF(B23="",","," };"))</f>
        <v xml:space="preserve">                                                     section .bss object dfw_interface.o,</v>
      </c>
    </row>
    <row r="23" spans="1:11" x14ac:dyDescent="0.25">
      <c r="A23" t="s">
        <v>528</v>
      </c>
      <c r="B23" t="str">
        <f>IF(A23&lt;&gt;A22,A23&amp;$B$1,"")</f>
        <v/>
      </c>
      <c r="C23">
        <f t="shared" si="2"/>
        <v>0</v>
      </c>
      <c r="D23" t="s">
        <v>286</v>
      </c>
      <c r="E23" t="str">
        <f t="shared" ref="E23:E24" si="11">SUBSTITUTE(D23,"-","_")</f>
        <v>dfw_pckt.o</v>
      </c>
      <c r="F23">
        <f t="shared" ref="F23:F24" ca="1" si="12">IFERROR(VLOOKUP(D23,INDIRECT($F$1),2,FALSE),0)</f>
        <v>4</v>
      </c>
      <c r="H23">
        <f t="shared" ref="H23:H24" ca="1" si="13">H22+F22+G22+IF(MOD(F22+H22+G22,$G$19)=0,0,$G$19-MOD(F22+H22+G22,$G$19))</f>
        <v>536811840</v>
      </c>
      <c r="I23" t="str">
        <f t="shared" ref="I23:I24" ca="1" si="14">"0x"&amp;DEC2HEX(H23,8)</f>
        <v>0x1FFF1940</v>
      </c>
      <c r="J23" s="4" t="str">
        <f>IF(B23="","","define symbol "&amp;B23&amp;REPT(" ",$C$4-C23)&amp;"= "&amp;I23&amp;";")</f>
        <v/>
      </c>
      <c r="K23" s="4" t="str">
        <f>IF(B23="",REPT(" ",$C$4+$K$4)&amp;$K$2&amp;D23&amp;IF(B24="",","," };"),"define block "&amp;B23&amp;"_BLK with alignment = 4"&amp;REPT(" ",$C$4-C23)&amp;"{ "&amp;K$2&amp;D23&amp;IF(B24="",","," };"))</f>
        <v xml:space="preserve">                                                     section .bss object dfw_pckt.o,</v>
      </c>
    </row>
    <row r="24" spans="1:11" x14ac:dyDescent="0.25">
      <c r="A24" t="s">
        <v>528</v>
      </c>
      <c r="B24" t="str">
        <f>IF(A24&lt;&gt;A23,A24&amp;$B$1,"")</f>
        <v/>
      </c>
      <c r="C24">
        <f t="shared" si="2"/>
        <v>0</v>
      </c>
      <c r="D24" t="s">
        <v>195</v>
      </c>
      <c r="E24" t="str">
        <f t="shared" si="11"/>
        <v>dfwtd_config.o</v>
      </c>
      <c r="F24">
        <f t="shared" ca="1" si="12"/>
        <v>64</v>
      </c>
      <c r="H24">
        <f t="shared" ca="1" si="13"/>
        <v>536811848</v>
      </c>
      <c r="I24" t="str">
        <f t="shared" ca="1" si="14"/>
        <v>0x1FFF1948</v>
      </c>
      <c r="J24" s="4" t="str">
        <f>IF(B24="","","define symbol "&amp;B24&amp;REPT(" ",$C$4-C24)&amp;"= "&amp;I24&amp;";")</f>
        <v/>
      </c>
      <c r="K24" s="4" t="str">
        <f>IF(B24="",REPT(" ",$C$4+$K$4)&amp;$K$2&amp;D24&amp;IF(B25="",","," };"),"define block "&amp;B24&amp;"_BLK with alignment = 4"&amp;REPT(" ",$C$4-C24)&amp;"{ "&amp;K$2&amp;D24&amp;IF(B25="",","," };"))</f>
        <v xml:space="preserve">                                                     section .bss object dfwtd_config.o };</v>
      </c>
    </row>
    <row r="25" spans="1:11" x14ac:dyDescent="0.25">
      <c r="B25" t="str">
        <f>B21&amp;"_end"</f>
        <v>dfw_BSS_end</v>
      </c>
      <c r="C25">
        <f>LEN(B25)-4</f>
        <v>7</v>
      </c>
      <c r="F25">
        <f ca="1">SUM(F21:F24)</f>
        <v>298</v>
      </c>
      <c r="G25">
        <f ca="1">INT(($G$18/100)*F25)</f>
        <v>14</v>
      </c>
      <c r="H25">
        <f ca="1">H24+F24+G25+IF(MOD(F24+H24+G25,$G$19)=0,0,$G$19-MOD(F24+H24+G25,$G$19))</f>
        <v>536811928</v>
      </c>
      <c r="I25" t="str">
        <f ca="1">"0x"&amp;DEC2HEX(H25,8)</f>
        <v>0x1FFF1998</v>
      </c>
      <c r="J25" s="4"/>
      <c r="K25" s="4" t="str">
        <f>""""&amp;MID(B25,1,LEN(B25)-4)&amp;""":"&amp;REPT(" ",$C$4-C25)&amp;"place at address mem: "&amp;MID(B25,1,LEN(B25)-4)&amp;REPT(" ",$C$4-C25)&amp;"{ block "&amp;MID(B25,1,LEN(B25)-4)&amp;"_BLK, rw data };"</f>
        <v>"dfw_BSS":        place at address mem: dfw_BSS        { block dfw_BSS_BLK, rw data };</v>
      </c>
    </row>
    <row r="26" spans="1:11" x14ac:dyDescent="0.25">
      <c r="J26" s="4"/>
      <c r="K26" s="4"/>
    </row>
    <row r="27" spans="1:11" x14ac:dyDescent="0.25">
      <c r="F27" t="s">
        <v>526</v>
      </c>
      <c r="G27">
        <f ca="1">VLOOKUP(B30,INDIRECT(GlobalPlcmnt!$B$134),GlobalPlcmnt!$B$138,FALSE)</f>
        <v>5</v>
      </c>
      <c r="J27" s="4"/>
      <c r="K27" s="4"/>
    </row>
    <row r="28" spans="1:11" x14ac:dyDescent="0.25">
      <c r="F28" t="s">
        <v>608</v>
      </c>
      <c r="G28">
        <f ca="1">VLOOKUP(B30,INDIRECT(GlobalPlcmnt!$B$134),GlobalPlcmnt!$C$138,FALSE)</f>
        <v>8</v>
      </c>
      <c r="J28" s="4"/>
      <c r="K28" s="4"/>
    </row>
    <row r="29" spans="1:11" x14ac:dyDescent="0.25">
      <c r="F29" t="s">
        <v>542</v>
      </c>
      <c r="J29" s="4"/>
      <c r="K29" s="4"/>
    </row>
    <row r="30" spans="1:11" x14ac:dyDescent="0.25">
      <c r="A30" t="s">
        <v>529</v>
      </c>
      <c r="B30" t="str">
        <f t="shared" ref="B30:B36" si="15">IF(A30&lt;&gt;A29,A30&amp;$B$1,"")</f>
        <v>driver_BSS</v>
      </c>
      <c r="C30">
        <f t="shared" si="2"/>
        <v>10</v>
      </c>
      <c r="D30" t="s">
        <v>401</v>
      </c>
      <c r="E30" t="str">
        <f t="shared" si="3"/>
        <v>dvr_banked.o</v>
      </c>
      <c r="F30">
        <f t="shared" ref="F30:F31" ca="1" si="16">IFERROR(VLOOKUP(D30,INDIRECT($F$1),2,FALSE),0)</f>
        <v>305</v>
      </c>
      <c r="H30">
        <f ca="1">VLOOKUP(B30,INDIRECT(GlobalPlcmnt!$B$134),GlobalPlcmnt!$A$138,FALSE)</f>
        <v>536811928</v>
      </c>
      <c r="I30" t="str">
        <f t="shared" ref="I30:I37" ca="1" si="17">"0x"&amp;DEC2HEX(H30,8)</f>
        <v>0x1FFF1998</v>
      </c>
      <c r="J30" s="4" t="str">
        <f ca="1">IF(B30="","","define symbol "&amp;B30&amp;REPT(" ",$C$4-C30)&amp;"= "&amp;I30&amp;";")</f>
        <v>define symbol driver_BSS     = 0x1FFF1998;</v>
      </c>
      <c r="K30" s="4" t="str">
        <f>IF(B30="",REPT(" ",$C$4+$K$4)&amp;$K$2&amp;D30&amp;IF(B31="",","," };"),"define block "&amp;B30&amp;"_BLK with alignment = 4"&amp;REPT(" ",$C$4-C30)&amp;"{ "&amp;K$2&amp;D30&amp;IF(B31="",","," };"))</f>
        <v>define block driver_BSS_BLK with alignment = 4     { section .bss object dvr_banked.o,</v>
      </c>
    </row>
    <row r="31" spans="1:11" x14ac:dyDescent="0.25">
      <c r="A31" t="s">
        <v>529</v>
      </c>
      <c r="B31" t="str">
        <f t="shared" si="15"/>
        <v/>
      </c>
      <c r="C31">
        <f t="shared" si="2"/>
        <v>0</v>
      </c>
      <c r="D31" t="s">
        <v>402</v>
      </c>
      <c r="E31" t="str">
        <f t="shared" si="3"/>
        <v>dvr_cache.o</v>
      </c>
      <c r="F31">
        <f t="shared" ca="1" si="16"/>
        <v>49</v>
      </c>
      <c r="H31">
        <f ca="1">H30+F30+G30+IF(MOD(F30+H30+G30,$G$28)=0,0,$G$28-MOD(F30+H30+G30,$G$28))</f>
        <v>536812240</v>
      </c>
      <c r="I31" t="str">
        <f t="shared" ca="1" si="17"/>
        <v>0x1FFF1AD0</v>
      </c>
      <c r="J31" s="4" t="str">
        <f t="shared" ref="J31:J36" si="18">IF(B31="","","define symbol "&amp;B31&amp;REPT(" ",$C$4-C31)&amp;"= "&amp;I31&amp;";")</f>
        <v/>
      </c>
      <c r="K31" s="4" t="str">
        <f t="shared" ref="K31:K36" si="19">IF(B31="",REPT(" ",$C$4+$K$4)&amp;$K$2&amp;D31&amp;IF(B32="",","," };"),"define block "&amp;B31&amp;"_BLK with alignment = 4"&amp;REPT(" ",$C$4-C31)&amp;"{ "&amp;K$2&amp;D31&amp;IF(B32="",","," };"))</f>
        <v xml:space="preserve">                                                     section .bss object dvr_cache.o,</v>
      </c>
    </row>
    <row r="32" spans="1:11" x14ac:dyDescent="0.25">
      <c r="A32" t="s">
        <v>529</v>
      </c>
      <c r="B32" t="str">
        <f t="shared" si="15"/>
        <v/>
      </c>
      <c r="C32">
        <f t="shared" si="2"/>
        <v>0</v>
      </c>
      <c r="D32" t="s">
        <v>199</v>
      </c>
      <c r="E32" t="str">
        <f t="shared" ref="E32:E36" si="20">SUBSTITUTE(D32,"-","_")</f>
        <v>dvr_extflash.o</v>
      </c>
      <c r="F32">
        <f t="shared" ref="F32:F36" ca="1" si="21">IFERROR(VLOOKUP(D32,INDIRECT($F$1),2,FALSE),0)</f>
        <v>36</v>
      </c>
      <c r="H32">
        <f t="shared" ref="H32:H36" ca="1" si="22">H31+F31+G31+IF(MOD(F31+H31+G31,$G$28)=0,0,$G$28-MOD(F31+H31+G31,$G$28))</f>
        <v>536812296</v>
      </c>
      <c r="I32" t="str">
        <f t="shared" ref="I32:I36" ca="1" si="23">"0x"&amp;DEC2HEX(H32,8)</f>
        <v>0x1FFF1B08</v>
      </c>
      <c r="J32" s="4" t="str">
        <f t="shared" si="18"/>
        <v/>
      </c>
      <c r="K32" s="4" t="str">
        <f t="shared" si="19"/>
        <v xml:space="preserve">                                                     section .bss object dvr_extflash.o,</v>
      </c>
    </row>
    <row r="33" spans="1:11" x14ac:dyDescent="0.25">
      <c r="A33" t="s">
        <v>529</v>
      </c>
      <c r="B33" t="str">
        <f t="shared" si="15"/>
        <v/>
      </c>
      <c r="C33">
        <f t="shared" si="2"/>
        <v>0</v>
      </c>
      <c r="D33" t="s">
        <v>403</v>
      </c>
      <c r="E33" t="str">
        <f t="shared" si="20"/>
        <v>dvr_sectPreErase.o</v>
      </c>
      <c r="F33">
        <f t="shared" ca="1" si="21"/>
        <v>49</v>
      </c>
      <c r="H33">
        <f t="shared" ca="1" si="22"/>
        <v>536812336</v>
      </c>
      <c r="I33" t="str">
        <f t="shared" ca="1" si="23"/>
        <v>0x1FFF1B30</v>
      </c>
      <c r="J33" s="4" t="str">
        <f t="shared" si="18"/>
        <v/>
      </c>
      <c r="K33" s="4" t="str">
        <f t="shared" si="19"/>
        <v xml:space="preserve">                                                     section .bss object dvr_sectPreErase.o,</v>
      </c>
    </row>
    <row r="34" spans="1:11" x14ac:dyDescent="0.25">
      <c r="A34" t="s">
        <v>529</v>
      </c>
      <c r="B34" t="str">
        <f t="shared" si="15"/>
        <v/>
      </c>
      <c r="C34">
        <f t="shared" si="2"/>
        <v>0</v>
      </c>
      <c r="D34" t="s">
        <v>90</v>
      </c>
      <c r="E34" t="str">
        <f t="shared" si="20"/>
        <v>dvr_sharedMem.o</v>
      </c>
      <c r="F34">
        <f t="shared" ca="1" si="21"/>
        <v>49</v>
      </c>
      <c r="H34">
        <f t="shared" ca="1" si="22"/>
        <v>536812392</v>
      </c>
      <c r="I34" t="str">
        <f t="shared" ca="1" si="23"/>
        <v>0x1FFF1B68</v>
      </c>
      <c r="J34" s="4" t="str">
        <f t="shared" si="18"/>
        <v/>
      </c>
      <c r="K34" s="4" t="str">
        <f t="shared" si="19"/>
        <v xml:space="preserve">                                                     section .bss object dvr_sharedMem.o,</v>
      </c>
    </row>
    <row r="35" spans="1:11" x14ac:dyDescent="0.25">
      <c r="A35" t="s">
        <v>529</v>
      </c>
      <c r="B35" t="str">
        <f t="shared" si="15"/>
        <v/>
      </c>
      <c r="C35">
        <f t="shared" si="2"/>
        <v>0</v>
      </c>
      <c r="D35" t="s">
        <v>406</v>
      </c>
      <c r="E35" t="str">
        <f t="shared" si="20"/>
        <v>IF_intFlash.o</v>
      </c>
      <c r="F35">
        <f t="shared" ca="1" si="21"/>
        <v>29</v>
      </c>
      <c r="H35">
        <f t="shared" ca="1" si="22"/>
        <v>536812448</v>
      </c>
      <c r="I35" t="str">
        <f t="shared" ca="1" si="23"/>
        <v>0x1FFF1BA0</v>
      </c>
      <c r="J35" s="4" t="str">
        <f t="shared" si="18"/>
        <v/>
      </c>
      <c r="K35" s="4" t="str">
        <f t="shared" si="19"/>
        <v xml:space="preserve">                                                     section .bss object IF_intFlash.o,</v>
      </c>
    </row>
    <row r="36" spans="1:11" x14ac:dyDescent="0.25">
      <c r="A36" t="s">
        <v>529</v>
      </c>
      <c r="B36" t="str">
        <f t="shared" si="15"/>
        <v/>
      </c>
      <c r="C36">
        <f t="shared" si="2"/>
        <v>0</v>
      </c>
      <c r="D36" t="s">
        <v>294</v>
      </c>
      <c r="E36" t="str">
        <f t="shared" si="20"/>
        <v>spi_mstr.o</v>
      </c>
      <c r="F36">
        <f t="shared" ca="1" si="21"/>
        <v>253</v>
      </c>
      <c r="H36">
        <f t="shared" ca="1" si="22"/>
        <v>536812480</v>
      </c>
      <c r="I36" t="str">
        <f t="shared" ca="1" si="23"/>
        <v>0x1FFF1BC0</v>
      </c>
      <c r="J36" s="4" t="str">
        <f t="shared" si="18"/>
        <v/>
      </c>
      <c r="K36" s="4" t="str">
        <f t="shared" si="19"/>
        <v xml:space="preserve">                                                     section .bss object spi_mstr.o };</v>
      </c>
    </row>
    <row r="37" spans="1:11" x14ac:dyDescent="0.25">
      <c r="B37" t="str">
        <f>B30&amp;"_end"</f>
        <v>driver_BSS_end</v>
      </c>
      <c r="C37">
        <f>LEN(B37)-4</f>
        <v>10</v>
      </c>
      <c r="F37">
        <f ca="1">SUM(F30:F36)</f>
        <v>770</v>
      </c>
      <c r="G37">
        <f ca="1">INT(($G$27/100)*F37)</f>
        <v>38</v>
      </c>
      <c r="H37">
        <f ca="1">H36+F36+G37+IF(MOD(F36+H36+G37,$G$28)=0,0,$G$28-MOD(F36+H36+G37,$G$28))</f>
        <v>536812776</v>
      </c>
      <c r="I37" t="str">
        <f t="shared" ca="1" si="17"/>
        <v>0x1FFF1CE8</v>
      </c>
      <c r="J37" s="4"/>
      <c r="K37" s="4" t="str">
        <f>""""&amp;MID(B37,1,LEN(B37)-4)&amp;""":"&amp;REPT(" ",$C$4-C37)&amp;"place at address mem: "&amp;MID(B37,1,LEN(B37)-4)&amp;REPT(" ",$C$4-C37)&amp;"{ block "&amp;MID(B37,1,LEN(B37)-4)&amp;"_BLK, rw data };"</f>
        <v>"driver_BSS":     place at address mem: driver_BSS     { block driver_BSS_BLK, rw data };</v>
      </c>
    </row>
    <row r="38" spans="1:11" x14ac:dyDescent="0.25">
      <c r="J38" s="4"/>
      <c r="K38" s="4"/>
    </row>
    <row r="39" spans="1:11" x14ac:dyDescent="0.25">
      <c r="F39" t="s">
        <v>526</v>
      </c>
      <c r="G39">
        <f ca="1">VLOOKUP(B42,INDIRECT(GlobalPlcmnt!$B$134),GlobalPlcmnt!$B$138,FALSE)</f>
        <v>5</v>
      </c>
      <c r="J39" s="4"/>
      <c r="K39" s="4"/>
    </row>
    <row r="40" spans="1:11" x14ac:dyDescent="0.25">
      <c r="F40" t="s">
        <v>608</v>
      </c>
      <c r="G40">
        <f ca="1">VLOOKUP(B42,INDIRECT(GlobalPlcmnt!$B$134),GlobalPlcmnt!$C$138,FALSE)</f>
        <v>8</v>
      </c>
      <c r="J40" s="4"/>
      <c r="K40" s="4"/>
    </row>
    <row r="41" spans="1:11" x14ac:dyDescent="0.25">
      <c r="F41" t="s">
        <v>542</v>
      </c>
      <c r="J41" s="4"/>
      <c r="K41" s="4"/>
    </row>
    <row r="42" spans="1:11" x14ac:dyDescent="0.25">
      <c r="A42" t="s">
        <v>530</v>
      </c>
      <c r="B42" t="str">
        <f t="shared" ref="B42:B51" si="24">IF(A42&lt;&gt;A41,A42&amp;$B$1,"")</f>
        <v>stack_BSS</v>
      </c>
      <c r="C42">
        <f t="shared" si="2"/>
        <v>9</v>
      </c>
      <c r="D42" t="s">
        <v>232</v>
      </c>
      <c r="E42" t="str">
        <f t="shared" si="3"/>
        <v>COMM.o</v>
      </c>
      <c r="F42">
        <f t="shared" ref="F42:F43" ca="1" si="25">IFERROR(VLOOKUP(D42,INDIRECT($F$1),2,FALSE),0)</f>
        <v>0</v>
      </c>
      <c r="H42">
        <f ca="1">VLOOKUP(B42,INDIRECT(GlobalPlcmnt!$B$134),GlobalPlcmnt!$A$138,FALSE)</f>
        <v>536812776</v>
      </c>
      <c r="I42" t="str">
        <f t="shared" ref="I42:I76" ca="1" si="26">"0x"&amp;DEC2HEX(H42,8)</f>
        <v>0x1FFF1CE8</v>
      </c>
      <c r="J42" s="4" t="str">
        <f ca="1">IF(B42="","","define symbol "&amp;B42&amp;REPT(" ",$C$4-C42)&amp;"= "&amp;I42&amp;";")</f>
        <v>define symbol stack_BSS      = 0x1FFF1CE8;</v>
      </c>
      <c r="K42" s="4" t="str">
        <f>IF(B42="",REPT(" ",$C$4+$K$4)&amp;$K$2&amp;D42&amp;IF(B43="",","," };"),"define block "&amp;B42&amp;"_BLK with alignment = 4"&amp;REPT(" ",$C$4-C42)&amp;"{ "&amp;K$2&amp;D42&amp;IF(B43="",","," };"))</f>
        <v>define block stack_BSS_BLK with alignment = 4      { section .bss object COMM.o,</v>
      </c>
    </row>
    <row r="43" spans="1:11" x14ac:dyDescent="0.25">
      <c r="A43" t="s">
        <v>530</v>
      </c>
      <c r="B43" t="str">
        <f t="shared" si="24"/>
        <v/>
      </c>
      <c r="C43">
        <f t="shared" si="2"/>
        <v>0</v>
      </c>
      <c r="D43" t="s">
        <v>233</v>
      </c>
      <c r="E43" t="str">
        <f t="shared" si="3"/>
        <v>SM.o</v>
      </c>
      <c r="F43">
        <f t="shared" ca="1" si="25"/>
        <v>293</v>
      </c>
      <c r="H43">
        <f ca="1">H42+F42+G42+IF(MOD(F42+H42+G42,$G$40)=0,0,$G$40-MOD(F42+H42+G42,$G$40))</f>
        <v>536812776</v>
      </c>
      <c r="I43" t="str">
        <f t="shared" ca="1" si="26"/>
        <v>0x1FFF1CE8</v>
      </c>
      <c r="J43" s="4" t="str">
        <f t="shared" ref="J43:J52" si="27">IF(B43="","","define symbol "&amp;B43&amp;REPT(" ",$C$4-C43)&amp;"= "&amp;I43&amp;";")</f>
        <v/>
      </c>
      <c r="K43" s="4" t="str">
        <f t="shared" ref="K43:K75" si="28">IF(B43="",REPT(" ",$C$4+$K$4)&amp;$K$2&amp;D43&amp;IF(B44="",","," };"),"define block "&amp;B43&amp;"_BLK with alignment = 4"&amp;REPT(" ",$C$4-C43)&amp;"{ "&amp;K$2&amp;D43&amp;IF(B44="",","," };"))</f>
        <v xml:space="preserve">                                                     section .bss object SM.o,</v>
      </c>
    </row>
    <row r="44" spans="1:11" x14ac:dyDescent="0.25">
      <c r="A44" t="s">
        <v>530</v>
      </c>
      <c r="B44" t="str">
        <f t="shared" si="24"/>
        <v/>
      </c>
      <c r="C44">
        <f t="shared" si="2"/>
        <v>0</v>
      </c>
      <c r="D44" t="s">
        <v>226</v>
      </c>
      <c r="E44" t="str">
        <f t="shared" ref="E44:E75" si="29">SUBSTITUTE(D44,"-","_")</f>
        <v>smtd_config.o</v>
      </c>
      <c r="F44">
        <f t="shared" ref="F44:F75" ca="1" si="30">IFERROR(VLOOKUP(D44,INDIRECT($F$1),2,FALSE),0)</f>
        <v>68</v>
      </c>
      <c r="H44">
        <f ca="1">H43+F43+G43+IF(MOD(F43+H43+G43,$G$40)=0,0,$G$40-MOD(F43+H43+G43,$G$40))</f>
        <v>536813072</v>
      </c>
      <c r="I44" t="str">
        <f t="shared" ref="I44:I75" ca="1" si="31">"0x"&amp;DEC2HEX(H44,8)</f>
        <v>0x1FFF1E10</v>
      </c>
      <c r="J44" s="4" t="str">
        <f t="shared" si="27"/>
        <v/>
      </c>
      <c r="K44" s="4" t="str">
        <f t="shared" si="28"/>
        <v xml:space="preserve">                                                     section .bss object smtd_config.o,</v>
      </c>
    </row>
    <row r="45" spans="1:11" x14ac:dyDescent="0.25">
      <c r="A45" t="s">
        <v>530</v>
      </c>
      <c r="B45" t="str">
        <f t="shared" si="24"/>
        <v/>
      </c>
      <c r="C45">
        <f t="shared" si="2"/>
        <v>0</v>
      </c>
      <c r="D45" t="s">
        <v>137</v>
      </c>
      <c r="E45" t="str">
        <f t="shared" si="29"/>
        <v>dtls.o</v>
      </c>
      <c r="F45">
        <f t="shared" ca="1" si="30"/>
        <v>348</v>
      </c>
      <c r="H45">
        <f ca="1">H44+F44+G44+IF(MOD(F44+H44+G44,$G$40)=0,0,$G$40-MOD(F44+H44+G44,$G$40))</f>
        <v>536813144</v>
      </c>
      <c r="I45" t="str">
        <f t="shared" ca="1" si="31"/>
        <v>0x1FFF1E58</v>
      </c>
      <c r="J45" s="4" t="str">
        <f t="shared" si="27"/>
        <v/>
      </c>
      <c r="K45" s="4" t="str">
        <f t="shared" si="28"/>
        <v xml:space="preserve">                                                     section .bss object dtls.o,</v>
      </c>
    </row>
    <row r="46" spans="1:11" x14ac:dyDescent="0.25">
      <c r="A46" t="s">
        <v>530</v>
      </c>
      <c r="B46" t="str">
        <f t="shared" si="24"/>
        <v/>
      </c>
      <c r="C46">
        <f t="shared" ref="C46" si="32">LEN(B46)</f>
        <v>0</v>
      </c>
      <c r="D46" t="s">
        <v>1046</v>
      </c>
      <c r="E46" t="str">
        <f t="shared" si="29"/>
        <v>mtls.o</v>
      </c>
      <c r="F46">
        <f t="shared" ca="1" si="30"/>
        <v>406</v>
      </c>
      <c r="H46">
        <f t="shared" ref="H46:H74" ca="1" si="33">H45+F45+G45+IF(MOD(F45+H45+G45,$G$40)=0,0,$G$40-MOD(F45+H45+G45,$G$40))</f>
        <v>536813496</v>
      </c>
      <c r="I46" t="str">
        <f t="shared" ca="1" si="31"/>
        <v>0x1FFF1FB8</v>
      </c>
      <c r="J46" s="4" t="str">
        <f t="shared" si="27"/>
        <v/>
      </c>
      <c r="K46" s="4" t="str">
        <f t="shared" si="28"/>
        <v xml:space="preserve">                                                     section .bss object mtls.o,</v>
      </c>
    </row>
    <row r="47" spans="1:11" x14ac:dyDescent="0.25">
      <c r="A47" t="s">
        <v>530</v>
      </c>
      <c r="B47" t="str">
        <f t="shared" si="24"/>
        <v/>
      </c>
      <c r="C47">
        <f t="shared" si="2"/>
        <v>0</v>
      </c>
      <c r="D47" t="s">
        <v>138</v>
      </c>
      <c r="E47" t="str">
        <f t="shared" si="29"/>
        <v>STACK.o</v>
      </c>
      <c r="F47">
        <f t="shared" ca="1" si="30"/>
        <v>391</v>
      </c>
      <c r="H47">
        <f t="shared" ca="1" si="33"/>
        <v>536813904</v>
      </c>
      <c r="I47" t="str">
        <f t="shared" ca="1" si="31"/>
        <v>0x1FFF2150</v>
      </c>
      <c r="J47" s="4" t="str">
        <f t="shared" si="27"/>
        <v/>
      </c>
      <c r="K47" s="4" t="str">
        <f t="shared" si="28"/>
        <v xml:space="preserve">                                                     section .bss object STACK.o,</v>
      </c>
    </row>
    <row r="48" spans="1:11" x14ac:dyDescent="0.25">
      <c r="A48" t="s">
        <v>530</v>
      </c>
      <c r="B48" t="str">
        <f t="shared" si="24"/>
        <v/>
      </c>
      <c r="C48">
        <f t="shared" si="2"/>
        <v>0</v>
      </c>
      <c r="D48" t="s">
        <v>91</v>
      </c>
      <c r="E48" t="str">
        <f t="shared" si="29"/>
        <v>MAC.o</v>
      </c>
      <c r="F48">
        <f t="shared" ca="1" si="30"/>
        <v>1083</v>
      </c>
      <c r="H48">
        <f t="shared" ca="1" si="33"/>
        <v>536814296</v>
      </c>
      <c r="I48" t="str">
        <f t="shared" ca="1" si="31"/>
        <v>0x1FFF22D8</v>
      </c>
      <c r="J48" s="4" t="str">
        <f t="shared" si="27"/>
        <v/>
      </c>
      <c r="K48" s="4" t="str">
        <f t="shared" si="28"/>
        <v xml:space="preserve">                                                     section .bss object MAC.o,</v>
      </c>
    </row>
    <row r="49" spans="1:11" x14ac:dyDescent="0.25">
      <c r="A49" t="s">
        <v>530</v>
      </c>
      <c r="B49" t="str">
        <f t="shared" si="24"/>
        <v/>
      </c>
      <c r="C49">
        <f t="shared" si="2"/>
        <v>0</v>
      </c>
      <c r="D49" t="s">
        <v>160</v>
      </c>
      <c r="E49" t="str">
        <f t="shared" si="29"/>
        <v>MAC_FrameEncoder.o</v>
      </c>
      <c r="F49">
        <f t="shared" ca="1" si="30"/>
        <v>0</v>
      </c>
      <c r="H49">
        <f t="shared" ca="1" si="33"/>
        <v>536815384</v>
      </c>
      <c r="I49" t="str">
        <f t="shared" ca="1" si="31"/>
        <v>0x1FFF2718</v>
      </c>
      <c r="J49" s="4" t="str">
        <f t="shared" si="27"/>
        <v/>
      </c>
      <c r="K49" s="4" t="str">
        <f t="shared" si="28"/>
        <v xml:space="preserve">                                                     section .bss object MAC_FrameEncoder.o,</v>
      </c>
    </row>
    <row r="50" spans="1:11" x14ac:dyDescent="0.25">
      <c r="A50" t="s">
        <v>530</v>
      </c>
      <c r="B50" t="str">
        <f t="shared" si="24"/>
        <v/>
      </c>
      <c r="C50">
        <f t="shared" si="2"/>
        <v>0</v>
      </c>
      <c r="D50" t="s">
        <v>157</v>
      </c>
      <c r="E50" t="str">
        <f t="shared" si="29"/>
        <v>MAC_FrameManagement.o</v>
      </c>
      <c r="F50">
        <f t="shared" ca="1" si="30"/>
        <v>10985</v>
      </c>
      <c r="H50">
        <f t="shared" ca="1" si="33"/>
        <v>536815384</v>
      </c>
      <c r="I50" t="str">
        <f t="shared" ca="1" si="31"/>
        <v>0x1FFF2718</v>
      </c>
      <c r="J50" s="4" t="str">
        <f t="shared" si="27"/>
        <v/>
      </c>
      <c r="K50" s="4" t="str">
        <f t="shared" si="28"/>
        <v xml:space="preserve">                                                     section .bss object MAC_FrameManagement.o,</v>
      </c>
    </row>
    <row r="51" spans="1:11" x14ac:dyDescent="0.25">
      <c r="A51" t="s">
        <v>530</v>
      </c>
      <c r="B51" t="str">
        <f t="shared" si="24"/>
        <v/>
      </c>
      <c r="C51">
        <f t="shared" si="2"/>
        <v>0</v>
      </c>
      <c r="D51" t="s">
        <v>158</v>
      </c>
      <c r="E51" t="str">
        <f t="shared" si="29"/>
        <v>MAC_PacketManagement.o</v>
      </c>
      <c r="F51">
        <f t="shared" ca="1" si="30"/>
        <v>616</v>
      </c>
      <c r="H51">
        <f t="shared" ca="1" si="33"/>
        <v>536826376</v>
      </c>
      <c r="I51" t="str">
        <f t="shared" ca="1" si="31"/>
        <v>0x1FFF5208</v>
      </c>
      <c r="J51" s="4" t="str">
        <f t="shared" si="27"/>
        <v/>
      </c>
      <c r="K51" s="4" t="str">
        <f t="shared" si="28"/>
        <v xml:space="preserve">                                                     section .bss object MAC_PacketManagement.o,</v>
      </c>
    </row>
    <row r="52" spans="1:11" x14ac:dyDescent="0.25">
      <c r="A52" t="s">
        <v>530</v>
      </c>
      <c r="B52" t="str">
        <f t="shared" ref="B52:B75" si="34">IF(A52&lt;&gt;A51,A52&amp;$B$1,"")</f>
        <v/>
      </c>
      <c r="C52">
        <f t="shared" ref="C52:C75" si="35">LEN(B52)</f>
        <v>0</v>
      </c>
      <c r="D52" t="s">
        <v>159</v>
      </c>
      <c r="E52" t="str">
        <f t="shared" si="29"/>
        <v>PHY.o</v>
      </c>
      <c r="F52">
        <f t="shared" ca="1" si="30"/>
        <v>640</v>
      </c>
      <c r="H52">
        <f t="shared" ca="1" si="33"/>
        <v>536826992</v>
      </c>
      <c r="I52" t="str">
        <f t="shared" ca="1" si="31"/>
        <v>0x1FFF5470</v>
      </c>
      <c r="J52" s="4" t="str">
        <f t="shared" si="27"/>
        <v/>
      </c>
      <c r="K52" s="4" t="str">
        <f t="shared" si="28"/>
        <v xml:space="preserve">                                                     section .bss object PHY.o,</v>
      </c>
    </row>
    <row r="53" spans="1:11" x14ac:dyDescent="0.25">
      <c r="A53" t="s">
        <v>530</v>
      </c>
      <c r="B53" t="str">
        <f t="shared" si="34"/>
        <v/>
      </c>
      <c r="C53">
        <f t="shared" si="35"/>
        <v>0</v>
      </c>
      <c r="D53" t="s">
        <v>1106</v>
      </c>
      <c r="E53" t="str">
        <f t="shared" si="29"/>
        <v>EstimateCarrierFrequencyOffset.o</v>
      </c>
      <c r="F53">
        <f t="shared" ca="1" si="30"/>
        <v>0</v>
      </c>
      <c r="H53">
        <f t="shared" ca="1" si="33"/>
        <v>536827632</v>
      </c>
      <c r="I53" t="str">
        <f t="shared" ca="1" si="31"/>
        <v>0x1FFF56F0</v>
      </c>
      <c r="J53" s="4" t="str">
        <f t="shared" ref="J53:J66" si="36">IF(B53="","","define symbol "&amp;B53&amp;REPT(" ",$C$4-C53)&amp;"= "&amp;I53&amp;";")</f>
        <v/>
      </c>
      <c r="K53" s="4" t="str">
        <f t="shared" si="28"/>
        <v xml:space="preserve">                                                     section .bss object EstimateCarrierFrequencyOffset.o,</v>
      </c>
    </row>
    <row r="54" spans="1:11" x14ac:dyDescent="0.25">
      <c r="A54" t="s">
        <v>530</v>
      </c>
      <c r="B54" t="str">
        <f t="shared" si="34"/>
        <v/>
      </c>
      <c r="C54">
        <f t="shared" si="35"/>
        <v>0</v>
      </c>
      <c r="D54" t="s">
        <v>1107</v>
      </c>
      <c r="E54" t="str">
        <f t="shared" si="29"/>
        <v>MaximizeEyeOpening.o</v>
      </c>
      <c r="F54">
        <f t="shared" ca="1" si="30"/>
        <v>0</v>
      </c>
      <c r="H54">
        <f t="shared" ca="1" si="33"/>
        <v>536827632</v>
      </c>
      <c r="I54" t="str">
        <f t="shared" ca="1" si="31"/>
        <v>0x1FFF56F0</v>
      </c>
      <c r="J54" s="4" t="str">
        <f t="shared" si="36"/>
        <v/>
      </c>
      <c r="K54" s="4" t="str">
        <f t="shared" si="28"/>
        <v xml:space="preserve">                                                     section .bss object MaximizeEyeOpening.o,</v>
      </c>
    </row>
    <row r="55" spans="1:11" x14ac:dyDescent="0.25">
      <c r="A55" t="s">
        <v>530</v>
      </c>
      <c r="B55" t="str">
        <f t="shared" si="34"/>
        <v/>
      </c>
      <c r="C55">
        <f t="shared" si="35"/>
        <v>0</v>
      </c>
      <c r="D55" t="s">
        <v>1108</v>
      </c>
      <c r="E55" t="str">
        <f t="shared" si="29"/>
        <v>PerformCFOCompensation.o</v>
      </c>
      <c r="F55">
        <f t="shared" ca="1" si="30"/>
        <v>0</v>
      </c>
      <c r="H55">
        <f t="shared" ca="1" si="33"/>
        <v>536827632</v>
      </c>
      <c r="I55" t="str">
        <f t="shared" ca="1" si="31"/>
        <v>0x1FFF56F0</v>
      </c>
      <c r="J55" s="4" t="str">
        <f t="shared" si="36"/>
        <v/>
      </c>
      <c r="K55" s="4" t="str">
        <f t="shared" si="28"/>
        <v xml:space="preserve">                                                     section .bss object PerformCFOCompensation.o,</v>
      </c>
    </row>
    <row r="56" spans="1:11" x14ac:dyDescent="0.25">
      <c r="A56" t="s">
        <v>530</v>
      </c>
      <c r="B56" t="str">
        <f t="shared" si="34"/>
        <v/>
      </c>
      <c r="C56">
        <f t="shared" si="35"/>
        <v>0</v>
      </c>
      <c r="D56" t="s">
        <v>1109</v>
      </c>
      <c r="E56" t="str">
        <f t="shared" si="29"/>
        <v>preamble_detect.o</v>
      </c>
      <c r="F56">
        <f t="shared" ca="1" si="30"/>
        <v>760</v>
      </c>
      <c r="H56">
        <f t="shared" ca="1" si="33"/>
        <v>536827632</v>
      </c>
      <c r="I56" t="str">
        <f t="shared" ca="1" si="31"/>
        <v>0x1FFF56F0</v>
      </c>
      <c r="J56" s="4" t="str">
        <f t="shared" si="36"/>
        <v/>
      </c>
      <c r="K56" s="4" t="str">
        <f t="shared" si="28"/>
        <v xml:space="preserve">                                                     section .bss object preamble_detect.o,</v>
      </c>
    </row>
    <row r="57" spans="1:11" x14ac:dyDescent="0.25">
      <c r="A57" t="s">
        <v>530</v>
      </c>
      <c r="B57" t="str">
        <f t="shared" si="34"/>
        <v/>
      </c>
      <c r="C57">
        <f t="shared" si="35"/>
        <v>0</v>
      </c>
      <c r="D57" t="s">
        <v>1110</v>
      </c>
      <c r="E57" t="str">
        <f t="shared" si="29"/>
        <v>preambleDetector.o</v>
      </c>
      <c r="F57">
        <f t="shared" ca="1" si="30"/>
        <v>5600</v>
      </c>
      <c r="H57">
        <f t="shared" ca="1" si="33"/>
        <v>536828392</v>
      </c>
      <c r="I57" t="str">
        <f t="shared" ca="1" si="31"/>
        <v>0x1FFF59E8</v>
      </c>
      <c r="J57" s="4" t="str">
        <f t="shared" si="36"/>
        <v/>
      </c>
      <c r="K57" s="4" t="str">
        <f t="shared" si="28"/>
        <v xml:space="preserve">                                                     section .bss object preambleDetector.o,</v>
      </c>
    </row>
    <row r="58" spans="1:11" x14ac:dyDescent="0.25">
      <c r="A58" t="s">
        <v>530</v>
      </c>
      <c r="B58" t="str">
        <f t="shared" si="34"/>
        <v/>
      </c>
      <c r="C58">
        <f t="shared" si="35"/>
        <v>0</v>
      </c>
      <c r="D58" t="s">
        <v>1127</v>
      </c>
      <c r="E58" t="str">
        <f t="shared" si="29"/>
        <v>preambleDetector_Data.o</v>
      </c>
      <c r="F58">
        <f t="shared" ca="1" si="30"/>
        <v>892</v>
      </c>
      <c r="H58">
        <f t="shared" ca="1" si="33"/>
        <v>536833992</v>
      </c>
      <c r="I58" t="str">
        <f t="shared" ca="1" si="31"/>
        <v>0x1FFF6FC8</v>
      </c>
      <c r="J58" s="4" t="str">
        <f t="shared" si="36"/>
        <v/>
      </c>
      <c r="K58" s="4" t="str">
        <f t="shared" si="28"/>
        <v xml:space="preserve">                                                     section .bss object preambleDetector_Data.o,</v>
      </c>
    </row>
    <row r="59" spans="1:11" x14ac:dyDescent="0.25">
      <c r="A59" t="s">
        <v>530</v>
      </c>
      <c r="B59" t="str">
        <f t="shared" si="34"/>
        <v/>
      </c>
      <c r="C59">
        <f t="shared" si="35"/>
        <v>0</v>
      </c>
      <c r="D59" t="s">
        <v>1112</v>
      </c>
      <c r="E59" t="str">
        <f t="shared" si="29"/>
        <v>preambleDetector_initialize.o</v>
      </c>
      <c r="F59">
        <f t="shared" ca="1" si="30"/>
        <v>0</v>
      </c>
      <c r="H59">
        <f t="shared" ca="1" si="33"/>
        <v>536834888</v>
      </c>
      <c r="I59" t="str">
        <f t="shared" ca="1" si="31"/>
        <v>0x1FFF7348</v>
      </c>
      <c r="J59" s="4" t="str">
        <f t="shared" si="36"/>
        <v/>
      </c>
      <c r="K59" s="4" t="str">
        <f t="shared" si="28"/>
        <v xml:space="preserve">                                                     section .bss object preambleDetector_initialize.o,</v>
      </c>
    </row>
    <row r="60" spans="1:11" x14ac:dyDescent="0.25">
      <c r="A60" t="s">
        <v>530</v>
      </c>
      <c r="B60" t="str">
        <f t="shared" si="34"/>
        <v/>
      </c>
      <c r="C60">
        <f t="shared" si="35"/>
        <v>0</v>
      </c>
      <c r="D60" t="s">
        <v>1128</v>
      </c>
      <c r="E60" t="str">
        <f t="shared" si="29"/>
        <v>processDerotatedSamples.o</v>
      </c>
      <c r="F60">
        <f t="shared" ca="1" si="30"/>
        <v>0</v>
      </c>
      <c r="H60">
        <f t="shared" ca="1" si="33"/>
        <v>536834888</v>
      </c>
      <c r="I60" t="str">
        <f t="shared" ca="1" si="31"/>
        <v>0x1FFF7348</v>
      </c>
      <c r="J60" s="4" t="str">
        <f t="shared" si="36"/>
        <v/>
      </c>
      <c r="K60" s="4" t="str">
        <f t="shared" si="28"/>
        <v xml:space="preserve">                                                     section .bss object processDerotatedSamples.o,</v>
      </c>
    </row>
    <row r="61" spans="1:11" x14ac:dyDescent="0.25">
      <c r="A61" t="s">
        <v>530</v>
      </c>
      <c r="B61" t="str">
        <f t="shared" si="34"/>
        <v/>
      </c>
      <c r="C61">
        <f t="shared" si="35"/>
        <v>0</v>
      </c>
      <c r="D61" t="s">
        <v>1113</v>
      </c>
      <c r="E61" t="str">
        <f t="shared" si="29"/>
        <v>ScaleClipFreq2phase.o</v>
      </c>
      <c r="F61">
        <f t="shared" ca="1" si="30"/>
        <v>0</v>
      </c>
      <c r="H61">
        <f t="shared" ca="1" si="33"/>
        <v>536834888</v>
      </c>
      <c r="I61" t="str">
        <f t="shared" ca="1" si="31"/>
        <v>0x1FFF7348</v>
      </c>
      <c r="J61" s="4" t="str">
        <f t="shared" si="36"/>
        <v/>
      </c>
      <c r="K61" s="4" t="str">
        <f t="shared" si="28"/>
        <v xml:space="preserve">                                                     section .bss object ScaleClipFreq2phase.o,</v>
      </c>
    </row>
    <row r="62" spans="1:11" x14ac:dyDescent="0.25">
      <c r="A62" t="s">
        <v>530</v>
      </c>
      <c r="B62" t="str">
        <f t="shared" si="34"/>
        <v/>
      </c>
      <c r="C62">
        <f t="shared" si="35"/>
        <v>0</v>
      </c>
      <c r="D62" t="s">
        <v>1114</v>
      </c>
      <c r="E62" t="str">
        <f t="shared" si="29"/>
        <v>sign.o</v>
      </c>
      <c r="F62">
        <f t="shared" ca="1" si="30"/>
        <v>0</v>
      </c>
      <c r="H62">
        <f t="shared" ca="1" si="33"/>
        <v>536834888</v>
      </c>
      <c r="I62" t="str">
        <f t="shared" ca="1" si="31"/>
        <v>0x1FFF7348</v>
      </c>
      <c r="J62" s="4" t="str">
        <f t="shared" si="36"/>
        <v/>
      </c>
      <c r="K62" s="4" t="str">
        <f t="shared" si="28"/>
        <v xml:space="preserve">                                                     section .bss object sign.o,</v>
      </c>
    </row>
    <row r="63" spans="1:11" x14ac:dyDescent="0.25">
      <c r="A63" t="s">
        <v>530</v>
      </c>
      <c r="B63" t="str">
        <f t="shared" si="34"/>
        <v/>
      </c>
      <c r="C63">
        <f t="shared" si="35"/>
        <v>0</v>
      </c>
      <c r="D63" t="s">
        <v>1115</v>
      </c>
      <c r="E63" t="str">
        <f t="shared" si="29"/>
        <v>fir_filt_circ_buff.o</v>
      </c>
      <c r="F63">
        <f t="shared" ca="1" si="30"/>
        <v>4</v>
      </c>
      <c r="H63">
        <f t="shared" ca="1" si="33"/>
        <v>536834888</v>
      </c>
      <c r="I63" t="str">
        <f t="shared" ca="1" si="31"/>
        <v>0x1FFF7348</v>
      </c>
      <c r="J63" s="4" t="str">
        <f t="shared" si="36"/>
        <v/>
      </c>
      <c r="K63" s="4" t="str">
        <f t="shared" si="28"/>
        <v xml:space="preserve">                                                     section .bss object fir_filt_circ_buff.o,</v>
      </c>
    </row>
    <row r="64" spans="1:11" x14ac:dyDescent="0.25">
      <c r="A64" t="s">
        <v>530</v>
      </c>
      <c r="B64" t="str">
        <f t="shared" si="34"/>
        <v/>
      </c>
      <c r="C64">
        <f t="shared" si="35"/>
        <v>0</v>
      </c>
      <c r="D64" t="s">
        <v>1116</v>
      </c>
      <c r="E64" t="str">
        <f t="shared" si="29"/>
        <v>gresample.o</v>
      </c>
      <c r="F64">
        <f t="shared" ca="1" si="30"/>
        <v>384</v>
      </c>
      <c r="H64">
        <f t="shared" ca="1" si="33"/>
        <v>536834896</v>
      </c>
      <c r="I64" t="str">
        <f t="shared" ca="1" si="31"/>
        <v>0x1FFF7350</v>
      </c>
      <c r="J64" s="4" t="str">
        <f t="shared" si="36"/>
        <v/>
      </c>
      <c r="K64" s="4" t="str">
        <f t="shared" si="28"/>
        <v xml:space="preserve">                                                     section .bss object gresample.o,</v>
      </c>
    </row>
    <row r="65" spans="1:11" x14ac:dyDescent="0.25">
      <c r="A65" t="s">
        <v>530</v>
      </c>
      <c r="B65" t="str">
        <f t="shared" si="34"/>
        <v/>
      </c>
      <c r="C65">
        <f t="shared" si="35"/>
        <v>0</v>
      </c>
      <c r="D65" t="s">
        <v>1117</v>
      </c>
      <c r="E65" t="str">
        <f t="shared" si="29"/>
        <v>phase2freq_wi_unwrap.o</v>
      </c>
      <c r="F65">
        <f t="shared" ca="1" si="30"/>
        <v>4</v>
      </c>
      <c r="H65">
        <f t="shared" ca="1" si="33"/>
        <v>536835280</v>
      </c>
      <c r="I65" t="str">
        <f t="shared" ca="1" si="31"/>
        <v>0x1FFF74D0</v>
      </c>
      <c r="J65" s="4" t="str">
        <f t="shared" si="36"/>
        <v/>
      </c>
      <c r="K65" s="4" t="str">
        <f t="shared" si="28"/>
        <v xml:space="preserve">                                                     section .bss object phase2freq_wi_unwrap.o,</v>
      </c>
    </row>
    <row r="66" spans="1:11" x14ac:dyDescent="0.25">
      <c r="A66" t="s">
        <v>530</v>
      </c>
      <c r="B66" t="str">
        <f t="shared" si="34"/>
        <v/>
      </c>
      <c r="C66">
        <f t="shared" si="35"/>
        <v>0</v>
      </c>
      <c r="D66" t="s">
        <v>1118</v>
      </c>
      <c r="E66" t="str">
        <f t="shared" si="29"/>
        <v>findSYNC.o</v>
      </c>
      <c r="F66">
        <f t="shared" ca="1" si="30"/>
        <v>0</v>
      </c>
      <c r="H66">
        <f t="shared" ca="1" si="33"/>
        <v>536835288</v>
      </c>
      <c r="I66" t="str">
        <f t="shared" ca="1" si="31"/>
        <v>0x1FFF74D8</v>
      </c>
      <c r="J66" s="4" t="str">
        <f t="shared" si="36"/>
        <v/>
      </c>
      <c r="K66" s="4" t="str">
        <f t="shared" si="28"/>
        <v xml:space="preserve">                                                     section .bss object findSYNC.o,</v>
      </c>
    </row>
    <row r="67" spans="1:11" x14ac:dyDescent="0.25">
      <c r="A67" t="s">
        <v>530</v>
      </c>
      <c r="B67" t="str">
        <f t="shared" si="34"/>
        <v/>
      </c>
      <c r="C67">
        <f t="shared" si="35"/>
        <v>0</v>
      </c>
      <c r="D67" t="s">
        <v>1120</v>
      </c>
      <c r="E67" t="str">
        <f t="shared" si="29"/>
        <v>FreqDomMlseP4GfskStruct2.o</v>
      </c>
      <c r="F67">
        <f t="shared" ref="F67:F73" ca="1" si="37">IFERROR(VLOOKUP(D67,INDIRECT($F$1),2,FALSE),0)</f>
        <v>0</v>
      </c>
      <c r="H67">
        <f t="shared" ref="H67:H73" ca="1" si="38">H66+F66+G66+IF(MOD(F66+H66+G66,$G$40)=0,0,$G$40-MOD(F66+H66+G66,$G$40))</f>
        <v>536835288</v>
      </c>
      <c r="I67" t="str">
        <f t="shared" ref="I67:I73" ca="1" si="39">"0x"&amp;DEC2HEX(H67,8)</f>
        <v>0x1FFF74D8</v>
      </c>
      <c r="J67" s="4" t="str">
        <f t="shared" ref="J67:J73" si="40">IF(B67="","","define symbol "&amp;B67&amp;REPT(" ",$C$4-C67)&amp;"= "&amp;I67&amp;";")</f>
        <v/>
      </c>
      <c r="K67" s="4" t="str">
        <f t="shared" ref="K67:K73" si="41">IF(B67="",REPT(" ",$C$4+$K$4)&amp;$K$2&amp;D67&amp;IF(B68="",","," };"),"define block "&amp;B67&amp;"_BLK with alignment = 4"&amp;REPT(" ",$C$4-C67)&amp;"{ "&amp;K$2&amp;D67&amp;IF(B68="",","," };"))</f>
        <v xml:space="preserve">                                                     section .bss object FreqDomMlseP4GfskStruct2.o,</v>
      </c>
    </row>
    <row r="68" spans="1:11" x14ac:dyDescent="0.25">
      <c r="A68" t="s">
        <v>530</v>
      </c>
      <c r="B68" t="str">
        <f t="shared" ref="B68:B73" si="42">IF(A68&lt;&gt;A67,A68&amp;$B$1,"")</f>
        <v/>
      </c>
      <c r="C68">
        <f t="shared" ref="C68:C73" si="43">LEN(B68)</f>
        <v>0</v>
      </c>
      <c r="D68" t="s">
        <v>1121</v>
      </c>
      <c r="E68" t="str">
        <f t="shared" si="29"/>
        <v>processDerotatedSPDSamples.o</v>
      </c>
      <c r="F68">
        <f t="shared" ca="1" si="37"/>
        <v>0</v>
      </c>
      <c r="H68">
        <f t="shared" ca="1" si="38"/>
        <v>536835288</v>
      </c>
      <c r="I68" t="str">
        <f t="shared" ca="1" si="39"/>
        <v>0x1FFF74D8</v>
      </c>
      <c r="J68" s="4" t="str">
        <f t="shared" si="40"/>
        <v/>
      </c>
      <c r="K68" s="4" t="str">
        <f t="shared" si="41"/>
        <v xml:space="preserve">                                                     section .bss object processDerotatedSPDSamples.o,</v>
      </c>
    </row>
    <row r="69" spans="1:11" x14ac:dyDescent="0.25">
      <c r="A69" t="s">
        <v>530</v>
      </c>
      <c r="B69" t="str">
        <f t="shared" si="42"/>
        <v/>
      </c>
      <c r="C69">
        <f t="shared" si="43"/>
        <v>0</v>
      </c>
      <c r="D69" t="s">
        <v>1119</v>
      </c>
      <c r="E69" t="str">
        <f t="shared" ref="E69:E72" si="44">SUBSTITUTE(D69,"-","_")</f>
        <v>SyncAndPayloadDemodulator.o</v>
      </c>
      <c r="F69">
        <f t="shared" ca="1" si="37"/>
        <v>0</v>
      </c>
      <c r="H69">
        <f t="shared" ca="1" si="38"/>
        <v>536835288</v>
      </c>
      <c r="I69" t="str">
        <f t="shared" ca="1" si="39"/>
        <v>0x1FFF74D8</v>
      </c>
      <c r="J69" s="4" t="str">
        <f t="shared" si="40"/>
        <v/>
      </c>
      <c r="K69" s="4" t="str">
        <f t="shared" si="41"/>
        <v xml:space="preserve">                                                     section .bss object SyncAndPayloadDemodulator.o,</v>
      </c>
    </row>
    <row r="70" spans="1:11" x14ac:dyDescent="0.25">
      <c r="A70" t="s">
        <v>530</v>
      </c>
      <c r="B70" t="str">
        <f t="shared" si="42"/>
        <v/>
      </c>
      <c r="C70">
        <f t="shared" si="43"/>
        <v>0</v>
      </c>
      <c r="D70" t="s">
        <v>1122</v>
      </c>
      <c r="E70" t="str">
        <f t="shared" si="44"/>
        <v>SoftDemodulator.o</v>
      </c>
      <c r="F70">
        <f t="shared" ca="1" si="37"/>
        <v>3844</v>
      </c>
      <c r="H70">
        <f t="shared" ca="1" si="38"/>
        <v>536835288</v>
      </c>
      <c r="I70" t="str">
        <f t="shared" ca="1" si="39"/>
        <v>0x1FFF74D8</v>
      </c>
      <c r="J70" s="4" t="str">
        <f t="shared" si="40"/>
        <v/>
      </c>
      <c r="K70" s="4" t="str">
        <f t="shared" si="41"/>
        <v xml:space="preserve">                                                     section .bss object SoftDemodulator.o,</v>
      </c>
    </row>
    <row r="71" spans="1:11" x14ac:dyDescent="0.25">
      <c r="A71" t="s">
        <v>530</v>
      </c>
      <c r="B71" t="str">
        <f t="shared" si="42"/>
        <v/>
      </c>
      <c r="C71">
        <f t="shared" si="43"/>
        <v>0</v>
      </c>
      <c r="D71" t="s">
        <v>259</v>
      </c>
      <c r="E71" t="str">
        <f t="shared" si="44"/>
        <v>rs.o</v>
      </c>
      <c r="F71">
        <f t="shared" ca="1" si="37"/>
        <v>544</v>
      </c>
      <c r="H71">
        <f t="shared" ca="1" si="38"/>
        <v>536839136</v>
      </c>
      <c r="I71" t="str">
        <f t="shared" ca="1" si="39"/>
        <v>0x1FFF83E0</v>
      </c>
      <c r="J71" s="4" t="str">
        <f t="shared" si="40"/>
        <v/>
      </c>
      <c r="K71" s="4" t="str">
        <f t="shared" si="41"/>
        <v xml:space="preserve">                                                     section .bss object rs.o,</v>
      </c>
    </row>
    <row r="72" spans="1:11" x14ac:dyDescent="0.25">
      <c r="A72" t="s">
        <v>530</v>
      </c>
      <c r="B72" t="str">
        <f t="shared" si="42"/>
        <v/>
      </c>
      <c r="C72">
        <f t="shared" si="43"/>
        <v>0</v>
      </c>
      <c r="D72" t="s">
        <v>1071</v>
      </c>
      <c r="E72" t="str">
        <f t="shared" si="44"/>
        <v>galois.o</v>
      </c>
      <c r="F72">
        <f t="shared" ca="1" si="37"/>
        <v>128</v>
      </c>
      <c r="H72">
        <f t="shared" ca="1" si="38"/>
        <v>536839680</v>
      </c>
      <c r="I72" t="str">
        <f t="shared" ca="1" si="39"/>
        <v>0x1FFF8600</v>
      </c>
      <c r="J72" s="4" t="str">
        <f t="shared" si="40"/>
        <v/>
      </c>
      <c r="K72" s="4" t="str">
        <f t="shared" si="41"/>
        <v xml:space="preserve">                                                     section .bss object galois.o,</v>
      </c>
    </row>
    <row r="73" spans="1:11" x14ac:dyDescent="0.25">
      <c r="A73" t="s">
        <v>530</v>
      </c>
      <c r="B73" t="str">
        <f t="shared" si="42"/>
        <v/>
      </c>
      <c r="C73">
        <f t="shared" si="43"/>
        <v>0</v>
      </c>
      <c r="D73" t="s">
        <v>1072</v>
      </c>
      <c r="E73" t="str">
        <f t="shared" si="29"/>
        <v>rsdec.o</v>
      </c>
      <c r="F73">
        <f t="shared" ca="1" si="37"/>
        <v>37</v>
      </c>
      <c r="H73">
        <f t="shared" ca="1" si="38"/>
        <v>536839808</v>
      </c>
      <c r="I73" t="str">
        <f t="shared" ca="1" si="39"/>
        <v>0x1FFF8680</v>
      </c>
      <c r="J73" s="4" t="str">
        <f t="shared" si="40"/>
        <v/>
      </c>
      <c r="K73" s="4" t="str">
        <f t="shared" si="41"/>
        <v xml:space="preserve">                                                     section .bss object rsdec.o,</v>
      </c>
    </row>
    <row r="74" spans="1:11" x14ac:dyDescent="0.25">
      <c r="A74" t="s">
        <v>530</v>
      </c>
      <c r="B74" t="str">
        <f t="shared" si="34"/>
        <v/>
      </c>
      <c r="C74">
        <f t="shared" si="35"/>
        <v>0</v>
      </c>
      <c r="D74" t="s">
        <v>1075</v>
      </c>
      <c r="E74" t="str">
        <f t="shared" si="29"/>
        <v>rsenc.o</v>
      </c>
      <c r="F74">
        <f t="shared" ca="1" si="30"/>
        <v>0</v>
      </c>
      <c r="H74">
        <f t="shared" ca="1" si="33"/>
        <v>536839848</v>
      </c>
      <c r="I74" t="str">
        <f t="shared" ca="1" si="31"/>
        <v>0x1FFF86A8</v>
      </c>
      <c r="J74" s="4" t="str">
        <f t="shared" ref="J74" si="45">IF(B74="","","define symbol "&amp;B74&amp;REPT(" ",$C$4-C74)&amp;"= "&amp;I74&amp;";")</f>
        <v/>
      </c>
      <c r="K74" s="4" t="str">
        <f t="shared" si="28"/>
        <v xml:space="preserve">                                                     section .bss object rsenc.o,</v>
      </c>
    </row>
    <row r="75" spans="1:11" x14ac:dyDescent="0.25">
      <c r="A75" t="s">
        <v>530</v>
      </c>
      <c r="B75" t="str">
        <f t="shared" si="34"/>
        <v/>
      </c>
      <c r="C75">
        <f t="shared" si="35"/>
        <v>0</v>
      </c>
      <c r="D75" t="s">
        <v>1086</v>
      </c>
      <c r="E75" t="str">
        <f t="shared" si="29"/>
        <v>indication.o</v>
      </c>
      <c r="F75">
        <f t="shared" ca="1" si="30"/>
        <v>0</v>
      </c>
      <c r="H75">
        <f ca="1">H74+F74+G74+IF(MOD(F74+H74+G74,$G$40)=0,0,$G$40-MOD(F74+H74+G74,$G$40))</f>
        <v>536839848</v>
      </c>
      <c r="I75" t="str">
        <f t="shared" ca="1" si="31"/>
        <v>0x1FFF86A8</v>
      </c>
      <c r="J75" s="4" t="str">
        <f t="shared" ref="J75" si="46">IF(B75="","","define symbol "&amp;B75&amp;REPT(" ",$C$4-C75)&amp;"= "&amp;I75&amp;";")</f>
        <v/>
      </c>
      <c r="K75" s="4" t="str">
        <f t="shared" si="28"/>
        <v xml:space="preserve">                                                     section .bss object indication.o };</v>
      </c>
    </row>
    <row r="76" spans="1:11" x14ac:dyDescent="0.25">
      <c r="B76" t="str">
        <f>B42&amp;"_end"</f>
        <v>stack_BSS_end</v>
      </c>
      <c r="C76">
        <f>LEN(B76)-4</f>
        <v>9</v>
      </c>
      <c r="F76">
        <f ca="1">SUM(F42:F75)</f>
        <v>27027</v>
      </c>
      <c r="G76">
        <f ca="1">INT(($G$39/100)*F76)</f>
        <v>1351</v>
      </c>
      <c r="H76">
        <f ca="1">H75+F75+G76+IF(MOD(F75+H75+G76,$G$40)=0,0,$G$40-MOD(F75+H75+G76,$G$40))</f>
        <v>536841200</v>
      </c>
      <c r="I76" t="str">
        <f t="shared" ca="1" si="26"/>
        <v>0x1FFF8BF0</v>
      </c>
      <c r="J76" s="4"/>
      <c r="K76" s="4" t="str">
        <f>""""&amp;MID(B76,1,LEN(B76)-4)&amp;""":"&amp;REPT(" ",$C$4-C76)&amp;"place at address mem: "&amp;MID(B76,1,LEN(B76)-4)&amp;REPT(" ",$C$4-C76)&amp;"{ block "&amp;MID(B76,1,LEN(B76)-4)&amp;"_BLK, rw data };"</f>
        <v>"stack_BSS":      place at address mem: stack_BSS      { block stack_BSS_BLK, rw data };</v>
      </c>
    </row>
    <row r="77" spans="1:11" x14ac:dyDescent="0.25">
      <c r="J77" s="4"/>
      <c r="K77" s="4"/>
    </row>
    <row r="78" spans="1:11" x14ac:dyDescent="0.25">
      <c r="F78" t="s">
        <v>526</v>
      </c>
      <c r="G78">
        <f ca="1">VLOOKUP(B81,INDIRECT(GlobalPlcmnt!$B$134),GlobalPlcmnt!$B$138,FALSE)</f>
        <v>5</v>
      </c>
      <c r="J78" s="4"/>
      <c r="K78" s="4"/>
    </row>
    <row r="79" spans="1:11" x14ac:dyDescent="0.25">
      <c r="F79" t="s">
        <v>608</v>
      </c>
      <c r="G79">
        <f ca="1">VLOOKUP(B81,INDIRECT(GlobalPlcmnt!$B$134),GlobalPlcmnt!$C$138,FALSE)</f>
        <v>8</v>
      </c>
      <c r="J79" s="4"/>
      <c r="K79" s="4"/>
    </row>
    <row r="80" spans="1:11" x14ac:dyDescent="0.25">
      <c r="F80" t="s">
        <v>542</v>
      </c>
      <c r="J80" s="4"/>
      <c r="K80" s="4"/>
    </row>
    <row r="81" spans="1:11" x14ac:dyDescent="0.25">
      <c r="A81" t="s">
        <v>531</v>
      </c>
      <c r="B81" t="str">
        <f t="shared" ref="B81:B86" si="47">IF(A81&lt;&gt;A80,A81&amp;$B$1,"")</f>
        <v>OS_API_BSS</v>
      </c>
      <c r="C81">
        <f t="shared" si="2"/>
        <v>10</v>
      </c>
      <c r="D81" t="s">
        <v>239</v>
      </c>
      <c r="E81" t="str">
        <f t="shared" si="3"/>
        <v>Event.o</v>
      </c>
      <c r="F81">
        <f t="shared" ref="F81:F82" ca="1" si="48">IFERROR(VLOOKUP(D81,INDIRECT($F$1),2,FALSE),0)</f>
        <v>0</v>
      </c>
      <c r="H81">
        <f ca="1">VLOOKUP(B81,INDIRECT(GlobalPlcmnt!$B$134),GlobalPlcmnt!$A$138,FALSE)</f>
        <v>536841200</v>
      </c>
      <c r="I81" t="str">
        <f t="shared" ref="I81:I87" ca="1" si="49">"0x"&amp;DEC2HEX(H81,8)</f>
        <v>0x1FFF8BF0</v>
      </c>
      <c r="J81" s="4" t="str">
        <f t="shared" ref="J81:J86" ca="1" si="50">IF(B81="","","define symbol "&amp;B81&amp;REPT(" ",$C$4-C81)&amp;"= "&amp;I81&amp;";")</f>
        <v>define symbol OS_API_BSS     = 0x1FFF8BF0;</v>
      </c>
      <c r="K81" s="4" t="str">
        <f t="shared" ref="K81:K86" si="51">IF(B81="",REPT(" ",$C$4+$K$4)&amp;$K$2&amp;D81&amp;IF(B82="",","," };"),"define block "&amp;B81&amp;"_BLK with alignment = 4"&amp;REPT(" ",$C$4-C81)&amp;"{ "&amp;K$2&amp;D81&amp;IF(B82="",","," };"))</f>
        <v>define block OS_API_BSS_BLK with alignment = 4     { section .bss object Event.o,</v>
      </c>
    </row>
    <row r="82" spans="1:11" x14ac:dyDescent="0.25">
      <c r="A82" t="s">
        <v>531</v>
      </c>
      <c r="B82" t="str">
        <f t="shared" si="47"/>
        <v/>
      </c>
      <c r="C82">
        <f t="shared" si="2"/>
        <v>0</v>
      </c>
      <c r="D82" t="s">
        <v>115</v>
      </c>
      <c r="E82" t="str">
        <f t="shared" si="3"/>
        <v>MessageQ.o</v>
      </c>
      <c r="F82">
        <f t="shared" ca="1" si="48"/>
        <v>0</v>
      </c>
      <c r="H82">
        <f ca="1">H81+F81+G81+IF(MOD(F81+H81+G81,$G$79)=0,0,$G$79-MOD(F81+H81+G81,$G$79))</f>
        <v>536841200</v>
      </c>
      <c r="I82" t="str">
        <f t="shared" ca="1" si="49"/>
        <v>0x1FFF8BF0</v>
      </c>
      <c r="J82" s="4" t="str">
        <f t="shared" si="50"/>
        <v/>
      </c>
      <c r="K82" s="4" t="str">
        <f t="shared" si="51"/>
        <v xml:space="preserve">                                                     section .bss object MessageQ.o,</v>
      </c>
    </row>
    <row r="83" spans="1:11" x14ac:dyDescent="0.25">
      <c r="A83" t="s">
        <v>531</v>
      </c>
      <c r="B83" t="str">
        <f t="shared" si="47"/>
        <v/>
      </c>
      <c r="C83">
        <f t="shared" si="2"/>
        <v>0</v>
      </c>
      <c r="D83" t="s">
        <v>117</v>
      </c>
      <c r="E83" t="str">
        <f t="shared" ref="E83:E86" si="52">SUBSTITUTE(D83,"-","_")</f>
        <v>Mutex.o</v>
      </c>
      <c r="F83">
        <f t="shared" ref="F83:F86" ca="1" si="53">IFERROR(VLOOKUP(D83,INDIRECT($F$1),2,FALSE),0)</f>
        <v>0</v>
      </c>
      <c r="H83">
        <f t="shared" ref="H83:H85" ca="1" si="54">H82+F82+G82+IF(MOD(F82+H82+G82,$G$79)=0,0,$G$79-MOD(F82+H82+G82,$G$79))</f>
        <v>536841200</v>
      </c>
      <c r="I83" t="str">
        <f t="shared" ref="I83:I86" ca="1" si="55">"0x"&amp;DEC2HEX(H83,8)</f>
        <v>0x1FFF8BF0</v>
      </c>
      <c r="J83" s="4" t="str">
        <f t="shared" si="50"/>
        <v/>
      </c>
      <c r="K83" s="4" t="str">
        <f t="shared" si="51"/>
        <v xml:space="preserve">                                                     section .bss object Mutex.o,</v>
      </c>
    </row>
    <row r="84" spans="1:11" x14ac:dyDescent="0.25">
      <c r="A84" t="s">
        <v>531</v>
      </c>
      <c r="B84" t="str">
        <f t="shared" si="47"/>
        <v/>
      </c>
      <c r="C84">
        <f t="shared" si="2"/>
        <v>0</v>
      </c>
      <c r="D84" t="s">
        <v>175</v>
      </c>
      <c r="E84" t="str">
        <f t="shared" si="52"/>
        <v>Queue.o</v>
      </c>
      <c r="F84">
        <f t="shared" ca="1" si="53"/>
        <v>0</v>
      </c>
      <c r="H84">
        <f t="shared" ca="1" si="54"/>
        <v>536841200</v>
      </c>
      <c r="I84" t="str">
        <f t="shared" ca="1" si="55"/>
        <v>0x1FFF8BF0</v>
      </c>
      <c r="J84" s="4" t="str">
        <f t="shared" si="50"/>
        <v/>
      </c>
      <c r="K84" s="4" t="str">
        <f t="shared" si="51"/>
        <v xml:space="preserve">                                                     section .bss object Queue.o,</v>
      </c>
    </row>
    <row r="85" spans="1:11" x14ac:dyDescent="0.25">
      <c r="A85" t="s">
        <v>531</v>
      </c>
      <c r="B85" t="str">
        <f t="shared" si="47"/>
        <v/>
      </c>
      <c r="C85">
        <f t="shared" si="2"/>
        <v>0</v>
      </c>
      <c r="D85" t="s">
        <v>80</v>
      </c>
      <c r="E85" t="str">
        <f t="shared" si="52"/>
        <v>Semaphore.o</v>
      </c>
      <c r="F85">
        <f t="shared" ca="1" si="53"/>
        <v>0</v>
      </c>
      <c r="H85">
        <f t="shared" ca="1" si="54"/>
        <v>536841200</v>
      </c>
      <c r="I85" t="str">
        <f t="shared" ca="1" si="55"/>
        <v>0x1FFF8BF0</v>
      </c>
      <c r="J85" s="4" t="str">
        <f t="shared" si="50"/>
        <v/>
      </c>
      <c r="K85" s="4" t="str">
        <f t="shared" si="51"/>
        <v xml:space="preserve">                                                     section .bss object Semaphore.o,</v>
      </c>
    </row>
    <row r="86" spans="1:11" x14ac:dyDescent="0.25">
      <c r="A86" t="s">
        <v>531</v>
      </c>
      <c r="B86" t="str">
        <f t="shared" si="47"/>
        <v/>
      </c>
      <c r="C86">
        <f t="shared" si="2"/>
        <v>0</v>
      </c>
      <c r="D86" t="s">
        <v>85</v>
      </c>
      <c r="E86" t="str">
        <f t="shared" si="52"/>
        <v>TickTime.o</v>
      </c>
      <c r="F86">
        <f t="shared" ca="1" si="53"/>
        <v>0</v>
      </c>
      <c r="H86">
        <f ca="1">H85+F85+G85+IF(MOD(F85+H85+G85,$G$79)=0,0,$G$79-MOD(F85+H85+G85,$G$79))</f>
        <v>536841200</v>
      </c>
      <c r="I86" t="str">
        <f t="shared" ca="1" si="55"/>
        <v>0x1FFF8BF0</v>
      </c>
      <c r="J86" s="4" t="str">
        <f t="shared" si="50"/>
        <v/>
      </c>
      <c r="K86" s="4" t="str">
        <f t="shared" si="51"/>
        <v xml:space="preserve">                                                     section .bss object TickTime.o };</v>
      </c>
    </row>
    <row r="87" spans="1:11" x14ac:dyDescent="0.25">
      <c r="B87" t="str">
        <f>B81&amp;"_end"</f>
        <v>OS_API_BSS_end</v>
      </c>
      <c r="C87">
        <f>LEN(B87)-4</f>
        <v>10</v>
      </c>
      <c r="F87">
        <f ca="1">SUM(F81:F86)</f>
        <v>0</v>
      </c>
      <c r="G87">
        <f ca="1">INT(($G$78/100)*F87)</f>
        <v>0</v>
      </c>
      <c r="H87">
        <f ca="1">H86+F86+G87+IF(MOD(F86+H86+G87,$G$79)=0,0,$G$79-MOD(F86+H86+G87,$G$79))</f>
        <v>536841200</v>
      </c>
      <c r="I87" t="str">
        <f t="shared" ca="1" si="49"/>
        <v>0x1FFF8BF0</v>
      </c>
      <c r="J87" s="4"/>
      <c r="K87" s="4" t="str">
        <f>""""&amp;MID(B87,1,LEN(B87)-4)&amp;""":"&amp;REPT(" ",$C$4-C87)&amp;"place at address mem: "&amp;MID(B87,1,LEN(B87)-4)&amp;REPT(" ",$C$4-C87)&amp;"{ block "&amp;MID(B87,1,LEN(B87)-4)&amp;"_BLK, rw data };"</f>
        <v>"OS_API_BSS":     place at address mem: OS_API_BSS     { block OS_API_BSS_BLK, rw data };</v>
      </c>
    </row>
    <row r="88" spans="1:11" x14ac:dyDescent="0.25">
      <c r="J88" s="4"/>
      <c r="K88" s="4"/>
    </row>
    <row r="89" spans="1:11" x14ac:dyDescent="0.25">
      <c r="F89" t="s">
        <v>526</v>
      </c>
      <c r="G89">
        <f ca="1">VLOOKUP(B92,INDIRECT(GlobalPlcmnt!$B$134),GlobalPlcmnt!$B$138,FALSE)</f>
        <v>5</v>
      </c>
      <c r="J89" s="4"/>
      <c r="K89" s="4"/>
    </row>
    <row r="90" spans="1:11" x14ac:dyDescent="0.25">
      <c r="F90" t="s">
        <v>608</v>
      </c>
      <c r="G90">
        <f ca="1">VLOOKUP(B92,INDIRECT(GlobalPlcmnt!$B$134),GlobalPlcmnt!$C$138,FALSE)</f>
        <v>8</v>
      </c>
      <c r="J90" s="4"/>
      <c r="K90" s="4"/>
    </row>
    <row r="91" spans="1:11" x14ac:dyDescent="0.25">
      <c r="F91" t="s">
        <v>542</v>
      </c>
      <c r="J91" s="4"/>
      <c r="K91" s="4"/>
    </row>
    <row r="92" spans="1:11" x14ac:dyDescent="0.25">
      <c r="A92" t="s">
        <v>532</v>
      </c>
      <c r="B92" t="str">
        <f t="shared" ref="B92:B97" si="56">IF(A92&lt;&gt;A91,A92&amp;$B$1,"")</f>
        <v>radio_BSS</v>
      </c>
      <c r="C92">
        <f t="shared" si="2"/>
        <v>9</v>
      </c>
      <c r="D92" t="s">
        <v>235</v>
      </c>
      <c r="E92" t="str">
        <f t="shared" si="3"/>
        <v>radio.o</v>
      </c>
      <c r="F92">
        <f t="shared" ref="F92:F93" ca="1" si="57">IFERROR(VLOOKUP(D92,INDIRECT($F$1),2,FALSE),0)</f>
        <v>867</v>
      </c>
      <c r="H92">
        <f ca="1">VLOOKUP(B92,INDIRECT(GlobalPlcmnt!$B$134),GlobalPlcmnt!$A$138,FALSE)</f>
        <v>536841200</v>
      </c>
      <c r="I92" t="str">
        <f t="shared" ref="I92:I93" ca="1" si="58">"0x"&amp;DEC2HEX(H92,8)</f>
        <v>0x1FFF8BF0</v>
      </c>
      <c r="J92" s="4" t="str">
        <f ca="1">IF(B92="","","define symbol "&amp;B92&amp;REPT(" ",$C$4-C92)&amp;"= "&amp;I92&amp;";")</f>
        <v>define symbol radio_BSS      = 0x1FFF8BF0;</v>
      </c>
      <c r="K92" s="4" t="str">
        <f>IF(B92="",REPT(" ",$C$4+$K$4)&amp;$K$2&amp;D92&amp;IF(B93="",","," };"),"define block "&amp;B92&amp;"_BLK with alignment = 4"&amp;REPT(" ",$C$4-C92)&amp;"{ "&amp;K$2&amp;D92&amp;IF(B93="",","," };"))</f>
        <v>define block radio_BSS_BLK with alignment = 4      { section .bss object radio.o,</v>
      </c>
    </row>
    <row r="93" spans="1:11" x14ac:dyDescent="0.25">
      <c r="A93" t="s">
        <v>532</v>
      </c>
      <c r="B93" t="str">
        <f t="shared" si="56"/>
        <v/>
      </c>
      <c r="C93">
        <f t="shared" si="2"/>
        <v>0</v>
      </c>
      <c r="D93" t="s">
        <v>316</v>
      </c>
      <c r="E93" t="str">
        <f t="shared" si="3"/>
        <v>radio_comm.o</v>
      </c>
      <c r="F93">
        <f t="shared" ca="1" si="57"/>
        <v>2</v>
      </c>
      <c r="H93">
        <f ca="1">H92+F92+G92+IF(MOD(F92+H92+G92,$G$90)=0,0,$G$90-MOD(F92+H92+G92,$G$90))</f>
        <v>536842072</v>
      </c>
      <c r="I93" t="str">
        <f t="shared" ca="1" si="58"/>
        <v>0x1FFF8F58</v>
      </c>
      <c r="J93" s="4" t="str">
        <f t="shared" ref="J93:J99" si="59">IF(B93="","","define symbol "&amp;B93&amp;REPT(" ",$C$4-C93)&amp;"= "&amp;I93&amp;";")</f>
        <v/>
      </c>
      <c r="K93" s="4" t="str">
        <f t="shared" ref="K93:K100" si="60">IF(B93="",REPT(" ",$C$4+$K$4)&amp;$K$2&amp;D93&amp;IF(B94="",","," };"),"define block "&amp;B93&amp;"_BLK with alignment = 4"&amp;REPT(" ",$C$4-C93)&amp;"{ "&amp;K$2&amp;D93&amp;IF(B94="",","," };"))</f>
        <v xml:space="preserve">                                                     section .bss object radio_comm.o,</v>
      </c>
    </row>
    <row r="94" spans="1:11" x14ac:dyDescent="0.25">
      <c r="A94" t="s">
        <v>532</v>
      </c>
      <c r="B94" t="str">
        <f t="shared" si="56"/>
        <v/>
      </c>
      <c r="C94">
        <f t="shared" si="2"/>
        <v>0</v>
      </c>
      <c r="D94" t="s">
        <v>224</v>
      </c>
      <c r="E94" t="str">
        <f t="shared" ref="E94:E99" si="61">SUBSTITUTE(D94,"-","_")</f>
        <v>si446x_api_lib.o</v>
      </c>
      <c r="F94">
        <f t="shared" ref="F94:F99" ca="1" si="62">IFERROR(VLOOKUP(D94,INDIRECT($F$1),2,FALSE),0)</f>
        <v>44</v>
      </c>
      <c r="H94">
        <f t="shared" ref="H94:H101" ca="1" si="63">H93+F93+G93+IF(MOD(F93+H93+G93,$G$90)=0,0,$G$90-MOD(F93+H93+G93,$G$90))</f>
        <v>536842080</v>
      </c>
      <c r="I94" t="str">
        <f t="shared" ref="I94:I99" ca="1" si="64">"0x"&amp;DEC2HEX(H94,8)</f>
        <v>0x1FFF8F60</v>
      </c>
      <c r="J94" s="4" t="str">
        <f t="shared" si="59"/>
        <v/>
      </c>
      <c r="K94" s="4" t="str">
        <f t="shared" si="60"/>
        <v xml:space="preserve">                                                     section .bss object si446x_api_lib.o,</v>
      </c>
    </row>
    <row r="95" spans="1:11" x14ac:dyDescent="0.25">
      <c r="A95" t="s">
        <v>532</v>
      </c>
      <c r="B95" t="str">
        <f t="shared" si="56"/>
        <v/>
      </c>
      <c r="C95">
        <f t="shared" si="2"/>
        <v>0</v>
      </c>
      <c r="D95" t="s">
        <v>423</v>
      </c>
      <c r="E95" t="str">
        <f t="shared" si="61"/>
        <v>radio_config_normal.o</v>
      </c>
      <c r="F95">
        <f t="shared" ca="1" si="62"/>
        <v>0</v>
      </c>
      <c r="H95">
        <f t="shared" ca="1" si="63"/>
        <v>536842128</v>
      </c>
      <c r="I95" t="str">
        <f t="shared" ca="1" si="64"/>
        <v>0x1FFF8F90</v>
      </c>
      <c r="J95" s="4" t="str">
        <f t="shared" si="59"/>
        <v/>
      </c>
      <c r="K95" s="4" t="str">
        <f t="shared" si="60"/>
        <v xml:space="preserve">                                                     section .bss object radio_config_normal.o,</v>
      </c>
    </row>
    <row r="96" spans="1:11" x14ac:dyDescent="0.25">
      <c r="A96" t="s">
        <v>532</v>
      </c>
      <c r="B96" t="str">
        <f t="shared" si="56"/>
        <v/>
      </c>
      <c r="C96">
        <f t="shared" si="2"/>
        <v>0</v>
      </c>
      <c r="D96" t="s">
        <v>426</v>
      </c>
      <c r="E96" t="str">
        <f t="shared" si="61"/>
        <v>radio_config_cw.o</v>
      </c>
      <c r="F96">
        <f t="shared" ca="1" si="62"/>
        <v>0</v>
      </c>
      <c r="H96">
        <f t="shared" ca="1" si="63"/>
        <v>536842128</v>
      </c>
      <c r="I96" t="str">
        <f t="shared" ca="1" si="64"/>
        <v>0x1FFF8F90</v>
      </c>
      <c r="J96" s="4" t="str">
        <f t="shared" si="59"/>
        <v/>
      </c>
      <c r="K96" s="4" t="str">
        <f t="shared" si="60"/>
        <v xml:space="preserve">                                                     section .bss object radio_config_cw.o,</v>
      </c>
    </row>
    <row r="97" spans="1:11" x14ac:dyDescent="0.25">
      <c r="A97" t="s">
        <v>532</v>
      </c>
      <c r="B97" t="str">
        <f t="shared" si="56"/>
        <v/>
      </c>
      <c r="C97">
        <f t="shared" si="2"/>
        <v>0</v>
      </c>
      <c r="D97" t="s">
        <v>425</v>
      </c>
      <c r="E97" t="str">
        <f t="shared" si="61"/>
        <v>radio_config_PN9.o</v>
      </c>
      <c r="F97">
        <f t="shared" ca="1" si="62"/>
        <v>0</v>
      </c>
      <c r="H97">
        <f t="shared" ca="1" si="63"/>
        <v>536842128</v>
      </c>
      <c r="I97" t="str">
        <f t="shared" ca="1" si="64"/>
        <v>0x1FFF8F90</v>
      </c>
      <c r="J97" s="4" t="str">
        <f t="shared" si="59"/>
        <v/>
      </c>
      <c r="K97" s="4" t="str">
        <f t="shared" si="60"/>
        <v xml:space="preserve">                                                     section .bss object radio_config_PN9.o,</v>
      </c>
    </row>
    <row r="98" spans="1:11" x14ac:dyDescent="0.25">
      <c r="A98" t="s">
        <v>532</v>
      </c>
      <c r="C98">
        <f t="shared" si="2"/>
        <v>0</v>
      </c>
      <c r="D98" t="s">
        <v>424</v>
      </c>
      <c r="E98" t="str">
        <f t="shared" si="61"/>
        <v>radio_config_2GFSK_BER.o</v>
      </c>
      <c r="F98">
        <f t="shared" ca="1" si="62"/>
        <v>0</v>
      </c>
      <c r="H98">
        <f t="shared" ca="1" si="63"/>
        <v>536842128</v>
      </c>
      <c r="I98" t="str">
        <f t="shared" ca="1" si="64"/>
        <v>0x1FFF8F90</v>
      </c>
      <c r="J98" s="4" t="str">
        <f t="shared" si="59"/>
        <v/>
      </c>
      <c r="K98" s="4" t="str">
        <f t="shared" si="60"/>
        <v xml:space="preserve">                                                     section .bss object radio_config_2GFSK_BER.o,</v>
      </c>
    </row>
    <row r="99" spans="1:11" x14ac:dyDescent="0.25">
      <c r="A99" t="s">
        <v>532</v>
      </c>
      <c r="C99">
        <f t="shared" si="2"/>
        <v>0</v>
      </c>
      <c r="D99" t="s">
        <v>427</v>
      </c>
      <c r="E99" t="str">
        <f t="shared" si="61"/>
        <v>radio_config_4GFSK_BER.o</v>
      </c>
      <c r="F99">
        <f t="shared" ca="1" si="62"/>
        <v>0</v>
      </c>
      <c r="H99">
        <f t="shared" ca="1" si="63"/>
        <v>536842128</v>
      </c>
      <c r="I99" t="str">
        <f t="shared" ca="1" si="64"/>
        <v>0x1FFF8F90</v>
      </c>
      <c r="J99" s="4" t="str">
        <f t="shared" si="59"/>
        <v/>
      </c>
      <c r="K99" s="4" t="str">
        <f t="shared" si="60"/>
        <v xml:space="preserve">                                                     section .bss object radio_config_4GFSK_BER.o,</v>
      </c>
    </row>
    <row r="100" spans="1:11" x14ac:dyDescent="0.25">
      <c r="A100" t="s">
        <v>532</v>
      </c>
      <c r="C100">
        <f t="shared" ref="C100" si="65">LEN(B100)</f>
        <v>0</v>
      </c>
      <c r="D100" t="s">
        <v>1667</v>
      </c>
      <c r="E100" t="str">
        <f t="shared" ref="E100" si="66">SUBSTITUTE(D100,"-","_")</f>
        <v>radio_TCXO.o</v>
      </c>
      <c r="F100">
        <f t="shared" ref="F100" ca="1" si="67">IFERROR(VLOOKUP(D100,INDIRECT($F$1),2,FALSE),0)</f>
        <v>2295</v>
      </c>
      <c r="H100">
        <f t="shared" ca="1" si="63"/>
        <v>536842128</v>
      </c>
      <c r="I100" t="str">
        <f t="shared" ref="I100" ca="1" si="68">"0x"&amp;DEC2HEX(H100,8)</f>
        <v>0x1FFF8F90</v>
      </c>
      <c r="J100" s="4" t="str">
        <f t="shared" ref="J100" si="69">IF(B100="","","define symbol "&amp;B100&amp;REPT(" ",$C$4-C100)&amp;"= "&amp;I100&amp;";")</f>
        <v/>
      </c>
      <c r="K100" s="4" t="str">
        <f t="shared" si="60"/>
        <v xml:space="preserve">                                                     section .bss object radio_TCXO.o };</v>
      </c>
    </row>
    <row r="101" spans="1:11" x14ac:dyDescent="0.25">
      <c r="B101" t="str">
        <f>B92&amp;"_end"</f>
        <v>radio_BSS_end</v>
      </c>
      <c r="C101">
        <f>LEN(B101)-4</f>
        <v>9</v>
      </c>
      <c r="F101">
        <f ca="1">SUM(F92:F100)</f>
        <v>3208</v>
      </c>
      <c r="G101">
        <f ca="1">INT(($G$78/100)*F101)</f>
        <v>160</v>
      </c>
      <c r="H101">
        <f t="shared" ca="1" si="63"/>
        <v>536844424</v>
      </c>
      <c r="I101" t="str">
        <f t="shared" ref="I101" ca="1" si="70">"0x"&amp;DEC2HEX(H101,8)</f>
        <v>0x1FFF9888</v>
      </c>
      <c r="J101" s="4"/>
      <c r="K101" s="4" t="str">
        <f>""""&amp;MID(B101,1,LEN(B101)-4)&amp;""":"&amp;REPT(" ",$C$4-C101)&amp;"place at address mem: "&amp;MID(B101,1,LEN(B101)-4)&amp;REPT(" ",$C$4-C101)&amp;"{ block "&amp;MID(B101,1,LEN(B101)-4)&amp;"_BLK, rw data };"</f>
        <v>"radio_BSS":      place at address mem: radio_BSS      { block radio_BSS_BLK, rw data };</v>
      </c>
    </row>
    <row r="102" spans="1:11" x14ac:dyDescent="0.25">
      <c r="J102" s="4"/>
      <c r="K102" s="4"/>
    </row>
    <row r="103" spans="1:11" x14ac:dyDescent="0.25">
      <c r="F103" t="s">
        <v>526</v>
      </c>
      <c r="G103">
        <f ca="1">VLOOKUP(B106,INDIRECT(GlobalPlcmnt!$B$134),GlobalPlcmnt!$B$138,FALSE)</f>
        <v>5</v>
      </c>
      <c r="J103" s="4"/>
      <c r="K103" s="4"/>
    </row>
    <row r="104" spans="1:11" x14ac:dyDescent="0.25">
      <c r="F104" t="s">
        <v>608</v>
      </c>
      <c r="G104">
        <f ca="1">VLOOKUP(B106,INDIRECT(GlobalPlcmnt!$B$134),GlobalPlcmnt!$C$138,FALSE)</f>
        <v>8</v>
      </c>
      <c r="J104" s="4"/>
      <c r="K104" s="4"/>
    </row>
    <row r="105" spans="1:11" x14ac:dyDescent="0.25">
      <c r="F105" t="s">
        <v>542</v>
      </c>
      <c r="J105" s="4"/>
      <c r="K105" s="4"/>
    </row>
    <row r="106" spans="1:11" x14ac:dyDescent="0.25">
      <c r="A106" t="s">
        <v>533</v>
      </c>
      <c r="B106" t="str">
        <f t="shared" ref="B106:B111" si="71">IF(A106&lt;&gt;A105,A106&amp;$B$1,"")</f>
        <v>security_BSS</v>
      </c>
      <c r="C106">
        <f t="shared" si="2"/>
        <v>12</v>
      </c>
      <c r="D106" t="s">
        <v>302</v>
      </c>
      <c r="E106" t="str">
        <f t="shared" si="3"/>
        <v>cert_builder.o</v>
      </c>
      <c r="F106">
        <f t="shared" ref="F106:F107" ca="1" si="72">IFERROR(VLOOKUP(D106,INDIRECT($F$1),2,FALSE),0)</f>
        <v>0</v>
      </c>
      <c r="H106">
        <f ca="1">VLOOKUP(B106,INDIRECT(GlobalPlcmnt!$B$134),GlobalPlcmnt!$A$138,FALSE)</f>
        <v>536844568</v>
      </c>
      <c r="I106" t="str">
        <f t="shared" ref="I106:I107" ca="1" si="73">"0x"&amp;DEC2HEX(H106,8)</f>
        <v>0x1FFF9918</v>
      </c>
      <c r="J106" s="4" t="str">
        <f ca="1">IF(B106="","","define symbol "&amp;B106&amp;REPT(" ",$C$4-C106)&amp;"= "&amp;I106&amp;";")</f>
        <v>define symbol security_BSS   = 0x1FFF9918;</v>
      </c>
      <c r="K106" s="4" t="str">
        <f t="shared" ref="K106:K111" si="74">IF(B106="",REPT(" ",$C$4+$K$4)&amp;$K$2&amp;D106&amp;IF(B107="",","," };"),"define block "&amp;B106&amp;"_BLK with alignment = 4"&amp;REPT(" ",$C$4-C106)&amp;"{ "&amp;K$2&amp;D106&amp;IF(B107="",","," };"))</f>
        <v>define block security_BSS_BLK with alignment = 4   { section .bss object cert-builder.o,</v>
      </c>
    </row>
    <row r="107" spans="1:11" x14ac:dyDescent="0.25">
      <c r="A107" t="s">
        <v>533</v>
      </c>
      <c r="B107" t="str">
        <f t="shared" si="71"/>
        <v/>
      </c>
      <c r="C107">
        <f t="shared" si="2"/>
        <v>0</v>
      </c>
      <c r="D107" t="s">
        <v>204</v>
      </c>
      <c r="E107" t="str">
        <f t="shared" si="3"/>
        <v>ecc108_apps.o</v>
      </c>
      <c r="F107">
        <f t="shared" ca="1" si="72"/>
        <v>140</v>
      </c>
      <c r="H107">
        <f ca="1">H106+F106+G106+IF(MOD(F106+H106+G106,$G$104)=0,0,$G$104-MOD(F106+H106+G106,$G$104))</f>
        <v>536844568</v>
      </c>
      <c r="I107" t="str">
        <f t="shared" ca="1" si="73"/>
        <v>0x1FFF9918</v>
      </c>
      <c r="J107" s="4" t="str">
        <f>IF(B107="","","define symbol "&amp;B107&amp;REPT(" ",$C$4-C107)&amp;"= "&amp;I105&amp;";")</f>
        <v/>
      </c>
      <c r="K107" s="4" t="str">
        <f t="shared" si="74"/>
        <v xml:space="preserve">                                                     section .bss object ecc108_apps.o,</v>
      </c>
    </row>
    <row r="108" spans="1:11" x14ac:dyDescent="0.25">
      <c r="A108" t="s">
        <v>533</v>
      </c>
      <c r="B108" t="str">
        <f t="shared" si="71"/>
        <v/>
      </c>
      <c r="C108">
        <f t="shared" si="2"/>
        <v>0</v>
      </c>
      <c r="D108" t="s">
        <v>299</v>
      </c>
      <c r="E108" t="str">
        <f t="shared" ref="E108:E111" si="75">SUBSTITUTE(D108,"-","_")</f>
        <v>ecc108_comm.o</v>
      </c>
      <c r="F108">
        <f t="shared" ref="F108:F111" ca="1" si="76">IFERROR(VLOOKUP(D108,INDIRECT($F$1),2,FALSE),0)</f>
        <v>0</v>
      </c>
      <c r="H108">
        <f t="shared" ref="H108:H110" ca="1" si="77">H107+F107+G107+IF(MOD(F107+H107+G107,$G$104)=0,0,$G$104-MOD(F107+H107+G107,$G$104))</f>
        <v>536844712</v>
      </c>
      <c r="I108" t="str">
        <f t="shared" ref="I108:I111" ca="1" si="78">"0x"&amp;DEC2HEX(H108,8)</f>
        <v>0x1FFF99A8</v>
      </c>
      <c r="J108" s="4" t="str">
        <f>IF(B108="","","define symbol "&amp;B108&amp;REPT(" ",$C$4-C108)&amp;"= "&amp;I106&amp;";")</f>
        <v/>
      </c>
      <c r="K108" s="4" t="str">
        <f t="shared" si="74"/>
        <v xml:space="preserve">                                                     section .bss object ecc108_comm.o,</v>
      </c>
    </row>
    <row r="109" spans="1:11" x14ac:dyDescent="0.25">
      <c r="A109" t="s">
        <v>533</v>
      </c>
      <c r="B109" t="str">
        <f t="shared" si="71"/>
        <v/>
      </c>
      <c r="C109">
        <f t="shared" si="2"/>
        <v>0</v>
      </c>
      <c r="D109" t="s">
        <v>300</v>
      </c>
      <c r="E109" t="str">
        <f t="shared" si="75"/>
        <v>ecc108_comm_marshaling.o</v>
      </c>
      <c r="F109">
        <f t="shared" ca="1" si="76"/>
        <v>0</v>
      </c>
      <c r="H109">
        <f t="shared" ca="1" si="77"/>
        <v>536844712</v>
      </c>
      <c r="I109" t="str">
        <f t="shared" ca="1" si="78"/>
        <v>0x1FFF99A8</v>
      </c>
      <c r="J109" s="4" t="str">
        <f>IF(B109="","","define symbol "&amp;B109&amp;REPT(" ",$C$4-C109)&amp;"= "&amp;I107&amp;";")</f>
        <v/>
      </c>
      <c r="K109" s="4" t="str">
        <f t="shared" si="74"/>
        <v xml:space="preserve">                                                     section .bss object ecc108_comm_marshaling.o,</v>
      </c>
    </row>
    <row r="110" spans="1:11" x14ac:dyDescent="0.25">
      <c r="A110" t="s">
        <v>533</v>
      </c>
      <c r="B110" t="str">
        <f t="shared" si="71"/>
        <v/>
      </c>
      <c r="C110">
        <f t="shared" si="2"/>
        <v>0</v>
      </c>
      <c r="D110" t="s">
        <v>298</v>
      </c>
      <c r="E110" t="str">
        <f t="shared" si="75"/>
        <v>ecc108_i2c.o</v>
      </c>
      <c r="F110">
        <f t="shared" ca="1" si="76"/>
        <v>0</v>
      </c>
      <c r="H110">
        <f t="shared" ca="1" si="77"/>
        <v>536844712</v>
      </c>
      <c r="I110" t="str">
        <f t="shared" ca="1" si="78"/>
        <v>0x1FFF99A8</v>
      </c>
      <c r="J110" s="4" t="str">
        <f>IF(B110="","","define symbol "&amp;B110&amp;REPT(" ",$C$4-C110)&amp;"= "&amp;I108&amp;";")</f>
        <v/>
      </c>
      <c r="K110" s="4" t="str">
        <f t="shared" si="74"/>
        <v xml:space="preserve">                                                     section .bss object ecc108_i2c.o,</v>
      </c>
    </row>
    <row r="111" spans="1:11" x14ac:dyDescent="0.25">
      <c r="A111" t="s">
        <v>533</v>
      </c>
      <c r="B111" t="str">
        <f t="shared" si="71"/>
        <v/>
      </c>
      <c r="C111">
        <f t="shared" si="2"/>
        <v>0</v>
      </c>
      <c r="D111" t="s">
        <v>205</v>
      </c>
      <c r="E111" t="str">
        <f t="shared" si="75"/>
        <v>ecc108_mqx.o</v>
      </c>
      <c r="F111">
        <f t="shared" ca="1" si="76"/>
        <v>56</v>
      </c>
      <c r="H111">
        <f ca="1">H110+F110+G110+IF(MOD(F110+H110+G110,$G$104)=0,0,$G$104-MOD(F110+H110+G110,$G$104))</f>
        <v>536844712</v>
      </c>
      <c r="I111" t="str">
        <f t="shared" ca="1" si="78"/>
        <v>0x1FFF99A8</v>
      </c>
      <c r="J111" s="4" t="str">
        <f>IF(B111="","","define symbol "&amp;B111&amp;REPT(" ",$C$4-C111)&amp;"= "&amp;I109&amp;";")</f>
        <v/>
      </c>
      <c r="K111" s="4" t="str">
        <f t="shared" si="74"/>
        <v xml:space="preserve">                                                     section .bss object ecc108_mqx.o };</v>
      </c>
    </row>
    <row r="112" spans="1:11" x14ac:dyDescent="0.25">
      <c r="B112" t="str">
        <f>B106&amp;"_end"</f>
        <v>security_BSS_end</v>
      </c>
      <c r="C112">
        <f>LEN(B112)-4</f>
        <v>12</v>
      </c>
      <c r="F112">
        <f ca="1">SUM(F106:F111)</f>
        <v>196</v>
      </c>
      <c r="G112">
        <f ca="1">INT(($G$103/100)*F112)</f>
        <v>9</v>
      </c>
      <c r="H112">
        <f ca="1">H111+F111+G112+IF(MOD(F111+H111+G112,$G$104)=0,0,$G$104-MOD(F111+H111+G112,$G$104))</f>
        <v>536844784</v>
      </c>
      <c r="I112" t="str">
        <f t="shared" ref="I112" ca="1" si="79">"0x"&amp;DEC2HEX(H112,8)</f>
        <v>0x1FFF99F0</v>
      </c>
      <c r="J112" s="4"/>
      <c r="K112" s="4" t="str">
        <f>""""&amp;MID(B112,1,LEN(B112)-4)&amp;""":"&amp;REPT(" ",$C$4-C112)&amp;"place at address mem: "&amp;MID(B112,1,LEN(B112)-4)&amp;REPT(" ",$C$4-C112)&amp;"{ block "&amp;MID(B112,1,LEN(B112)-4)&amp;"_BLK, rw data };"</f>
        <v>"security_BSS":   place at address mem: security_BSS   { block security_BSS_BLK, rw data };</v>
      </c>
    </row>
    <row r="113" spans="1:11" x14ac:dyDescent="0.25">
      <c r="J113" s="4"/>
      <c r="K113" s="4"/>
    </row>
    <row r="114" spans="1:11" x14ac:dyDescent="0.25">
      <c r="F114" t="s">
        <v>526</v>
      </c>
      <c r="G114">
        <f ca="1">VLOOKUP(B117,INDIRECT(GlobalPlcmnt!$B$134),GlobalPlcmnt!$B$138,FALSE)</f>
        <v>5</v>
      </c>
      <c r="J114" s="4"/>
      <c r="K114" s="4"/>
    </row>
    <row r="115" spans="1:11" x14ac:dyDescent="0.25">
      <c r="F115" t="s">
        <v>608</v>
      </c>
      <c r="G115">
        <f ca="1">VLOOKUP(B117,INDIRECT(GlobalPlcmnt!$B$134),GlobalPlcmnt!$C$138,FALSE)</f>
        <v>8</v>
      </c>
      <c r="J115" s="4"/>
      <c r="K115" s="4"/>
    </row>
    <row r="116" spans="1:11" x14ac:dyDescent="0.25">
      <c r="F116" t="s">
        <v>542</v>
      </c>
      <c r="J116" s="4"/>
      <c r="K116" s="4"/>
    </row>
    <row r="117" spans="1:11" x14ac:dyDescent="0.25">
      <c r="A117" t="s">
        <v>534</v>
      </c>
      <c r="B117" t="str">
        <f t="shared" ref="B117:B127" si="80">IF(A117&lt;&gt;A116,A117&amp;$B$1,"")</f>
        <v>AclaraBSP_BSS</v>
      </c>
      <c r="C117">
        <f t="shared" si="2"/>
        <v>13</v>
      </c>
      <c r="D117" t="s">
        <v>99</v>
      </c>
      <c r="E117" t="str">
        <f t="shared" si="3"/>
        <v>ADC.o</v>
      </c>
      <c r="F117">
        <f t="shared" ref="F117:F118" ca="1" si="81">IFERROR(VLOOKUP(D117,INDIRECT($F$1),2,FALSE),0)</f>
        <v>49</v>
      </c>
      <c r="H117">
        <f ca="1">VLOOKUP(B117,INDIRECT(GlobalPlcmnt!$B$134),GlobalPlcmnt!$A$138,FALSE)</f>
        <v>536844784</v>
      </c>
      <c r="I117" t="str">
        <f t="shared" ref="I117" ca="1" si="82">"0x"&amp;DEC2HEX(H117,8)</f>
        <v>0x1FFF99F0</v>
      </c>
      <c r="J117" s="4" t="str">
        <f ca="1">IF(B117="","","define symbol "&amp;B117&amp;REPT(" ",$C$4-C117)&amp;"= "&amp;I117&amp;";")</f>
        <v>define symbol AclaraBSP_BSS  = 0x1FFF99F0;</v>
      </c>
      <c r="K117" s="4" t="str">
        <f>IF(B117="",REPT(" ",$C$4+$K$4)&amp;$K$2&amp;D117&amp;IF(B118="",","," };"),"define block "&amp;B117&amp;"_BLK with alignment = 4"&amp;REPT(" ",$C$4-C117)&amp;"{ "&amp;K$2&amp;D117&amp;IF(B118="",","," };"))</f>
        <v>define block AclaraBSP_BSS_BLK with alignment = 4  { section .bss object ADC.o,</v>
      </c>
    </row>
    <row r="118" spans="1:11" x14ac:dyDescent="0.25">
      <c r="A118" t="s">
        <v>534</v>
      </c>
      <c r="B118" t="str">
        <f t="shared" si="80"/>
        <v/>
      </c>
      <c r="C118">
        <f t="shared" si="2"/>
        <v>0</v>
      </c>
      <c r="D118" t="s">
        <v>231</v>
      </c>
      <c r="E118" t="str">
        <f t="shared" si="3"/>
        <v>BSP_aclara.o</v>
      </c>
      <c r="F118">
        <f t="shared" ca="1" si="81"/>
        <v>0</v>
      </c>
      <c r="H118">
        <f ca="1">H117+F117+G117+IF(MOD(F117+H117+G117,$G$115)=0,0,$G$115-MOD(F117+H117+G117,$G$115))</f>
        <v>536844840</v>
      </c>
      <c r="I118" t="str">
        <f t="shared" ref="I118" ca="1" si="83">"0x"&amp;DEC2HEX(H118,8)</f>
        <v>0x1FFF9A28</v>
      </c>
      <c r="J118" s="4" t="str">
        <f t="shared" ref="J118:J127" si="84">IF(B118="","","define symbol "&amp;B118&amp;REPT(" ",$C$4-C118)&amp;"= "&amp;I116&amp;";")</f>
        <v/>
      </c>
      <c r="K118" s="4" t="str">
        <f>IF(B118="",REPT(" ",$C$4+$K$4)&amp;$K$2&amp;D118&amp;IF(B119="",","," };"),"define block "&amp;B118&amp;"_BLK with alignment = 4"&amp;REPT(" ",$C$4-C118)&amp;"{ "&amp;K$2&amp;D118&amp;IF(B119="",","," };"))</f>
        <v xml:space="preserve">                                                     section .bss object BSP_aclara.o,</v>
      </c>
    </row>
    <row r="119" spans="1:11" x14ac:dyDescent="0.25">
      <c r="A119" t="s">
        <v>534</v>
      </c>
      <c r="B119" t="str">
        <f t="shared" si="80"/>
        <v/>
      </c>
      <c r="C119">
        <f t="shared" si="2"/>
        <v>0</v>
      </c>
      <c r="D119" t="s">
        <v>161</v>
      </c>
      <c r="E119" t="str">
        <f t="shared" ref="E119:E127" si="85">SUBSTITUTE(D119,"-","_")</f>
        <v>CRC.o</v>
      </c>
      <c r="F119">
        <f t="shared" ref="F119:F127" ca="1" si="86">IFERROR(VLOOKUP(D119,INDIRECT($F$1),2,FALSE),0)</f>
        <v>49</v>
      </c>
      <c r="H119">
        <f t="shared" ref="H119:H127" ca="1" si="87">H118+F118+G118+IF(MOD(F118+H118+G118,$G$115)=0,0,$G$115-MOD(F118+H118+G118,$G$115))</f>
        <v>536844840</v>
      </c>
      <c r="I119" t="str">
        <f t="shared" ref="I119:I127" ca="1" si="88">"0x"&amp;DEC2HEX(H119,8)</f>
        <v>0x1FFF9A28</v>
      </c>
      <c r="J119" s="4" t="str">
        <f t="shared" si="84"/>
        <v/>
      </c>
      <c r="K119" s="4" t="str">
        <f>IF(B119="",REPT(" ",$C$4+$K$4)&amp;$K$2&amp;D119&amp;IF(B121="",","," };"),"define block "&amp;B119&amp;"_BLK with alignment = 4"&amp;REPT(" ",$C$4-C119)&amp;"{ "&amp;K$2&amp;D119&amp;IF(B121="",","," };"))</f>
        <v xml:space="preserve">                                                     section .bss object CRC.o,</v>
      </c>
    </row>
    <row r="120" spans="1:11" x14ac:dyDescent="0.25">
      <c r="A120" t="s">
        <v>534</v>
      </c>
      <c r="B120" t="str">
        <f t="shared" si="80"/>
        <v/>
      </c>
      <c r="C120">
        <f t="shared" si="2"/>
        <v>0</v>
      </c>
      <c r="D120" t="s">
        <v>1039</v>
      </c>
      <c r="E120" t="str">
        <f t="shared" si="85"/>
        <v>gpio.o</v>
      </c>
      <c r="F120">
        <f t="shared" ca="1" si="86"/>
        <v>0</v>
      </c>
      <c r="H120">
        <f t="shared" ca="1" si="87"/>
        <v>536844896</v>
      </c>
      <c r="I120" t="str">
        <f t="shared" ca="1" si="88"/>
        <v>0x1FFF9A60</v>
      </c>
      <c r="J120" s="4" t="str">
        <f t="shared" si="84"/>
        <v/>
      </c>
      <c r="K120" s="4" t="str">
        <f>IF(B120="",REPT(" ",$C$4+$K$4)&amp;$K$2&amp;D120&amp;IF(B122="",","," };"),"define block "&amp;B120&amp;"_BLK with alignment = 4"&amp;REPT(" ",$C$4-C120)&amp;"{ "&amp;K$2&amp;D120&amp;IF(B122="",","," };"))</f>
        <v xml:space="preserve">                                                     section .bss object gpio.o,</v>
      </c>
    </row>
    <row r="121" spans="1:11" x14ac:dyDescent="0.25">
      <c r="A121" t="s">
        <v>534</v>
      </c>
      <c r="B121" t="str">
        <f t="shared" si="80"/>
        <v/>
      </c>
      <c r="C121">
        <f t="shared" si="2"/>
        <v>0</v>
      </c>
      <c r="D121" t="s">
        <v>134</v>
      </c>
      <c r="E121" t="str">
        <f t="shared" si="85"/>
        <v>LED.o</v>
      </c>
      <c r="F121">
        <f t="shared" ca="1" si="86"/>
        <v>41</v>
      </c>
      <c r="H121">
        <f t="shared" ca="1" si="87"/>
        <v>536844896</v>
      </c>
      <c r="I121" t="str">
        <f t="shared" ca="1" si="88"/>
        <v>0x1FFF9A60</v>
      </c>
      <c r="J121" s="4" t="str">
        <f t="shared" si="84"/>
        <v/>
      </c>
      <c r="K121" s="4" t="str">
        <f>IF(B121="",REPT(" ",$C$4+$K$4)&amp;$K$2&amp;D121&amp;IF(B123="",","," };"),"define block "&amp;B121&amp;"_BLK with alignment = 4"&amp;REPT(" ",$C$4-C121)&amp;"{ "&amp;K$2&amp;D121&amp;IF(B123="",","," };"))</f>
        <v xml:space="preserve">                                                     section .bss object LED.o,</v>
      </c>
    </row>
    <row r="122" spans="1:11" x14ac:dyDescent="0.25">
      <c r="A122" t="s">
        <v>534</v>
      </c>
      <c r="B122" t="str">
        <f t="shared" si="80"/>
        <v/>
      </c>
      <c r="C122">
        <f t="shared" si="2"/>
        <v>0</v>
      </c>
      <c r="D122" t="s">
        <v>315</v>
      </c>
      <c r="E122" t="str">
        <f t="shared" si="85"/>
        <v>radio_hal.o</v>
      </c>
      <c r="F122">
        <f t="shared" ca="1" si="86"/>
        <v>0</v>
      </c>
      <c r="H122">
        <f t="shared" ca="1" si="87"/>
        <v>536844944</v>
      </c>
      <c r="I122" t="str">
        <f t="shared" ca="1" si="88"/>
        <v>0x1FFF9A90</v>
      </c>
      <c r="J122" s="4" t="str">
        <f t="shared" si="84"/>
        <v/>
      </c>
      <c r="K122" s="4" t="str">
        <f t="shared" ref="K122:K127" si="89">IF(B122="",REPT(" ",$C$4+$K$4)&amp;$K$2&amp;D122&amp;IF(B123="",","," };"),"define block "&amp;B122&amp;"_BLK with alignment = 4"&amp;REPT(" ",$C$4-C122)&amp;"{ "&amp;K$2&amp;D122&amp;IF(B123="",","," };"))</f>
        <v xml:space="preserve">                                                     section .bss object radio_hal.o,</v>
      </c>
    </row>
    <row r="123" spans="1:11" x14ac:dyDescent="0.25">
      <c r="A123" t="s">
        <v>534</v>
      </c>
      <c r="B123" t="str">
        <f t="shared" si="80"/>
        <v/>
      </c>
      <c r="C123">
        <f t="shared" si="2"/>
        <v>0</v>
      </c>
      <c r="D123" t="s">
        <v>567</v>
      </c>
      <c r="E123" t="str">
        <f t="shared" si="85"/>
        <v>rng.o</v>
      </c>
      <c r="F123">
        <f t="shared" ca="1" si="86"/>
        <v>0</v>
      </c>
      <c r="H123">
        <f t="shared" ca="1" si="87"/>
        <v>536844944</v>
      </c>
      <c r="I123" t="str">
        <f t="shared" ca="1" si="88"/>
        <v>0x1FFF9A90</v>
      </c>
      <c r="J123" s="4" t="str">
        <f t="shared" si="84"/>
        <v/>
      </c>
      <c r="K123" s="4" t="str">
        <f t="shared" si="89"/>
        <v xml:space="preserve">                                                     section .bss object rng.o,</v>
      </c>
    </row>
    <row r="124" spans="1:11" x14ac:dyDescent="0.25">
      <c r="A124" t="s">
        <v>534</v>
      </c>
      <c r="B124" t="str">
        <f t="shared" si="80"/>
        <v/>
      </c>
      <c r="C124">
        <f t="shared" si="2"/>
        <v>0</v>
      </c>
      <c r="D124" t="s">
        <v>163</v>
      </c>
      <c r="E124" t="str">
        <f t="shared" si="85"/>
        <v>RTC.o</v>
      </c>
      <c r="F124">
        <f t="shared" ca="1" si="86"/>
        <v>0</v>
      </c>
      <c r="H124">
        <f t="shared" ca="1" si="87"/>
        <v>536844944</v>
      </c>
      <c r="I124" t="str">
        <f t="shared" ca="1" si="88"/>
        <v>0x1FFF9A90</v>
      </c>
      <c r="J124" s="4" t="str">
        <f t="shared" si="84"/>
        <v/>
      </c>
      <c r="K124" s="4" t="str">
        <f t="shared" si="89"/>
        <v xml:space="preserve">                                                     section .bss object RTC.o,</v>
      </c>
    </row>
    <row r="125" spans="1:11" x14ac:dyDescent="0.25">
      <c r="A125" t="s">
        <v>534</v>
      </c>
      <c r="B125" t="str">
        <f t="shared" si="80"/>
        <v/>
      </c>
      <c r="C125">
        <f t="shared" si="2"/>
        <v>0</v>
      </c>
      <c r="D125" t="s">
        <v>295</v>
      </c>
      <c r="E125" t="str">
        <f t="shared" si="85"/>
        <v>sys_clock.o</v>
      </c>
      <c r="F125">
        <f t="shared" ca="1" si="86"/>
        <v>0</v>
      </c>
      <c r="H125">
        <f t="shared" ca="1" si="87"/>
        <v>536844944</v>
      </c>
      <c r="I125" t="str">
        <f t="shared" ca="1" si="88"/>
        <v>0x1FFF9A90</v>
      </c>
      <c r="J125" s="4" t="str">
        <f t="shared" si="84"/>
        <v/>
      </c>
      <c r="K125" s="4" t="str">
        <f t="shared" si="89"/>
        <v xml:space="preserve">                                                     section .bss object sys_clock.o,</v>
      </c>
    </row>
    <row r="126" spans="1:11" x14ac:dyDescent="0.25">
      <c r="A126" t="s">
        <v>534</v>
      </c>
      <c r="B126" t="str">
        <f t="shared" si="80"/>
        <v/>
      </c>
      <c r="C126">
        <f t="shared" si="2"/>
        <v>0</v>
      </c>
      <c r="D126" t="s">
        <v>336</v>
      </c>
      <c r="E126" t="str">
        <f t="shared" si="85"/>
        <v>UART.o</v>
      </c>
      <c r="F126">
        <f t="shared" ca="1" si="86"/>
        <v>12</v>
      </c>
      <c r="H126">
        <f t="shared" ca="1" si="87"/>
        <v>536844944</v>
      </c>
      <c r="I126" t="str">
        <f t="shared" ca="1" si="88"/>
        <v>0x1FFF9A90</v>
      </c>
      <c r="J126" s="4" t="str">
        <f t="shared" si="84"/>
        <v/>
      </c>
      <c r="K126" s="4" t="str">
        <f t="shared" si="89"/>
        <v xml:space="preserve">                                                     section .bss object UART.o,</v>
      </c>
    </row>
    <row r="127" spans="1:11" x14ac:dyDescent="0.25">
      <c r="A127" t="s">
        <v>534</v>
      </c>
      <c r="B127" t="str">
        <f t="shared" si="80"/>
        <v/>
      </c>
      <c r="C127">
        <f t="shared" si="2"/>
        <v>0</v>
      </c>
      <c r="D127" t="s">
        <v>277</v>
      </c>
      <c r="E127" t="str">
        <f t="shared" si="85"/>
        <v>WDOG.o</v>
      </c>
      <c r="F127">
        <f t="shared" ca="1" si="86"/>
        <v>0</v>
      </c>
      <c r="H127">
        <f t="shared" ca="1" si="87"/>
        <v>536844960</v>
      </c>
      <c r="I127" t="str">
        <f t="shared" ca="1" si="88"/>
        <v>0x1FFF9AA0</v>
      </c>
      <c r="J127" s="4" t="str">
        <f t="shared" si="84"/>
        <v/>
      </c>
      <c r="K127" s="4" t="str">
        <f t="shared" si="89"/>
        <v xml:space="preserve">                                                     section .bss object WDOG.o };</v>
      </c>
    </row>
    <row r="128" spans="1:11" x14ac:dyDescent="0.25">
      <c r="B128" t="str">
        <f>B117&amp;"_end"</f>
        <v>AclaraBSP_BSS_end</v>
      </c>
      <c r="C128">
        <f>LEN(B128)-4</f>
        <v>13</v>
      </c>
      <c r="F128">
        <f ca="1">SUM(F117:F127)</f>
        <v>151</v>
      </c>
      <c r="G128">
        <f ca="1">INT(($G$114/100)*F128)</f>
        <v>7</v>
      </c>
      <c r="H128">
        <f ca="1">H127+F127+G128+IF(MOD(F127+H127+G128,$G$115)=0,0,$G$115-MOD(F127+H127+G128,$G$115))</f>
        <v>536844968</v>
      </c>
      <c r="I128" t="str">
        <f t="shared" ref="I128" ca="1" si="90">"0x"&amp;DEC2HEX(H128,8)</f>
        <v>0x1FFF9AA8</v>
      </c>
      <c r="J128" s="4"/>
      <c r="K128" s="4" t="str">
        <f>""""&amp;MID(B128,1,LEN(B128)-4)&amp;""":"&amp;REPT(" ",$C$4-C128)&amp;"place at address mem: "&amp;MID(B128,1,LEN(B128)-4)&amp;REPT(" ",$C$4-C128)&amp;"{ block "&amp;MID(B128,1,LEN(B128)-4)&amp;"_BLK, rw data };"</f>
        <v>"AclaraBSP_BSS":  place at address mem: AclaraBSP_BSS  { block AclaraBSP_BSS_BLK, rw data };</v>
      </c>
    </row>
    <row r="129" spans="1:11" x14ac:dyDescent="0.25">
      <c r="J129" s="4"/>
      <c r="K129" s="4"/>
    </row>
    <row r="130" spans="1:11" x14ac:dyDescent="0.25">
      <c r="F130" t="s">
        <v>526</v>
      </c>
      <c r="G130">
        <f ca="1">VLOOKUP(B133,INDIRECT(GlobalPlcmnt!$B$134),GlobalPlcmnt!$B$138,FALSE)</f>
        <v>5</v>
      </c>
      <c r="J130" s="4"/>
      <c r="K130" s="4"/>
    </row>
    <row r="131" spans="1:11" x14ac:dyDescent="0.25">
      <c r="F131" t="s">
        <v>608</v>
      </c>
      <c r="G131">
        <f ca="1">VLOOKUP(B133,INDIRECT(GlobalPlcmnt!$B$134),GlobalPlcmnt!$C$138,FALSE)</f>
        <v>8</v>
      </c>
      <c r="J131" s="4"/>
      <c r="K131" s="4"/>
    </row>
    <row r="132" spans="1:11" x14ac:dyDescent="0.25">
      <c r="F132" t="s">
        <v>542</v>
      </c>
      <c r="J132" s="4"/>
      <c r="K132" s="4"/>
    </row>
    <row r="133" spans="1:11" x14ac:dyDescent="0.25">
      <c r="A133" t="s">
        <v>536</v>
      </c>
      <c r="B133" t="str">
        <f t="shared" ref="B133:B153" si="91">IF(A133&lt;&gt;A132,A133&amp;$B$1,"")</f>
        <v>Common_BSS</v>
      </c>
      <c r="C133">
        <f t="shared" si="2"/>
        <v>10</v>
      </c>
      <c r="D133" t="s">
        <v>568</v>
      </c>
      <c r="E133" t="str">
        <f t="shared" si="3"/>
        <v>alarm_task.o</v>
      </c>
      <c r="F133">
        <f t="shared" ref="F133:F134" ca="1" si="92">IFERROR(VLOOKUP(D133,INDIRECT($F$1),2,FALSE),0)</f>
        <v>0</v>
      </c>
      <c r="H133">
        <f ca="1">VLOOKUP(B133,INDIRECT(GlobalPlcmnt!$B$134),GlobalPlcmnt!$A$138,FALSE)</f>
        <v>536844968</v>
      </c>
      <c r="I133" t="str">
        <f t="shared" ref="I133" ca="1" si="93">"0x"&amp;DEC2HEX(H133,8)</f>
        <v>0x1FFF9AA8</v>
      </c>
      <c r="J133" s="4" t="str">
        <f ca="1">IF(B133="","","define symbol "&amp;B133&amp;REPT(" ",$C$4-C133)&amp;"= "&amp;I133&amp;";")</f>
        <v>define symbol Common_BSS     = 0x1FFF9AA8;</v>
      </c>
      <c r="K133" s="4" t="str">
        <f t="shared" ref="K133:K153" si="94">IF(B133="",REPT(" ",$C$4+$K$4)&amp;$K$2&amp;D133&amp;IF(B134="",","," };"),"define block "&amp;B133&amp;"_BLK with alignment = 4"&amp;REPT(" ",$C$4-C133)&amp;"{ "&amp;K$2&amp;D133&amp;IF(B134="",","," };"))</f>
        <v>define block Common_BSS_BLK with alignment = 4     { section .bss object alarm_task.o,</v>
      </c>
    </row>
    <row r="134" spans="1:11" x14ac:dyDescent="0.25">
      <c r="A134" t="s">
        <v>536</v>
      </c>
      <c r="B134" t="str">
        <f t="shared" si="91"/>
        <v/>
      </c>
      <c r="C134">
        <f t="shared" si="2"/>
        <v>0</v>
      </c>
      <c r="D134" t="s">
        <v>135</v>
      </c>
      <c r="E134" t="str">
        <f t="shared" si="3"/>
        <v>ALRM_Handler.o</v>
      </c>
      <c r="F134">
        <f t="shared" ca="1" si="92"/>
        <v>12</v>
      </c>
      <c r="H134">
        <f ca="1">H133+F133+G133+IF(MOD(F133+H133+G133,$G$131)=0,0,$G$131-MOD(F133+H133+G133,$G$131))</f>
        <v>536844968</v>
      </c>
      <c r="I134" t="str">
        <f t="shared" ref="I134" ca="1" si="95">"0x"&amp;DEC2HEX(H134,8)</f>
        <v>0x1FFF9AA8</v>
      </c>
      <c r="J134" s="4" t="str">
        <f t="shared" ref="J134:J153" si="96">IF(B134="","","define symbol "&amp;B134&amp;REPT(" ",$C$4-C134)&amp;"= "&amp;I132&amp;";")</f>
        <v/>
      </c>
      <c r="K134" s="4" t="str">
        <f t="shared" si="94"/>
        <v xml:space="preserve">                                                     section .bss object ALRM_Handler.o,</v>
      </c>
    </row>
    <row r="135" spans="1:11" x14ac:dyDescent="0.25">
      <c r="A135" t="s">
        <v>536</v>
      </c>
      <c r="B135" t="str">
        <f t="shared" si="91"/>
        <v/>
      </c>
      <c r="C135">
        <f t="shared" ref="C135:C225" si="97">LEN(B135)</f>
        <v>0</v>
      </c>
      <c r="D135" t="s">
        <v>256</v>
      </c>
      <c r="E135" t="str">
        <f t="shared" ref="E135:E159" si="98">SUBSTITUTE(D135,"-","_")</f>
        <v>BUF_MemoryBuffers.o</v>
      </c>
      <c r="F135">
        <f t="shared" ref="F135:F159" ca="1" si="99">IFERROR(VLOOKUP(D135,INDIRECT($F$1),2,FALSE),0)</f>
        <v>0</v>
      </c>
      <c r="H135">
        <f t="shared" ref="H135:H164" ca="1" si="100">H134+F134+G134+IF(MOD(F134+H134+G134,$G$131)=0,0,$G$131-MOD(F134+H134+G134,$G$131))</f>
        <v>536844984</v>
      </c>
      <c r="I135" t="str">
        <f t="shared" ref="I135:I159" ca="1" si="101">"0x"&amp;DEC2HEX(H135,8)</f>
        <v>0x1FFF9AB8</v>
      </c>
      <c r="J135" s="4" t="str">
        <f t="shared" si="96"/>
        <v/>
      </c>
      <c r="K135" s="4" t="str">
        <f t="shared" si="94"/>
        <v xml:space="preserve">                                                     section .bss object BUF_MemoryBuffers.o,</v>
      </c>
    </row>
    <row r="136" spans="1:11" x14ac:dyDescent="0.25">
      <c r="A136" t="s">
        <v>536</v>
      </c>
      <c r="B136" t="str">
        <f t="shared" si="91"/>
        <v/>
      </c>
      <c r="C136">
        <f t="shared" si="97"/>
        <v>0</v>
      </c>
      <c r="D136" t="s">
        <v>92</v>
      </c>
      <c r="E136" t="str">
        <f t="shared" si="98"/>
        <v>buffer.o</v>
      </c>
      <c r="F136">
        <f t="shared" ca="1" si="99"/>
        <v>1001</v>
      </c>
      <c r="H136">
        <f t="shared" ca="1" si="100"/>
        <v>536844984</v>
      </c>
      <c r="I136" t="str">
        <f t="shared" ca="1" si="101"/>
        <v>0x1FFF9AB8</v>
      </c>
      <c r="J136" s="4" t="str">
        <f t="shared" si="96"/>
        <v/>
      </c>
      <c r="K136" s="4" t="str">
        <f t="shared" si="94"/>
        <v xml:space="preserve">                                                     section .bss object buffer.o,</v>
      </c>
    </row>
    <row r="137" spans="1:11" x14ac:dyDescent="0.25">
      <c r="A137" t="s">
        <v>536</v>
      </c>
      <c r="B137" t="str">
        <f t="shared" si="91"/>
        <v/>
      </c>
      <c r="C137">
        <f t="shared" si="97"/>
        <v>0</v>
      </c>
      <c r="D137" t="s">
        <v>131</v>
      </c>
      <c r="E137" t="str">
        <f t="shared" si="98"/>
        <v>DBG_CommandLine.o</v>
      </c>
      <c r="F137">
        <f t="shared" ca="1" si="99"/>
        <v>1930</v>
      </c>
      <c r="H137">
        <f t="shared" ca="1" si="100"/>
        <v>536845992</v>
      </c>
      <c r="I137" t="str">
        <f t="shared" ca="1" si="101"/>
        <v>0x1FFF9EA8</v>
      </c>
      <c r="J137" s="4" t="str">
        <f t="shared" si="96"/>
        <v/>
      </c>
      <c r="K137" s="4" t="str">
        <f t="shared" si="94"/>
        <v xml:space="preserve">                                                     section .bss object DBG_CommandLine.o,</v>
      </c>
    </row>
    <row r="138" spans="1:11" x14ac:dyDescent="0.25">
      <c r="A138" t="s">
        <v>536</v>
      </c>
      <c r="B138" t="str">
        <f t="shared" si="91"/>
        <v/>
      </c>
      <c r="C138">
        <f t="shared" si="97"/>
        <v>0</v>
      </c>
      <c r="D138" t="s">
        <v>82</v>
      </c>
      <c r="E138" t="str">
        <f t="shared" si="98"/>
        <v>DBG_SerialDebug.o</v>
      </c>
      <c r="F138">
        <f t="shared" ca="1" si="99"/>
        <v>2036</v>
      </c>
      <c r="H138">
        <f t="shared" ca="1" si="100"/>
        <v>536847928</v>
      </c>
      <c r="I138" t="str">
        <f t="shared" ca="1" si="101"/>
        <v>0x1FFFA638</v>
      </c>
      <c r="J138" s="4" t="str">
        <f t="shared" si="96"/>
        <v/>
      </c>
      <c r="K138" s="4" t="str">
        <f t="shared" si="94"/>
        <v xml:space="preserve">                                                     section .bss object DBG_SerialDebug.o,</v>
      </c>
    </row>
    <row r="139" spans="1:11" x14ac:dyDescent="0.25">
      <c r="A139" t="s">
        <v>536</v>
      </c>
      <c r="B139" t="str">
        <f t="shared" si="91"/>
        <v/>
      </c>
      <c r="C139">
        <f t="shared" si="97"/>
        <v>0</v>
      </c>
      <c r="D139" t="s">
        <v>249</v>
      </c>
      <c r="E139" t="str">
        <f t="shared" si="98"/>
        <v>eng_res.o</v>
      </c>
      <c r="F139">
        <f t="shared" ca="1" si="99"/>
        <v>32</v>
      </c>
      <c r="H139">
        <f t="shared" ca="1" si="100"/>
        <v>536849968</v>
      </c>
      <c r="I139" t="str">
        <f t="shared" ca="1" si="101"/>
        <v>0x1FFFAE30</v>
      </c>
      <c r="J139" s="4" t="str">
        <f t="shared" si="96"/>
        <v/>
      </c>
      <c r="K139" s="4" t="str">
        <f t="shared" si="94"/>
        <v xml:space="preserve">                                                     section .bss object eng_res.o,</v>
      </c>
    </row>
    <row r="140" spans="1:11" x14ac:dyDescent="0.25">
      <c r="A140" t="s">
        <v>536</v>
      </c>
      <c r="B140" t="str">
        <f t="shared" si="91"/>
        <v/>
      </c>
      <c r="C140">
        <f t="shared" si="97"/>
        <v>0</v>
      </c>
      <c r="D140" t="s">
        <v>136</v>
      </c>
      <c r="E140" t="str">
        <f t="shared" si="98"/>
        <v>EVL_event_log.o</v>
      </c>
      <c r="F140">
        <f t="shared" ca="1" si="99"/>
        <v>290</v>
      </c>
      <c r="H140">
        <f t="shared" ca="1" si="100"/>
        <v>536850000</v>
      </c>
      <c r="I140" t="str">
        <f t="shared" ca="1" si="101"/>
        <v>0x1FFFAE50</v>
      </c>
      <c r="J140" s="4" t="str">
        <f t="shared" si="96"/>
        <v/>
      </c>
      <c r="K140" s="4" t="str">
        <f t="shared" si="94"/>
        <v xml:space="preserve">                                                     section .bss object EVL_event_log.o,</v>
      </c>
    </row>
    <row r="141" spans="1:11" x14ac:dyDescent="0.25">
      <c r="A141" t="s">
        <v>536</v>
      </c>
      <c r="B141" t="str">
        <f t="shared" si="91"/>
        <v/>
      </c>
      <c r="C141">
        <f t="shared" si="97"/>
        <v>0</v>
      </c>
      <c r="D141" t="s">
        <v>569</v>
      </c>
      <c r="E141" t="str">
        <f t="shared" si="98"/>
        <v>exe_list.o</v>
      </c>
      <c r="F141">
        <f t="shared" ca="1" si="99"/>
        <v>0</v>
      </c>
      <c r="H141">
        <f t="shared" ca="1" si="100"/>
        <v>536850296</v>
      </c>
      <c r="I141" t="str">
        <f t="shared" ca="1" si="101"/>
        <v>0x1FFFAF78</v>
      </c>
      <c r="J141" s="4" t="str">
        <f t="shared" si="96"/>
        <v/>
      </c>
      <c r="K141" s="4" t="str">
        <f t="shared" si="94"/>
        <v xml:space="preserve">                                                     section .bss object exe_list.o,</v>
      </c>
    </row>
    <row r="142" spans="1:11" x14ac:dyDescent="0.25">
      <c r="A142" t="s">
        <v>536</v>
      </c>
      <c r="B142" t="str">
        <f t="shared" si="91"/>
        <v/>
      </c>
      <c r="C142">
        <f t="shared" si="97"/>
        <v>0</v>
      </c>
      <c r="D142" t="s">
        <v>118</v>
      </c>
      <c r="E142" t="str">
        <f t="shared" si="98"/>
        <v>file_io.o</v>
      </c>
      <c r="F142">
        <f t="shared" ca="1" si="99"/>
        <v>201</v>
      </c>
      <c r="H142">
        <f t="shared" ca="1" si="100"/>
        <v>536850296</v>
      </c>
      <c r="I142" t="str">
        <f t="shared" ca="1" si="101"/>
        <v>0x1FFFAF78</v>
      </c>
      <c r="J142" s="4" t="str">
        <f t="shared" si="96"/>
        <v/>
      </c>
      <c r="K142" s="4" t="str">
        <f t="shared" si="94"/>
        <v xml:space="preserve">                                                     section .bss object file_io.o,</v>
      </c>
    </row>
    <row r="143" spans="1:11" x14ac:dyDescent="0.25">
      <c r="A143" t="s">
        <v>536</v>
      </c>
      <c r="B143" t="str">
        <f t="shared" si="91"/>
        <v/>
      </c>
      <c r="C143">
        <f t="shared" si="97"/>
        <v>0</v>
      </c>
      <c r="D143" t="s">
        <v>87</v>
      </c>
      <c r="E143" t="str">
        <f t="shared" si="98"/>
        <v>HEEP_util.o</v>
      </c>
      <c r="F143">
        <f t="shared" ca="1" si="99"/>
        <v>3</v>
      </c>
      <c r="H143">
        <f t="shared" ca="1" si="100"/>
        <v>536850504</v>
      </c>
      <c r="I143" t="str">
        <f t="shared" ca="1" si="101"/>
        <v>0x1FFFB048</v>
      </c>
      <c r="J143" s="4" t="str">
        <f t="shared" si="96"/>
        <v/>
      </c>
      <c r="K143" s="4" t="str">
        <f t="shared" si="94"/>
        <v xml:space="preserve">                                                     section .bss object HEEP_util.o,</v>
      </c>
    </row>
    <row r="144" spans="1:11" x14ac:dyDescent="0.25">
      <c r="A144" t="s">
        <v>536</v>
      </c>
      <c r="B144" t="str">
        <f t="shared" si="91"/>
        <v/>
      </c>
      <c r="C144">
        <f t="shared" si="97"/>
        <v>0</v>
      </c>
      <c r="D144" t="s">
        <v>570</v>
      </c>
      <c r="E144" t="str">
        <f t="shared" si="98"/>
        <v>mem_chk.o</v>
      </c>
      <c r="F144">
        <f t="shared" ca="1" si="99"/>
        <v>0</v>
      </c>
      <c r="H144">
        <f t="shared" ca="1" si="100"/>
        <v>536850512</v>
      </c>
      <c r="I144" t="str">
        <f t="shared" ca="1" si="101"/>
        <v>0x1FFFB050</v>
      </c>
      <c r="J144" s="4" t="str">
        <f t="shared" si="96"/>
        <v/>
      </c>
      <c r="K144" s="4" t="str">
        <f t="shared" si="94"/>
        <v xml:space="preserve">                                                     section .bss object mem_chk.o,</v>
      </c>
    </row>
    <row r="145" spans="1:11" x14ac:dyDescent="0.25">
      <c r="A145" t="s">
        <v>536</v>
      </c>
      <c r="B145" t="str">
        <f t="shared" si="91"/>
        <v/>
      </c>
      <c r="C145">
        <f t="shared" si="97"/>
        <v>0</v>
      </c>
      <c r="D145" t="s">
        <v>248</v>
      </c>
      <c r="E145" t="str">
        <f t="shared" si="98"/>
        <v>MFG_Dtls.o</v>
      </c>
      <c r="F145">
        <f t="shared" ca="1" si="99"/>
        <v>35</v>
      </c>
      <c r="H145">
        <f t="shared" ca="1" si="100"/>
        <v>536850512</v>
      </c>
      <c r="I145" t="str">
        <f t="shared" ca="1" si="101"/>
        <v>0x1FFFB050</v>
      </c>
      <c r="J145" s="4" t="str">
        <f t="shared" si="96"/>
        <v/>
      </c>
      <c r="K145" s="4" t="str">
        <f t="shared" si="94"/>
        <v xml:space="preserve">                                                     section .bss object MFG_Dtls.o,</v>
      </c>
    </row>
    <row r="146" spans="1:11" x14ac:dyDescent="0.25">
      <c r="A146" t="s">
        <v>536</v>
      </c>
      <c r="B146" t="str">
        <f t="shared" si="91"/>
        <v/>
      </c>
      <c r="C146">
        <f t="shared" si="97"/>
        <v>0</v>
      </c>
      <c r="D146" t="s">
        <v>244</v>
      </c>
      <c r="E146" t="str">
        <f t="shared" si="98"/>
        <v>MFG_Port.o</v>
      </c>
      <c r="F146">
        <f t="shared" ca="1" si="99"/>
        <v>1213</v>
      </c>
      <c r="H146">
        <f t="shared" ca="1" si="100"/>
        <v>536850552</v>
      </c>
      <c r="I146" t="str">
        <f t="shared" ca="1" si="101"/>
        <v>0x1FFFB078</v>
      </c>
      <c r="J146" s="4" t="str">
        <f t="shared" si="96"/>
        <v/>
      </c>
      <c r="K146" s="4" t="str">
        <f t="shared" si="94"/>
        <v xml:space="preserve">                                                     section .bss object MFG_Port.o,</v>
      </c>
    </row>
    <row r="147" spans="1:11" x14ac:dyDescent="0.25">
      <c r="A147" t="s">
        <v>536</v>
      </c>
      <c r="B147" t="str">
        <f t="shared" si="91"/>
        <v/>
      </c>
      <c r="C147">
        <f t="shared" si="97"/>
        <v>0</v>
      </c>
      <c r="D147" t="s">
        <v>919</v>
      </c>
      <c r="E147" t="str">
        <f t="shared" si="98"/>
        <v>MIMT_info.o</v>
      </c>
      <c r="F147">
        <f t="shared" ca="1" si="99"/>
        <v>116</v>
      </c>
      <c r="H147">
        <f t="shared" ca="1" si="100"/>
        <v>536851768</v>
      </c>
      <c r="I147" t="str">
        <f t="shared" ca="1" si="101"/>
        <v>0x1FFFB538</v>
      </c>
      <c r="J147" s="4" t="str">
        <f t="shared" si="96"/>
        <v/>
      </c>
      <c r="K147" s="4" t="str">
        <f t="shared" si="94"/>
        <v xml:space="preserve">                                                     section .bss object MIMT_info.o,</v>
      </c>
    </row>
    <row r="148" spans="1:11" x14ac:dyDescent="0.25">
      <c r="A148" t="s">
        <v>536</v>
      </c>
      <c r="B148" t="str">
        <f t="shared" si="91"/>
        <v/>
      </c>
      <c r="C148">
        <f t="shared" si="97"/>
        <v>0</v>
      </c>
      <c r="D148" t="s">
        <v>86</v>
      </c>
      <c r="E148" t="str">
        <f t="shared" si="98"/>
        <v>mode_config.o</v>
      </c>
      <c r="F148">
        <f t="shared" ca="1" si="99"/>
        <v>70</v>
      </c>
      <c r="H148">
        <f t="shared" ca="1" si="100"/>
        <v>536851888</v>
      </c>
      <c r="I148" t="str">
        <f t="shared" ca="1" si="101"/>
        <v>0x1FFFB5B0</v>
      </c>
      <c r="J148" s="4" t="str">
        <f t="shared" si="96"/>
        <v/>
      </c>
      <c r="K148" s="4" t="str">
        <f t="shared" si="94"/>
        <v xml:space="preserve">                                                     section .bss object mode_config.o,</v>
      </c>
    </row>
    <row r="149" spans="1:11" x14ac:dyDescent="0.25">
      <c r="A149" t="s">
        <v>536</v>
      </c>
      <c r="B149" t="str">
        <f t="shared" si="91"/>
        <v/>
      </c>
      <c r="C149">
        <f t="shared" si="97"/>
        <v>0</v>
      </c>
      <c r="D149" t="s">
        <v>308</v>
      </c>
      <c r="E149" t="str">
        <f t="shared" si="98"/>
        <v>object_list.o</v>
      </c>
      <c r="F149">
        <f t="shared" ca="1" si="99"/>
        <v>0</v>
      </c>
      <c r="H149">
        <f t="shared" ca="1" si="100"/>
        <v>536851960</v>
      </c>
      <c r="I149" t="str">
        <f t="shared" ca="1" si="101"/>
        <v>0x1FFFB5F8</v>
      </c>
      <c r="J149" s="4" t="str">
        <f t="shared" si="96"/>
        <v/>
      </c>
      <c r="K149" s="4" t="str">
        <f t="shared" si="94"/>
        <v xml:space="preserve">                                                     section .bss object object_list.o,</v>
      </c>
    </row>
    <row r="150" spans="1:11" x14ac:dyDescent="0.25">
      <c r="A150" t="s">
        <v>536</v>
      </c>
      <c r="B150" t="str">
        <f t="shared" si="91"/>
        <v/>
      </c>
      <c r="C150">
        <f t="shared" si="97"/>
        <v>0</v>
      </c>
      <c r="D150" t="s">
        <v>177</v>
      </c>
      <c r="E150" t="str">
        <f t="shared" si="98"/>
        <v>partitions.o</v>
      </c>
      <c r="F150">
        <f t="shared" ca="1" si="99"/>
        <v>41</v>
      </c>
      <c r="H150">
        <f t="shared" ca="1" si="100"/>
        <v>536851960</v>
      </c>
      <c r="I150" t="str">
        <f t="shared" ca="1" si="101"/>
        <v>0x1FFFB5F8</v>
      </c>
      <c r="J150" s="4" t="str">
        <f t="shared" si="96"/>
        <v/>
      </c>
      <c r="K150" s="4" t="str">
        <f t="shared" si="94"/>
        <v xml:space="preserve">                                                     section .bss object partitions.o,</v>
      </c>
    </row>
    <row r="151" spans="1:11" x14ac:dyDescent="0.25">
      <c r="A151" t="s">
        <v>536</v>
      </c>
      <c r="B151" t="str">
        <f t="shared" si="91"/>
        <v/>
      </c>
      <c r="C151">
        <f t="shared" si="97"/>
        <v>0</v>
      </c>
      <c r="D151" t="s">
        <v>571</v>
      </c>
      <c r="E151" t="str">
        <f t="shared" si="98"/>
        <v>runTimeInit.o</v>
      </c>
      <c r="F151">
        <f t="shared" ca="1" si="99"/>
        <v>0</v>
      </c>
      <c r="H151">
        <f t="shared" ca="1" si="100"/>
        <v>536852008</v>
      </c>
      <c r="I151" t="str">
        <f t="shared" ca="1" si="101"/>
        <v>0x1FFFB628</v>
      </c>
      <c r="J151" s="4" t="str">
        <f t="shared" si="96"/>
        <v/>
      </c>
      <c r="K151" s="4" t="str">
        <f t="shared" si="94"/>
        <v xml:space="preserve">                                                     section .bss object runTimeInit.o,</v>
      </c>
    </row>
    <row r="152" spans="1:11" x14ac:dyDescent="0.25">
      <c r="A152" t="s">
        <v>536</v>
      </c>
      <c r="B152" t="str">
        <f t="shared" si="91"/>
        <v/>
      </c>
      <c r="C152">
        <f t="shared" si="97"/>
        <v>0</v>
      </c>
      <c r="D152" t="s">
        <v>223</v>
      </c>
      <c r="E152" t="str">
        <f t="shared" si="98"/>
        <v>SELF_test.o</v>
      </c>
      <c r="F152">
        <f t="shared" ca="1" si="99"/>
        <v>52</v>
      </c>
      <c r="H152">
        <f t="shared" ca="1" si="100"/>
        <v>536852008</v>
      </c>
      <c r="I152" t="str">
        <f t="shared" ca="1" si="101"/>
        <v>0x1FFFB628</v>
      </c>
      <c r="J152" s="4" t="str">
        <f t="shared" si="96"/>
        <v/>
      </c>
      <c r="K152" s="4" t="str">
        <f t="shared" si="94"/>
        <v xml:space="preserve">                                                     section .bss object SELF_test.o,</v>
      </c>
    </row>
    <row r="153" spans="1:11" x14ac:dyDescent="0.25">
      <c r="A153" t="s">
        <v>536</v>
      </c>
      <c r="B153" t="str">
        <f t="shared" si="91"/>
        <v/>
      </c>
      <c r="C153">
        <f t="shared" si="97"/>
        <v>0</v>
      </c>
      <c r="D153" t="s">
        <v>133</v>
      </c>
      <c r="E153" t="str">
        <f t="shared" si="98"/>
        <v>stack_check.o</v>
      </c>
      <c r="F153">
        <f t="shared" ca="1" si="99"/>
        <v>700</v>
      </c>
      <c r="H153">
        <f t="shared" ca="1" si="100"/>
        <v>536852064</v>
      </c>
      <c r="I153" t="str">
        <f t="shared" ca="1" si="101"/>
        <v>0x1FFFB660</v>
      </c>
      <c r="J153" s="4" t="str">
        <f t="shared" si="96"/>
        <v/>
      </c>
      <c r="K153" s="4" t="str">
        <f t="shared" si="94"/>
        <v xml:space="preserve">                                                     section .bss object stack_check.o,</v>
      </c>
    </row>
    <row r="154" spans="1:11" x14ac:dyDescent="0.25">
      <c r="A154" t="s">
        <v>536</v>
      </c>
      <c r="B154" t="str">
        <f t="shared" ref="B154:B159" si="102">IF(A154&lt;&gt;A153,A154&amp;$B$1,"")</f>
        <v/>
      </c>
      <c r="C154">
        <f t="shared" ref="C154:C159" si="103">LEN(B154)</f>
        <v>0</v>
      </c>
      <c r="D154" t="s">
        <v>309</v>
      </c>
      <c r="E154" t="str">
        <f t="shared" si="98"/>
        <v>sys_busy.o</v>
      </c>
      <c r="F154">
        <f t="shared" ca="1" si="99"/>
        <v>51</v>
      </c>
      <c r="H154">
        <f t="shared" ca="1" si="100"/>
        <v>536852768</v>
      </c>
      <c r="I154" t="str">
        <f t="shared" ca="1" si="101"/>
        <v>0x1FFFB920</v>
      </c>
      <c r="J154" s="4" t="str">
        <f t="shared" ref="J154:J159" si="104">IF(B154="","","define symbol "&amp;B154&amp;REPT(" ",$C$4-C154)&amp;"= "&amp;I152&amp;";")</f>
        <v/>
      </c>
      <c r="K154" s="4" t="str">
        <f t="shared" ref="K154:K163" si="105">IF(B154="",REPT(" ",$C$4+$K$4)&amp;$K$2&amp;D154&amp;IF(B155="",","," };"),"define block "&amp;B154&amp;"_BLK with alignment = 4"&amp;REPT(" ",$C$4-C154)&amp;"{ "&amp;K$2&amp;D154&amp;IF(B155="",","," };"))</f>
        <v xml:space="preserve">                                                     section .bss object sys_busy.o,</v>
      </c>
    </row>
    <row r="155" spans="1:11" x14ac:dyDescent="0.25">
      <c r="A155" t="s">
        <v>536</v>
      </c>
      <c r="B155" t="str">
        <f t="shared" si="102"/>
        <v/>
      </c>
      <c r="C155">
        <f t="shared" si="103"/>
        <v>0</v>
      </c>
      <c r="D155" t="s">
        <v>1094</v>
      </c>
      <c r="E155" t="str">
        <f t="shared" si="98"/>
        <v>temperature.o</v>
      </c>
      <c r="F155">
        <f t="shared" ca="1" si="99"/>
        <v>20</v>
      </c>
      <c r="H155">
        <f t="shared" ca="1" si="100"/>
        <v>536852824</v>
      </c>
      <c r="I155" t="str">
        <f t="shared" ca="1" si="101"/>
        <v>0x1FFFB958</v>
      </c>
      <c r="J155" s="4" t="str">
        <f t="shared" si="104"/>
        <v/>
      </c>
      <c r="K155" s="4" t="str">
        <f t="shared" si="105"/>
        <v xml:space="preserve">                                                     section .bss object temperature.o,</v>
      </c>
    </row>
    <row r="156" spans="1:11" x14ac:dyDescent="0.25">
      <c r="A156" t="s">
        <v>536</v>
      </c>
      <c r="B156" t="str">
        <f t="shared" si="102"/>
        <v/>
      </c>
      <c r="C156">
        <f t="shared" si="103"/>
        <v>0</v>
      </c>
      <c r="D156" t="s">
        <v>206</v>
      </c>
      <c r="E156" t="str">
        <f t="shared" si="98"/>
        <v>time_DST.o</v>
      </c>
      <c r="F156">
        <f t="shared" ca="1" si="99"/>
        <v>126</v>
      </c>
      <c r="H156">
        <f t="shared" ca="1" si="100"/>
        <v>536852848</v>
      </c>
      <c r="I156" t="str">
        <f t="shared" ca="1" si="101"/>
        <v>0x1FFFB970</v>
      </c>
      <c r="J156" s="4" t="str">
        <f t="shared" si="104"/>
        <v/>
      </c>
      <c r="K156" s="4" t="str">
        <f t="shared" si="105"/>
        <v xml:space="preserve">                                                     section .bss object time_DST.o,</v>
      </c>
    </row>
    <row r="157" spans="1:11" x14ac:dyDescent="0.25">
      <c r="A157" t="s">
        <v>536</v>
      </c>
      <c r="B157" t="str">
        <f t="shared" si="102"/>
        <v/>
      </c>
      <c r="C157">
        <f t="shared" si="103"/>
        <v>0</v>
      </c>
      <c r="D157" t="s">
        <v>1038</v>
      </c>
      <c r="E157" t="str">
        <f t="shared" si="98"/>
        <v>time_sync.o</v>
      </c>
      <c r="F157">
        <f t="shared" ca="1" si="99"/>
        <v>77</v>
      </c>
      <c r="H157">
        <f t="shared" ca="1" si="100"/>
        <v>536852976</v>
      </c>
      <c r="I157" t="str">
        <f t="shared" ca="1" si="101"/>
        <v>0x1FFFB9F0</v>
      </c>
      <c r="J157" s="4" t="str">
        <f t="shared" si="104"/>
        <v/>
      </c>
      <c r="K157" s="4" t="str">
        <f t="shared" si="105"/>
        <v xml:space="preserve">                                                     section .bss object time_sync.o,</v>
      </c>
    </row>
    <row r="158" spans="1:11" x14ac:dyDescent="0.25">
      <c r="A158" t="s">
        <v>536</v>
      </c>
      <c r="B158" t="str">
        <f t="shared" si="102"/>
        <v/>
      </c>
      <c r="C158">
        <f t="shared" si="103"/>
        <v>0</v>
      </c>
      <c r="D158" t="s">
        <v>162</v>
      </c>
      <c r="E158" t="str">
        <f t="shared" si="98"/>
        <v>time_sys.o</v>
      </c>
      <c r="F158">
        <f t="shared" ca="1" si="99"/>
        <v>816</v>
      </c>
      <c r="H158">
        <f t="shared" ca="1" si="100"/>
        <v>536853056</v>
      </c>
      <c r="I158" t="str">
        <f t="shared" ca="1" si="101"/>
        <v>0x1FFFBA40</v>
      </c>
      <c r="J158" s="4" t="str">
        <f t="shared" si="104"/>
        <v/>
      </c>
      <c r="K158" s="4" t="str">
        <f t="shared" si="105"/>
        <v xml:space="preserve">                                                     section .bss object time_sys.o,</v>
      </c>
    </row>
    <row r="159" spans="1:11" x14ac:dyDescent="0.25">
      <c r="A159" t="s">
        <v>536</v>
      </c>
      <c r="B159" t="str">
        <f t="shared" si="102"/>
        <v/>
      </c>
      <c r="C159">
        <f t="shared" si="103"/>
        <v>0</v>
      </c>
      <c r="D159" t="s">
        <v>291</v>
      </c>
      <c r="E159" t="str">
        <f t="shared" si="98"/>
        <v>virgin_device.o</v>
      </c>
      <c r="F159">
        <f t="shared" ca="1" si="99"/>
        <v>9</v>
      </c>
      <c r="H159">
        <f t="shared" ca="1" si="100"/>
        <v>536853872</v>
      </c>
      <c r="I159" t="str">
        <f t="shared" ca="1" si="101"/>
        <v>0x1FFFBD70</v>
      </c>
      <c r="J159" s="4" t="str">
        <f t="shared" si="104"/>
        <v/>
      </c>
      <c r="K159" s="4" t="str">
        <f t="shared" si="105"/>
        <v xml:space="preserve">                                                     section .bss object virgin_device.o,</v>
      </c>
    </row>
    <row r="160" spans="1:11" x14ac:dyDescent="0.25">
      <c r="A160" t="s">
        <v>536</v>
      </c>
      <c r="B160" t="str">
        <f t="shared" ref="B160" si="106">IF(A160&lt;&gt;A159,A160&amp;$B$1,"")</f>
        <v/>
      </c>
      <c r="C160">
        <f t="shared" ref="C160" si="107">LEN(B160)</f>
        <v>0</v>
      </c>
      <c r="D160" t="s">
        <v>1668</v>
      </c>
      <c r="E160" t="str">
        <f t="shared" ref="E160" si="108">SUBSTITUTE(D160,"-","_")</f>
        <v>FTM0.o</v>
      </c>
      <c r="F160">
        <f t="shared" ref="F160" ca="1" si="109">IFERROR(VLOOKUP(D160,INDIRECT($F$1),2,FALSE),0)</f>
        <v>0</v>
      </c>
      <c r="H160">
        <f t="shared" ca="1" si="100"/>
        <v>536853888</v>
      </c>
      <c r="I160" t="str">
        <f t="shared" ref="I160" ca="1" si="110">"0x"&amp;DEC2HEX(H160,8)</f>
        <v>0x1FFFBD80</v>
      </c>
      <c r="J160" s="4" t="str">
        <f t="shared" ref="J160" si="111">IF(B160="","","define symbol "&amp;B160&amp;REPT(" ",$C$4-C160)&amp;"= "&amp;I158&amp;";")</f>
        <v/>
      </c>
      <c r="K160" s="4" t="str">
        <f t="shared" si="105"/>
        <v xml:space="preserve">                                                     section .bss object FTM0.o,</v>
      </c>
    </row>
    <row r="161" spans="1:11" x14ac:dyDescent="0.25">
      <c r="A161" t="s">
        <v>536</v>
      </c>
      <c r="B161" t="str">
        <f t="shared" ref="B161" si="112">IF(A161&lt;&gt;A160,A161&amp;$B$1,"")</f>
        <v/>
      </c>
      <c r="C161">
        <f t="shared" ref="C161" si="113">LEN(B161)</f>
        <v>0</v>
      </c>
      <c r="D161" t="s">
        <v>1669</v>
      </c>
      <c r="E161" t="str">
        <f t="shared" ref="E161" si="114">SUBSTITUTE(D161,"-","_")</f>
        <v>FTM1.o</v>
      </c>
      <c r="F161">
        <f t="shared" ref="F161" ca="1" si="115">IFERROR(VLOOKUP(D161,INDIRECT($F$1),2,FALSE),0)</f>
        <v>9</v>
      </c>
      <c r="H161">
        <f t="shared" ca="1" si="100"/>
        <v>536853888</v>
      </c>
      <c r="I161" t="str">
        <f t="shared" ref="I161" ca="1" si="116">"0x"&amp;DEC2HEX(H161,8)</f>
        <v>0x1FFFBD80</v>
      </c>
      <c r="J161" s="4" t="str">
        <f t="shared" ref="J161" si="117">IF(B161="","","define symbol "&amp;B161&amp;REPT(" ",$C$4-C161)&amp;"= "&amp;I159&amp;";")</f>
        <v/>
      </c>
      <c r="K161" s="4" t="str">
        <f t="shared" si="105"/>
        <v xml:space="preserve">                                                     section .bss object FTM1.o,</v>
      </c>
    </row>
    <row r="162" spans="1:11" x14ac:dyDescent="0.25">
      <c r="A162" t="s">
        <v>536</v>
      </c>
      <c r="B162" t="str">
        <f t="shared" ref="B162" si="118">IF(A162&lt;&gt;A161,A162&amp;$B$1,"")</f>
        <v/>
      </c>
      <c r="C162">
        <f t="shared" ref="C162" si="119">LEN(B162)</f>
        <v>0</v>
      </c>
      <c r="D162" t="s">
        <v>1670</v>
      </c>
      <c r="E162" t="str">
        <f t="shared" ref="E162" si="120">SUBSTITUTE(D162,"-","_")</f>
        <v>FTM2.o</v>
      </c>
      <c r="F162">
        <f t="shared" ref="F162" ca="1" si="121">IFERROR(VLOOKUP(D162,INDIRECT($F$1),2,FALSE),0)</f>
        <v>0</v>
      </c>
      <c r="H162">
        <f t="shared" ca="1" si="100"/>
        <v>536853904</v>
      </c>
      <c r="I162" t="str">
        <f t="shared" ref="I162" ca="1" si="122">"0x"&amp;DEC2HEX(H162,8)</f>
        <v>0x1FFFBD90</v>
      </c>
      <c r="J162" s="4" t="str">
        <f t="shared" ref="J162" si="123">IF(B162="","","define symbol "&amp;B162&amp;REPT(" ",$C$4-C162)&amp;"= "&amp;I160&amp;";")</f>
        <v/>
      </c>
      <c r="K162" s="4" t="str">
        <f t="shared" si="105"/>
        <v xml:space="preserve">                                                     section .bss object FTM2.o,</v>
      </c>
    </row>
    <row r="163" spans="1:11" x14ac:dyDescent="0.25">
      <c r="A163" t="s">
        <v>536</v>
      </c>
      <c r="B163" t="str">
        <f t="shared" ref="B163" si="124">IF(A163&lt;&gt;A162,A163&amp;$B$1,"")</f>
        <v/>
      </c>
      <c r="C163">
        <f t="shared" ref="C163" si="125">LEN(B163)</f>
        <v>0</v>
      </c>
      <c r="D163" t="s">
        <v>1671</v>
      </c>
      <c r="E163" t="str">
        <f t="shared" ref="E163" si="126">SUBSTITUTE(D163,"-","_")</f>
        <v>FTM3.o</v>
      </c>
      <c r="F163">
        <f t="shared" ref="F163" ca="1" si="127">IFERROR(VLOOKUP(D163,INDIRECT($F$1),2,FALSE),0)</f>
        <v>0</v>
      </c>
      <c r="H163">
        <f t="shared" ca="1" si="100"/>
        <v>536853904</v>
      </c>
      <c r="I163" t="str">
        <f t="shared" ref="I163" ca="1" si="128">"0x"&amp;DEC2HEX(H163,8)</f>
        <v>0x1FFFBD90</v>
      </c>
      <c r="J163" s="4" t="str">
        <f t="shared" ref="J163" si="129">IF(B163="","","define symbol "&amp;B163&amp;REPT(" ",$C$4-C163)&amp;"= "&amp;I161&amp;";")</f>
        <v/>
      </c>
      <c r="K163" s="4" t="str">
        <f t="shared" si="105"/>
        <v xml:space="preserve">                                                     section .bss object FTM3.o };</v>
      </c>
    </row>
    <row r="164" spans="1:11" x14ac:dyDescent="0.25">
      <c r="B164" t="str">
        <f>B133&amp;"_end"</f>
        <v>Common_BSS_end</v>
      </c>
      <c r="C164">
        <f>LEN(B164)-4</f>
        <v>10</v>
      </c>
      <c r="F164">
        <f ca="1">SUM(F133:F163)</f>
        <v>8840</v>
      </c>
      <c r="G164">
        <f ca="1">INT(($G$130/100)*F164)</f>
        <v>442</v>
      </c>
      <c r="H164">
        <f t="shared" ca="1" si="100"/>
        <v>536853904</v>
      </c>
      <c r="I164" t="str">
        <f t="shared" ref="I164" ca="1" si="130">"0x"&amp;DEC2HEX(H164,8)</f>
        <v>0x1FFFBD90</v>
      </c>
      <c r="J164" s="4"/>
      <c r="K164" s="4" t="str">
        <f>""""&amp;MID(B164,1,LEN(B164)-4)&amp;""":"&amp;REPT(" ",$C$4-C164)&amp;"place at address mem: "&amp;MID(B164,1,LEN(B164)-4)&amp;REPT(" ",$C$4-C164)&amp;"{ block "&amp;MID(B164,1,LEN(B164)-4)&amp;"_BLK, rw data };"</f>
        <v>"Common_BSS":     place at address mem: Common_BSS     { block Common_BSS_BLK, rw data };</v>
      </c>
    </row>
    <row r="165" spans="1:11" x14ac:dyDescent="0.25">
      <c r="J165" s="4"/>
      <c r="K165" s="4"/>
    </row>
    <row r="166" spans="1:11" x14ac:dyDescent="0.25">
      <c r="F166" t="s">
        <v>526</v>
      </c>
      <c r="G166">
        <f ca="1">VLOOKUP(B169,INDIRECT(GlobalPlcmnt!$B$134),GlobalPlcmnt!$B$138,FALSE)</f>
        <v>5</v>
      </c>
      <c r="J166" s="4"/>
      <c r="K166" s="4"/>
    </row>
    <row r="167" spans="1:11" x14ac:dyDescent="0.25">
      <c r="F167" t="s">
        <v>608</v>
      </c>
      <c r="G167">
        <f ca="1">VLOOKUP(B169,INDIRECT(GlobalPlcmnt!$B$134),GlobalPlcmnt!$C$138,FALSE)</f>
        <v>8</v>
      </c>
      <c r="J167" s="4"/>
      <c r="K167" s="4"/>
    </row>
    <row r="168" spans="1:11" x14ac:dyDescent="0.25">
      <c r="F168" t="s">
        <v>542</v>
      </c>
      <c r="J168" s="4"/>
      <c r="K168" s="4"/>
    </row>
    <row r="169" spans="1:11" x14ac:dyDescent="0.25">
      <c r="A169" t="s">
        <v>535</v>
      </c>
      <c r="B169" t="str">
        <f t="shared" ref="B169:B186" si="131">IF(A169&lt;&gt;A168,A169&amp;$B$1,"")</f>
        <v>HMC_BSS</v>
      </c>
      <c r="C169">
        <f t="shared" si="97"/>
        <v>7</v>
      </c>
      <c r="D169" t="s">
        <v>341</v>
      </c>
      <c r="E169" t="str">
        <f t="shared" ref="E169:E209" si="132">SUBSTITUTE(D169,"-","_")</f>
        <v>hmc_app.o</v>
      </c>
      <c r="F169">
        <f t="shared" ref="F169:F170" ca="1" si="133">IFERROR(VLOOKUP(D169,INDIRECT($F$1),2,FALSE),0)</f>
        <v>0</v>
      </c>
      <c r="H169">
        <f ca="1">VLOOKUP(B169,INDIRECT(GlobalPlcmnt!$B$134),GlobalPlcmnt!$A$138,FALSE)</f>
        <v>536854256</v>
      </c>
      <c r="I169" t="str">
        <f t="shared" ref="I169" ca="1" si="134">"0x"&amp;DEC2HEX(H169,8)</f>
        <v>0x1FFFBEF0</v>
      </c>
      <c r="J169" s="4" t="str">
        <f ca="1">IF(B169="","","define symbol "&amp;B169&amp;REPT(" ",$C$4-C169)&amp;"= "&amp;I169&amp;";")</f>
        <v>define symbol HMC_BSS        = 0x1FFFBEF0;</v>
      </c>
      <c r="K169" s="4" t="str">
        <f t="shared" ref="K169:K188" si="135">IF(B169="",REPT(" ",$C$4+$K$4)&amp;$K$2&amp;D169&amp;IF(B170="",","," };"),"define block "&amp;B169&amp;"_BLK with alignment = 4"&amp;REPT(" ",$C$4-C169)&amp;"{ "&amp;K$2&amp;D169&amp;IF(B170="",","," };"))</f>
        <v>define block HMC_BSS_BLK with alignment = 4        { section .bss object hmc_app.o,</v>
      </c>
    </row>
    <row r="170" spans="1:11" x14ac:dyDescent="0.25">
      <c r="A170" t="s">
        <v>535</v>
      </c>
      <c r="B170" t="str">
        <f t="shared" si="131"/>
        <v/>
      </c>
      <c r="C170">
        <f t="shared" si="97"/>
        <v>0</v>
      </c>
      <c r="D170" t="s">
        <v>572</v>
      </c>
      <c r="E170" t="str">
        <f t="shared" si="132"/>
        <v>hmc_demand.o</v>
      </c>
      <c r="F170">
        <f t="shared" ca="1" si="133"/>
        <v>0</v>
      </c>
      <c r="H170">
        <f ca="1">H169+F169+G169+IF(MOD(F169+H169+G169,$G$167)=0,0,$G$167-MOD(F169+H169+G169,$G$167))</f>
        <v>536854256</v>
      </c>
      <c r="I170" t="str">
        <f t="shared" ref="I170" ca="1" si="136">"0x"&amp;DEC2HEX(H170,8)</f>
        <v>0x1FFFBEF0</v>
      </c>
      <c r="J170" s="4" t="str">
        <f t="shared" ref="J170:J186" si="137">IF(B170="","","define symbol "&amp;B170&amp;REPT(" ",$C$4-C170)&amp;"= "&amp;I168&amp;";")</f>
        <v/>
      </c>
      <c r="K170" s="4" t="str">
        <f t="shared" si="135"/>
        <v xml:space="preserve">                                                     section .bss object hmc_demand.o,</v>
      </c>
    </row>
    <row r="171" spans="1:11" x14ac:dyDescent="0.25">
      <c r="A171" t="s">
        <v>535</v>
      </c>
      <c r="B171" t="str">
        <f t="shared" si="131"/>
        <v/>
      </c>
      <c r="C171">
        <f t="shared" si="97"/>
        <v>0</v>
      </c>
      <c r="D171" t="s">
        <v>573</v>
      </c>
      <c r="E171" t="str">
        <f t="shared" ref="E171:E187" si="138">SUBSTITUTE(D171,"-","_")</f>
        <v>hmc_diags.o</v>
      </c>
      <c r="F171">
        <f t="shared" ref="F171:F187" ca="1" si="139">IFERROR(VLOOKUP(D171,INDIRECT($F$1),2,FALSE),0)</f>
        <v>0</v>
      </c>
      <c r="H171">
        <f t="shared" ref="H171:H189" ca="1" si="140">H170+F170+G170+IF(MOD(F170+H170+G170,$G$167)=0,0,$G$167-MOD(F170+H170+G170,$G$167))</f>
        <v>536854256</v>
      </c>
      <c r="I171" t="str">
        <f t="shared" ref="I171:I187" ca="1" si="141">"0x"&amp;DEC2HEX(H171,8)</f>
        <v>0x1FFFBEF0</v>
      </c>
      <c r="J171" s="4" t="str">
        <f t="shared" si="137"/>
        <v/>
      </c>
      <c r="K171" s="4" t="str">
        <f t="shared" si="135"/>
        <v xml:space="preserve">                                                     section .bss object hmc_diags.o,</v>
      </c>
    </row>
    <row r="172" spans="1:11" x14ac:dyDescent="0.25">
      <c r="A172" t="s">
        <v>535</v>
      </c>
      <c r="B172" t="str">
        <f t="shared" si="131"/>
        <v/>
      </c>
      <c r="C172">
        <f t="shared" si="97"/>
        <v>0</v>
      </c>
      <c r="D172" t="s">
        <v>217</v>
      </c>
      <c r="E172" t="str">
        <f t="shared" si="138"/>
        <v>hmc_ds.o</v>
      </c>
      <c r="F172">
        <f t="shared" ca="1" si="139"/>
        <v>0</v>
      </c>
      <c r="H172">
        <f t="shared" ca="1" si="140"/>
        <v>536854256</v>
      </c>
      <c r="I172" t="str">
        <f t="shared" ca="1" si="141"/>
        <v>0x1FFFBEF0</v>
      </c>
      <c r="J172" s="4" t="str">
        <f t="shared" si="137"/>
        <v/>
      </c>
      <c r="K172" s="4" t="str">
        <f t="shared" si="135"/>
        <v xml:space="preserve">                                                     section .bss object hmc_ds.o,</v>
      </c>
    </row>
    <row r="173" spans="1:11" x14ac:dyDescent="0.25">
      <c r="A173" t="s">
        <v>535</v>
      </c>
      <c r="B173" t="str">
        <f t="shared" si="131"/>
        <v/>
      </c>
      <c r="C173">
        <f t="shared" si="97"/>
        <v>0</v>
      </c>
      <c r="D173" t="s">
        <v>219</v>
      </c>
      <c r="E173" t="str">
        <f t="shared" si="138"/>
        <v>hmc_eng.o</v>
      </c>
      <c r="F173">
        <f t="shared" ca="1" si="139"/>
        <v>0</v>
      </c>
      <c r="H173">
        <f t="shared" ca="1" si="140"/>
        <v>536854256</v>
      </c>
      <c r="I173" t="str">
        <f t="shared" ca="1" si="141"/>
        <v>0x1FFFBEF0</v>
      </c>
      <c r="J173" s="4" t="str">
        <f t="shared" si="137"/>
        <v/>
      </c>
      <c r="K173" s="4" t="str">
        <f t="shared" si="135"/>
        <v xml:space="preserve">                                                     section .bss object hmc_eng.o,</v>
      </c>
    </row>
    <row r="174" spans="1:11" x14ac:dyDescent="0.25">
      <c r="A174" t="s">
        <v>535</v>
      </c>
      <c r="B174" t="str">
        <f t="shared" si="131"/>
        <v/>
      </c>
      <c r="C174">
        <f t="shared" si="97"/>
        <v>0</v>
      </c>
      <c r="D174" t="s">
        <v>366</v>
      </c>
      <c r="E174" t="str">
        <f t="shared" si="138"/>
        <v>hmc_finish.o</v>
      </c>
      <c r="F174">
        <f t="shared" ca="1" si="139"/>
        <v>0</v>
      </c>
      <c r="H174">
        <f t="shared" ca="1" si="140"/>
        <v>536854256</v>
      </c>
      <c r="I174" t="str">
        <f t="shared" ca="1" si="141"/>
        <v>0x1FFFBEF0</v>
      </c>
      <c r="J174" s="4" t="str">
        <f t="shared" si="137"/>
        <v/>
      </c>
      <c r="K174" s="4" t="str">
        <f t="shared" si="135"/>
        <v xml:space="preserve">                                                     section .bss object hmc_finish.o,</v>
      </c>
    </row>
    <row r="175" spans="1:11" x14ac:dyDescent="0.25">
      <c r="A175" t="s">
        <v>535</v>
      </c>
      <c r="B175" t="str">
        <f t="shared" si="131"/>
        <v/>
      </c>
      <c r="C175">
        <f t="shared" si="97"/>
        <v>0</v>
      </c>
      <c r="D175" t="s">
        <v>390</v>
      </c>
      <c r="E175" t="str">
        <f t="shared" si="138"/>
        <v>hmc_msg.o</v>
      </c>
      <c r="F175">
        <f t="shared" ca="1" si="139"/>
        <v>0</v>
      </c>
      <c r="H175">
        <f t="shared" ca="1" si="140"/>
        <v>536854256</v>
      </c>
      <c r="I175" t="str">
        <f t="shared" ca="1" si="141"/>
        <v>0x1FFFBEF0</v>
      </c>
      <c r="J175" s="4" t="str">
        <f t="shared" si="137"/>
        <v/>
      </c>
      <c r="K175" s="4" t="str">
        <f t="shared" si="135"/>
        <v xml:space="preserve">                                                     section .bss object hmc_msg.o,</v>
      </c>
    </row>
    <row r="176" spans="1:11" x14ac:dyDescent="0.25">
      <c r="A176" t="s">
        <v>535</v>
      </c>
      <c r="B176" t="str">
        <f t="shared" si="131"/>
        <v/>
      </c>
      <c r="C176">
        <f t="shared" si="97"/>
        <v>0</v>
      </c>
      <c r="D176" t="s">
        <v>216</v>
      </c>
      <c r="E176" t="str">
        <f t="shared" si="138"/>
        <v>hmc_mtr_info.o</v>
      </c>
      <c r="F176">
        <f t="shared" ca="1" si="139"/>
        <v>0</v>
      </c>
      <c r="H176">
        <f t="shared" ca="1" si="140"/>
        <v>536854256</v>
      </c>
      <c r="I176" t="str">
        <f t="shared" ca="1" si="141"/>
        <v>0x1FFFBEF0</v>
      </c>
      <c r="J176" s="4" t="str">
        <f t="shared" si="137"/>
        <v/>
      </c>
      <c r="K176" s="4" t="str">
        <f t="shared" si="135"/>
        <v xml:space="preserve">                                                     section .bss object hmc_mtr_info.o,</v>
      </c>
    </row>
    <row r="177" spans="1:11" x14ac:dyDescent="0.25">
      <c r="A177" t="s">
        <v>535</v>
      </c>
      <c r="B177" t="str">
        <f t="shared" si="131"/>
        <v/>
      </c>
      <c r="C177">
        <f t="shared" si="97"/>
        <v>0</v>
      </c>
      <c r="D177" t="s">
        <v>574</v>
      </c>
      <c r="E177" t="str">
        <f t="shared" si="138"/>
        <v>hmc_mtr_lp.o</v>
      </c>
      <c r="F177">
        <f t="shared" ca="1" si="139"/>
        <v>0</v>
      </c>
      <c r="H177">
        <f t="shared" ca="1" si="140"/>
        <v>536854256</v>
      </c>
      <c r="I177" t="str">
        <f t="shared" ca="1" si="141"/>
        <v>0x1FFFBEF0</v>
      </c>
      <c r="J177" s="4" t="str">
        <f t="shared" si="137"/>
        <v/>
      </c>
      <c r="K177" s="4" t="str">
        <f t="shared" si="135"/>
        <v xml:space="preserve">                                                     section .bss object hmc_mtr_lp.o,</v>
      </c>
    </row>
    <row r="178" spans="1:11" x14ac:dyDescent="0.25">
      <c r="A178" t="s">
        <v>535</v>
      </c>
      <c r="B178" t="str">
        <f t="shared" si="131"/>
        <v/>
      </c>
      <c r="C178">
        <f t="shared" si="97"/>
        <v>0</v>
      </c>
      <c r="D178" t="s">
        <v>378</v>
      </c>
      <c r="E178" t="str">
        <f t="shared" si="138"/>
        <v>hmc_prot.o</v>
      </c>
      <c r="F178">
        <f t="shared" ca="1" si="139"/>
        <v>0</v>
      </c>
      <c r="H178">
        <f t="shared" ca="1" si="140"/>
        <v>536854256</v>
      </c>
      <c r="I178" t="str">
        <f t="shared" ca="1" si="141"/>
        <v>0x1FFFBEF0</v>
      </c>
      <c r="J178" s="4" t="str">
        <f t="shared" si="137"/>
        <v/>
      </c>
      <c r="K178" s="4" t="str">
        <f t="shared" si="135"/>
        <v xml:space="preserve">                                                     section .bss object hmc_prot.o,</v>
      </c>
    </row>
    <row r="179" spans="1:11" x14ac:dyDescent="0.25">
      <c r="A179" t="s">
        <v>535</v>
      </c>
      <c r="B179" t="str">
        <f t="shared" si="131"/>
        <v/>
      </c>
      <c r="C179">
        <f t="shared" si="97"/>
        <v>0</v>
      </c>
      <c r="D179" t="s">
        <v>404</v>
      </c>
      <c r="E179" t="str">
        <f t="shared" si="138"/>
        <v>hmc_request.o</v>
      </c>
      <c r="F179">
        <f t="shared" ca="1" si="139"/>
        <v>0</v>
      </c>
      <c r="H179">
        <f t="shared" ca="1" si="140"/>
        <v>536854256</v>
      </c>
      <c r="I179" t="str">
        <f t="shared" ca="1" si="141"/>
        <v>0x1FFFBEF0</v>
      </c>
      <c r="J179" s="4" t="str">
        <f t="shared" si="137"/>
        <v/>
      </c>
      <c r="K179" s="4" t="str">
        <f t="shared" si="135"/>
        <v xml:space="preserve">                                                     section .bss object hmc_request.o,</v>
      </c>
    </row>
    <row r="180" spans="1:11" x14ac:dyDescent="0.25">
      <c r="A180" t="s">
        <v>535</v>
      </c>
      <c r="B180" t="str">
        <f t="shared" si="131"/>
        <v/>
      </c>
      <c r="C180">
        <f t="shared" si="97"/>
        <v>0</v>
      </c>
      <c r="D180" t="s">
        <v>575</v>
      </c>
      <c r="E180" t="str">
        <f t="shared" si="138"/>
        <v>hmc_seq_id.o</v>
      </c>
      <c r="F180">
        <f t="shared" ca="1" si="139"/>
        <v>0</v>
      </c>
      <c r="H180">
        <f t="shared" ca="1" si="140"/>
        <v>536854256</v>
      </c>
      <c r="I180" t="str">
        <f t="shared" ca="1" si="141"/>
        <v>0x1FFFBEF0</v>
      </c>
      <c r="J180" s="4" t="str">
        <f t="shared" si="137"/>
        <v/>
      </c>
      <c r="K180" s="4" t="str">
        <f t="shared" si="135"/>
        <v xml:space="preserve">                                                     section .bss object hmc_seq_id.o,</v>
      </c>
    </row>
    <row r="181" spans="1:11" x14ac:dyDescent="0.25">
      <c r="A181" t="s">
        <v>535</v>
      </c>
      <c r="B181" t="str">
        <f t="shared" si="131"/>
        <v/>
      </c>
      <c r="C181">
        <f t="shared" si="97"/>
        <v>0</v>
      </c>
      <c r="D181" t="s">
        <v>405</v>
      </c>
      <c r="E181" t="str">
        <f t="shared" si="138"/>
        <v>hmc_snapshot.o</v>
      </c>
      <c r="F181">
        <f t="shared" ca="1" si="139"/>
        <v>0</v>
      </c>
      <c r="H181">
        <f t="shared" ca="1" si="140"/>
        <v>536854256</v>
      </c>
      <c r="I181" t="str">
        <f t="shared" ca="1" si="141"/>
        <v>0x1FFFBEF0</v>
      </c>
      <c r="J181" s="4" t="str">
        <f t="shared" si="137"/>
        <v/>
      </c>
      <c r="K181" s="4" t="str">
        <f t="shared" si="135"/>
        <v xml:space="preserve">                                                     section .bss object hmc_snapshot.o,</v>
      </c>
    </row>
    <row r="182" spans="1:11" x14ac:dyDescent="0.25">
      <c r="A182" t="s">
        <v>535</v>
      </c>
      <c r="B182" t="str">
        <f t="shared" si="131"/>
        <v/>
      </c>
      <c r="C182">
        <f t="shared" si="97"/>
        <v>0</v>
      </c>
      <c r="D182" t="s">
        <v>311</v>
      </c>
      <c r="E182" t="str">
        <f t="shared" si="138"/>
        <v>hmc_start.o</v>
      </c>
      <c r="F182">
        <f t="shared" ca="1" si="139"/>
        <v>0</v>
      </c>
      <c r="H182">
        <f t="shared" ca="1" si="140"/>
        <v>536854256</v>
      </c>
      <c r="I182" t="str">
        <f t="shared" ca="1" si="141"/>
        <v>0x1FFFBEF0</v>
      </c>
      <c r="J182" s="4" t="str">
        <f t="shared" si="137"/>
        <v/>
      </c>
      <c r="K182" s="4" t="str">
        <f t="shared" si="135"/>
        <v xml:space="preserve">                                                     section .bss object hmc_start.o,</v>
      </c>
    </row>
    <row r="183" spans="1:11" x14ac:dyDescent="0.25">
      <c r="A183" t="s">
        <v>535</v>
      </c>
      <c r="B183" t="str">
        <f t="shared" si="131"/>
        <v/>
      </c>
      <c r="C183">
        <f t="shared" si="97"/>
        <v>0</v>
      </c>
      <c r="D183" t="s">
        <v>576</v>
      </c>
      <c r="E183" t="str">
        <f t="shared" si="138"/>
        <v>hmc_sync.o</v>
      </c>
      <c r="F183">
        <f t="shared" ca="1" si="139"/>
        <v>0</v>
      </c>
      <c r="H183">
        <f t="shared" ca="1" si="140"/>
        <v>536854256</v>
      </c>
      <c r="I183" t="str">
        <f t="shared" ca="1" si="141"/>
        <v>0x1FFFBEF0</v>
      </c>
      <c r="J183" s="4" t="str">
        <f t="shared" si="137"/>
        <v/>
      </c>
      <c r="K183" s="4" t="str">
        <f t="shared" si="135"/>
        <v xml:space="preserve">                                                     section .bss object hmc_sync.o,</v>
      </c>
    </row>
    <row r="184" spans="1:11" x14ac:dyDescent="0.25">
      <c r="A184" t="s">
        <v>535</v>
      </c>
      <c r="B184" t="str">
        <f t="shared" si="131"/>
        <v/>
      </c>
      <c r="C184">
        <f t="shared" si="97"/>
        <v>0</v>
      </c>
      <c r="D184" t="s">
        <v>577</v>
      </c>
      <c r="E184" t="str">
        <f t="shared" si="138"/>
        <v>hmc_time.o</v>
      </c>
      <c r="F184">
        <f t="shared" ca="1" si="139"/>
        <v>0</v>
      </c>
      <c r="H184">
        <f t="shared" ca="1" si="140"/>
        <v>536854256</v>
      </c>
      <c r="I184" t="str">
        <f t="shared" ca="1" si="141"/>
        <v>0x1FFFBEF0</v>
      </c>
      <c r="J184" s="4" t="str">
        <f t="shared" si="137"/>
        <v/>
      </c>
      <c r="K184" s="4" t="str">
        <f t="shared" si="135"/>
        <v xml:space="preserve">                                                     section .bss object hmc_time.o,</v>
      </c>
    </row>
    <row r="185" spans="1:11" x14ac:dyDescent="0.25">
      <c r="A185" t="s">
        <v>535</v>
      </c>
      <c r="B185" t="str">
        <f t="shared" si="131"/>
        <v/>
      </c>
      <c r="C185">
        <f t="shared" si="97"/>
        <v>0</v>
      </c>
      <c r="D185" t="s">
        <v>438</v>
      </c>
      <c r="E185" t="str">
        <f t="shared" si="138"/>
        <v>hmc_tsk_lst.o</v>
      </c>
      <c r="F185">
        <f t="shared" ca="1" si="139"/>
        <v>0</v>
      </c>
      <c r="H185">
        <f t="shared" ca="1" si="140"/>
        <v>536854256</v>
      </c>
      <c r="I185" t="str">
        <f t="shared" ca="1" si="141"/>
        <v>0x1FFFBEF0</v>
      </c>
      <c r="J185" s="4" t="str">
        <f t="shared" si="137"/>
        <v/>
      </c>
      <c r="K185" s="4" t="str">
        <f t="shared" si="135"/>
        <v xml:space="preserve">                                                     section .bss object hmc_tsk_lst.o,</v>
      </c>
    </row>
    <row r="186" spans="1:11" x14ac:dyDescent="0.25">
      <c r="A186" t="s">
        <v>535</v>
      </c>
      <c r="B186" t="str">
        <f t="shared" si="131"/>
        <v/>
      </c>
      <c r="C186">
        <f t="shared" si="97"/>
        <v>0</v>
      </c>
      <c r="D186" t="s">
        <v>214</v>
      </c>
      <c r="E186" t="str">
        <f t="shared" si="138"/>
        <v>intf_cim_cmd.o</v>
      </c>
      <c r="F186">
        <f t="shared" ca="1" si="139"/>
        <v>0</v>
      </c>
      <c r="H186">
        <f t="shared" ca="1" si="140"/>
        <v>536854256</v>
      </c>
      <c r="I186" t="str">
        <f t="shared" ca="1" si="141"/>
        <v>0x1FFFBEF0</v>
      </c>
      <c r="J186" s="4" t="str">
        <f t="shared" si="137"/>
        <v/>
      </c>
      <c r="K186" s="4" t="str">
        <f t="shared" si="135"/>
        <v xml:space="preserve">                                                     section .bss object intf_cim_cmd.o,</v>
      </c>
    </row>
    <row r="187" spans="1:11" x14ac:dyDescent="0.25">
      <c r="A187" t="s">
        <v>535</v>
      </c>
      <c r="B187" t="str">
        <f t="shared" ref="B187" si="142">IF(A187&lt;&gt;A186,A187&amp;$B$1,"")</f>
        <v/>
      </c>
      <c r="C187">
        <f t="shared" ref="C187" si="143">LEN(B187)</f>
        <v>0</v>
      </c>
      <c r="D187" t="s">
        <v>1085</v>
      </c>
      <c r="E187" t="str">
        <f t="shared" si="138"/>
        <v>hmc_prg_mtr.o</v>
      </c>
      <c r="F187">
        <f t="shared" ca="1" si="139"/>
        <v>0</v>
      </c>
      <c r="H187">
        <f t="shared" ca="1" si="140"/>
        <v>536854256</v>
      </c>
      <c r="I187" t="str">
        <f t="shared" ca="1" si="141"/>
        <v>0x1FFFBEF0</v>
      </c>
      <c r="J187" s="4" t="str">
        <f t="shared" ref="J187" si="144">IF(B187="","","define symbol "&amp;B187&amp;REPT(" ",$C$4-C187)&amp;"= "&amp;I185&amp;";")</f>
        <v/>
      </c>
      <c r="K187" s="4" t="str">
        <f t="shared" si="135"/>
        <v xml:space="preserve">                                                     section .bss object hmc_prg_mtr.o,</v>
      </c>
    </row>
    <row r="188" spans="1:11" x14ac:dyDescent="0.25">
      <c r="A188" t="s">
        <v>535</v>
      </c>
      <c r="B188" t="str">
        <f t="shared" ref="B188" si="145">IF(A188&lt;&gt;A187,A188&amp;$B$1,"")</f>
        <v/>
      </c>
      <c r="C188">
        <f t="shared" ref="C188" si="146">LEN(B188)</f>
        <v>0</v>
      </c>
      <c r="D188" t="s">
        <v>1727</v>
      </c>
      <c r="E188" t="str">
        <f t="shared" ref="E188" si="147">SUBSTITUTE(D188,"-","_")</f>
        <v>hmc_display.o</v>
      </c>
      <c r="F188">
        <f t="shared" ref="F188" ca="1" si="148">IFERROR(VLOOKUP(D188,INDIRECT($F$1),2,FALSE),0)</f>
        <v>0</v>
      </c>
      <c r="H188">
        <f t="shared" ca="1" si="140"/>
        <v>536854256</v>
      </c>
      <c r="I188" t="str">
        <f t="shared" ref="I188" ca="1" si="149">"0x"&amp;DEC2HEX(H188,8)</f>
        <v>0x1FFFBEF0</v>
      </c>
      <c r="J188" s="4" t="str">
        <f t="shared" ref="J188" si="150">IF(B188="","","define symbol "&amp;B188&amp;REPT(" ",$C$4-C188)&amp;"= "&amp;I186&amp;";")</f>
        <v/>
      </c>
      <c r="K188" s="4" t="str">
        <f t="shared" si="135"/>
        <v xml:space="preserve">                                                     section .bss object hmc_display.o };</v>
      </c>
    </row>
    <row r="189" spans="1:11" x14ac:dyDescent="0.25">
      <c r="B189" t="str">
        <f>B169&amp;"_end"</f>
        <v>HMC_BSS_end</v>
      </c>
      <c r="C189">
        <f>LEN(B189)-4</f>
        <v>7</v>
      </c>
      <c r="F189">
        <f ca="1">SUM(F169:F188)</f>
        <v>0</v>
      </c>
      <c r="G189">
        <f ca="1">INT(($G$166/100)*F189)</f>
        <v>0</v>
      </c>
      <c r="H189">
        <f t="shared" ca="1" si="140"/>
        <v>536854256</v>
      </c>
      <c r="I189" t="str">
        <f t="shared" ref="I189" ca="1" si="151">"0x"&amp;DEC2HEX(H189,8)</f>
        <v>0x1FFFBEF0</v>
      </c>
      <c r="J189" s="4"/>
      <c r="K189" s="4" t="str">
        <f>""""&amp;MID(B189,1,LEN(B189)-4)&amp;""":"&amp;REPT(" ",$C$4-C189)&amp;"place at address mem: "&amp;MID(B189,1,LEN(B189)-4)&amp;REPT(" ",$C$4-C189)&amp;"{ block "&amp;MID(B189,1,LEN(B189)-4)&amp;"_BLK, rw data };"</f>
        <v>"HMC_BSS":        place at address mem: HMC_BSS        { block HMC_BSS_BLK, rw data };</v>
      </c>
    </row>
    <row r="190" spans="1:11" x14ac:dyDescent="0.25">
      <c r="J190" s="4"/>
      <c r="K190" s="4"/>
    </row>
    <row r="191" spans="1:11" x14ac:dyDescent="0.25">
      <c r="F191" t="s">
        <v>526</v>
      </c>
      <c r="G191">
        <f ca="1">VLOOKUP(B194,INDIRECT(GlobalPlcmnt!$B$134),GlobalPlcmnt!$B$138,FALSE)</f>
        <v>5</v>
      </c>
      <c r="J191" s="4"/>
      <c r="K191" s="4"/>
    </row>
    <row r="192" spans="1:11" x14ac:dyDescent="0.25">
      <c r="F192" t="s">
        <v>608</v>
      </c>
      <c r="G192">
        <f ca="1">VLOOKUP(B194,INDIRECT(GlobalPlcmnt!$B$134),GlobalPlcmnt!$C$138,FALSE)</f>
        <v>8</v>
      </c>
      <c r="J192" s="4"/>
      <c r="K192" s="4"/>
    </row>
    <row r="193" spans="1:11" x14ac:dyDescent="0.25">
      <c r="F193" t="s">
        <v>542</v>
      </c>
      <c r="J193" s="4"/>
      <c r="K193" s="4"/>
    </row>
    <row r="194" spans="1:11" x14ac:dyDescent="0.25">
      <c r="A194" t="s">
        <v>1129</v>
      </c>
      <c r="B194" t="str">
        <f t="shared" ref="B194:B195" si="152">IF(A194&lt;&gt;A193,A194&amp;$B$1,"")</f>
        <v>AclaraDA_BSS</v>
      </c>
      <c r="C194">
        <f t="shared" ref="C194:C202" si="153">LEN(B194)</f>
        <v>12</v>
      </c>
      <c r="D194" t="s">
        <v>1130</v>
      </c>
      <c r="E194" t="str">
        <f t="shared" ref="E194:E202" si="154">SUBSTITUTE(D194,"-","_")</f>
        <v>b2b.o</v>
      </c>
      <c r="F194">
        <f t="shared" ref="F194:F202" ca="1" si="155">IFERROR(VLOOKUP(D194,INDIRECT($F$1),2,FALSE),0)</f>
        <v>142</v>
      </c>
      <c r="H194">
        <f ca="1">VLOOKUP(B194,INDIRECT(GlobalPlcmnt!$B$134),GlobalPlcmnt!$A$138,FALSE)</f>
        <v>536854256</v>
      </c>
      <c r="I194" t="str">
        <f t="shared" ref="I194:I203" ca="1" si="156">"0x"&amp;DEC2HEX(H194,8)</f>
        <v>0x1FFFBEF0</v>
      </c>
      <c r="J194" s="4" t="str">
        <f ca="1">IF(B194="","","define symbol "&amp;B194&amp;REPT(" ",$C$4-C194)&amp;"= "&amp;I194&amp;";")</f>
        <v>define symbol AclaraDA_BSS   = 0x1FFFBEF0;</v>
      </c>
      <c r="K194" s="4" t="str">
        <f>IF(B194="",REPT(" ",$C$4+$K$4)&amp;$K$2&amp;D194&amp;IF(B195="",","," };"),"define block "&amp;B194&amp;"_BLK with alignment = 4"&amp;REPT(" ",$C$4-C194)&amp;"{ "&amp;K$2&amp;D194&amp;IF(B195="",","," };"))</f>
        <v>define block AclaraDA_BSS_BLK with alignment = 4   { section .bss object b2b.o,</v>
      </c>
    </row>
    <row r="195" spans="1:11" x14ac:dyDescent="0.25">
      <c r="A195" t="s">
        <v>1129</v>
      </c>
      <c r="B195" t="str">
        <f t="shared" si="152"/>
        <v/>
      </c>
      <c r="C195">
        <f t="shared" si="153"/>
        <v>0</v>
      </c>
      <c r="D195" t="s">
        <v>1131</v>
      </c>
      <c r="E195" t="str">
        <f t="shared" si="154"/>
        <v>b2b_req_handler.o</v>
      </c>
      <c r="F195">
        <f t="shared" ca="1" si="155"/>
        <v>0</v>
      </c>
      <c r="H195">
        <f ca="1">H194+F194+G194+IF(MOD(F194+H194+G194,$G$192)=0,0,$G$192-MOD(F194+H194+G194,$G$192))</f>
        <v>536854400</v>
      </c>
      <c r="I195" t="str">
        <f t="shared" ca="1" si="156"/>
        <v>0x1FFFBF80</v>
      </c>
      <c r="J195" s="4" t="str">
        <f t="shared" ref="J195:J202" si="157">IF(B195="","","define symbol "&amp;B195&amp;REPT(" ",$C$3-C195)&amp;" = "&amp;I195&amp;";")</f>
        <v/>
      </c>
      <c r="K195" s="4" t="str">
        <f t="shared" ref="K195:K202" si="158">IF(B195="",REPT(" ",$C$4+$K$4)&amp;$K$2&amp;D195&amp;IF(B196="",","," };"),"define block "&amp;B195&amp;"_BLK with alignment = 4"&amp;REPT(" ",$C$4-C195)&amp;"{ "&amp;K$2&amp;D195&amp;IF(B196="",","," };"))</f>
        <v xml:space="preserve">                                                     section .bss object b2b_req_handler.o,</v>
      </c>
    </row>
    <row r="196" spans="1:11" x14ac:dyDescent="0.25">
      <c r="A196" t="s">
        <v>1129</v>
      </c>
      <c r="C196">
        <f t="shared" si="153"/>
        <v>0</v>
      </c>
      <c r="D196" t="s">
        <v>1132</v>
      </c>
      <c r="E196" t="str">
        <f t="shared" si="154"/>
        <v>b2bMessage.o</v>
      </c>
      <c r="F196">
        <f t="shared" ca="1" si="155"/>
        <v>0</v>
      </c>
      <c r="H196">
        <f t="shared" ref="H196:H202" ca="1" si="159">H195+F195+G195+IF(MOD(F195+H195+G195,$G$192)=0,0,$G$192-MOD(F195+H195+G195,$G$192))</f>
        <v>536854400</v>
      </c>
      <c r="I196" t="str">
        <f t="shared" ca="1" si="156"/>
        <v>0x1FFFBF80</v>
      </c>
      <c r="J196" s="4" t="str">
        <f t="shared" si="157"/>
        <v/>
      </c>
      <c r="K196" s="4" t="str">
        <f t="shared" si="158"/>
        <v xml:space="preserve">                                                     section .bss object b2bMessage.o,</v>
      </c>
    </row>
    <row r="197" spans="1:11" x14ac:dyDescent="0.25">
      <c r="A197" t="s">
        <v>1129</v>
      </c>
      <c r="C197">
        <f t="shared" si="153"/>
        <v>0</v>
      </c>
      <c r="D197" t="s">
        <v>1133</v>
      </c>
      <c r="E197" t="str">
        <f t="shared" si="154"/>
        <v>da_srfn_reg.o</v>
      </c>
      <c r="F197">
        <f t="shared" ca="1" si="155"/>
        <v>212</v>
      </c>
      <c r="H197">
        <f t="shared" ca="1" si="159"/>
        <v>536854400</v>
      </c>
      <c r="I197" t="str">
        <f t="shared" ca="1" si="156"/>
        <v>0x1FFFBF80</v>
      </c>
      <c r="J197" s="4" t="str">
        <f t="shared" si="157"/>
        <v/>
      </c>
      <c r="K197" s="4" t="str">
        <f>IF(B197="",REPT(" ",$C$4+$K$4)&amp;$K$2&amp;D197&amp;IF(B199="",","," };"),"define block "&amp;B197&amp;"_BLK with alignment = 4"&amp;REPT(" ",$C$4-C197)&amp;"{ "&amp;K$2&amp;D197&amp;IF(B199="",","," };"))</f>
        <v xml:space="preserve">                                                     section .bss object da_srfn_reg.o,</v>
      </c>
    </row>
    <row r="198" spans="1:11" x14ac:dyDescent="0.25">
      <c r="A198" t="s">
        <v>1129</v>
      </c>
      <c r="C198">
        <f t="shared" si="153"/>
        <v>0</v>
      </c>
      <c r="D198" t="s">
        <v>1134</v>
      </c>
      <c r="E198" t="str">
        <f t="shared" si="154"/>
        <v>hdlc_frame.o</v>
      </c>
      <c r="F198">
        <f t="shared" ca="1" si="155"/>
        <v>2110</v>
      </c>
      <c r="H198">
        <f t="shared" ca="1" si="159"/>
        <v>536854616</v>
      </c>
      <c r="I198" t="str">
        <f t="shared" ca="1" si="156"/>
        <v>0x1FFFC058</v>
      </c>
      <c r="J198" s="4" t="str">
        <f t="shared" si="157"/>
        <v/>
      </c>
      <c r="K198" s="4" t="str">
        <f>IF(B198="",REPT(" ",$C$4+$K$4)&amp;$K$2&amp;D198&amp;IF(B200="",","," };"),"define block "&amp;B198&amp;"_BLK with alignment = 4"&amp;REPT(" ",$C$4-C198)&amp;"{ "&amp;K$2&amp;D198&amp;IF(B200="",","," };"))</f>
        <v xml:space="preserve">                                                     section .bss object hdlc_frame.o,</v>
      </c>
    </row>
    <row r="199" spans="1:11" x14ac:dyDescent="0.25">
      <c r="A199" t="s">
        <v>1129</v>
      </c>
      <c r="C199">
        <f t="shared" si="153"/>
        <v>0</v>
      </c>
      <c r="D199" t="s">
        <v>1135</v>
      </c>
      <c r="E199" t="str">
        <f t="shared" si="154"/>
        <v>host_reset.o</v>
      </c>
      <c r="F199">
        <f t="shared" ca="1" si="155"/>
        <v>1</v>
      </c>
      <c r="H199">
        <f t="shared" ca="1" si="159"/>
        <v>536856728</v>
      </c>
      <c r="I199" t="str">
        <f t="shared" ca="1" si="156"/>
        <v>0x1FFFC898</v>
      </c>
      <c r="J199" s="4" t="str">
        <f t="shared" si="157"/>
        <v/>
      </c>
      <c r="K199" s="4" t="str">
        <f t="shared" si="158"/>
        <v xml:space="preserve">                                                     section .bss object host_reset.o,</v>
      </c>
    </row>
    <row r="200" spans="1:11" x14ac:dyDescent="0.25">
      <c r="A200" t="s">
        <v>1129</v>
      </c>
      <c r="C200">
        <f t="shared" si="153"/>
        <v>0</v>
      </c>
      <c r="D200" t="s">
        <v>1136</v>
      </c>
      <c r="E200" t="str">
        <f t="shared" si="154"/>
        <v>nw_connected.o</v>
      </c>
      <c r="F200">
        <f t="shared" ca="1" si="155"/>
        <v>0</v>
      </c>
      <c r="H200">
        <f t="shared" ca="1" si="159"/>
        <v>536856736</v>
      </c>
      <c r="I200" t="str">
        <f t="shared" ca="1" si="156"/>
        <v>0x1FFFC8A0</v>
      </c>
      <c r="J200" s="4" t="str">
        <f t="shared" si="157"/>
        <v/>
      </c>
      <c r="K200" s="4" t="str">
        <f t="shared" si="158"/>
        <v xml:space="preserve">                                                     section .bss object nw_connected.o,</v>
      </c>
    </row>
    <row r="201" spans="1:11" x14ac:dyDescent="0.25">
      <c r="A201" t="s">
        <v>1129</v>
      </c>
      <c r="C201">
        <f t="shared" si="153"/>
        <v>0</v>
      </c>
      <c r="D201" t="s">
        <v>1137</v>
      </c>
      <c r="E201" t="str">
        <f t="shared" si="154"/>
        <v>TUNNEL_MSG_Handler.o</v>
      </c>
      <c r="F201">
        <f t="shared" ca="1" si="155"/>
        <v>41</v>
      </c>
      <c r="H201">
        <f t="shared" ca="1" si="159"/>
        <v>536856736</v>
      </c>
      <c r="I201" t="str">
        <f t="shared" ca="1" si="156"/>
        <v>0x1FFFC8A0</v>
      </c>
      <c r="J201" s="4" t="str">
        <f t="shared" si="157"/>
        <v/>
      </c>
      <c r="K201" s="4" t="str">
        <f t="shared" si="158"/>
        <v xml:space="preserve">                                                     section .bss object TUNNEL_MSG_Handler.o,</v>
      </c>
    </row>
    <row r="202" spans="1:11" x14ac:dyDescent="0.25">
      <c r="A202" t="s">
        <v>1129</v>
      </c>
      <c r="C202">
        <f t="shared" si="153"/>
        <v>0</v>
      </c>
      <c r="D202" t="s">
        <v>1138</v>
      </c>
      <c r="E202" t="str">
        <f t="shared" si="154"/>
        <v>tunnel_Util.o</v>
      </c>
      <c r="F202">
        <f t="shared" ca="1" si="155"/>
        <v>0</v>
      </c>
      <c r="H202">
        <f t="shared" ca="1" si="159"/>
        <v>536856784</v>
      </c>
      <c r="I202" t="str">
        <f t="shared" ca="1" si="156"/>
        <v>0x1FFFC8D0</v>
      </c>
      <c r="J202" s="4" t="str">
        <f t="shared" si="157"/>
        <v/>
      </c>
      <c r="K202" s="4" t="str">
        <f t="shared" si="158"/>
        <v xml:space="preserve">                                                     section .bss object tunnel_Util.o };</v>
      </c>
    </row>
    <row r="203" spans="1:11" x14ac:dyDescent="0.25">
      <c r="B203" t="str">
        <f>B194&amp;"_end"</f>
        <v>AclaraDA_BSS_end</v>
      </c>
      <c r="C203">
        <f>LEN(B203)-4</f>
        <v>12</v>
      </c>
      <c r="F203">
        <f ca="1">SUM(F194:F202)</f>
        <v>2506</v>
      </c>
      <c r="G203">
        <f ca="1">INT(($G$191/100)*F203)</f>
        <v>125</v>
      </c>
      <c r="H203">
        <f ca="1">H202+F202+G203+IF(MOD(F202+H202+G203,$G$192)=0,0,$G$192-MOD(F202+H202+G203,$G$192))</f>
        <v>536856912</v>
      </c>
      <c r="I203" t="str">
        <f t="shared" ca="1" si="156"/>
        <v>0x1FFFC950</v>
      </c>
      <c r="J203" s="4"/>
      <c r="K203" s="4" t="str">
        <f>""""&amp;MID(B203,1,LEN(B203)-4)&amp;""":"&amp;REPT(" ",$C$4-C203)&amp;"place at address mem: "&amp;MID(B203,1,LEN(B203)-4)&amp;REPT(" ",$C$4-C203)&amp;"{ block "&amp;MID(B203,1,LEN(B203)-4)&amp;"_BLK, rw data };"</f>
        <v>"AclaraDA_BSS":   place at address mem: AclaraDA_BSS   { block AclaraDA_BSS_BLK, rw data };</v>
      </c>
    </row>
    <row r="204" spans="1:11" x14ac:dyDescent="0.25">
      <c r="J204" s="4"/>
      <c r="K204" s="4"/>
    </row>
    <row r="205" spans="1:11" x14ac:dyDescent="0.25">
      <c r="F205" t="s">
        <v>526</v>
      </c>
      <c r="G205">
        <f ca="1">VLOOKUP(B208,INDIRECT(GlobalPlcmnt!$B$134),GlobalPlcmnt!$B$138,FALSE)</f>
        <v>5</v>
      </c>
      <c r="J205" s="4"/>
      <c r="K205" s="4"/>
    </row>
    <row r="206" spans="1:11" x14ac:dyDescent="0.25">
      <c r="F206" t="s">
        <v>608</v>
      </c>
      <c r="G206">
        <f ca="1">VLOOKUP(B208,INDIRECT(GlobalPlcmnt!$B$134),GlobalPlcmnt!$C$138,FALSE)</f>
        <v>8</v>
      </c>
      <c r="J206" s="4"/>
      <c r="K206" s="4"/>
    </row>
    <row r="207" spans="1:11" x14ac:dyDescent="0.25">
      <c r="F207" t="s">
        <v>542</v>
      </c>
      <c r="J207" s="4"/>
      <c r="K207" s="4"/>
    </row>
    <row r="208" spans="1:11" x14ac:dyDescent="0.25">
      <c r="A208" t="s">
        <v>537</v>
      </c>
      <c r="B208" t="str">
        <f t="shared" ref="B208:B225" si="160">IF(A208&lt;&gt;A207,A208&amp;$B$1,"")</f>
        <v>MTU_Common_BSS</v>
      </c>
      <c r="C208">
        <f t="shared" si="97"/>
        <v>14</v>
      </c>
      <c r="D208" t="s">
        <v>221</v>
      </c>
      <c r="E208" t="str">
        <f t="shared" si="132"/>
        <v>APP_MSG_Handler.o</v>
      </c>
      <c r="F208">
        <f t="shared" ref="F208:F209" ca="1" si="161">IFERROR(VLOOKUP(D208,INDIRECT($F$1),2,FALSE),0)</f>
        <v>268</v>
      </c>
      <c r="H208">
        <f ca="1">VLOOKUP(B208,INDIRECT(GlobalPlcmnt!$B$134),GlobalPlcmnt!$A$138,FALSE)</f>
        <v>536856912</v>
      </c>
      <c r="I208" t="str">
        <f t="shared" ref="I208" ca="1" si="162">"0x"&amp;DEC2HEX(H208,8)</f>
        <v>0x1FFFC950</v>
      </c>
      <c r="J208" s="4" t="str">
        <f ca="1">IF(B208="","","define symbol "&amp;B208&amp;REPT(" ",$C$4-C208)&amp;"= "&amp;I208&amp;";")</f>
        <v>define symbol MTU_Common_BSS = 0x1FFFC950;</v>
      </c>
      <c r="K208" s="4" t="str">
        <f t="shared" ref="K208:K225" si="163">IF(B208="",REPT(" ",$C$4+$K$4)&amp;$K$2&amp;D208&amp;IF(B209="",","," };"),"define block "&amp;B208&amp;"_BLK with alignment = 4"&amp;REPT(" ",$C$4-C208)&amp;"{ "&amp;K$2&amp;D208&amp;IF(B209="",","," };"))</f>
        <v>define block MTU_Common_BSS_BLK with alignment = 4 { section .bss object APP_MSG_Handler.o,</v>
      </c>
    </row>
    <row r="209" spans="1:11" x14ac:dyDescent="0.25">
      <c r="A209" t="s">
        <v>537</v>
      </c>
      <c r="B209" t="str">
        <f t="shared" si="160"/>
        <v/>
      </c>
      <c r="C209">
        <f t="shared" si="97"/>
        <v>0</v>
      </c>
      <c r="D209" t="s">
        <v>222</v>
      </c>
      <c r="E209" t="str">
        <f t="shared" si="132"/>
        <v>demand.o</v>
      </c>
      <c r="F209">
        <f t="shared" ca="1" si="161"/>
        <v>0</v>
      </c>
      <c r="H209">
        <f ca="1">H208+F208+G208+IF(MOD(F208+H208+G208,$G$206)=0,0,$G$206-MOD(F208+H208+G208,$G$206))</f>
        <v>536857184</v>
      </c>
      <c r="I209" t="str">
        <f t="shared" ref="I209" ca="1" si="164">"0x"&amp;DEC2HEX(H209,8)</f>
        <v>0x1FFFCA60</v>
      </c>
      <c r="J209" s="4" t="str">
        <f t="shared" ref="J209:J225" si="165">IF(B209="","","define symbol "&amp;B209&amp;REPT(" ",$C$4-C209)&amp;"= "&amp;I207&amp;";")</f>
        <v/>
      </c>
      <c r="K209" s="4" t="str">
        <f t="shared" si="163"/>
        <v xml:space="preserve">                                                     section .bss object demand.o,</v>
      </c>
    </row>
    <row r="210" spans="1:11" x14ac:dyDescent="0.25">
      <c r="A210" t="s">
        <v>537</v>
      </c>
      <c r="B210" t="str">
        <f t="shared" si="160"/>
        <v/>
      </c>
      <c r="C210">
        <f t="shared" si="97"/>
        <v>0</v>
      </c>
      <c r="D210" t="s">
        <v>227</v>
      </c>
      <c r="E210" t="str">
        <f t="shared" ref="E210:E225" si="166">SUBSTITUTE(D210,"-","_")</f>
        <v>ed_config.o</v>
      </c>
      <c r="F210">
        <f t="shared" ref="F210:F225" ca="1" si="167">IFERROR(VLOOKUP(D210,INDIRECT($F$1),2,FALSE),0)</f>
        <v>188</v>
      </c>
      <c r="H210">
        <f t="shared" ref="H210:H224" ca="1" si="168">H209+F209+G209+IF(MOD(F209+H209+G209,$G$206)=0,0,$G$206-MOD(F209+H209+G209,$G$206))</f>
        <v>536857184</v>
      </c>
      <c r="I210" t="str">
        <f t="shared" ref="I210:I225" ca="1" si="169">"0x"&amp;DEC2HEX(H210,8)</f>
        <v>0x1FFFCA60</v>
      </c>
      <c r="J210" s="4" t="str">
        <f t="shared" si="165"/>
        <v/>
      </c>
      <c r="K210" s="4" t="str">
        <f t="shared" si="163"/>
        <v xml:space="preserve">                                                     section .bss object ed_config.o,</v>
      </c>
    </row>
    <row r="211" spans="1:11" x14ac:dyDescent="0.25">
      <c r="A211" t="s">
        <v>537</v>
      </c>
      <c r="B211" t="str">
        <f t="shared" si="160"/>
        <v/>
      </c>
      <c r="C211">
        <f t="shared" si="97"/>
        <v>0</v>
      </c>
      <c r="D211" t="s">
        <v>367</v>
      </c>
      <c r="E211" t="str">
        <f t="shared" si="166"/>
        <v>endpt_cim_cmd.o</v>
      </c>
      <c r="F211">
        <f t="shared" ca="1" si="167"/>
        <v>0</v>
      </c>
      <c r="H211">
        <f t="shared" ca="1" si="168"/>
        <v>536857376</v>
      </c>
      <c r="I211" t="str">
        <f t="shared" ca="1" si="169"/>
        <v>0x1FFFCB20</v>
      </c>
      <c r="J211" s="4" t="str">
        <f t="shared" si="165"/>
        <v/>
      </c>
      <c r="K211" s="4" t="str">
        <f t="shared" si="163"/>
        <v xml:space="preserve">                                                     section .bss object endpt_cim_cmd.o,</v>
      </c>
    </row>
    <row r="212" spans="1:11" x14ac:dyDescent="0.25">
      <c r="A212" t="s">
        <v>537</v>
      </c>
      <c r="B212" t="str">
        <f t="shared" si="160"/>
        <v/>
      </c>
      <c r="C212">
        <f t="shared" si="97"/>
        <v>0</v>
      </c>
      <c r="D212" t="s">
        <v>218</v>
      </c>
      <c r="E212" t="str">
        <f t="shared" si="166"/>
        <v>historyd.o</v>
      </c>
      <c r="F212">
        <f t="shared" ca="1" si="167"/>
        <v>0</v>
      </c>
      <c r="H212">
        <f t="shared" ca="1" si="168"/>
        <v>536857376</v>
      </c>
      <c r="I212" t="str">
        <f t="shared" ca="1" si="169"/>
        <v>0x1FFFCB20</v>
      </c>
      <c r="J212" s="4" t="str">
        <f t="shared" si="165"/>
        <v/>
      </c>
      <c r="K212" s="4" t="str">
        <f t="shared" si="163"/>
        <v xml:space="preserve">                                                     section .bss object historyd.o,</v>
      </c>
    </row>
    <row r="213" spans="1:11" x14ac:dyDescent="0.25">
      <c r="A213" t="s">
        <v>537</v>
      </c>
      <c r="B213" t="str">
        <f t="shared" si="160"/>
        <v/>
      </c>
      <c r="C213">
        <f t="shared" si="97"/>
        <v>0</v>
      </c>
      <c r="D213" t="s">
        <v>215</v>
      </c>
      <c r="E213" t="str">
        <f t="shared" si="166"/>
        <v>ID_intervalTask.o</v>
      </c>
      <c r="F213">
        <f t="shared" ca="1" si="167"/>
        <v>0</v>
      </c>
      <c r="H213">
        <f t="shared" ca="1" si="168"/>
        <v>536857376</v>
      </c>
      <c r="I213" t="str">
        <f t="shared" ca="1" si="169"/>
        <v>0x1FFFCB20</v>
      </c>
      <c r="J213" s="4" t="str">
        <f t="shared" si="165"/>
        <v/>
      </c>
      <c r="K213" s="4" t="str">
        <f t="shared" si="163"/>
        <v xml:space="preserve">                                                     section .bss object ID_intervalTask.o,</v>
      </c>
    </row>
    <row r="214" spans="1:11" x14ac:dyDescent="0.25">
      <c r="A214" t="s">
        <v>537</v>
      </c>
      <c r="B214" t="str">
        <f t="shared" si="160"/>
        <v/>
      </c>
      <c r="C214">
        <f t="shared" si="97"/>
        <v>0</v>
      </c>
      <c r="D214" t="s">
        <v>292</v>
      </c>
      <c r="E214" t="str">
        <f t="shared" si="166"/>
        <v>IDL_IdleProcess.o</v>
      </c>
      <c r="F214">
        <f t="shared" ca="1" si="167"/>
        <v>4</v>
      </c>
      <c r="H214">
        <f t="shared" ca="1" si="168"/>
        <v>536857376</v>
      </c>
      <c r="I214" t="str">
        <f t="shared" ca="1" si="169"/>
        <v>0x1FFFCB20</v>
      </c>
      <c r="J214" s="4" t="str">
        <f t="shared" si="165"/>
        <v/>
      </c>
      <c r="K214" s="4" t="str">
        <f t="shared" si="163"/>
        <v xml:space="preserve">                                                     section .bss object IDL_IdleProcess.o,</v>
      </c>
    </row>
    <row r="215" spans="1:11" x14ac:dyDescent="0.25">
      <c r="A215" t="s">
        <v>537</v>
      </c>
      <c r="B215" t="str">
        <f t="shared" si="160"/>
        <v/>
      </c>
      <c r="C215">
        <f t="shared" si="97"/>
        <v>0</v>
      </c>
      <c r="D215" t="s">
        <v>210</v>
      </c>
      <c r="E215" t="str">
        <f t="shared" si="166"/>
        <v>OR_MR_Handler.o</v>
      </c>
      <c r="F215">
        <f t="shared" ca="1" si="167"/>
        <v>0</v>
      </c>
      <c r="H215">
        <f t="shared" ca="1" si="168"/>
        <v>536857384</v>
      </c>
      <c r="I215" t="str">
        <f t="shared" ca="1" si="169"/>
        <v>0x1FFFCB28</v>
      </c>
      <c r="J215" s="4" t="str">
        <f t="shared" si="165"/>
        <v/>
      </c>
      <c r="K215" s="4" t="str">
        <f t="shared" si="163"/>
        <v xml:space="preserve">                                                     section .bss object OR_MR_Handler.o,</v>
      </c>
    </row>
    <row r="216" spans="1:11" x14ac:dyDescent="0.25">
      <c r="A216" t="s">
        <v>537</v>
      </c>
      <c r="B216" t="str">
        <f t="shared" si="160"/>
        <v/>
      </c>
      <c r="C216">
        <f t="shared" si="97"/>
        <v>0</v>
      </c>
      <c r="D216" t="s">
        <v>98</v>
      </c>
      <c r="E216" t="str">
        <f t="shared" si="166"/>
        <v>pwr_config.o</v>
      </c>
      <c r="F216">
        <f t="shared" ca="1" si="167"/>
        <v>72</v>
      </c>
      <c r="H216">
        <f t="shared" ca="1" si="168"/>
        <v>536857384</v>
      </c>
      <c r="I216" t="str">
        <f t="shared" ca="1" si="169"/>
        <v>0x1FFFCB28</v>
      </c>
      <c r="J216" s="4" t="str">
        <f t="shared" si="165"/>
        <v/>
      </c>
      <c r="K216" s="4" t="str">
        <f t="shared" si="163"/>
        <v xml:space="preserve">                                                     section .bss object pwr_config.o,</v>
      </c>
    </row>
    <row r="217" spans="1:11" x14ac:dyDescent="0.25">
      <c r="A217" t="s">
        <v>537</v>
      </c>
      <c r="B217" t="str">
        <f t="shared" si="160"/>
        <v/>
      </c>
      <c r="C217">
        <f t="shared" si="97"/>
        <v>0</v>
      </c>
      <c r="D217" t="s">
        <v>36</v>
      </c>
      <c r="E217" t="str">
        <f t="shared" si="166"/>
        <v>pwr_last_gasp.o</v>
      </c>
      <c r="F217">
        <f t="shared" ca="1" si="167"/>
        <v>32</v>
      </c>
      <c r="H217">
        <f t="shared" ca="1" si="168"/>
        <v>536857456</v>
      </c>
      <c r="I217" t="str">
        <f t="shared" ca="1" si="169"/>
        <v>0x1FFFCB70</v>
      </c>
      <c r="J217" s="4" t="str">
        <f t="shared" si="165"/>
        <v/>
      </c>
      <c r="K217" s="4" t="str">
        <f t="shared" si="163"/>
        <v xml:space="preserve">                                                     section .bss object pwr_last_gasp.o,</v>
      </c>
    </row>
    <row r="218" spans="1:11" x14ac:dyDescent="0.25">
      <c r="A218" t="s">
        <v>537</v>
      </c>
      <c r="B218" t="str">
        <f t="shared" si="160"/>
        <v/>
      </c>
      <c r="C218">
        <f t="shared" si="97"/>
        <v>0</v>
      </c>
      <c r="D218" t="s">
        <v>312</v>
      </c>
      <c r="E218" t="str">
        <f t="shared" si="166"/>
        <v>pwr_restore.o</v>
      </c>
      <c r="F218">
        <f t="shared" ca="1" si="167"/>
        <v>56</v>
      </c>
      <c r="H218">
        <f t="shared" ca="1" si="168"/>
        <v>536857488</v>
      </c>
      <c r="I218" t="str">
        <f t="shared" ca="1" si="169"/>
        <v>0x1FFFCB90</v>
      </c>
      <c r="J218" s="4" t="str">
        <f t="shared" si="165"/>
        <v/>
      </c>
      <c r="K218" s="4" t="str">
        <f t="shared" si="163"/>
        <v xml:space="preserve">                                                     section .bss object pwr_restore.o,</v>
      </c>
    </row>
    <row r="219" spans="1:11" x14ac:dyDescent="0.25">
      <c r="A219" t="s">
        <v>537</v>
      </c>
      <c r="B219" t="str">
        <f t="shared" si="160"/>
        <v/>
      </c>
      <c r="C219">
        <f t="shared" si="97"/>
        <v>0</v>
      </c>
      <c r="D219" t="s">
        <v>220</v>
      </c>
      <c r="E219" t="str">
        <f t="shared" si="166"/>
        <v>pwr_task.o</v>
      </c>
      <c r="F219">
        <f t="shared" ca="1" si="167"/>
        <v>182</v>
      </c>
      <c r="H219">
        <f t="shared" ca="1" si="168"/>
        <v>536857544</v>
      </c>
      <c r="I219" t="str">
        <f t="shared" ca="1" si="169"/>
        <v>0x1FFFCBC8</v>
      </c>
      <c r="J219" s="4" t="str">
        <f t="shared" si="165"/>
        <v/>
      </c>
      <c r="K219" s="4" t="str">
        <f t="shared" si="163"/>
        <v xml:space="preserve">                                                     section .bss object pwr_task.o,</v>
      </c>
    </row>
    <row r="220" spans="1:11" x14ac:dyDescent="0.25">
      <c r="A220" t="s">
        <v>537</v>
      </c>
      <c r="B220" t="str">
        <f t="shared" si="160"/>
        <v/>
      </c>
      <c r="C220">
        <f t="shared" si="97"/>
        <v>0</v>
      </c>
      <c r="D220" t="s">
        <v>408</v>
      </c>
      <c r="E220" t="str">
        <f t="shared" si="166"/>
        <v>RG_CF_Handler.o</v>
      </c>
      <c r="F220">
        <f t="shared" ca="1" si="167"/>
        <v>0</v>
      </c>
      <c r="H220">
        <f t="shared" ca="1" si="168"/>
        <v>536857728</v>
      </c>
      <c r="I220" t="str">
        <f t="shared" ca="1" si="169"/>
        <v>0x1FFFCC80</v>
      </c>
      <c r="J220" s="4" t="str">
        <f t="shared" si="165"/>
        <v/>
      </c>
      <c r="K220" s="4" t="str">
        <f t="shared" si="163"/>
        <v xml:space="preserve">                                                     section .bss object RG_CF_Handler.o,</v>
      </c>
    </row>
    <row r="221" spans="1:11" x14ac:dyDescent="0.25">
      <c r="A221" t="s">
        <v>537</v>
      </c>
      <c r="B221" t="str">
        <f t="shared" si="160"/>
        <v/>
      </c>
      <c r="C221">
        <f t="shared" si="97"/>
        <v>0</v>
      </c>
      <c r="D221" t="s">
        <v>313</v>
      </c>
      <c r="E221" t="str">
        <f t="shared" si="166"/>
        <v>RG_MD_Handler.o</v>
      </c>
      <c r="F221">
        <f t="shared" ca="1" si="167"/>
        <v>24</v>
      </c>
      <c r="H221">
        <f t="shared" ca="1" si="168"/>
        <v>536857728</v>
      </c>
      <c r="I221" t="str">
        <f t="shared" ca="1" si="169"/>
        <v>0x1FFFCC80</v>
      </c>
      <c r="J221" s="4" t="str">
        <f t="shared" si="165"/>
        <v/>
      </c>
      <c r="K221" s="4" t="str">
        <f t="shared" si="163"/>
        <v xml:space="preserve">                                                     section .bss object RG_MD_Handler.o,</v>
      </c>
    </row>
    <row r="222" spans="1:11" x14ac:dyDescent="0.25">
      <c r="A222" t="s">
        <v>537</v>
      </c>
      <c r="B222" t="str">
        <f t="shared" si="160"/>
        <v/>
      </c>
      <c r="C222">
        <f t="shared" si="97"/>
        <v>0</v>
      </c>
      <c r="D222" t="s">
        <v>198</v>
      </c>
      <c r="E222" t="str">
        <f t="shared" si="166"/>
        <v>STRT_Startup.o</v>
      </c>
      <c r="F222">
        <f t="shared" ca="1" si="167"/>
        <v>0</v>
      </c>
      <c r="H222">
        <f t="shared" ca="1" si="168"/>
        <v>536857752</v>
      </c>
      <c r="I222" t="str">
        <f t="shared" ca="1" si="169"/>
        <v>0x1FFFCC98</v>
      </c>
      <c r="J222" s="4" t="str">
        <f t="shared" si="165"/>
        <v/>
      </c>
      <c r="K222" s="4" t="str">
        <f t="shared" si="163"/>
        <v xml:space="preserve">                                                     section .bss object STRT_Startup.o,</v>
      </c>
    </row>
    <row r="223" spans="1:11" x14ac:dyDescent="0.25">
      <c r="A223" t="s">
        <v>537</v>
      </c>
      <c r="B223" t="str">
        <f t="shared" si="160"/>
        <v/>
      </c>
      <c r="C223">
        <f t="shared" si="97"/>
        <v>0</v>
      </c>
      <c r="D223" t="s">
        <v>83</v>
      </c>
      <c r="E223" t="str">
        <f t="shared" si="166"/>
        <v>Task.o</v>
      </c>
      <c r="F223">
        <f t="shared" ca="1" si="167"/>
        <v>1812</v>
      </c>
      <c r="H223">
        <f t="shared" ca="1" si="168"/>
        <v>536857752</v>
      </c>
      <c r="I223" t="str">
        <f t="shared" ca="1" si="169"/>
        <v>0x1FFFCC98</v>
      </c>
      <c r="J223" s="4" t="str">
        <f t="shared" si="165"/>
        <v/>
      </c>
      <c r="K223" s="4" t="str">
        <f t="shared" si="163"/>
        <v xml:space="preserve">                                                     section .bss object Task.o,</v>
      </c>
    </row>
    <row r="224" spans="1:11" x14ac:dyDescent="0.25">
      <c r="A224" t="s">
        <v>537</v>
      </c>
      <c r="B224" t="str">
        <f t="shared" si="160"/>
        <v/>
      </c>
      <c r="C224">
        <f t="shared" si="97"/>
        <v>0</v>
      </c>
      <c r="D224" t="s">
        <v>409</v>
      </c>
      <c r="E224" t="str">
        <f t="shared" si="166"/>
        <v>vbat_reg.o</v>
      </c>
      <c r="F224">
        <f t="shared" ca="1" si="167"/>
        <v>0</v>
      </c>
      <c r="H224">
        <f t="shared" ca="1" si="168"/>
        <v>536859568</v>
      </c>
      <c r="I224" t="str">
        <f t="shared" ca="1" si="169"/>
        <v>0x1FFFD3B0</v>
      </c>
      <c r="J224" s="4" t="str">
        <f t="shared" si="165"/>
        <v/>
      </c>
      <c r="K224" s="4" t="str">
        <f t="shared" si="163"/>
        <v xml:space="preserve">                                                     section .bss object vbat_reg.o,</v>
      </c>
    </row>
    <row r="225" spans="1:11" x14ac:dyDescent="0.25">
      <c r="A225" t="s">
        <v>537</v>
      </c>
      <c r="B225" t="str">
        <f t="shared" si="160"/>
        <v/>
      </c>
      <c r="C225">
        <f t="shared" si="97"/>
        <v>0</v>
      </c>
      <c r="D225" t="s">
        <v>229</v>
      </c>
      <c r="E225" t="str">
        <f t="shared" si="166"/>
        <v>version.o</v>
      </c>
      <c r="F225">
        <f t="shared" ca="1" si="167"/>
        <v>60</v>
      </c>
      <c r="H225">
        <f ca="1">H224+F224+G224+IF(MOD(F224+H224+G224,$G$206)=0,0,$G$206-MOD(F224+H224+G224,$G$206))</f>
        <v>536859568</v>
      </c>
      <c r="I225" t="str">
        <f t="shared" ca="1" si="169"/>
        <v>0x1FFFD3B0</v>
      </c>
      <c r="J225" s="4" t="str">
        <f t="shared" si="165"/>
        <v/>
      </c>
      <c r="K225" s="4" t="str">
        <f t="shared" si="163"/>
        <v xml:space="preserve">                                                     section .bss object version.o };</v>
      </c>
    </row>
    <row r="226" spans="1:11" x14ac:dyDescent="0.25">
      <c r="B226" t="str">
        <f>B208&amp;"_end"</f>
        <v>MTU_Common_BSS_end</v>
      </c>
      <c r="C226">
        <f>LEN(B226)-4</f>
        <v>14</v>
      </c>
      <c r="F226">
        <f ca="1">SUM(F208:F225)</f>
        <v>2698</v>
      </c>
      <c r="G226">
        <f ca="1">INT(($G$205/100)*F226)</f>
        <v>134</v>
      </c>
      <c r="H226">
        <f ca="1">H225+F225+G226+IF(MOD(F225+H225+G226,$G$206)=0,0,$G$206-MOD(F225+H225+G226,$G$206))</f>
        <v>536859768</v>
      </c>
      <c r="I226" t="str">
        <f t="shared" ref="I226" ca="1" si="170">"0x"&amp;DEC2HEX(H226,8)</f>
        <v>0x1FFFD478</v>
      </c>
      <c r="J226" s="4"/>
      <c r="K226" s="4" t="str">
        <f>""""&amp;MID(B226,1,LEN(B226)-4)&amp;""":"&amp;REPT(" ",$C$4-C226)&amp;"place at address mem: "&amp;MID(B226,1,LEN(B226)-4)&amp;REPT(" ",$C$4-C226)&amp;"{ block "&amp;MID(B226,1,LEN(B226)-4)&amp;"_BLK, rw data };"</f>
        <v>"MTU_Common_BSS": place at address mem: MTU_Common_BSS { block MTU_Common_BSS_BLK, rw data };</v>
      </c>
    </row>
    <row r="227" spans="1:11" x14ac:dyDescent="0.25">
      <c r="J227" s="4"/>
    </row>
    <row r="228" spans="1:11" x14ac:dyDescent="0.25">
      <c r="A228" t="s">
        <v>928</v>
      </c>
      <c r="B228" t="str">
        <f ca="1">CELL("address",J226)</f>
        <v>$J$226</v>
      </c>
      <c r="J228" s="4"/>
    </row>
    <row r="229" spans="1:11" x14ac:dyDescent="0.25">
      <c r="J229" s="4" t="str">
        <f ca="1">J5</f>
        <v>define symbol utils_BSS      = 0x1FFF10B0;</v>
      </c>
      <c r="K229" s="4" t="str">
        <f>K5</f>
        <v>define block utils_BSS_BLK with alignment = 4      { section .bss object ascii.o,</v>
      </c>
    </row>
    <row r="230" spans="1:11" x14ac:dyDescent="0.25">
      <c r="J230" s="4" t="str">
        <f ca="1">J21</f>
        <v>define symbol dfw_BSS        = 0x1FFF1858;</v>
      </c>
      <c r="K230" s="4" t="str">
        <f t="shared" ref="K230:K239" si="171">K6</f>
        <v xml:space="preserve">                                                     section .bss object bcd.o,</v>
      </c>
    </row>
    <row r="231" spans="1:11" x14ac:dyDescent="0.25">
      <c r="J231" s="4" t="str">
        <f ca="1">J30</f>
        <v>define symbol driver_BSS     = 0x1FFF1998;</v>
      </c>
      <c r="K231" s="4" t="str">
        <f t="shared" si="171"/>
        <v xml:space="preserve">                                                     section .bss object bit_util.o,</v>
      </c>
    </row>
    <row r="232" spans="1:11" x14ac:dyDescent="0.25">
      <c r="J232" s="4" t="str">
        <f ca="1">J42</f>
        <v>define symbol stack_BSS      = 0x1FFF1CE8;</v>
      </c>
      <c r="K232" s="4" t="str">
        <f t="shared" si="171"/>
        <v xml:space="preserve">                                                     section .bss object byteswap.o,</v>
      </c>
    </row>
    <row r="233" spans="1:11" x14ac:dyDescent="0.25">
      <c r="J233" s="4" t="str">
        <f ca="1">J81</f>
        <v>define symbol OS_API_BSS     = 0x1FFF8BF0;</v>
      </c>
      <c r="K233" s="4" t="str">
        <f t="shared" si="171"/>
        <v xml:space="preserve">                                                     section .bss object crc16_m.o,</v>
      </c>
    </row>
    <row r="234" spans="1:11" x14ac:dyDescent="0.25">
      <c r="J234" s="4" t="str">
        <f ca="1">J92</f>
        <v>define symbol radio_BSS      = 0x1FFF8BF0;</v>
      </c>
      <c r="K234" s="4" t="str">
        <f t="shared" si="171"/>
        <v xml:space="preserve">                                                     section .bss object crc32.o,</v>
      </c>
    </row>
    <row r="235" spans="1:11" x14ac:dyDescent="0.25">
      <c r="J235" s="4" t="str">
        <f ca="1">J106</f>
        <v>define symbol security_BSS   = 0x1FFF9918;</v>
      </c>
      <c r="K235" s="4" t="str">
        <f t="shared" si="171"/>
        <v xml:space="preserve">                                                     section .bss object invert_bits.o,</v>
      </c>
    </row>
    <row r="236" spans="1:11" x14ac:dyDescent="0.25">
      <c r="J236" s="4" t="str">
        <f ca="1">J117</f>
        <v>define symbol AclaraBSP_BSS  = 0x1FFF99F0;</v>
      </c>
      <c r="K236" s="4" t="str">
        <f t="shared" si="171"/>
        <v xml:space="preserve">                                                     section .bss object pack.o,</v>
      </c>
    </row>
    <row r="237" spans="1:11" x14ac:dyDescent="0.25">
      <c r="J237" s="4" t="str">
        <f ca="1">J133</f>
        <v>define symbol Common_BSS     = 0x1FFF9AA8;</v>
      </c>
      <c r="K237" s="4" t="str">
        <f t="shared" si="171"/>
        <v xml:space="preserve">                                                     section .bss object rand.o,</v>
      </c>
    </row>
    <row r="238" spans="1:11" x14ac:dyDescent="0.25">
      <c r="J238" s="4" t="str">
        <f ca="1">J169</f>
        <v>define symbol HMC_BSS        = 0x1FFFBEF0;</v>
      </c>
      <c r="K238" s="4" t="str">
        <f t="shared" si="171"/>
        <v xml:space="preserve">                                                     section .bss object time_util.o,</v>
      </c>
    </row>
    <row r="239" spans="1:11" x14ac:dyDescent="0.25">
      <c r="J239" s="4" t="str">
        <f ca="1">J208</f>
        <v>define symbol MTU_Common_BSS = 0x1FFFC950;</v>
      </c>
      <c r="K239" s="4" t="str">
        <f t="shared" si="171"/>
        <v xml:space="preserve">                                                     section .bss object timer_util.o };</v>
      </c>
    </row>
    <row r="240" spans="1:11" x14ac:dyDescent="0.25">
      <c r="K240" s="4" t="str">
        <f>K21</f>
        <v>define block dfw_BSS_BLK with alignment = 4        { section .bss object dfw_app.o,</v>
      </c>
    </row>
    <row r="241" spans="10:11" x14ac:dyDescent="0.25">
      <c r="K241" s="4" t="str">
        <f>K22</f>
        <v xml:space="preserve">                                                     section .bss object dfw_interface.o,</v>
      </c>
    </row>
    <row r="242" spans="10:11" x14ac:dyDescent="0.25">
      <c r="K242" s="4" t="str">
        <f>K23</f>
        <v xml:space="preserve">                                                     section .bss object dfw_pckt.o,</v>
      </c>
    </row>
    <row r="243" spans="10:11" x14ac:dyDescent="0.25">
      <c r="K243" s="4" t="str">
        <f>K24</f>
        <v xml:space="preserve">                                                     section .bss object dfwtd_config.o };</v>
      </c>
    </row>
    <row r="244" spans="10:11" x14ac:dyDescent="0.25">
      <c r="K244" s="4" t="str">
        <f t="shared" ref="K244:K250" si="172">K30</f>
        <v>define block driver_BSS_BLK with alignment = 4     { section .bss object dvr_banked.o,</v>
      </c>
    </row>
    <row r="245" spans="10:11" x14ac:dyDescent="0.25">
      <c r="K245" s="4" t="str">
        <f t="shared" si="172"/>
        <v xml:space="preserve">                                                     section .bss object dvr_cache.o,</v>
      </c>
    </row>
    <row r="246" spans="10:11" x14ac:dyDescent="0.25">
      <c r="K246" s="4" t="str">
        <f t="shared" si="172"/>
        <v xml:space="preserve">                                                     section .bss object dvr_extflash.o,</v>
      </c>
    </row>
    <row r="247" spans="10:11" x14ac:dyDescent="0.25">
      <c r="K247" s="4" t="str">
        <f t="shared" si="172"/>
        <v xml:space="preserve">                                                     section .bss object dvr_sectPreErase.o,</v>
      </c>
    </row>
    <row r="248" spans="10:11" x14ac:dyDescent="0.25">
      <c r="J248" s="4"/>
      <c r="K248" s="4" t="str">
        <f t="shared" si="172"/>
        <v xml:space="preserve">                                                     section .bss object dvr_sharedMem.o,</v>
      </c>
    </row>
    <row r="249" spans="10:11" x14ac:dyDescent="0.25">
      <c r="K249" s="4" t="str">
        <f t="shared" si="172"/>
        <v xml:space="preserve">                                                     section .bss object IF_intFlash.o,</v>
      </c>
    </row>
    <row r="250" spans="10:11" x14ac:dyDescent="0.25">
      <c r="K250" s="4" t="str">
        <f t="shared" si="172"/>
        <v xml:space="preserve">                                                     section .bss object spi_mstr.o };</v>
      </c>
    </row>
    <row r="251" spans="10:11" x14ac:dyDescent="0.25">
      <c r="K251" s="4" t="str">
        <f t="shared" ref="K251:K284" si="173">K42</f>
        <v>define block stack_BSS_BLK with alignment = 4      { section .bss object COMM.o,</v>
      </c>
    </row>
    <row r="252" spans="10:11" x14ac:dyDescent="0.25">
      <c r="K252" s="4" t="str">
        <f t="shared" si="173"/>
        <v xml:space="preserve">                                                     section .bss object SM.o,</v>
      </c>
    </row>
    <row r="253" spans="10:11" x14ac:dyDescent="0.25">
      <c r="K253" s="4" t="str">
        <f t="shared" si="173"/>
        <v xml:space="preserve">                                                     section .bss object smtd_config.o,</v>
      </c>
    </row>
    <row r="254" spans="10:11" x14ac:dyDescent="0.25">
      <c r="K254" s="4" t="str">
        <f t="shared" si="173"/>
        <v xml:space="preserve">                                                     section .bss object dtls.o,</v>
      </c>
    </row>
    <row r="255" spans="10:11" x14ac:dyDescent="0.25">
      <c r="K255" s="4" t="str">
        <f t="shared" si="173"/>
        <v xml:space="preserve">                                                     section .bss object mtls.o,</v>
      </c>
    </row>
    <row r="256" spans="10:11" x14ac:dyDescent="0.25">
      <c r="K256" s="4" t="str">
        <f t="shared" si="173"/>
        <v xml:space="preserve">                                                     section .bss object STACK.o,</v>
      </c>
    </row>
    <row r="257" spans="11:11" x14ac:dyDescent="0.25">
      <c r="K257" s="4" t="str">
        <f t="shared" si="173"/>
        <v xml:space="preserve">                                                     section .bss object MAC.o,</v>
      </c>
    </row>
    <row r="258" spans="11:11" x14ac:dyDescent="0.25">
      <c r="K258" s="4" t="str">
        <f t="shared" si="173"/>
        <v xml:space="preserve">                                                     section .bss object MAC_FrameEncoder.o,</v>
      </c>
    </row>
    <row r="259" spans="11:11" x14ac:dyDescent="0.25">
      <c r="K259" s="4" t="str">
        <f t="shared" si="173"/>
        <v xml:space="preserve">                                                     section .bss object MAC_FrameManagement.o,</v>
      </c>
    </row>
    <row r="260" spans="11:11" x14ac:dyDescent="0.25">
      <c r="K260" s="4" t="str">
        <f t="shared" si="173"/>
        <v xml:space="preserve">                                                     section .bss object MAC_PacketManagement.o,</v>
      </c>
    </row>
    <row r="261" spans="11:11" x14ac:dyDescent="0.25">
      <c r="K261" s="4" t="str">
        <f t="shared" si="173"/>
        <v xml:space="preserve">                                                     section .bss object PHY.o,</v>
      </c>
    </row>
    <row r="262" spans="11:11" x14ac:dyDescent="0.25">
      <c r="K262" s="4" t="str">
        <f t="shared" si="173"/>
        <v xml:space="preserve">                                                     section .bss object EstimateCarrierFrequencyOffset.o,</v>
      </c>
    </row>
    <row r="263" spans="11:11" x14ac:dyDescent="0.25">
      <c r="K263" s="4" t="str">
        <f t="shared" si="173"/>
        <v xml:space="preserve">                                                     section .bss object MaximizeEyeOpening.o,</v>
      </c>
    </row>
    <row r="264" spans="11:11" x14ac:dyDescent="0.25">
      <c r="K264" s="4" t="str">
        <f t="shared" si="173"/>
        <v xml:space="preserve">                                                     section .bss object PerformCFOCompensation.o,</v>
      </c>
    </row>
    <row r="265" spans="11:11" x14ac:dyDescent="0.25">
      <c r="K265" s="4" t="str">
        <f t="shared" si="173"/>
        <v xml:space="preserve">                                                     section .bss object preamble_detect.o,</v>
      </c>
    </row>
    <row r="266" spans="11:11" x14ac:dyDescent="0.25">
      <c r="K266" s="4" t="str">
        <f t="shared" si="173"/>
        <v xml:space="preserve">                                                     section .bss object preambleDetector.o,</v>
      </c>
    </row>
    <row r="267" spans="11:11" x14ac:dyDescent="0.25">
      <c r="K267" s="4" t="str">
        <f t="shared" si="173"/>
        <v xml:space="preserve">                                                     section .bss object preambleDetector_Data.o,</v>
      </c>
    </row>
    <row r="268" spans="11:11" x14ac:dyDescent="0.25">
      <c r="K268" s="4" t="str">
        <f t="shared" si="173"/>
        <v xml:space="preserve">                                                     section .bss object preambleDetector_initialize.o,</v>
      </c>
    </row>
    <row r="269" spans="11:11" x14ac:dyDescent="0.25">
      <c r="K269" s="4" t="str">
        <f t="shared" si="173"/>
        <v xml:space="preserve">                                                     section .bss object processDerotatedSamples.o,</v>
      </c>
    </row>
    <row r="270" spans="11:11" x14ac:dyDescent="0.25">
      <c r="K270" s="4" t="str">
        <f t="shared" si="173"/>
        <v xml:space="preserve">                                                     section .bss object ScaleClipFreq2phase.o,</v>
      </c>
    </row>
    <row r="271" spans="11:11" x14ac:dyDescent="0.25">
      <c r="K271" s="4" t="str">
        <f t="shared" si="173"/>
        <v xml:space="preserve">                                                     section .bss object sign.o,</v>
      </c>
    </row>
    <row r="272" spans="11:11" x14ac:dyDescent="0.25">
      <c r="K272" s="4" t="str">
        <f t="shared" si="173"/>
        <v xml:space="preserve">                                                     section .bss object fir_filt_circ_buff.o,</v>
      </c>
    </row>
    <row r="273" spans="11:11" x14ac:dyDescent="0.25">
      <c r="K273" s="4" t="str">
        <f t="shared" si="173"/>
        <v xml:space="preserve">                                                     section .bss object gresample.o,</v>
      </c>
    </row>
    <row r="274" spans="11:11" x14ac:dyDescent="0.25">
      <c r="K274" s="4" t="str">
        <f t="shared" si="173"/>
        <v xml:space="preserve">                                                     section .bss object phase2freq_wi_unwrap.o,</v>
      </c>
    </row>
    <row r="275" spans="11:11" x14ac:dyDescent="0.25">
      <c r="K275" s="4" t="str">
        <f t="shared" si="173"/>
        <v xml:space="preserve">                                                     section .bss object findSYNC.o,</v>
      </c>
    </row>
    <row r="276" spans="11:11" x14ac:dyDescent="0.25">
      <c r="K276" s="4" t="str">
        <f t="shared" si="173"/>
        <v xml:space="preserve">                                                     section .bss object FreqDomMlseP4GfskStruct2.o,</v>
      </c>
    </row>
    <row r="277" spans="11:11" x14ac:dyDescent="0.25">
      <c r="K277" s="4" t="str">
        <f t="shared" si="173"/>
        <v xml:space="preserve">                                                     section .bss object processDerotatedSPDSamples.o,</v>
      </c>
    </row>
    <row r="278" spans="11:11" x14ac:dyDescent="0.25">
      <c r="K278" s="4" t="str">
        <f t="shared" si="173"/>
        <v xml:space="preserve">                                                     section .bss object SyncAndPayloadDemodulator.o,</v>
      </c>
    </row>
    <row r="279" spans="11:11" x14ac:dyDescent="0.25">
      <c r="K279" s="4" t="str">
        <f t="shared" si="173"/>
        <v xml:space="preserve">                                                     section .bss object SoftDemodulator.o,</v>
      </c>
    </row>
    <row r="280" spans="11:11" x14ac:dyDescent="0.25">
      <c r="K280" s="4" t="str">
        <f t="shared" si="173"/>
        <v xml:space="preserve">                                                     section .bss object rs.o,</v>
      </c>
    </row>
    <row r="281" spans="11:11" x14ac:dyDescent="0.25">
      <c r="K281" s="4" t="str">
        <f t="shared" si="173"/>
        <v xml:space="preserve">                                                     section .bss object galois.o,</v>
      </c>
    </row>
    <row r="282" spans="11:11" x14ac:dyDescent="0.25">
      <c r="K282" s="4" t="str">
        <f t="shared" si="173"/>
        <v xml:space="preserve">                                                     section .bss object rsdec.o,</v>
      </c>
    </row>
    <row r="283" spans="11:11" x14ac:dyDescent="0.25">
      <c r="K283" s="4" t="str">
        <f t="shared" si="173"/>
        <v xml:space="preserve">                                                     section .bss object rsenc.o,</v>
      </c>
    </row>
    <row r="284" spans="11:11" x14ac:dyDescent="0.25">
      <c r="K284" s="4" t="str">
        <f t="shared" si="173"/>
        <v xml:space="preserve">                                                     section .bss object indication.o };</v>
      </c>
    </row>
    <row r="285" spans="11:11" x14ac:dyDescent="0.25">
      <c r="K285" s="4" t="str">
        <f t="shared" ref="K285:K290" si="174">K81</f>
        <v>define block OS_API_BSS_BLK with alignment = 4     { section .bss object Event.o,</v>
      </c>
    </row>
    <row r="286" spans="11:11" x14ac:dyDescent="0.25">
      <c r="K286" s="4" t="str">
        <f t="shared" si="174"/>
        <v xml:space="preserve">                                                     section .bss object MessageQ.o,</v>
      </c>
    </row>
    <row r="287" spans="11:11" x14ac:dyDescent="0.25">
      <c r="K287" s="4" t="str">
        <f t="shared" si="174"/>
        <v xml:space="preserve">                                                     section .bss object Mutex.o,</v>
      </c>
    </row>
    <row r="288" spans="11:11" x14ac:dyDescent="0.25">
      <c r="K288" s="4" t="str">
        <f t="shared" si="174"/>
        <v xml:space="preserve">                                                     section .bss object Queue.o,</v>
      </c>
    </row>
    <row r="289" spans="11:11" x14ac:dyDescent="0.25">
      <c r="K289" s="4" t="str">
        <f t="shared" si="174"/>
        <v xml:space="preserve">                                                     section .bss object Semaphore.o,</v>
      </c>
    </row>
    <row r="290" spans="11:11" x14ac:dyDescent="0.25">
      <c r="K290" s="4" t="str">
        <f t="shared" si="174"/>
        <v xml:space="preserve">                                                     section .bss object TickTime.o };</v>
      </c>
    </row>
    <row r="291" spans="11:11" x14ac:dyDescent="0.25">
      <c r="K291" s="4" t="str">
        <f t="shared" ref="K291:K299" si="175">K92</f>
        <v>define block radio_BSS_BLK with alignment = 4      { section .bss object radio.o,</v>
      </c>
    </row>
    <row r="292" spans="11:11" x14ac:dyDescent="0.25">
      <c r="K292" s="4" t="str">
        <f t="shared" si="175"/>
        <v xml:space="preserve">                                                     section .bss object radio_comm.o,</v>
      </c>
    </row>
    <row r="293" spans="11:11" x14ac:dyDescent="0.25">
      <c r="K293" s="4" t="str">
        <f t="shared" si="175"/>
        <v xml:space="preserve">                                                     section .bss object si446x_api_lib.o,</v>
      </c>
    </row>
    <row r="294" spans="11:11" x14ac:dyDescent="0.25">
      <c r="K294" s="4" t="str">
        <f t="shared" si="175"/>
        <v xml:space="preserve">                                                     section .bss object radio_config_normal.o,</v>
      </c>
    </row>
    <row r="295" spans="11:11" x14ac:dyDescent="0.25">
      <c r="K295" s="4" t="str">
        <f t="shared" si="175"/>
        <v xml:space="preserve">                                                     section .bss object radio_config_cw.o,</v>
      </c>
    </row>
    <row r="296" spans="11:11" x14ac:dyDescent="0.25">
      <c r="K296" s="4" t="str">
        <f t="shared" si="175"/>
        <v xml:space="preserve">                                                     section .bss object radio_config_PN9.o,</v>
      </c>
    </row>
    <row r="297" spans="11:11" x14ac:dyDescent="0.25">
      <c r="K297" s="4" t="str">
        <f t="shared" si="175"/>
        <v xml:space="preserve">                                                     section .bss object radio_config_2GFSK_BER.o,</v>
      </c>
    </row>
    <row r="298" spans="11:11" x14ac:dyDescent="0.25">
      <c r="K298" s="4" t="str">
        <f t="shared" si="175"/>
        <v xml:space="preserve">                                                     section .bss object radio_config_4GFSK_BER.o,</v>
      </c>
    </row>
    <row r="299" spans="11:11" x14ac:dyDescent="0.25">
      <c r="K299" s="4" t="str">
        <f t="shared" si="175"/>
        <v xml:space="preserve">                                                     section .bss object radio_TCXO.o };</v>
      </c>
    </row>
    <row r="300" spans="11:11" x14ac:dyDescent="0.25">
      <c r="K300" s="4" t="str">
        <f t="shared" ref="K300:K305" si="176">K106</f>
        <v>define block security_BSS_BLK with alignment = 4   { section .bss object cert-builder.o,</v>
      </c>
    </row>
    <row r="301" spans="11:11" x14ac:dyDescent="0.25">
      <c r="K301" s="4" t="str">
        <f t="shared" si="176"/>
        <v xml:space="preserve">                                                     section .bss object ecc108_apps.o,</v>
      </c>
    </row>
    <row r="302" spans="11:11" x14ac:dyDescent="0.25">
      <c r="K302" s="4" t="str">
        <f t="shared" si="176"/>
        <v xml:space="preserve">                                                     section .bss object ecc108_comm.o,</v>
      </c>
    </row>
    <row r="303" spans="11:11" x14ac:dyDescent="0.25">
      <c r="K303" s="4" t="str">
        <f t="shared" si="176"/>
        <v xml:space="preserve">                                                     section .bss object ecc108_comm_marshaling.o,</v>
      </c>
    </row>
    <row r="304" spans="11:11" x14ac:dyDescent="0.25">
      <c r="K304" s="4" t="str">
        <f t="shared" si="176"/>
        <v xml:space="preserve">                                                     section .bss object ecc108_i2c.o,</v>
      </c>
    </row>
    <row r="305" spans="11:11" x14ac:dyDescent="0.25">
      <c r="K305" s="4" t="str">
        <f t="shared" si="176"/>
        <v xml:space="preserve">                                                     section .bss object ecc108_mqx.o };</v>
      </c>
    </row>
    <row r="306" spans="11:11" x14ac:dyDescent="0.25">
      <c r="K306" s="4" t="str">
        <f t="shared" ref="K306:K316" si="177">K117</f>
        <v>define block AclaraBSP_BSS_BLK with alignment = 4  { section .bss object ADC.o,</v>
      </c>
    </row>
    <row r="307" spans="11:11" x14ac:dyDescent="0.25">
      <c r="K307" s="4" t="str">
        <f t="shared" si="177"/>
        <v xml:space="preserve">                                                     section .bss object BSP_aclara.o,</v>
      </c>
    </row>
    <row r="308" spans="11:11" x14ac:dyDescent="0.25">
      <c r="K308" s="4" t="str">
        <f t="shared" si="177"/>
        <v xml:space="preserve">                                                     section .bss object CRC.o,</v>
      </c>
    </row>
    <row r="309" spans="11:11" x14ac:dyDescent="0.25">
      <c r="K309" s="4" t="str">
        <f t="shared" si="177"/>
        <v xml:space="preserve">                                                     section .bss object gpio.o,</v>
      </c>
    </row>
    <row r="310" spans="11:11" x14ac:dyDescent="0.25">
      <c r="K310" s="4" t="str">
        <f t="shared" si="177"/>
        <v xml:space="preserve">                                                     section .bss object LED.o,</v>
      </c>
    </row>
    <row r="311" spans="11:11" x14ac:dyDescent="0.25">
      <c r="K311" s="4" t="str">
        <f t="shared" si="177"/>
        <v xml:space="preserve">                                                     section .bss object radio_hal.o,</v>
      </c>
    </row>
    <row r="312" spans="11:11" x14ac:dyDescent="0.25">
      <c r="K312" s="4" t="str">
        <f t="shared" si="177"/>
        <v xml:space="preserve">                                                     section .bss object rng.o,</v>
      </c>
    </row>
    <row r="313" spans="11:11" x14ac:dyDescent="0.25">
      <c r="K313" s="4" t="str">
        <f t="shared" si="177"/>
        <v xml:space="preserve">                                                     section .bss object RTC.o,</v>
      </c>
    </row>
    <row r="314" spans="11:11" x14ac:dyDescent="0.25">
      <c r="K314" s="4" t="str">
        <f t="shared" si="177"/>
        <v xml:space="preserve">                                                     section .bss object sys_clock.o,</v>
      </c>
    </row>
    <row r="315" spans="11:11" x14ac:dyDescent="0.25">
      <c r="K315" s="4" t="str">
        <f t="shared" si="177"/>
        <v xml:space="preserve">                                                     section .bss object UART.o,</v>
      </c>
    </row>
    <row r="316" spans="11:11" x14ac:dyDescent="0.25">
      <c r="K316" s="4" t="str">
        <f t="shared" si="177"/>
        <v xml:space="preserve">                                                     section .bss object WDOG.o };</v>
      </c>
    </row>
    <row r="317" spans="11:11" x14ac:dyDescent="0.25">
      <c r="K317" s="4" t="str">
        <f t="shared" ref="K317:K347" si="178">K133</f>
        <v>define block Common_BSS_BLK with alignment = 4     { section .bss object alarm_task.o,</v>
      </c>
    </row>
    <row r="318" spans="11:11" x14ac:dyDescent="0.25">
      <c r="K318" s="4" t="str">
        <f t="shared" si="178"/>
        <v xml:space="preserve">                                                     section .bss object ALRM_Handler.o,</v>
      </c>
    </row>
    <row r="319" spans="11:11" x14ac:dyDescent="0.25">
      <c r="K319" s="4" t="str">
        <f t="shared" si="178"/>
        <v xml:space="preserve">                                                     section .bss object BUF_MemoryBuffers.o,</v>
      </c>
    </row>
    <row r="320" spans="11:11" x14ac:dyDescent="0.25">
      <c r="K320" s="4" t="str">
        <f t="shared" si="178"/>
        <v xml:space="preserve">                                                     section .bss object buffer.o,</v>
      </c>
    </row>
    <row r="321" spans="11:11" x14ac:dyDescent="0.25">
      <c r="K321" s="4" t="str">
        <f t="shared" si="178"/>
        <v xml:space="preserve">                                                     section .bss object DBG_CommandLine.o,</v>
      </c>
    </row>
    <row r="322" spans="11:11" x14ac:dyDescent="0.25">
      <c r="K322" s="4" t="str">
        <f t="shared" si="178"/>
        <v xml:space="preserve">                                                     section .bss object DBG_SerialDebug.o,</v>
      </c>
    </row>
    <row r="323" spans="11:11" x14ac:dyDescent="0.25">
      <c r="K323" s="4" t="str">
        <f t="shared" si="178"/>
        <v xml:space="preserve">                                                     section .bss object eng_res.o,</v>
      </c>
    </row>
    <row r="324" spans="11:11" x14ac:dyDescent="0.25">
      <c r="K324" s="4" t="str">
        <f t="shared" si="178"/>
        <v xml:space="preserve">                                                     section .bss object EVL_event_log.o,</v>
      </c>
    </row>
    <row r="325" spans="11:11" x14ac:dyDescent="0.25">
      <c r="K325" s="4" t="str">
        <f t="shared" si="178"/>
        <v xml:space="preserve">                                                     section .bss object exe_list.o,</v>
      </c>
    </row>
    <row r="326" spans="11:11" x14ac:dyDescent="0.25">
      <c r="K326" s="4" t="str">
        <f t="shared" si="178"/>
        <v xml:space="preserve">                                                     section .bss object file_io.o,</v>
      </c>
    </row>
    <row r="327" spans="11:11" x14ac:dyDescent="0.25">
      <c r="K327" s="4" t="str">
        <f t="shared" si="178"/>
        <v xml:space="preserve">                                                     section .bss object HEEP_util.o,</v>
      </c>
    </row>
    <row r="328" spans="11:11" x14ac:dyDescent="0.25">
      <c r="K328" s="4" t="str">
        <f t="shared" si="178"/>
        <v xml:space="preserve">                                                     section .bss object mem_chk.o,</v>
      </c>
    </row>
    <row r="329" spans="11:11" x14ac:dyDescent="0.25">
      <c r="K329" s="4" t="str">
        <f t="shared" si="178"/>
        <v xml:space="preserve">                                                     section .bss object MFG_Dtls.o,</v>
      </c>
    </row>
    <row r="330" spans="11:11" x14ac:dyDescent="0.25">
      <c r="K330" s="4" t="str">
        <f t="shared" si="178"/>
        <v xml:space="preserve">                                                     section .bss object MFG_Port.o,</v>
      </c>
    </row>
    <row r="331" spans="11:11" x14ac:dyDescent="0.25">
      <c r="K331" s="4" t="str">
        <f t="shared" si="178"/>
        <v xml:space="preserve">                                                     section .bss object MIMT_info.o,</v>
      </c>
    </row>
    <row r="332" spans="11:11" x14ac:dyDescent="0.25">
      <c r="K332" s="4" t="str">
        <f t="shared" si="178"/>
        <v xml:space="preserve">                                                     section .bss object mode_config.o,</v>
      </c>
    </row>
    <row r="333" spans="11:11" x14ac:dyDescent="0.25">
      <c r="K333" s="4" t="str">
        <f t="shared" si="178"/>
        <v xml:space="preserve">                                                     section .bss object object_list.o,</v>
      </c>
    </row>
    <row r="334" spans="11:11" x14ac:dyDescent="0.25">
      <c r="K334" s="4" t="str">
        <f t="shared" si="178"/>
        <v xml:space="preserve">                                                     section .bss object partitions.o,</v>
      </c>
    </row>
    <row r="335" spans="11:11" x14ac:dyDescent="0.25">
      <c r="K335" s="4" t="str">
        <f t="shared" si="178"/>
        <v xml:space="preserve">                                                     section .bss object runTimeInit.o,</v>
      </c>
    </row>
    <row r="336" spans="11:11" x14ac:dyDescent="0.25">
      <c r="K336" s="4" t="str">
        <f t="shared" si="178"/>
        <v xml:space="preserve">                                                     section .bss object SELF_test.o,</v>
      </c>
    </row>
    <row r="337" spans="11:11" x14ac:dyDescent="0.25">
      <c r="K337" s="4" t="str">
        <f t="shared" si="178"/>
        <v xml:space="preserve">                                                     section .bss object stack_check.o,</v>
      </c>
    </row>
    <row r="338" spans="11:11" x14ac:dyDescent="0.25">
      <c r="K338" s="4" t="str">
        <f t="shared" si="178"/>
        <v xml:space="preserve">                                                     section .bss object sys_busy.o,</v>
      </c>
    </row>
    <row r="339" spans="11:11" x14ac:dyDescent="0.25">
      <c r="K339" s="4" t="str">
        <f t="shared" si="178"/>
        <v xml:space="preserve">                                                     section .bss object temperature.o,</v>
      </c>
    </row>
    <row r="340" spans="11:11" x14ac:dyDescent="0.25">
      <c r="K340" s="4" t="str">
        <f t="shared" si="178"/>
        <v xml:space="preserve">                                                     section .bss object time_DST.o,</v>
      </c>
    </row>
    <row r="341" spans="11:11" x14ac:dyDescent="0.25">
      <c r="K341" s="4" t="str">
        <f t="shared" si="178"/>
        <v xml:space="preserve">                                                     section .bss object time_sync.o,</v>
      </c>
    </row>
    <row r="342" spans="11:11" x14ac:dyDescent="0.25">
      <c r="K342" s="4" t="str">
        <f t="shared" si="178"/>
        <v xml:space="preserve">                                                     section .bss object time_sys.o,</v>
      </c>
    </row>
    <row r="343" spans="11:11" x14ac:dyDescent="0.25">
      <c r="K343" s="4" t="str">
        <f t="shared" si="178"/>
        <v xml:space="preserve">                                                     section .bss object virgin_device.o,</v>
      </c>
    </row>
    <row r="344" spans="11:11" x14ac:dyDescent="0.25">
      <c r="K344" s="4" t="str">
        <f t="shared" si="178"/>
        <v xml:space="preserve">                                                     section .bss object FTM0.o,</v>
      </c>
    </row>
    <row r="345" spans="11:11" x14ac:dyDescent="0.25">
      <c r="K345" s="4" t="str">
        <f t="shared" si="178"/>
        <v xml:space="preserve">                                                     section .bss object FTM1.o,</v>
      </c>
    </row>
    <row r="346" spans="11:11" x14ac:dyDescent="0.25">
      <c r="K346" s="4" t="str">
        <f t="shared" si="178"/>
        <v xml:space="preserve">                                                     section .bss object FTM2.o,</v>
      </c>
    </row>
    <row r="347" spans="11:11" x14ac:dyDescent="0.25">
      <c r="K347" s="4" t="str">
        <f t="shared" si="178"/>
        <v xml:space="preserve">                                                     section .bss object FTM3.o };</v>
      </c>
    </row>
    <row r="348" spans="11:11" x14ac:dyDescent="0.25">
      <c r="K348" s="4" t="str">
        <f t="shared" ref="K348:K367" si="179">K169</f>
        <v>define block HMC_BSS_BLK with alignment = 4        { section .bss object hmc_app.o,</v>
      </c>
    </row>
    <row r="349" spans="11:11" x14ac:dyDescent="0.25">
      <c r="K349" s="4" t="str">
        <f t="shared" si="179"/>
        <v xml:space="preserve">                                                     section .bss object hmc_demand.o,</v>
      </c>
    </row>
    <row r="350" spans="11:11" x14ac:dyDescent="0.25">
      <c r="K350" s="4" t="str">
        <f t="shared" si="179"/>
        <v xml:space="preserve">                                                     section .bss object hmc_diags.o,</v>
      </c>
    </row>
    <row r="351" spans="11:11" x14ac:dyDescent="0.25">
      <c r="K351" s="4" t="str">
        <f t="shared" si="179"/>
        <v xml:space="preserve">                                                     section .bss object hmc_ds.o,</v>
      </c>
    </row>
    <row r="352" spans="11:11" x14ac:dyDescent="0.25">
      <c r="K352" s="4" t="str">
        <f t="shared" si="179"/>
        <v xml:space="preserve">                                                     section .bss object hmc_eng.o,</v>
      </c>
    </row>
    <row r="353" spans="11:11" x14ac:dyDescent="0.25">
      <c r="K353" s="4" t="str">
        <f t="shared" si="179"/>
        <v xml:space="preserve">                                                     section .bss object hmc_finish.o,</v>
      </c>
    </row>
    <row r="354" spans="11:11" x14ac:dyDescent="0.25">
      <c r="K354" s="4" t="str">
        <f t="shared" si="179"/>
        <v xml:space="preserve">                                                     section .bss object hmc_msg.o,</v>
      </c>
    </row>
    <row r="355" spans="11:11" x14ac:dyDescent="0.25">
      <c r="K355" s="4" t="str">
        <f t="shared" si="179"/>
        <v xml:space="preserve">                                                     section .bss object hmc_mtr_info.o,</v>
      </c>
    </row>
    <row r="356" spans="11:11" x14ac:dyDescent="0.25">
      <c r="K356" s="4" t="str">
        <f t="shared" si="179"/>
        <v xml:space="preserve">                                                     section .bss object hmc_mtr_lp.o,</v>
      </c>
    </row>
    <row r="357" spans="11:11" x14ac:dyDescent="0.25">
      <c r="K357" s="4" t="str">
        <f t="shared" si="179"/>
        <v xml:space="preserve">                                                     section .bss object hmc_prot.o,</v>
      </c>
    </row>
    <row r="358" spans="11:11" x14ac:dyDescent="0.25">
      <c r="K358" s="4" t="str">
        <f t="shared" si="179"/>
        <v xml:space="preserve">                                                     section .bss object hmc_request.o,</v>
      </c>
    </row>
    <row r="359" spans="11:11" x14ac:dyDescent="0.25">
      <c r="K359" s="4" t="str">
        <f t="shared" si="179"/>
        <v xml:space="preserve">                                                     section .bss object hmc_seq_id.o,</v>
      </c>
    </row>
    <row r="360" spans="11:11" x14ac:dyDescent="0.25">
      <c r="K360" s="4" t="str">
        <f t="shared" si="179"/>
        <v xml:space="preserve">                                                     section .bss object hmc_snapshot.o,</v>
      </c>
    </row>
    <row r="361" spans="11:11" x14ac:dyDescent="0.25">
      <c r="K361" s="4" t="str">
        <f t="shared" si="179"/>
        <v xml:space="preserve">                                                     section .bss object hmc_start.o,</v>
      </c>
    </row>
    <row r="362" spans="11:11" x14ac:dyDescent="0.25">
      <c r="K362" s="4" t="str">
        <f t="shared" si="179"/>
        <v xml:space="preserve">                                                     section .bss object hmc_sync.o,</v>
      </c>
    </row>
    <row r="363" spans="11:11" x14ac:dyDescent="0.25">
      <c r="K363" s="4" t="str">
        <f t="shared" si="179"/>
        <v xml:space="preserve">                                                     section .bss object hmc_time.o,</v>
      </c>
    </row>
    <row r="364" spans="11:11" x14ac:dyDescent="0.25">
      <c r="K364" s="4" t="str">
        <f t="shared" si="179"/>
        <v xml:space="preserve">                                                     section .bss object hmc_tsk_lst.o,</v>
      </c>
    </row>
    <row r="365" spans="11:11" x14ac:dyDescent="0.25">
      <c r="K365" s="4" t="str">
        <f t="shared" si="179"/>
        <v xml:space="preserve">                                                     section .bss object intf_cim_cmd.o,</v>
      </c>
    </row>
    <row r="366" spans="11:11" x14ac:dyDescent="0.25">
      <c r="K366" s="4" t="str">
        <f t="shared" si="179"/>
        <v xml:space="preserve">                                                     section .bss object hmc_prg_mtr.o,</v>
      </c>
    </row>
    <row r="367" spans="11:11" x14ac:dyDescent="0.25">
      <c r="K367" s="4" t="str">
        <f t="shared" si="179"/>
        <v xml:space="preserve">                                                     section .bss object hmc_display.o };</v>
      </c>
    </row>
    <row r="368" spans="11:11" x14ac:dyDescent="0.25">
      <c r="K368" s="4" t="str">
        <f>K194</f>
        <v>define block AclaraDA_BSS_BLK with alignment = 4   { section .bss object b2b.o,</v>
      </c>
    </row>
    <row r="369" spans="11:11" x14ac:dyDescent="0.25">
      <c r="K369" s="4" t="str">
        <f t="shared" ref="K369:K376" si="180">K195</f>
        <v xml:space="preserve">                                                     section .bss object b2b_req_handler.o,</v>
      </c>
    </row>
    <row r="370" spans="11:11" x14ac:dyDescent="0.25">
      <c r="K370" s="4" t="str">
        <f t="shared" si="180"/>
        <v xml:space="preserve">                                                     section .bss object b2bMessage.o,</v>
      </c>
    </row>
    <row r="371" spans="11:11" x14ac:dyDescent="0.25">
      <c r="K371" s="4" t="str">
        <f t="shared" si="180"/>
        <v xml:space="preserve">                                                     section .bss object da_srfn_reg.o,</v>
      </c>
    </row>
    <row r="372" spans="11:11" x14ac:dyDescent="0.25">
      <c r="K372" s="4" t="str">
        <f t="shared" si="180"/>
        <v xml:space="preserve">                                                     section .bss object hdlc_frame.o,</v>
      </c>
    </row>
    <row r="373" spans="11:11" x14ac:dyDescent="0.25">
      <c r="K373" s="4" t="str">
        <f t="shared" si="180"/>
        <v xml:space="preserve">                                                     section .bss object host_reset.o,</v>
      </c>
    </row>
    <row r="374" spans="11:11" x14ac:dyDescent="0.25">
      <c r="K374" s="4" t="str">
        <f t="shared" si="180"/>
        <v xml:space="preserve">                                                     section .bss object nw_connected.o,</v>
      </c>
    </row>
    <row r="375" spans="11:11" x14ac:dyDescent="0.25">
      <c r="K375" s="4" t="str">
        <f t="shared" si="180"/>
        <v xml:space="preserve">                                                     section .bss object TUNNEL_MSG_Handler.o,</v>
      </c>
    </row>
    <row r="376" spans="11:11" x14ac:dyDescent="0.25">
      <c r="K376" s="4" t="str">
        <f t="shared" si="180"/>
        <v xml:space="preserve">                                                     section .bss object tunnel_Util.o };</v>
      </c>
    </row>
    <row r="377" spans="11:11" x14ac:dyDescent="0.25">
      <c r="K377" s="4" t="str">
        <f t="shared" ref="K377:K394" si="181">K208</f>
        <v>define block MTU_Common_BSS_BLK with alignment = 4 { section .bss object APP_MSG_Handler.o,</v>
      </c>
    </row>
    <row r="378" spans="11:11" x14ac:dyDescent="0.25">
      <c r="K378" s="4" t="str">
        <f t="shared" si="181"/>
        <v xml:space="preserve">                                                     section .bss object demand.o,</v>
      </c>
    </row>
    <row r="379" spans="11:11" x14ac:dyDescent="0.25">
      <c r="K379" s="4" t="str">
        <f t="shared" si="181"/>
        <v xml:space="preserve">                                                     section .bss object ed_config.o,</v>
      </c>
    </row>
    <row r="380" spans="11:11" x14ac:dyDescent="0.25">
      <c r="K380" s="4" t="str">
        <f t="shared" si="181"/>
        <v xml:space="preserve">                                                     section .bss object endpt_cim_cmd.o,</v>
      </c>
    </row>
    <row r="381" spans="11:11" x14ac:dyDescent="0.25">
      <c r="K381" s="4" t="str">
        <f t="shared" si="181"/>
        <v xml:space="preserve">                                                     section .bss object historyd.o,</v>
      </c>
    </row>
    <row r="382" spans="11:11" x14ac:dyDescent="0.25">
      <c r="K382" s="4" t="str">
        <f t="shared" si="181"/>
        <v xml:space="preserve">                                                     section .bss object ID_intervalTask.o,</v>
      </c>
    </row>
    <row r="383" spans="11:11" x14ac:dyDescent="0.25">
      <c r="K383" s="4" t="str">
        <f t="shared" si="181"/>
        <v xml:space="preserve">                                                     section .bss object IDL_IdleProcess.o,</v>
      </c>
    </row>
    <row r="384" spans="11:11" x14ac:dyDescent="0.25">
      <c r="K384" s="4" t="str">
        <f t="shared" si="181"/>
        <v xml:space="preserve">                                                     section .bss object OR_MR_Handler.o,</v>
      </c>
    </row>
    <row r="385" spans="11:11" x14ac:dyDescent="0.25">
      <c r="K385" s="4" t="str">
        <f t="shared" si="181"/>
        <v xml:space="preserve">                                                     section .bss object pwr_config.o,</v>
      </c>
    </row>
    <row r="386" spans="11:11" x14ac:dyDescent="0.25">
      <c r="K386" s="4" t="str">
        <f t="shared" si="181"/>
        <v xml:space="preserve">                                                     section .bss object pwr_last_gasp.o,</v>
      </c>
    </row>
    <row r="387" spans="11:11" x14ac:dyDescent="0.25">
      <c r="K387" s="4" t="str">
        <f t="shared" si="181"/>
        <v xml:space="preserve">                                                     section .bss object pwr_restore.o,</v>
      </c>
    </row>
    <row r="388" spans="11:11" x14ac:dyDescent="0.25">
      <c r="K388" s="4" t="str">
        <f t="shared" si="181"/>
        <v xml:space="preserve">                                                     section .bss object pwr_task.o,</v>
      </c>
    </row>
    <row r="389" spans="11:11" x14ac:dyDescent="0.25">
      <c r="K389" s="4" t="str">
        <f t="shared" si="181"/>
        <v xml:space="preserve">                                                     section .bss object RG_CF_Handler.o,</v>
      </c>
    </row>
    <row r="390" spans="11:11" x14ac:dyDescent="0.25">
      <c r="K390" s="4" t="str">
        <f t="shared" si="181"/>
        <v xml:space="preserve">                                                     section .bss object RG_MD_Handler.o,</v>
      </c>
    </row>
    <row r="391" spans="11:11" x14ac:dyDescent="0.25">
      <c r="K391" s="4" t="str">
        <f t="shared" si="181"/>
        <v xml:space="preserve">                                                     section .bss object STRT_Startup.o,</v>
      </c>
    </row>
    <row r="392" spans="11:11" x14ac:dyDescent="0.25">
      <c r="K392" s="4" t="str">
        <f t="shared" si="181"/>
        <v xml:space="preserve">                                                     section .bss object Task.o,</v>
      </c>
    </row>
    <row r="393" spans="11:11" x14ac:dyDescent="0.25">
      <c r="K393" s="4" t="str">
        <f t="shared" si="181"/>
        <v xml:space="preserve">                                                     section .bss object vbat_reg.o,</v>
      </c>
    </row>
    <row r="394" spans="11:11" x14ac:dyDescent="0.25">
      <c r="K394" s="4" t="str">
        <f t="shared" si="181"/>
        <v xml:space="preserve">                                                     section .bss object version.o };</v>
      </c>
    </row>
    <row r="395" spans="11:11" x14ac:dyDescent="0.25">
      <c r="K395" s="4" t="str">
        <f>K16</f>
        <v>"utils_BSS":      place at address mem: utils_BSS      { block utils_BSS_BLK, rw data };</v>
      </c>
    </row>
    <row r="396" spans="11:11" x14ac:dyDescent="0.25">
      <c r="K396" s="4" t="str">
        <f>K25</f>
        <v>"dfw_BSS":        place at address mem: dfw_BSS        { block dfw_BSS_BLK, rw data };</v>
      </c>
    </row>
    <row r="397" spans="11:11" x14ac:dyDescent="0.25">
      <c r="K397" s="4" t="str">
        <f>K37</f>
        <v>"driver_BSS":     place at address mem: driver_BSS     { block driver_BSS_BLK, rw data };</v>
      </c>
    </row>
    <row r="398" spans="11:11" x14ac:dyDescent="0.25">
      <c r="K398" s="4" t="str">
        <f>K76</f>
        <v>"stack_BSS":      place at address mem: stack_BSS      { block stack_BSS_BLK, rw data };</v>
      </c>
    </row>
    <row r="399" spans="11:11" x14ac:dyDescent="0.25">
      <c r="K399" s="4" t="str">
        <f>K87</f>
        <v>"OS_API_BSS":     place at address mem: OS_API_BSS     { block OS_API_BSS_BLK, rw data };</v>
      </c>
    </row>
    <row r="400" spans="11:11" x14ac:dyDescent="0.25">
      <c r="K400" s="4" t="str">
        <f>K101</f>
        <v>"radio_BSS":      place at address mem: radio_BSS      { block radio_BSS_BLK, rw data };</v>
      </c>
    </row>
    <row r="401" spans="11:11" x14ac:dyDescent="0.25">
      <c r="K401" s="4" t="str">
        <f>K112</f>
        <v>"security_BSS":   place at address mem: security_BSS   { block security_BSS_BLK, rw data };</v>
      </c>
    </row>
    <row r="402" spans="11:11" x14ac:dyDescent="0.25">
      <c r="K402" s="4" t="str">
        <f>K128</f>
        <v>"AclaraBSP_BSS":  place at address mem: AclaraBSP_BSS  { block AclaraBSP_BSS_BLK, rw data };</v>
      </c>
    </row>
    <row r="403" spans="11:11" x14ac:dyDescent="0.25">
      <c r="K403" s="4" t="str">
        <f>K164</f>
        <v>"Common_BSS":     place at address mem: Common_BSS     { block Common_BSS_BLK, rw data };</v>
      </c>
    </row>
    <row r="404" spans="11:11" x14ac:dyDescent="0.25">
      <c r="K404" s="4" t="str">
        <f>K189</f>
        <v>"HMC_BSS":        place at address mem: HMC_BSS        { block HMC_BSS_BLK, rw data };</v>
      </c>
    </row>
    <row r="405" spans="11:11" x14ac:dyDescent="0.25">
      <c r="K405" s="4" t="str">
        <f>K203</f>
        <v>"AclaraDA_BSS":   place at address mem: AclaraDA_BSS   { block AclaraDA_BSS_BLK, rw data };</v>
      </c>
    </row>
    <row r="406" spans="11:11" x14ac:dyDescent="0.25">
      <c r="K406" s="4" t="str">
        <f>K226</f>
        <v>"MTU_Common_BSS": place at address mem: MTU_Common_BSS { block MTU_Common_BSS_BLK, rw data };</v>
      </c>
    </row>
    <row r="407" spans="11:11" x14ac:dyDescent="0.25">
      <c r="K407" s="4"/>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61"/>
  <sheetViews>
    <sheetView workbookViewId="0"/>
  </sheetViews>
  <sheetFormatPr defaultRowHeight="15" x14ac:dyDescent="0.25"/>
  <cols>
    <col min="1" max="1" width="16.28515625" bestFit="1" customWidth="1"/>
    <col min="2" max="2" width="26" bestFit="1" customWidth="1"/>
    <col min="3" max="3" width="3" bestFit="1" customWidth="1"/>
    <col min="4" max="4" width="3" customWidth="1"/>
    <col min="5" max="5" width="2" bestFit="1" customWidth="1"/>
    <col min="6" max="6" width="6.28515625" bestFit="1" customWidth="1"/>
    <col min="7" max="7" width="9.140625" bestFit="1" customWidth="1"/>
    <col min="8" max="8" width="10" bestFit="1" customWidth="1"/>
    <col min="9" max="9" width="11.140625" bestFit="1" customWidth="1"/>
    <col min="10" max="10" width="56.28515625" bestFit="1" customWidth="1"/>
    <col min="11" max="11" width="132" bestFit="1" customWidth="1"/>
  </cols>
  <sheetData>
    <row r="1" spans="1:11" x14ac:dyDescent="0.25">
      <c r="B1" t="s">
        <v>589</v>
      </c>
      <c r="F1" s="3" t="str">
        <f ca="1">'.map data'!B3</f>
        <v>'.map data'!$H$451:$I$452</v>
      </c>
    </row>
    <row r="2" spans="1:11" x14ac:dyDescent="0.25">
      <c r="F2" t="s">
        <v>526</v>
      </c>
      <c r="G2">
        <f ca="1">VLOOKUP(B5,INDIRECT(GlobalPlcmnt!$B$133),GlobalPlcmnt!$B$138,FALSE)</f>
        <v>0</v>
      </c>
      <c r="K2" t="str">
        <f>"ro code section .text object "</f>
        <v xml:space="preserve">ro code section .text object </v>
      </c>
    </row>
    <row r="3" spans="1:11" x14ac:dyDescent="0.25">
      <c r="A3" t="s">
        <v>927</v>
      </c>
      <c r="B3" t="str">
        <f ca="1">CELL("address",B5)</f>
        <v>$B$5</v>
      </c>
      <c r="F3" t="s">
        <v>608</v>
      </c>
      <c r="G3">
        <f ca="1">VLOOKUP(B5,INDIRECT(GlobalPlcmnt!$B$133),GlobalPlcmnt!$C$138,FALSE)</f>
        <v>16</v>
      </c>
      <c r="K3">
        <f>2*$C$4+LEN("place at address mem: { ")+3</f>
        <v>61</v>
      </c>
    </row>
    <row r="4" spans="1:11" x14ac:dyDescent="0.25">
      <c r="C4">
        <f>MAX(C5:C44)</f>
        <v>17</v>
      </c>
      <c r="F4" t="s">
        <v>542</v>
      </c>
    </row>
    <row r="5" spans="1:11" x14ac:dyDescent="0.25">
      <c r="A5" t="s">
        <v>802</v>
      </c>
      <c r="B5" t="str">
        <f>IF(A5&lt;&gt;A3,A5&amp;$B$1,"")</f>
        <v>CommandLine_TEXT</v>
      </c>
      <c r="C5">
        <f>LEN(B5)</f>
        <v>16</v>
      </c>
      <c r="E5" t="s">
        <v>562</v>
      </c>
      <c r="F5">
        <f ca="1">IF(E5="*",F6,VLOOKUP(E5,INDIRECT($F$1),2,FALSE))</f>
        <v>0</v>
      </c>
      <c r="H5">
        <f ca="1">VLOOKUP(B5,INDIRECT(GlobalPlcmnt!$B$133),GlobalPlcmnt!$A$138,FALSE)</f>
        <v>651840</v>
      </c>
      <c r="I5" t="str">
        <f ca="1">"0x"&amp;DEC2HEX(H5,8)</f>
        <v>0x0009F240</v>
      </c>
      <c r="J5" s="4" t="str">
        <f ca="1">IF(E5&lt;&gt;"*","","define symbol "&amp;B5&amp;REPT(" ",$C$4-C5)&amp;" = "&amp;I5&amp;";")</f>
        <v>define symbol CommandLine_TEXT  = 0x0009F240;</v>
      </c>
      <c r="K5" s="4" t="str">
        <f>IF(E5="*",""""&amp;B5&amp;""":"&amp;REPT(" ",$C$4-C5)&amp;" place at address mem: "&amp;B5&amp;REPT(" ",$C$4-C5)&amp;" { "&amp;$K$2&amp;E5&amp;"("&amp;A5&amp;".a)"&amp;IF(E6=""," };",","),IF(E5="","",REPT(" ",$K$3)&amp;$K$2&amp;E5&amp;IF(E6=""," };",",")))</f>
        <v>"CommandLine_TEXT":  place at address mem: CommandLine_TEXT  { ro code section .text object *(CommandLine.a) };</v>
      </c>
    </row>
    <row r="6" spans="1:11" x14ac:dyDescent="0.25">
      <c r="B6" t="str">
        <f>B5&amp;"_end"</f>
        <v>CommandLine_TEXT_end</v>
      </c>
      <c r="F6">
        <f ca="1">VLOOKUP(B6,INDIRECT($F$1),2,FALSE)</f>
        <v>0</v>
      </c>
      <c r="G6">
        <f ca="1">INT(($G$2/100)*F6)</f>
        <v>0</v>
      </c>
      <c r="H6">
        <f ca="1">H5+F5+G6+IF(MOD(F5+H5+G6,$G$3)=0,0,$G$3-MOD(F5+H5+G6,$G$3))</f>
        <v>651840</v>
      </c>
      <c r="I6" t="str">
        <f ca="1">"0x"&amp;DEC2HEX(H6,8)</f>
        <v>0x0009F240</v>
      </c>
      <c r="J6" s="4"/>
      <c r="K6" s="4"/>
    </row>
    <row r="7" spans="1:11" x14ac:dyDescent="0.25">
      <c r="J7" s="4"/>
      <c r="K7" s="4"/>
    </row>
    <row r="8" spans="1:11" x14ac:dyDescent="0.25">
      <c r="F8" s="3" t="str">
        <f ca="1">'.map data'!B6</f>
        <v>'.map data'!$R$2930:$S$2931</v>
      </c>
      <c r="J8" s="4"/>
    </row>
    <row r="9" spans="1:11" x14ac:dyDescent="0.25">
      <c r="F9" t="s">
        <v>526</v>
      </c>
      <c r="G9">
        <f ca="1">VLOOKUP(B11,INDIRECT(GlobalPlcmnt!$B$133),GlobalPlcmnt!$B$138,FALSE)</f>
        <v>0</v>
      </c>
      <c r="J9" s="4"/>
      <c r="K9" t="s">
        <v>578</v>
      </c>
    </row>
    <row r="10" spans="1:11" x14ac:dyDescent="0.25">
      <c r="B10" t="s">
        <v>580</v>
      </c>
      <c r="F10" t="s">
        <v>608</v>
      </c>
      <c r="G10">
        <f ca="1">VLOOKUP(B11,INDIRECT(GlobalPlcmnt!$B$133),GlobalPlcmnt!$C$138,FALSE)</f>
        <v>16</v>
      </c>
      <c r="J10" s="4"/>
      <c r="K10">
        <f>2*$C$4+LEN("place at address mem: { ")+5</f>
        <v>63</v>
      </c>
    </row>
    <row r="11" spans="1:11" x14ac:dyDescent="0.25">
      <c r="A11" t="s">
        <v>802</v>
      </c>
      <c r="B11" t="str">
        <f>IF(A11&lt;&gt;A7,A11&amp;$B$10,"")</f>
        <v>CommandLine_CONST</v>
      </c>
      <c r="C11">
        <f>LEN(B11)</f>
        <v>17</v>
      </c>
      <c r="E11" t="s">
        <v>562</v>
      </c>
      <c r="F11">
        <f ca="1">IF(E11="*",F12,VLOOKUP(E11,INDIRECT($F$8),2,FALSE))</f>
        <v>0</v>
      </c>
      <c r="H11">
        <f ca="1">VLOOKUP(B11,INDIRECT(GlobalPlcmnt!$B$133),GlobalPlcmnt!$A$138,FALSE)</f>
        <v>651840</v>
      </c>
      <c r="I11" t="str">
        <f ca="1">"0x"&amp;DEC2HEX(H11,8)</f>
        <v>0x0009F240</v>
      </c>
      <c r="J11" s="4" t="str">
        <f ca="1">IF(E11&lt;&gt;"*","","define symbol "&amp;B11&amp;REPT(" ",$C$4-C11)&amp;" = "&amp;I11&amp;";")</f>
        <v>define symbol CommandLine_CONST = 0x0009F240;</v>
      </c>
      <c r="K11" s="4" t="str">
        <f>IF(E11="*",""""&amp;B11&amp;""":"&amp;REPT(" ",$C$4-C11)&amp;" place at address mem: "&amp;B11&amp;REPT(" ",$C$4-C11)&amp;" { "&amp;$K$9&amp;E11&amp;"("&amp;A11&amp;".a)"&amp;IF(E12=""," };",","),IF(E11="","",REPT(" ",$K$10)&amp;$K$9&amp;E11&amp;IF(E12=""," };",",")))</f>
        <v>"CommandLine_CONST": place at address mem: CommandLine_CONST { ro data section .rodata object *(CommandLine.a) };</v>
      </c>
    </row>
    <row r="12" spans="1:11" x14ac:dyDescent="0.25">
      <c r="B12" t="str">
        <f>B11&amp;"_end"</f>
        <v>CommandLine_CONST_end</v>
      </c>
      <c r="F12">
        <f ca="1">VLOOKUP(B12,INDIRECT($F$8),2,FALSE)</f>
        <v>0</v>
      </c>
      <c r="G12">
        <f ca="1">INT(($G$9/100)*F12)</f>
        <v>0</v>
      </c>
      <c r="H12">
        <f ca="1">H11+F11+G12+IF(MOD(F11+H11+G12,$G$10)=0,0,$G$10-MOD(F11+H11+G12,$G$10))</f>
        <v>651840</v>
      </c>
      <c r="I12" t="str">
        <f ca="1">"0x"&amp;DEC2HEX(H12,8)</f>
        <v>0x0009F240</v>
      </c>
      <c r="J12" s="4"/>
      <c r="K12" s="4" t="str">
        <f>IF(E12="*",""""&amp;A12&amp;$B$1&amp;""":"&amp;REPT(" ",$C$4-C12)&amp;" place at address mem: "&amp;A12&amp;$B$1&amp;REPT(" ",$C$4-C12)&amp;" { "&amp;$K$2&amp;E12&amp;"("&amp;B12&amp;".a)"&amp;IF(E17=""," };",","),IF(E12="","",REPT(" ",$K$3)&amp;$K$2&amp;E12&amp;IF(E17=""," };",",")))</f>
        <v/>
      </c>
    </row>
    <row r="13" spans="1:11" x14ac:dyDescent="0.25">
      <c r="J13" s="4"/>
      <c r="K13" s="4"/>
    </row>
    <row r="14" spans="1:11" x14ac:dyDescent="0.25">
      <c r="F14" s="3" t="str">
        <f ca="1">'.map data'!B10</f>
        <v>'.map data'!$AB$150:$AC$151</v>
      </c>
      <c r="J14" s="4"/>
    </row>
    <row r="15" spans="1:11" x14ac:dyDescent="0.25">
      <c r="F15" t="s">
        <v>526</v>
      </c>
      <c r="G15">
        <f ca="1">VLOOKUP(B17,INDIRECT(GlobalPlcmnt!$B$133),GlobalPlcmnt!$B$138,FALSE)</f>
        <v>0</v>
      </c>
      <c r="J15" s="4"/>
      <c r="K15" t="s">
        <v>590</v>
      </c>
    </row>
    <row r="16" spans="1:11" x14ac:dyDescent="0.25">
      <c r="B16" t="s">
        <v>584</v>
      </c>
      <c r="F16" t="s">
        <v>608</v>
      </c>
      <c r="G16">
        <f ca="1">VLOOKUP(B17,INDIRECT(GlobalPlcmnt!$B$133),GlobalPlcmnt!$C$138,FALSE)</f>
        <v>16</v>
      </c>
      <c r="J16" s="4"/>
      <c r="K16">
        <f>2*$C$4+LEN("place at address mem: { ")+5</f>
        <v>63</v>
      </c>
    </row>
    <row r="17" spans="1:11" x14ac:dyDescent="0.25">
      <c r="A17" t="s">
        <v>802</v>
      </c>
      <c r="B17" t="str">
        <f>IF(A17&lt;&gt;A13,A17&amp;$B$16,"")</f>
        <v>CommandLine_DINIT</v>
      </c>
      <c r="C17">
        <f>LEN(B17)</f>
        <v>17</v>
      </c>
      <c r="E17" t="s">
        <v>562</v>
      </c>
      <c r="F17">
        <f ca="1">IF(E17="*",F18,VLOOKUP(E17,INDIRECT($F$14),2,FALSE))</f>
        <v>0</v>
      </c>
      <c r="H17">
        <f ca="1">VLOOKUP(B17,INDIRECT(GlobalPlcmnt!$B$133),GlobalPlcmnt!$A$138,FALSE)</f>
        <v>651840</v>
      </c>
      <c r="I17" t="str">
        <f ca="1">"0x"&amp;DEC2HEX(H17,8)</f>
        <v>0x0009F240</v>
      </c>
      <c r="J17" s="4" t="str">
        <f ca="1">IF(E17&lt;&gt;"*","","define symbol "&amp;B17&amp;REPT(" ",$C$4-C17)&amp;" = "&amp;I17&amp;";")</f>
        <v>define symbol CommandLine_DINIT = 0x0009F240;</v>
      </c>
      <c r="K17" s="4" t="str">
        <f>IF(E17="*",""""&amp;B17&amp;""":"&amp;REPT(" ",$C$4-C17)&amp;" place at address mem: "&amp;B17&amp;REPT(" ",$C$4-C17)&amp;" { "&amp;$K$15&amp;E17&amp;"("&amp;A17&amp;".a)"&amp;IF(E18=""," };",","),IF(E17="","",REPT(" ",$K$16)&amp;$K$15&amp;E17&amp;IF(E18=""," };",",")))</f>
        <v>"CommandLine_DINIT": place at address mem: CommandLine_DINIT { ro data section *_init object *(CommandLine.a) };</v>
      </c>
    </row>
    <row r="18" spans="1:11" x14ac:dyDescent="0.25">
      <c r="B18" t="str">
        <f>B17&amp;"_end"</f>
        <v>CommandLine_DINIT_end</v>
      </c>
      <c r="F18">
        <f ca="1">VLOOKUP(B18,INDIRECT($F$14),2,FALSE)</f>
        <v>0</v>
      </c>
      <c r="G18">
        <f ca="1">INT(($G$15/100)*F18)</f>
        <v>0</v>
      </c>
      <c r="H18">
        <f ca="1">H17+F17+G18+IF(MOD(F17+H17+G18,$G$16)=0,0,$G$16-MOD(F17+H17+G18,$G$16))</f>
        <v>651840</v>
      </c>
      <c r="I18" t="str">
        <f ca="1">"0x"&amp;DEC2HEX(H18,8)</f>
        <v>0x0009F240</v>
      </c>
      <c r="J18" s="4"/>
      <c r="K18" s="4" t="str">
        <f>IF(E18="*",""""&amp;A18&amp;$B$1&amp;""":"&amp;REPT(" ",$C$4-C18)&amp;" place at address mem: "&amp;A18&amp;$B$1&amp;REPT(" ",$C$4-C18)&amp;" { "&amp;$K$2&amp;E18&amp;"("&amp;B18&amp;".a)"&amp;IF(E23=""," };",","),IF(E18="","",REPT(" ",$K$3)&amp;$K$2&amp;E18&amp;IF(E23=""," };",",")))</f>
        <v/>
      </c>
    </row>
    <row r="19" spans="1:11" x14ac:dyDescent="0.25">
      <c r="J19" s="4"/>
      <c r="K19" s="4"/>
    </row>
    <row r="20" spans="1:11" x14ac:dyDescent="0.25">
      <c r="F20" s="3" t="str">
        <f ca="1">'.map data'!B15</f>
        <v>'.map data'!$AL$190:$AM$191</v>
      </c>
      <c r="J20" s="4"/>
    </row>
    <row r="21" spans="1:11" x14ac:dyDescent="0.25">
      <c r="F21" t="s">
        <v>526</v>
      </c>
      <c r="G21">
        <f ca="1">VLOOKUP(B23,INDIRECT(GlobalPlcmnt!$B$134),GlobalPlcmnt!$B$138,FALSE)</f>
        <v>5</v>
      </c>
      <c r="J21" s="4"/>
      <c r="K21" t="s">
        <v>579</v>
      </c>
    </row>
    <row r="22" spans="1:11" x14ac:dyDescent="0.25">
      <c r="B22" t="s">
        <v>581</v>
      </c>
      <c r="F22" t="s">
        <v>608</v>
      </c>
      <c r="G22">
        <f ca="1">VLOOKUP(B23,INDIRECT(GlobalPlcmnt!$B$134),GlobalPlcmnt!$C$138,FALSE)</f>
        <v>8</v>
      </c>
      <c r="J22" s="4"/>
      <c r="K22">
        <f>2*$C$4+LEN("place at address mem: { ")+5</f>
        <v>63</v>
      </c>
    </row>
    <row r="23" spans="1:11" x14ac:dyDescent="0.25">
      <c r="A23" t="s">
        <v>802</v>
      </c>
      <c r="B23" t="str">
        <f>IF(A23&lt;&gt;A19,A23&amp;$B$22,"")</f>
        <v>CommandLine_INIT</v>
      </c>
      <c r="C23">
        <f>LEN(B23)</f>
        <v>16</v>
      </c>
      <c r="E23" t="s">
        <v>562</v>
      </c>
      <c r="F23">
        <f ca="1">IF(E23="*",F24,VLOOKUP(E23,INDIRECT($F$20),2,FALSE))</f>
        <v>0</v>
      </c>
      <c r="H23">
        <f ca="1">VLOOKUP(B23,INDIRECT(GlobalPlcmnt!$B$134),GlobalPlcmnt!$A$138,FALSE)</f>
        <v>536807528</v>
      </c>
      <c r="I23" t="str">
        <f ca="1">"0x"&amp;DEC2HEX(H23,8)</f>
        <v>0x1FFF0868</v>
      </c>
      <c r="J23" s="4" t="str">
        <f ca="1">IF(E23&lt;&gt;"*","","define symbol "&amp;B23&amp;REPT(" ",$C$4-C23)&amp;" = "&amp;I23&amp;";")</f>
        <v>define symbol CommandLine_INIT  = 0x1FFF0868;</v>
      </c>
      <c r="K23" s="4" t="str">
        <f>IF(E23="*",""""&amp;B23&amp;""":"&amp;REPT(" ",$C$4-C23)&amp;" place at address mem: "&amp;B23&amp;REPT(" ",$C$4-C23)&amp;" { "&amp;$K$21&amp;E23&amp;"("&amp;A23&amp;".a)"&amp;IF(E24=""," };",","),IF(E23="","",REPT(" ",$K$22)&amp;$K$21&amp;E23&amp;IF(E24=""," };",",")))</f>
        <v>"CommandLine_INIT":  place at address mem: CommandLine_INIT  { rw data section .data object *(CommandLine.a) };</v>
      </c>
    </row>
    <row r="24" spans="1:11" x14ac:dyDescent="0.25">
      <c r="B24" t="str">
        <f>B23&amp;"_end"</f>
        <v>CommandLine_INIT_end</v>
      </c>
      <c r="F24">
        <f ca="1">VLOOKUP(B24,INDIRECT($F$20),2,FALSE)</f>
        <v>0</v>
      </c>
      <c r="G24">
        <f ca="1">INT(($G$21/100)*F24)</f>
        <v>0</v>
      </c>
      <c r="H24">
        <f ca="1">H23+F23+G24+IF(MOD(F23+H23+G24,$G$22)=0,0,$G$22-MOD(F23+H23+G24,$G$22))</f>
        <v>536807528</v>
      </c>
      <c r="I24" t="str">
        <f ca="1">"0x"&amp;DEC2HEX(H24,8)</f>
        <v>0x1FFF0868</v>
      </c>
      <c r="J24" s="4"/>
      <c r="K24" s="4" t="str">
        <f>IF(E24="*",""""&amp;A24&amp;$B$1&amp;""":"&amp;REPT(" ",$C$4-C24)&amp;" place at address mem: "&amp;A24&amp;$B$1&amp;REPT(" ",$C$4-C24)&amp;" { "&amp;$K$2&amp;E24&amp;"("&amp;B24&amp;".a)"&amp;IF(E29=""," };",","),IF(E24="","",REPT(" ",$K$3)&amp;$K$2&amp;E24&amp;IF(E29=""," };",",")))</f>
        <v/>
      </c>
    </row>
    <row r="25" spans="1:11" x14ac:dyDescent="0.25">
      <c r="J25" s="4"/>
      <c r="K25" s="4"/>
    </row>
    <row r="26" spans="1:11" x14ac:dyDescent="0.25">
      <c r="F26" s="3" t="str">
        <f ca="1">'.map data'!B19</f>
        <v>'.map data'!$AW$714:$AX$715</v>
      </c>
      <c r="J26" s="4"/>
    </row>
    <row r="27" spans="1:11" x14ac:dyDescent="0.25">
      <c r="F27" t="s">
        <v>526</v>
      </c>
      <c r="G27">
        <f ca="1">VLOOKUP(B29,INDIRECT(GlobalPlcmnt!$B$134),GlobalPlcmnt!$B$138,FALSE)</f>
        <v>5</v>
      </c>
      <c r="J27" s="4"/>
      <c r="K27" t="s">
        <v>588</v>
      </c>
    </row>
    <row r="28" spans="1:11" x14ac:dyDescent="0.25">
      <c r="B28" t="s">
        <v>587</v>
      </c>
      <c r="F28" t="s">
        <v>608</v>
      </c>
      <c r="G28">
        <f ca="1">VLOOKUP(B29,INDIRECT(GlobalPlcmnt!$B$134),GlobalPlcmnt!$C$138,FALSE)</f>
        <v>8</v>
      </c>
      <c r="J28" s="4"/>
      <c r="K28">
        <f>2*$C$4+LEN("place at address mem: { ")+5</f>
        <v>63</v>
      </c>
    </row>
    <row r="29" spans="1:11" x14ac:dyDescent="0.25">
      <c r="A29" t="s">
        <v>802</v>
      </c>
      <c r="B29" t="str">
        <f>IF(A29&lt;&gt;A25,A29&amp;$B$28,"")</f>
        <v>CommandLine_BSS</v>
      </c>
      <c r="C29">
        <f>LEN(B29)</f>
        <v>15</v>
      </c>
      <c r="E29" t="s">
        <v>562</v>
      </c>
      <c r="F29">
        <f ca="1">IF(E29="*",F30,VLOOKUP(E29,INDIRECT($F$26),2,FALSE))</f>
        <v>0</v>
      </c>
      <c r="H29">
        <f ca="1">VLOOKUP(B29,INDIRECT(GlobalPlcmnt!$B$134),GlobalPlcmnt!$A$138,FALSE)</f>
        <v>536859768</v>
      </c>
      <c r="I29" t="str">
        <f ca="1">"0x"&amp;DEC2HEX(H29,8)</f>
        <v>0x1FFFD478</v>
      </c>
      <c r="J29" s="4" t="str">
        <f ca="1">IF(E29&lt;&gt;"*","","define symbol "&amp;B29&amp;REPT(" ",$C$4-C29)&amp;" = "&amp;I29&amp;";")</f>
        <v>define symbol CommandLine_BSS   = 0x1FFFD478;</v>
      </c>
      <c r="K29" s="4" t="str">
        <f>IF(E29="*",""""&amp;B29&amp;""":"&amp;REPT(" ",$C$4-C29)&amp;" place at address mem: "&amp;B29&amp;REPT(" ",$C$4-C29)&amp;" { "&amp;$K$27&amp;E29&amp;"("&amp;A29&amp;".a)"&amp;IF(E30=""," };",","),IF(E29="","",REPT(" ",$K$28)&amp;$K$27&amp;E29&amp;IF(E30=""," };",",")))</f>
        <v>"CommandLine_BSS":   place at address mem: CommandLine_BSS   { rw data section .bss object *(CommandLine.a) };</v>
      </c>
    </row>
    <row r="30" spans="1:11" x14ac:dyDescent="0.25">
      <c r="B30" t="str">
        <f>B29&amp;"_end"</f>
        <v>CommandLine_BSS_end</v>
      </c>
      <c r="F30">
        <f ca="1">VLOOKUP(B30,INDIRECT($F$26),2,FALSE)</f>
        <v>0</v>
      </c>
      <c r="G30">
        <f ca="1">INT(($G$27/100)*F30)</f>
        <v>0</v>
      </c>
      <c r="H30">
        <f ca="1">F29+H29+G30+IF(MOD(F29+H29+G30,$G$28)=0,0,$G$28-MOD(F29+H29+G30,$G$28))</f>
        <v>536859768</v>
      </c>
      <c r="I30" t="str">
        <f ca="1">"0x"&amp;DEC2HEX(H30,8)</f>
        <v>0x1FFFD478</v>
      </c>
      <c r="J30" s="4"/>
      <c r="K30" s="4" t="str">
        <f>IF(E30="*",""""&amp;A30&amp;$B$1&amp;""":"&amp;REPT(" ",$C$4-C30)&amp;" place at address mem: "&amp;A30&amp;$B$1&amp;REPT(" ",$C$4-C30)&amp;" { "&amp;$K$2&amp;E30&amp;"("&amp;B30&amp;".a)"&amp;IF(E34=""," };",","),IF(E30="","",REPT(" ",$K$3)&amp;$K$2&amp;E30&amp;IF(E34=""," };",",")))</f>
        <v/>
      </c>
    </row>
    <row r="31" spans="1:11" x14ac:dyDescent="0.25">
      <c r="J31" s="4"/>
      <c r="K31" s="4"/>
    </row>
    <row r="32" spans="1:11" x14ac:dyDescent="0.25">
      <c r="A32" t="s">
        <v>928</v>
      </c>
      <c r="B32" t="str">
        <f ca="1">CELL("address",J30)</f>
        <v>$J$30</v>
      </c>
      <c r="J32" s="4"/>
      <c r="K32" s="4"/>
    </row>
    <row r="33" spans="10:11" x14ac:dyDescent="0.25">
      <c r="J33" s="4" t="str">
        <f ca="1">J5</f>
        <v>define symbol CommandLine_TEXT  = 0x0009F240;</v>
      </c>
      <c r="K33" s="4" t="str">
        <f ca="1">IF(MID(J33,1,1)="/","//","")&amp;K5</f>
        <v>"CommandLine_TEXT":  place at address mem: CommandLine_TEXT  { ro code section .text object *(CommandLine.a) };</v>
      </c>
    </row>
    <row r="34" spans="10:11" x14ac:dyDescent="0.25">
      <c r="J34" s="4" t="str">
        <f ca="1">J11</f>
        <v>define symbol CommandLine_CONST = 0x0009F240;</v>
      </c>
      <c r="K34" s="4" t="str">
        <f ca="1">IF(MID(J34,1,1)="/","//","")&amp;K11</f>
        <v>"CommandLine_CONST": place at address mem: CommandLine_CONST { ro data section .rodata object *(CommandLine.a) };</v>
      </c>
    </row>
    <row r="35" spans="10:11" x14ac:dyDescent="0.25">
      <c r="J35" s="4" t="str">
        <f ca="1">J17</f>
        <v>define symbol CommandLine_DINIT = 0x0009F240;</v>
      </c>
      <c r="K35" s="4" t="str">
        <f ca="1">IF(MID(J35,1,1)="/","//","")&amp;K17</f>
        <v>"CommandLine_DINIT": place at address mem: CommandLine_DINIT { ro data section *_init object *(CommandLine.a) };</v>
      </c>
    </row>
    <row r="36" spans="10:11" x14ac:dyDescent="0.25">
      <c r="J36" s="4" t="str">
        <f ca="1">J23</f>
        <v>define symbol CommandLine_INIT  = 0x1FFF0868;</v>
      </c>
      <c r="K36" s="4" t="str">
        <f ca="1">IF(MID(J36,1,1)="/","//","")&amp;K23</f>
        <v>"CommandLine_INIT":  place at address mem: CommandLine_INIT  { rw data section .data object *(CommandLine.a) };</v>
      </c>
    </row>
    <row r="37" spans="10:11" x14ac:dyDescent="0.25">
      <c r="J37" s="4" t="str">
        <f ca="1">J29</f>
        <v>define symbol CommandLine_BSS   = 0x1FFFD478;</v>
      </c>
      <c r="K37" s="4" t="str">
        <f ca="1">IF(MID(J37,1,1)="/","//","")&amp;K29</f>
        <v>"CommandLine_BSS":   place at address mem: CommandLine_BSS   { rw data section .bss object *(CommandLine.a) };</v>
      </c>
    </row>
    <row r="38" spans="10:11" x14ac:dyDescent="0.25">
      <c r="J38" s="4"/>
      <c r="K38" s="4"/>
    </row>
    <row r="39" spans="10:11" x14ac:dyDescent="0.25">
      <c r="J39" s="4"/>
      <c r="K39" s="4"/>
    </row>
    <row r="42" spans="10:11" x14ac:dyDescent="0.25">
      <c r="J42" s="2"/>
      <c r="K42" s="2"/>
    </row>
    <row r="44" spans="10:11" x14ac:dyDescent="0.25">
      <c r="J44" s="4"/>
      <c r="K44" s="4"/>
    </row>
    <row r="45" spans="10:11" x14ac:dyDescent="0.25">
      <c r="J45" s="2"/>
      <c r="K45" s="2"/>
    </row>
    <row r="47" spans="10:11" x14ac:dyDescent="0.25">
      <c r="J47" s="2"/>
      <c r="K47" s="2"/>
    </row>
    <row r="49" spans="10:11" x14ac:dyDescent="0.25">
      <c r="J49" s="4"/>
      <c r="K49" s="4"/>
    </row>
    <row r="50" spans="10:11" x14ac:dyDescent="0.25">
      <c r="J50" s="2"/>
      <c r="K50" s="2"/>
    </row>
    <row r="52" spans="10:11" x14ac:dyDescent="0.25">
      <c r="J52" s="4"/>
      <c r="K52" s="4"/>
    </row>
    <row r="58" spans="10:11" x14ac:dyDescent="0.25">
      <c r="J58" s="4"/>
      <c r="K58" s="4"/>
    </row>
    <row r="59" spans="10:11" x14ac:dyDescent="0.25">
      <c r="J59" s="4"/>
      <c r="K59" s="4"/>
    </row>
    <row r="61" spans="10:11" x14ac:dyDescent="0.25">
      <c r="J61" s="4"/>
      <c r="K61" s="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B32"/>
  <sheetViews>
    <sheetView workbookViewId="0">
      <selection sqref="A1:B1"/>
    </sheetView>
  </sheetViews>
  <sheetFormatPr defaultRowHeight="15" x14ac:dyDescent="0.25"/>
  <cols>
    <col min="1" max="1" width="3" bestFit="1" customWidth="1"/>
    <col min="2" max="2" width="156.5703125" customWidth="1"/>
  </cols>
  <sheetData>
    <row r="1" spans="1:2" x14ac:dyDescent="0.25">
      <c r="A1" s="47" t="s">
        <v>915</v>
      </c>
      <c r="B1" s="47"/>
    </row>
    <row r="2" spans="1:2" ht="30" x14ac:dyDescent="0.25">
      <c r="A2" s="29">
        <v>1</v>
      </c>
      <c r="B2" s="30" t="s">
        <v>920</v>
      </c>
    </row>
    <row r="3" spans="1:2" x14ac:dyDescent="0.25">
      <c r="A3" s="29">
        <f>A2+1</f>
        <v>2</v>
      </c>
      <c r="B3" s="30" t="s">
        <v>921</v>
      </c>
    </row>
    <row r="4" spans="1:2" ht="60" x14ac:dyDescent="0.25">
      <c r="A4" s="29">
        <f t="shared" ref="A4:A13" si="0">A3+1</f>
        <v>3</v>
      </c>
      <c r="B4" s="30" t="s">
        <v>1124</v>
      </c>
    </row>
    <row r="5" spans="1:2" x14ac:dyDescent="0.25">
      <c r="A5" s="29">
        <f t="shared" si="0"/>
        <v>4</v>
      </c>
      <c r="B5" s="30" t="s">
        <v>874</v>
      </c>
    </row>
    <row r="6" spans="1:2" ht="30" x14ac:dyDescent="0.25">
      <c r="A6" s="29">
        <f t="shared" si="0"/>
        <v>5</v>
      </c>
      <c r="B6" s="30" t="s">
        <v>1125</v>
      </c>
    </row>
    <row r="7" spans="1:2" x14ac:dyDescent="0.25">
      <c r="A7" s="29">
        <f t="shared" si="0"/>
        <v>6</v>
      </c>
      <c r="B7" s="30"/>
    </row>
    <row r="8" spans="1:2" x14ac:dyDescent="0.25">
      <c r="A8" s="29">
        <f t="shared" si="0"/>
        <v>7</v>
      </c>
      <c r="B8" s="30"/>
    </row>
    <row r="9" spans="1:2" x14ac:dyDescent="0.25">
      <c r="A9" s="29">
        <f t="shared" si="0"/>
        <v>8</v>
      </c>
      <c r="B9" s="30"/>
    </row>
    <row r="10" spans="1:2" x14ac:dyDescent="0.25">
      <c r="A10" s="29">
        <f t="shared" si="0"/>
        <v>9</v>
      </c>
      <c r="B10" s="30"/>
    </row>
    <row r="11" spans="1:2" x14ac:dyDescent="0.25">
      <c r="A11" s="29">
        <f t="shared" si="0"/>
        <v>10</v>
      </c>
      <c r="B11" s="30"/>
    </row>
    <row r="12" spans="1:2" x14ac:dyDescent="0.25">
      <c r="A12" s="29">
        <f t="shared" si="0"/>
        <v>11</v>
      </c>
      <c r="B12" s="30"/>
    </row>
    <row r="13" spans="1:2" x14ac:dyDescent="0.25">
      <c r="A13" s="29">
        <f t="shared" si="0"/>
        <v>12</v>
      </c>
      <c r="B13" s="30"/>
    </row>
    <row r="14" spans="1:2" x14ac:dyDescent="0.25">
      <c r="A14" s="29"/>
      <c r="B14" s="30"/>
    </row>
    <row r="15" spans="1:2" x14ac:dyDescent="0.25">
      <c r="A15" s="29"/>
      <c r="B15" s="30"/>
    </row>
    <row r="16" spans="1:2" x14ac:dyDescent="0.25">
      <c r="A16" s="51" t="s">
        <v>916</v>
      </c>
      <c r="B16" s="51"/>
    </row>
    <row r="17" spans="1:2" x14ac:dyDescent="0.25">
      <c r="A17" s="29">
        <v>1</v>
      </c>
      <c r="B17" s="30" t="s">
        <v>1126</v>
      </c>
    </row>
    <row r="18" spans="1:2" x14ac:dyDescent="0.25">
      <c r="A18" s="29">
        <f>A17+1</f>
        <v>2</v>
      </c>
      <c r="B18" s="30"/>
    </row>
    <row r="19" spans="1:2" x14ac:dyDescent="0.25">
      <c r="A19" s="29">
        <f t="shared" ref="A19:A25" si="1">A18+1</f>
        <v>3</v>
      </c>
      <c r="B19" s="30"/>
    </row>
    <row r="20" spans="1:2" x14ac:dyDescent="0.25">
      <c r="A20" s="29">
        <f t="shared" si="1"/>
        <v>4</v>
      </c>
      <c r="B20" s="30"/>
    </row>
    <row r="21" spans="1:2" x14ac:dyDescent="0.25">
      <c r="A21" s="29">
        <f t="shared" si="1"/>
        <v>5</v>
      </c>
      <c r="B21" s="30"/>
    </row>
    <row r="22" spans="1:2" x14ac:dyDescent="0.25">
      <c r="A22" s="29">
        <f t="shared" si="1"/>
        <v>6</v>
      </c>
      <c r="B22" s="30"/>
    </row>
    <row r="23" spans="1:2" x14ac:dyDescent="0.25">
      <c r="A23" s="29">
        <f t="shared" si="1"/>
        <v>7</v>
      </c>
      <c r="B23" s="30"/>
    </row>
    <row r="24" spans="1:2" x14ac:dyDescent="0.25">
      <c r="A24" s="29">
        <f t="shared" si="1"/>
        <v>8</v>
      </c>
      <c r="B24" s="30"/>
    </row>
    <row r="25" spans="1:2" x14ac:dyDescent="0.25">
      <c r="A25" s="29">
        <f t="shared" si="1"/>
        <v>9</v>
      </c>
      <c r="B25" s="30"/>
    </row>
    <row r="26" spans="1:2" x14ac:dyDescent="0.25">
      <c r="A26" s="29"/>
      <c r="B26" s="30"/>
    </row>
    <row r="27" spans="1:2" x14ac:dyDescent="0.25">
      <c r="A27" s="52" t="s">
        <v>748</v>
      </c>
      <c r="B27" s="52"/>
    </row>
    <row r="28" spans="1:2" x14ac:dyDescent="0.25">
      <c r="A28" s="29"/>
      <c r="B28" s="30" t="s">
        <v>917</v>
      </c>
    </row>
    <row r="29" spans="1:2" ht="30" x14ac:dyDescent="0.25">
      <c r="A29" s="29"/>
      <c r="B29" s="30" t="s">
        <v>918</v>
      </c>
    </row>
    <row r="30" spans="1:2" ht="45" x14ac:dyDescent="0.25">
      <c r="A30" s="29"/>
      <c r="B30" s="31" t="s">
        <v>922</v>
      </c>
    </row>
    <row r="31" spans="1:2" ht="45" x14ac:dyDescent="0.25">
      <c r="A31" s="29"/>
      <c r="B31" s="30" t="s">
        <v>923</v>
      </c>
    </row>
    <row r="32" spans="1:2" x14ac:dyDescent="0.25">
      <c r="A32" s="29"/>
    </row>
  </sheetData>
  <mergeCells count="3">
    <mergeCell ref="A1:B1"/>
    <mergeCell ref="A16:B16"/>
    <mergeCell ref="A27:B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Overall</vt:lpstr>
      <vt:lpstr>MemoryMap</vt:lpstr>
      <vt:lpstr>App Grouping</vt:lpstr>
      <vt:lpstr>GlobalPlcmnt</vt:lpstr>
      <vt:lpstr>LinkerScript</vt:lpstr>
      <vt:lpstr>worksheet for .mapdata</vt:lpstr>
      <vt:lpstr>.map data</vt:lpstr>
      <vt:lpstr>Linker Gen</vt:lpstr>
      <vt:lpstr>Lib Code</vt:lpstr>
      <vt:lpstr>App Code</vt:lpstr>
      <vt:lpstr>Lib Const</vt:lpstr>
      <vt:lpstr>App Const</vt:lpstr>
      <vt:lpstr>Lib DInit</vt:lpstr>
      <vt:lpstr>Lib Init</vt:lpstr>
      <vt:lpstr>App DInit</vt:lpstr>
      <vt:lpstr>App Init</vt:lpstr>
      <vt:lpstr>Lib BSS</vt:lpstr>
      <vt:lpstr>App BSS</vt:lpstr>
      <vt:lpstr>CommandLine</vt:lpstr>
      <vt:lpstr>Procedure</vt:lpstr>
      <vt:lpstr>End_of_swap_ROM_Space_1</vt:lpstr>
      <vt:lpstr>End_of_usable_ROM_Space_2</vt:lpstr>
      <vt:lpstr>Start_of_Security_NV_Space</vt:lpstr>
      <vt:lpstr>Start_of_usable_ROM_Space_2</vt:lpstr>
    </vt:vector>
  </TitlesOfParts>
  <Company>Aclara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Gingerich, Scot</dc:creator>
  <cp:lastModifiedBy>Gingerich, Scot</cp:lastModifiedBy>
  <dcterms:created xsi:type="dcterms:W3CDTF">2016-08-09T12:48:45Z</dcterms:created>
  <dcterms:modified xsi:type="dcterms:W3CDTF">2021-06-18T22:29:56Z</dcterms:modified>
</cp:coreProperties>
</file>